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228"/>
  <workbookPr filterPrivacy="1" defaultThemeVersion="124226"/>
  <xr:revisionPtr revIDLastSave="0" documentId="13_ncr:1_{00D180EF-A9CF-4B39-A16F-7172AE7DF191}" xr6:coauthVersionLast="47" xr6:coauthVersionMax="47" xr10:uidLastSave="{00000000-0000-0000-0000-000000000000}"/>
  <bookViews>
    <workbookView xWindow="-108" yWindow="-108" windowWidth="23256" windowHeight="12456" xr2:uid="{00000000-000D-0000-FFFF-FFFF00000000}"/>
  </bookViews>
  <sheets>
    <sheet name="main numbers" sheetId="2" r:id="rId1"/>
    <sheet name="CRM" sheetId="1" r:id="rId2"/>
    <sheet name="1st Analysis" sheetId="3" r:id="rId3"/>
    <sheet name="Countries" sheetId="7" r:id="rId4"/>
    <sheet name="Agreements" sheetId="6" r:id="rId5"/>
    <sheet name="Google" sheetId="4" r:id="rId6"/>
    <sheet name="Bing" sheetId="5" r:id="rId7"/>
    <sheet name="Calendly" sheetId="8" r:id="rId8"/>
  </sheets>
  <externalReferences>
    <externalReference r:id="rId9"/>
  </externalReferences>
  <definedNames>
    <definedName name="_xlnm._FilterDatabase" localSheetId="4" hidden="1">Agreements!$A$1:$J$17</definedName>
    <definedName name="_xlnm._FilterDatabase" localSheetId="6" hidden="1">Bing!$A$7:$J$1153</definedName>
    <definedName name="_xlnm._FilterDatabase" localSheetId="1" hidden="1">CRM!$A$1:$Q$418</definedName>
    <definedName name="_xlnm._FilterDatabase" localSheetId="5" hidden="1">Google!$A$3:$O$415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9" i="7" l="1"/>
  <c r="K59" i="7"/>
  <c r="H59" i="7"/>
  <c r="F59" i="7"/>
  <c r="K58" i="7"/>
  <c r="J58" i="7"/>
  <c r="H58" i="7"/>
  <c r="F58" i="7"/>
  <c r="R57" i="7"/>
  <c r="K57" i="7"/>
  <c r="J57" i="7"/>
  <c r="H57" i="7"/>
  <c r="F57" i="7"/>
  <c r="R56" i="7"/>
  <c r="K56" i="7"/>
  <c r="J56" i="7"/>
  <c r="H56" i="7"/>
  <c r="F56" i="7"/>
  <c r="R55" i="7"/>
  <c r="K55" i="7"/>
  <c r="J55" i="7"/>
  <c r="H55" i="7"/>
  <c r="F55" i="7"/>
  <c r="R54" i="7"/>
  <c r="J54" i="7"/>
  <c r="R53" i="7"/>
  <c r="K53" i="7"/>
  <c r="J53" i="7"/>
  <c r="H53" i="7"/>
  <c r="F53" i="7"/>
  <c r="S53" i="7" s="1"/>
  <c r="R52" i="7"/>
  <c r="K52" i="7"/>
  <c r="J52" i="7"/>
  <c r="H52" i="7"/>
  <c r="F52" i="7"/>
  <c r="S52" i="7" s="1"/>
  <c r="R51" i="7"/>
  <c r="K51" i="7"/>
  <c r="J51" i="7"/>
  <c r="H51" i="7"/>
  <c r="F51" i="7"/>
  <c r="S51" i="7" s="1"/>
  <c r="R50" i="7"/>
  <c r="K50" i="7"/>
  <c r="J50" i="7"/>
  <c r="H50" i="7"/>
  <c r="F50" i="7"/>
  <c r="S50" i="7" s="1"/>
  <c r="R49" i="7"/>
  <c r="K49" i="7"/>
  <c r="J49" i="7"/>
  <c r="H49" i="7"/>
  <c r="F49" i="7"/>
  <c r="S49" i="7" s="1"/>
  <c r="S48" i="7"/>
  <c r="R48" i="7"/>
  <c r="K48" i="7"/>
  <c r="J48" i="7"/>
  <c r="H48" i="7"/>
  <c r="D48" i="7"/>
  <c r="O38" i="7"/>
  <c r="M38" i="7"/>
  <c r="J38" i="7"/>
  <c r="H38" i="7"/>
  <c r="AI38" i="7" s="1"/>
  <c r="F38" i="7"/>
  <c r="AB38" i="7" s="1"/>
  <c r="C38" i="7"/>
  <c r="B38" i="7"/>
  <c r="AA38" i="7" s="1"/>
  <c r="AK37" i="7"/>
  <c r="AI37" i="7"/>
  <c r="AB37" i="7"/>
  <c r="AA37" i="7"/>
  <c r="S37" i="7"/>
  <c r="Q37" i="7"/>
  <c r="P37" i="7"/>
  <c r="N37" i="7"/>
  <c r="L37" i="7"/>
  <c r="AM37" i="7" s="1"/>
  <c r="K37" i="7"/>
  <c r="AL37" i="7" s="1"/>
  <c r="I37" i="7"/>
  <c r="AJ37" i="7" s="1"/>
  <c r="G37" i="7"/>
  <c r="T37" i="7" s="1"/>
  <c r="AK36" i="7"/>
  <c r="AI36" i="7"/>
  <c r="AB36" i="7"/>
  <c r="AA36" i="7"/>
  <c r="S36" i="7"/>
  <c r="Q36" i="7"/>
  <c r="P36" i="7"/>
  <c r="N36" i="7"/>
  <c r="L36" i="7"/>
  <c r="AM36" i="7" s="1"/>
  <c r="K36" i="7"/>
  <c r="AL36" i="7" s="1"/>
  <c r="I36" i="7"/>
  <c r="AJ36" i="7" s="1"/>
  <c r="G36" i="7"/>
  <c r="AC36" i="7" s="1"/>
  <c r="AK35" i="7"/>
  <c r="AI35" i="7"/>
  <c r="AB35" i="7"/>
  <c r="AA35" i="7"/>
  <c r="S35" i="7"/>
  <c r="Q35" i="7"/>
  <c r="P35" i="7"/>
  <c r="N35" i="7"/>
  <c r="L35" i="7"/>
  <c r="AM35" i="7" s="1"/>
  <c r="K35" i="7"/>
  <c r="AL35" i="7" s="1"/>
  <c r="I35" i="7"/>
  <c r="AJ35" i="7" s="1"/>
  <c r="G35" i="7"/>
  <c r="T35" i="7" s="1"/>
  <c r="AK34" i="7"/>
  <c r="AI34" i="7"/>
  <c r="AB34" i="7"/>
  <c r="AA34" i="7"/>
  <c r="S34" i="7"/>
  <c r="Q34" i="7"/>
  <c r="P34" i="7"/>
  <c r="N34" i="7"/>
  <c r="L34" i="7"/>
  <c r="AM34" i="7" s="1"/>
  <c r="K34" i="7"/>
  <c r="AL34" i="7" s="1"/>
  <c r="I34" i="7"/>
  <c r="AJ34" i="7" s="1"/>
  <c r="G34" i="7"/>
  <c r="T34" i="7" s="1"/>
  <c r="AK33" i="7"/>
  <c r="AI33" i="7"/>
  <c r="AB33" i="7"/>
  <c r="AA33" i="7"/>
  <c r="S33" i="7"/>
  <c r="Q33" i="7"/>
  <c r="P33" i="7"/>
  <c r="N33" i="7"/>
  <c r="L33" i="7"/>
  <c r="AM33" i="7" s="1"/>
  <c r="K33" i="7"/>
  <c r="AL33" i="7" s="1"/>
  <c r="I33" i="7"/>
  <c r="AJ33" i="7" s="1"/>
  <c r="G33" i="7"/>
  <c r="T33" i="7" s="1"/>
  <c r="AK32" i="7"/>
  <c r="AJ32" i="7"/>
  <c r="AI32" i="7"/>
  <c r="AB32" i="7"/>
  <c r="AA32" i="7"/>
  <c r="S32" i="7"/>
  <c r="Q32" i="7"/>
  <c r="P32" i="7"/>
  <c r="N32" i="7"/>
  <c r="L32" i="7"/>
  <c r="AM32" i="7" s="1"/>
  <c r="K32" i="7"/>
  <c r="AL32" i="7" s="1"/>
  <c r="G32" i="7"/>
  <c r="AC32" i="7" s="1"/>
  <c r="AK31" i="7"/>
  <c r="AI31" i="7"/>
  <c r="AB31" i="7"/>
  <c r="AA31" i="7"/>
  <c r="S31" i="7"/>
  <c r="Q31" i="7"/>
  <c r="P31" i="7"/>
  <c r="N31" i="7"/>
  <c r="L31" i="7"/>
  <c r="AM31" i="7" s="1"/>
  <c r="K31" i="7"/>
  <c r="AL31" i="7" s="1"/>
  <c r="I31" i="7"/>
  <c r="AJ31" i="7" s="1"/>
  <c r="G31" i="7"/>
  <c r="AC31" i="7" s="1"/>
  <c r="P16" i="7"/>
  <c r="N16" i="7"/>
  <c r="K16" i="7"/>
  <c r="I16" i="7"/>
  <c r="AL16" i="7" s="1"/>
  <c r="G16" i="7"/>
  <c r="AE16" i="7" s="1"/>
  <c r="F16" i="7"/>
  <c r="E16" i="7"/>
  <c r="D16" i="7"/>
  <c r="AD16" i="7" s="1"/>
  <c r="C16" i="7"/>
  <c r="B16" i="7"/>
  <c r="AC16" i="7" s="1"/>
  <c r="AN15" i="7"/>
  <c r="AL15" i="7"/>
  <c r="AE15" i="7"/>
  <c r="AD15" i="7"/>
  <c r="AC15" i="7"/>
  <c r="T15" i="7"/>
  <c r="R15" i="7"/>
  <c r="Q15" i="7"/>
  <c r="O15" i="7"/>
  <c r="M15" i="7"/>
  <c r="AP15" i="7" s="1"/>
  <c r="L15" i="7"/>
  <c r="AO15" i="7" s="1"/>
  <c r="J15" i="7"/>
  <c r="AM15" i="7" s="1"/>
  <c r="H15" i="7"/>
  <c r="AF15" i="7" s="1"/>
  <c r="AN14" i="7"/>
  <c r="AL14" i="7"/>
  <c r="AE14" i="7"/>
  <c r="AD14" i="7"/>
  <c r="AC14" i="7"/>
  <c r="T14" i="7"/>
  <c r="R14" i="7"/>
  <c r="Q14" i="7"/>
  <c r="O14" i="7"/>
  <c r="M14" i="7"/>
  <c r="AP14" i="7" s="1"/>
  <c r="L14" i="7"/>
  <c r="AO14" i="7" s="1"/>
  <c r="J14" i="7"/>
  <c r="AM14" i="7" s="1"/>
  <c r="H14" i="7"/>
  <c r="U14" i="7" s="1"/>
  <c r="AN13" i="7"/>
  <c r="AL13" i="7"/>
  <c r="AE13" i="7"/>
  <c r="AD13" i="7"/>
  <c r="AC13" i="7"/>
  <c r="T13" i="7"/>
  <c r="R13" i="7"/>
  <c r="Q13" i="7"/>
  <c r="O13" i="7"/>
  <c r="M13" i="7"/>
  <c r="AP13" i="7" s="1"/>
  <c r="L13" i="7"/>
  <c r="AO13" i="7" s="1"/>
  <c r="J13" i="7"/>
  <c r="AM13" i="7" s="1"/>
  <c r="H13" i="7"/>
  <c r="AF13" i="7" s="1"/>
  <c r="AN12" i="7"/>
  <c r="AL12" i="7"/>
  <c r="AE12" i="7"/>
  <c r="AD12" i="7"/>
  <c r="AC12" i="7"/>
  <c r="T12" i="7"/>
  <c r="R12" i="7"/>
  <c r="Q12" i="7"/>
  <c r="O12" i="7"/>
  <c r="M12" i="7"/>
  <c r="AP12" i="7" s="1"/>
  <c r="L12" i="7"/>
  <c r="AO12" i="7" s="1"/>
  <c r="J12" i="7"/>
  <c r="AM12" i="7" s="1"/>
  <c r="H12" i="7"/>
  <c r="AF12" i="7" s="1"/>
  <c r="AE11" i="7"/>
  <c r="AD11" i="7"/>
  <c r="AC11" i="7"/>
  <c r="T11" i="7"/>
  <c r="M11" i="7"/>
  <c r="H11" i="7"/>
  <c r="AF11" i="7" s="1"/>
  <c r="AN10" i="7"/>
  <c r="AL10" i="7"/>
  <c r="AE10" i="7"/>
  <c r="AD10" i="7"/>
  <c r="AC10" i="7"/>
  <c r="T10" i="7"/>
  <c r="R10" i="7"/>
  <c r="Q10" i="7"/>
  <c r="O10" i="7"/>
  <c r="M10" i="7"/>
  <c r="AP10" i="7" s="1"/>
  <c r="L10" i="7"/>
  <c r="AO10" i="7" s="1"/>
  <c r="J10" i="7"/>
  <c r="AM10" i="7" s="1"/>
  <c r="H10" i="7"/>
  <c r="AF10" i="7" s="1"/>
  <c r="AN9" i="7"/>
  <c r="AL9" i="7"/>
  <c r="AE9" i="7"/>
  <c r="AD9" i="7"/>
  <c r="AC9" i="7"/>
  <c r="T9" i="7"/>
  <c r="R9" i="7"/>
  <c r="Q9" i="7"/>
  <c r="O9" i="7"/>
  <c r="M9" i="7"/>
  <c r="AP9" i="7" s="1"/>
  <c r="L9" i="7"/>
  <c r="AO9" i="7" s="1"/>
  <c r="J9" i="7"/>
  <c r="AM9" i="7" s="1"/>
  <c r="H9" i="7"/>
  <c r="U9" i="7" s="1"/>
  <c r="AN8" i="7"/>
  <c r="AL8" i="7"/>
  <c r="AE8" i="7"/>
  <c r="AD8" i="7"/>
  <c r="AC8" i="7"/>
  <c r="T8" i="7"/>
  <c r="R8" i="7"/>
  <c r="Q8" i="7"/>
  <c r="O8" i="7"/>
  <c r="M8" i="7"/>
  <c r="AP8" i="7" s="1"/>
  <c r="L8" i="7"/>
  <c r="AO8" i="7" s="1"/>
  <c r="J8" i="7"/>
  <c r="AM8" i="7" s="1"/>
  <c r="H8" i="7"/>
  <c r="AF8" i="7" s="1"/>
  <c r="AN7" i="7"/>
  <c r="AL7" i="7"/>
  <c r="AE7" i="7"/>
  <c r="AD7" i="7"/>
  <c r="AC7" i="7"/>
  <c r="T7" i="7"/>
  <c r="R7" i="7"/>
  <c r="Q7" i="7"/>
  <c r="O7" i="7"/>
  <c r="M7" i="7"/>
  <c r="AP7" i="7" s="1"/>
  <c r="L7" i="7"/>
  <c r="AO7" i="7" s="1"/>
  <c r="J7" i="7"/>
  <c r="AM7" i="7" s="1"/>
  <c r="H7" i="7"/>
  <c r="U7" i="7" s="1"/>
  <c r="AN6" i="7"/>
  <c r="AL6" i="7"/>
  <c r="AE6" i="7"/>
  <c r="AD6" i="7"/>
  <c r="AC6" i="7"/>
  <c r="T6" i="7"/>
  <c r="M6" i="7"/>
  <c r="AP6" i="7" s="1"/>
  <c r="L6" i="7"/>
  <c r="AO6" i="7" s="1"/>
  <c r="J6" i="7"/>
  <c r="AM6" i="7" s="1"/>
  <c r="H6" i="7"/>
  <c r="AF6" i="7" s="1"/>
  <c r="AN5" i="7"/>
  <c r="AL5" i="7"/>
  <c r="AE5" i="7"/>
  <c r="AD5" i="7"/>
  <c r="AC5" i="7"/>
  <c r="T5" i="7"/>
  <c r="M5" i="7"/>
  <c r="AP5" i="7" s="1"/>
  <c r="L5" i="7"/>
  <c r="AO5" i="7" s="1"/>
  <c r="J5" i="7"/>
  <c r="AM5" i="7" s="1"/>
  <c r="H5" i="7"/>
  <c r="AF5" i="7" s="1"/>
  <c r="AN4" i="7"/>
  <c r="AL4" i="7"/>
  <c r="AE4" i="7"/>
  <c r="AD4" i="7"/>
  <c r="AC4" i="7"/>
  <c r="T4" i="7"/>
  <c r="R4" i="7"/>
  <c r="Q4" i="7"/>
  <c r="O4" i="7"/>
  <c r="M4" i="7"/>
  <c r="AP4" i="7" s="1"/>
  <c r="L4" i="7"/>
  <c r="AO4" i="7" s="1"/>
  <c r="J4" i="7"/>
  <c r="AM4" i="7" s="1"/>
  <c r="H4" i="7"/>
  <c r="AF4" i="7" s="1"/>
  <c r="F111" i="3"/>
  <c r="E111" i="3"/>
  <c r="D111" i="3"/>
  <c r="C111" i="3"/>
  <c r="B111" i="3"/>
  <c r="F110" i="3"/>
  <c r="E110" i="3"/>
  <c r="D110" i="3"/>
  <c r="C110" i="3"/>
  <c r="B110" i="3"/>
  <c r="F109" i="3"/>
  <c r="E109" i="3"/>
  <c r="D109" i="3"/>
  <c r="C109" i="3"/>
  <c r="B109" i="3"/>
  <c r="F108" i="3"/>
  <c r="E108" i="3"/>
  <c r="D108" i="3"/>
  <c r="C108" i="3"/>
  <c r="B108" i="3"/>
  <c r="F107" i="3"/>
  <c r="E107" i="3"/>
  <c r="D107" i="3"/>
  <c r="C107" i="3"/>
  <c r="B107" i="3"/>
  <c r="F106" i="3"/>
  <c r="E106" i="3"/>
  <c r="D106" i="3"/>
  <c r="C106" i="3"/>
  <c r="B106" i="3"/>
  <c r="F105" i="3"/>
  <c r="E105" i="3"/>
  <c r="D105" i="3"/>
  <c r="C105" i="3"/>
  <c r="B105" i="3"/>
  <c r="G104" i="3"/>
  <c r="E104" i="3"/>
  <c r="G94" i="3"/>
  <c r="F94" i="3"/>
  <c r="D94" i="3"/>
  <c r="D104" i="3" s="1"/>
  <c r="C94" i="3"/>
  <c r="C104" i="3" s="1"/>
  <c r="B94" i="3"/>
  <c r="C91" i="3"/>
  <c r="B91" i="3"/>
  <c r="C90" i="3"/>
  <c r="B90" i="3"/>
  <c r="C89" i="3"/>
  <c r="B89" i="3"/>
  <c r="C88" i="3"/>
  <c r="B88" i="3"/>
  <c r="G78" i="3"/>
  <c r="F78" i="3"/>
  <c r="E78" i="3"/>
  <c r="D78" i="3"/>
  <c r="C78" i="3"/>
  <c r="B78" i="3"/>
  <c r="E75" i="3"/>
  <c r="E73" i="3"/>
  <c r="D73" i="3"/>
  <c r="C73" i="3"/>
  <c r="E72" i="3"/>
  <c r="D72" i="3"/>
  <c r="E62" i="3"/>
  <c r="E76" i="3" s="1"/>
  <c r="D62" i="3"/>
  <c r="D76" i="3" s="1"/>
  <c r="F61" i="3"/>
  <c r="F75" i="3" s="1"/>
  <c r="D61" i="3"/>
  <c r="D75" i="3" s="1"/>
  <c r="C61" i="3"/>
  <c r="C75" i="3" s="1"/>
  <c r="B61" i="3"/>
  <c r="B75" i="3" s="1"/>
  <c r="F60" i="3"/>
  <c r="F74" i="3" s="1"/>
  <c r="E60" i="3"/>
  <c r="E74" i="3" s="1"/>
  <c r="D60" i="3"/>
  <c r="D74" i="3" s="1"/>
  <c r="C60" i="3"/>
  <c r="C74" i="3" s="1"/>
  <c r="B60" i="3"/>
  <c r="B74" i="3" s="1"/>
  <c r="F59" i="3"/>
  <c r="F73" i="3" s="1"/>
  <c r="D59" i="3"/>
  <c r="C59" i="3"/>
  <c r="B59" i="3"/>
  <c r="B73" i="3" s="1"/>
  <c r="F58" i="3"/>
  <c r="F72" i="3" s="1"/>
  <c r="D58" i="3"/>
  <c r="C58" i="3"/>
  <c r="C72" i="3" s="1"/>
  <c r="B58" i="3"/>
  <c r="B72" i="3" s="1"/>
  <c r="F54" i="3"/>
  <c r="E54" i="3"/>
  <c r="D54" i="3"/>
  <c r="C54" i="3"/>
  <c r="B54" i="3"/>
  <c r="E53" i="3"/>
  <c r="D53" i="3"/>
  <c r="C53" i="3"/>
  <c r="B53" i="3"/>
  <c r="E52" i="3"/>
  <c r="D52" i="3"/>
  <c r="C52" i="3"/>
  <c r="B52" i="3"/>
  <c r="E51" i="3"/>
  <c r="D51" i="3"/>
  <c r="C51" i="3"/>
  <c r="B51" i="3"/>
  <c r="E47" i="3"/>
  <c r="F46" i="3"/>
  <c r="E46" i="3"/>
  <c r="D46" i="3"/>
  <c r="C46" i="3"/>
  <c r="B46" i="3"/>
  <c r="F45" i="3"/>
  <c r="E45" i="3"/>
  <c r="D45" i="3"/>
  <c r="C45" i="3"/>
  <c r="B45" i="3"/>
  <c r="F44" i="3"/>
  <c r="E44" i="3"/>
  <c r="D44" i="3"/>
  <c r="C44" i="3"/>
  <c r="B44" i="3"/>
  <c r="F43" i="3"/>
  <c r="E43" i="3"/>
  <c r="D43" i="3"/>
  <c r="C43" i="3"/>
  <c r="B43" i="3"/>
  <c r="F40" i="3"/>
  <c r="F56" i="3" s="1"/>
  <c r="E40" i="3"/>
  <c r="E56" i="3" s="1"/>
  <c r="D40" i="3"/>
  <c r="D56" i="3" s="1"/>
  <c r="C40" i="3"/>
  <c r="C56" i="3" s="1"/>
  <c r="B40" i="3"/>
  <c r="B56" i="3" s="1"/>
  <c r="C29" i="3"/>
  <c r="B29" i="3"/>
  <c r="C28" i="3"/>
  <c r="B28" i="3"/>
  <c r="F19" i="3"/>
  <c r="F47" i="3" s="1"/>
  <c r="E19" i="3"/>
  <c r="E55" i="3" s="1"/>
  <c r="D19" i="3"/>
  <c r="D47" i="3" s="1"/>
  <c r="C19" i="3"/>
  <c r="C47" i="3" s="1"/>
  <c r="B19" i="3"/>
  <c r="B55" i="3" s="1"/>
  <c r="C13" i="3"/>
  <c r="C30" i="3" s="1"/>
  <c r="B13" i="3"/>
  <c r="B30" i="3" s="1"/>
  <c r="G11" i="3"/>
  <c r="F11" i="3"/>
  <c r="E11" i="3"/>
  <c r="D11" i="3"/>
  <c r="C11" i="3"/>
  <c r="C31" i="3" s="1"/>
  <c r="B11" i="3"/>
  <c r="B31" i="3" s="1"/>
  <c r="G10" i="3"/>
  <c r="E10" i="3"/>
  <c r="F6" i="3"/>
  <c r="F62" i="3" s="1"/>
  <c r="F76" i="3" s="1"/>
  <c r="E6" i="3"/>
  <c r="D10" i="3"/>
  <c r="C6" i="3"/>
  <c r="C62" i="3" s="1"/>
  <c r="C76" i="3" s="1"/>
  <c r="B6" i="3"/>
  <c r="B62" i="3" s="1"/>
  <c r="B76" i="3" s="1"/>
  <c r="B190" i="2"/>
  <c r="B191" i="2"/>
  <c r="B192" i="2"/>
  <c r="B193" i="2"/>
  <c r="B168" i="2"/>
  <c r="B169" i="2"/>
  <c r="C168" i="2"/>
  <c r="B163" i="2"/>
  <c r="B159" i="2"/>
  <c r="B135" i="2"/>
  <c r="B134" i="2"/>
  <c r="B115" i="2"/>
  <c r="B92" i="2"/>
  <c r="B71" i="2"/>
  <c r="B69" i="2"/>
  <c r="B47" i="2"/>
  <c r="B26" i="2"/>
  <c r="B5" i="2"/>
  <c r="B4" i="2"/>
  <c r="W193" i="2"/>
  <c r="V193" i="2"/>
  <c r="U193" i="2"/>
  <c r="T193" i="2"/>
  <c r="S193" i="2"/>
  <c r="R193" i="2"/>
  <c r="Q193" i="2"/>
  <c r="P193" i="2"/>
  <c r="O193" i="2"/>
  <c r="N193" i="2"/>
  <c r="M193" i="2"/>
  <c r="L193" i="2"/>
  <c r="K193" i="2"/>
  <c r="J193" i="2"/>
  <c r="I193" i="2"/>
  <c r="H193" i="2"/>
  <c r="G193" i="2"/>
  <c r="F193" i="2"/>
  <c r="E193" i="2"/>
  <c r="D193" i="2"/>
  <c r="C193" i="2"/>
  <c r="W192" i="2"/>
  <c r="V192" i="2"/>
  <c r="U192" i="2"/>
  <c r="T192" i="2"/>
  <c r="S192" i="2"/>
  <c r="R192" i="2"/>
  <c r="Q192" i="2"/>
  <c r="P192" i="2"/>
  <c r="O192" i="2"/>
  <c r="N192" i="2"/>
  <c r="M192" i="2"/>
  <c r="L192" i="2"/>
  <c r="K192" i="2"/>
  <c r="J192" i="2"/>
  <c r="I192" i="2"/>
  <c r="H192" i="2"/>
  <c r="G192" i="2"/>
  <c r="F192" i="2"/>
  <c r="E192" i="2"/>
  <c r="Y191" i="2"/>
  <c r="X191" i="2"/>
  <c r="W191" i="2"/>
  <c r="V191" i="2"/>
  <c r="U191" i="2"/>
  <c r="T191" i="2"/>
  <c r="S191" i="2"/>
  <c r="R191" i="2"/>
  <c r="Q191" i="2"/>
  <c r="P191" i="2"/>
  <c r="O191" i="2"/>
  <c r="N191" i="2"/>
  <c r="M191" i="2"/>
  <c r="L191" i="2"/>
  <c r="K191" i="2"/>
  <c r="J191" i="2"/>
  <c r="I191" i="2"/>
  <c r="H191" i="2"/>
  <c r="G191" i="2"/>
  <c r="F191" i="2"/>
  <c r="E191" i="2"/>
  <c r="D191" i="2"/>
  <c r="C191" i="2"/>
  <c r="Y190" i="2"/>
  <c r="X190" i="2"/>
  <c r="W190" i="2"/>
  <c r="V190" i="2"/>
  <c r="U190" i="2"/>
  <c r="T190" i="2"/>
  <c r="S190" i="2"/>
  <c r="R190" i="2"/>
  <c r="Q190" i="2"/>
  <c r="P190" i="2"/>
  <c r="O190" i="2"/>
  <c r="N190" i="2"/>
  <c r="M190" i="2"/>
  <c r="L190" i="2"/>
  <c r="K190" i="2"/>
  <c r="J190" i="2"/>
  <c r="I190" i="2"/>
  <c r="H190" i="2"/>
  <c r="G190" i="2"/>
  <c r="F190" i="2"/>
  <c r="E190" i="2"/>
  <c r="C190" i="2"/>
  <c r="Y168" i="2"/>
  <c r="X168" i="2"/>
  <c r="W168" i="2"/>
  <c r="V168" i="2"/>
  <c r="U168" i="2"/>
  <c r="T168" i="2"/>
  <c r="S168" i="2"/>
  <c r="R168" i="2"/>
  <c r="Q168" i="2"/>
  <c r="P168" i="2"/>
  <c r="O168" i="2"/>
  <c r="N168" i="2"/>
  <c r="M168" i="2"/>
  <c r="L168" i="2"/>
  <c r="K168" i="2"/>
  <c r="J168" i="2"/>
  <c r="I168" i="2"/>
  <c r="H168" i="2"/>
  <c r="G168" i="2"/>
  <c r="F168" i="2"/>
  <c r="E168" i="2"/>
  <c r="D168" i="2"/>
  <c r="I165" i="2"/>
  <c r="H165" i="2"/>
  <c r="D164" i="2"/>
  <c r="Y163" i="2"/>
  <c r="X163" i="2"/>
  <c r="W163" i="2"/>
  <c r="V163" i="2"/>
  <c r="U163" i="2"/>
  <c r="T163" i="2"/>
  <c r="S163" i="2"/>
  <c r="R163" i="2"/>
  <c r="Q163" i="2"/>
  <c r="P163" i="2"/>
  <c r="O163" i="2"/>
  <c r="N163" i="2"/>
  <c r="M163" i="2"/>
  <c r="L163" i="2"/>
  <c r="K163" i="2"/>
  <c r="J163" i="2"/>
  <c r="I163" i="2"/>
  <c r="H163" i="2"/>
  <c r="G163" i="2"/>
  <c r="F163" i="2"/>
  <c r="E163" i="2"/>
  <c r="D163" i="2"/>
  <c r="C163" i="2"/>
  <c r="Y159" i="2"/>
  <c r="X159" i="2"/>
  <c r="X169" i="2" s="1"/>
  <c r="W159" i="2"/>
  <c r="V159" i="2"/>
  <c r="U159" i="2"/>
  <c r="T159" i="2"/>
  <c r="T169" i="2" s="1"/>
  <c r="S159" i="2"/>
  <c r="R159" i="2"/>
  <c r="Q159" i="2"/>
  <c r="P159" i="2"/>
  <c r="P169" i="2" s="1"/>
  <c r="O159" i="2"/>
  <c r="N159" i="2"/>
  <c r="M159" i="2"/>
  <c r="L159" i="2"/>
  <c r="L169" i="2" s="1"/>
  <c r="K159" i="2"/>
  <c r="J159" i="2"/>
  <c r="I159" i="2"/>
  <c r="H159" i="2"/>
  <c r="H169" i="2" s="1"/>
  <c r="G159" i="2"/>
  <c r="F159" i="2"/>
  <c r="E159" i="2"/>
  <c r="C159" i="2"/>
  <c r="C169" i="2" s="1"/>
  <c r="D156" i="2"/>
  <c r="D192" i="2" s="1"/>
  <c r="D155" i="2"/>
  <c r="C155" i="2"/>
  <c r="Y134" i="2"/>
  <c r="X134" i="2"/>
  <c r="W134" i="2"/>
  <c r="V134" i="2"/>
  <c r="V135" i="2" s="1"/>
  <c r="U134" i="2"/>
  <c r="T134" i="2"/>
  <c r="S134" i="2"/>
  <c r="R134" i="2"/>
  <c r="R135" i="2" s="1"/>
  <c r="Q134" i="2"/>
  <c r="P134" i="2"/>
  <c r="O134" i="2"/>
  <c r="N134" i="2"/>
  <c r="N135" i="2" s="1"/>
  <c r="M134" i="2"/>
  <c r="L134" i="2"/>
  <c r="K134" i="2"/>
  <c r="J134" i="2"/>
  <c r="I134" i="2"/>
  <c r="H134" i="2"/>
  <c r="G134" i="2"/>
  <c r="F134" i="2"/>
  <c r="F135" i="2" s="1"/>
  <c r="E134" i="2"/>
  <c r="D134" i="2"/>
  <c r="C134" i="2"/>
  <c r="W115" i="2"/>
  <c r="V115" i="2"/>
  <c r="U115" i="2"/>
  <c r="T115" i="2"/>
  <c r="S115" i="2"/>
  <c r="R115" i="2"/>
  <c r="Q115" i="2"/>
  <c r="P115" i="2"/>
  <c r="O115" i="2"/>
  <c r="N115" i="2"/>
  <c r="M115" i="2"/>
  <c r="L115" i="2"/>
  <c r="K115" i="2"/>
  <c r="J115" i="2"/>
  <c r="I115" i="2"/>
  <c r="H115" i="2"/>
  <c r="G115" i="2"/>
  <c r="C115" i="2"/>
  <c r="F114" i="2"/>
  <c r="E115" i="2" s="1"/>
  <c r="W92" i="2"/>
  <c r="V92" i="2"/>
  <c r="U92" i="2"/>
  <c r="T92" i="2"/>
  <c r="S92" i="2"/>
  <c r="R92" i="2"/>
  <c r="Q92" i="2"/>
  <c r="P92" i="2"/>
  <c r="O92" i="2"/>
  <c r="N92" i="2"/>
  <c r="M92" i="2"/>
  <c r="L92" i="2"/>
  <c r="K92" i="2"/>
  <c r="J92" i="2"/>
  <c r="I92" i="2"/>
  <c r="H92" i="2"/>
  <c r="G92" i="2"/>
  <c r="F92" i="2"/>
  <c r="E92" i="2"/>
  <c r="D92" i="2"/>
  <c r="C92" i="2"/>
  <c r="W71" i="2"/>
  <c r="V71" i="2"/>
  <c r="U71" i="2"/>
  <c r="T71" i="2"/>
  <c r="S71" i="2"/>
  <c r="R71" i="2"/>
  <c r="Q71" i="2"/>
  <c r="P71" i="2"/>
  <c r="O71" i="2"/>
  <c r="N71" i="2"/>
  <c r="M71" i="2"/>
  <c r="L71" i="2"/>
  <c r="K71" i="2"/>
  <c r="J71" i="2"/>
  <c r="I71" i="2"/>
  <c r="H71" i="2"/>
  <c r="G71" i="2"/>
  <c r="F71" i="2"/>
  <c r="E71" i="2"/>
  <c r="D71" i="2"/>
  <c r="C71" i="2"/>
  <c r="W69" i="2"/>
  <c r="V69" i="2"/>
  <c r="U69" i="2"/>
  <c r="T69" i="2"/>
  <c r="S69" i="2"/>
  <c r="R69" i="2"/>
  <c r="Q69" i="2"/>
  <c r="P69" i="2"/>
  <c r="O69" i="2"/>
  <c r="N69" i="2"/>
  <c r="M69" i="2"/>
  <c r="L69" i="2"/>
  <c r="K69" i="2"/>
  <c r="J69" i="2"/>
  <c r="I69" i="2"/>
  <c r="H69" i="2"/>
  <c r="G69" i="2"/>
  <c r="F69" i="2"/>
  <c r="E69" i="2"/>
  <c r="D69" i="2"/>
  <c r="C69" i="2"/>
  <c r="W47" i="2"/>
  <c r="V47" i="2"/>
  <c r="U47" i="2"/>
  <c r="T47" i="2"/>
  <c r="S47" i="2"/>
  <c r="R47" i="2"/>
  <c r="Q47" i="2"/>
  <c r="P47" i="2"/>
  <c r="O47" i="2"/>
  <c r="N47" i="2"/>
  <c r="M47" i="2"/>
  <c r="L47" i="2"/>
  <c r="K47" i="2"/>
  <c r="J47" i="2"/>
  <c r="I47" i="2"/>
  <c r="H47" i="2"/>
  <c r="G47" i="2"/>
  <c r="F47" i="2"/>
  <c r="E47" i="2"/>
  <c r="D47" i="2"/>
  <c r="C47" i="2"/>
  <c r="W26" i="2"/>
  <c r="V26" i="2"/>
  <c r="U26" i="2"/>
  <c r="T26" i="2"/>
  <c r="S26" i="2"/>
  <c r="R26" i="2"/>
  <c r="Q26" i="2"/>
  <c r="P26" i="2"/>
  <c r="O26" i="2"/>
  <c r="N26" i="2"/>
  <c r="M26" i="2"/>
  <c r="L26" i="2"/>
  <c r="K26" i="2"/>
  <c r="J26" i="2"/>
  <c r="I26" i="2"/>
  <c r="H26" i="2"/>
  <c r="G26" i="2"/>
  <c r="F26" i="2"/>
  <c r="E26" i="2"/>
  <c r="D26" i="2"/>
  <c r="C26" i="2"/>
  <c r="W5" i="2"/>
  <c r="V5" i="2"/>
  <c r="U5" i="2"/>
  <c r="T5" i="2"/>
  <c r="S5" i="2"/>
  <c r="R5" i="2"/>
  <c r="Q5" i="2"/>
  <c r="P5" i="2"/>
  <c r="O5" i="2"/>
  <c r="N5" i="2"/>
  <c r="M5" i="2"/>
  <c r="L5" i="2"/>
  <c r="K5" i="2"/>
  <c r="J5" i="2"/>
  <c r="I5" i="2"/>
  <c r="H5" i="2"/>
  <c r="G5" i="2"/>
  <c r="F5" i="2"/>
  <c r="E5" i="2"/>
  <c r="D5" i="2"/>
  <c r="C5" i="2"/>
  <c r="W4" i="2"/>
  <c r="V4" i="2"/>
  <c r="U4" i="2"/>
  <c r="T4" i="2"/>
  <c r="S4" i="2"/>
  <c r="R4" i="2"/>
  <c r="Q4" i="2"/>
  <c r="P4" i="2"/>
  <c r="O4" i="2"/>
  <c r="N4" i="2"/>
  <c r="M4" i="2"/>
  <c r="L4" i="2"/>
  <c r="K4" i="2"/>
  <c r="J4" i="2"/>
  <c r="I4" i="2"/>
  <c r="H4" i="2"/>
  <c r="G4" i="2"/>
  <c r="F4" i="2"/>
  <c r="E4" i="2"/>
  <c r="D4" i="2"/>
  <c r="C4" i="2"/>
  <c r="AC34" i="7" l="1"/>
  <c r="N38" i="7"/>
  <c r="Q38" i="7"/>
  <c r="AC37" i="7"/>
  <c r="T32" i="7"/>
  <c r="I38" i="7"/>
  <c r="AJ38" i="7" s="1"/>
  <c r="S38" i="7"/>
  <c r="AC33" i="7"/>
  <c r="Q16" i="7"/>
  <c r="O16" i="7"/>
  <c r="M16" i="7"/>
  <c r="AP16" i="7" s="1"/>
  <c r="R16" i="7"/>
  <c r="U5" i="7"/>
  <c r="U4" i="7"/>
  <c r="AF7" i="7"/>
  <c r="U12" i="7"/>
  <c r="T36" i="7"/>
  <c r="T16" i="7"/>
  <c r="AN16" i="7"/>
  <c r="G38" i="7"/>
  <c r="K38" i="7"/>
  <c r="AL38" i="7" s="1"/>
  <c r="AF9" i="7"/>
  <c r="AF14" i="7"/>
  <c r="J16" i="7"/>
  <c r="AM16" i="7" s="1"/>
  <c r="T31" i="7"/>
  <c r="U6" i="7"/>
  <c r="U8" i="7"/>
  <c r="U10" i="7"/>
  <c r="U13" i="7"/>
  <c r="U15" i="7"/>
  <c r="H16" i="7"/>
  <c r="L16" i="7"/>
  <c r="AO16" i="7" s="1"/>
  <c r="AC35" i="7"/>
  <c r="L38" i="7"/>
  <c r="AM38" i="7" s="1"/>
  <c r="AK38" i="7"/>
  <c r="U11" i="7"/>
  <c r="B104" i="3"/>
  <c r="F104" i="3"/>
  <c r="E48" i="3"/>
  <c r="C48" i="3"/>
  <c r="B47" i="3"/>
  <c r="B48" i="3" s="1"/>
  <c r="F48" i="3"/>
  <c r="D48" i="3"/>
  <c r="B10" i="3"/>
  <c r="F10" i="3"/>
  <c r="C55" i="3"/>
  <c r="C10" i="3"/>
  <c r="D55" i="3"/>
  <c r="J135" i="2"/>
  <c r="C135" i="2"/>
  <c r="G135" i="2"/>
  <c r="K135" i="2"/>
  <c r="O135" i="2"/>
  <c r="S135" i="2"/>
  <c r="W135" i="2"/>
  <c r="E169" i="2"/>
  <c r="I169" i="2"/>
  <c r="M169" i="2"/>
  <c r="Q169" i="2"/>
  <c r="U169" i="2"/>
  <c r="Y169" i="2"/>
  <c r="D135" i="2"/>
  <c r="H135" i="2"/>
  <c r="L135" i="2"/>
  <c r="P135" i="2"/>
  <c r="T135" i="2"/>
  <c r="F169" i="2"/>
  <c r="J169" i="2"/>
  <c r="N169" i="2"/>
  <c r="R169" i="2"/>
  <c r="V169" i="2"/>
  <c r="E135" i="2"/>
  <c r="I135" i="2"/>
  <c r="M135" i="2"/>
  <c r="Q135" i="2"/>
  <c r="U135" i="2"/>
  <c r="G169" i="2"/>
  <c r="K169" i="2"/>
  <c r="O169" i="2"/>
  <c r="S169" i="2"/>
  <c r="W169" i="2"/>
  <c r="D190" i="2"/>
  <c r="D115" i="2"/>
  <c r="D159" i="2"/>
  <c r="D169" i="2" s="1"/>
  <c r="C192" i="2"/>
  <c r="F115" i="2"/>
  <c r="AF16" i="7" l="1"/>
  <c r="U16" i="7"/>
  <c r="AC38" i="7"/>
  <c r="T38"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B68" authorId="0" shapeId="0" xr:uid="{8055D729-B796-4B11-AF2E-F0F0ECC59F8F}">
      <text>
        <r>
          <rPr>
            <b/>
            <sz val="9"/>
            <color indexed="81"/>
            <rFont val="Tahoma"/>
            <family val="2"/>
            <charset val="204"/>
          </rPr>
          <t>Автор:</t>
        </r>
        <r>
          <rPr>
            <sz val="9"/>
            <color indexed="81"/>
            <rFont val="Tahoma"/>
            <family val="2"/>
            <charset val="204"/>
          </rPr>
          <t xml:space="preserve">
I'm not sure exactly in these numbers because I don't have all data from managers</t>
        </r>
      </text>
    </comment>
    <comment ref="F114" authorId="0" shapeId="0" xr:uid="{5FF60ADB-55E9-48A1-A922-EF1530615612}">
      <text>
        <r>
          <rPr>
            <sz val="9"/>
            <color indexed="81"/>
            <rFont val="Tahoma"/>
            <family val="2"/>
            <charset val="204"/>
          </rPr>
          <t xml:space="preserve">In fact, there were 29 leads more received by mistake. But non-relevant (and cheap), so I excluded them
</t>
        </r>
      </text>
    </comment>
    <comment ref="G114" authorId="0" shapeId="0" xr:uid="{636F5F25-C783-4089-86FD-04AB4E6DBBA1}">
      <text>
        <r>
          <rPr>
            <sz val="9"/>
            <color indexed="81"/>
            <rFont val="Tahoma"/>
            <family val="2"/>
            <charset val="204"/>
          </rPr>
          <t>I'm not sure in this number. There were mistakes in CRM. Some NEW ledas that had this status more than 20 days I deleted from CRM</t>
        </r>
        <r>
          <rPr>
            <sz val="9"/>
            <color indexed="81"/>
            <rFont val="Tahoma"/>
            <family val="2"/>
            <charset val="204"/>
          </rPr>
          <t xml:space="preserve">
</t>
        </r>
      </text>
    </comment>
    <comment ref="H114" authorId="0" shapeId="0" xr:uid="{C1511A92-2B25-4612-BE1C-3983820CD337}">
      <text>
        <r>
          <rPr>
            <sz val="9"/>
            <color indexed="81"/>
            <rFont val="Tahoma"/>
            <family val="2"/>
            <charset val="204"/>
          </rPr>
          <t>Before October 10th I deleted all managers' leads except of Oleh. I don't belive in this number</t>
        </r>
      </text>
    </comment>
    <comment ref="I114" authorId="0" shapeId="0" xr:uid="{71026811-C91B-42BF-9D28-A955DD857BD3}">
      <text>
        <r>
          <rPr>
            <sz val="9"/>
            <color indexed="81"/>
            <rFont val="Tahoma"/>
            <family val="2"/>
            <charset val="204"/>
          </rPr>
          <t xml:space="preserve">This is almost correct number
</t>
        </r>
      </text>
    </comment>
    <comment ref="G155" authorId="0" shapeId="0" xr:uid="{5526B460-4D9F-41A9-812E-193931518B0A}">
      <text>
        <r>
          <rPr>
            <sz val="9"/>
            <color indexed="81"/>
            <rFont val="Tahoma"/>
            <family val="2"/>
            <charset val="204"/>
          </rPr>
          <t xml:space="preserve">This is not the right number. There were mistakes in CRM. Some NEW ledas that had this status more than 20 days I deleted from CRM
</t>
        </r>
      </text>
    </comment>
    <comment ref="H155" authorId="0" shapeId="0" xr:uid="{3E5F38B2-6F0C-498C-8C65-9B05A8B1C748}">
      <text>
        <r>
          <rPr>
            <sz val="9"/>
            <color indexed="81"/>
            <rFont val="Tahoma"/>
            <family val="2"/>
            <charset val="204"/>
          </rPr>
          <t>Before October 10th I deleted all managers' leads except of Oleh. I don't belive in this number</t>
        </r>
      </text>
    </comment>
    <comment ref="I155" authorId="0" shapeId="0" xr:uid="{323F1C8C-E906-4181-8066-E962CE6AECE4}">
      <text>
        <r>
          <rPr>
            <sz val="9"/>
            <color indexed="81"/>
            <rFont val="Tahoma"/>
            <family val="2"/>
            <charset val="204"/>
          </rPr>
          <t xml:space="preserve">This is almost correct number
</t>
        </r>
      </text>
    </comment>
    <comment ref="M155" authorId="0" shapeId="0" xr:uid="{B8EE3F9A-EB17-4416-AA55-F29A0406052C}">
      <text>
        <r>
          <rPr>
            <sz val="9"/>
            <color indexed="81"/>
            <rFont val="Tahoma"/>
            <family val="2"/>
            <charset val="204"/>
          </rPr>
          <t>- Google Gemini on the 1st position
- our site fall and lost positions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G8" authorId="0" shapeId="0" xr:uid="{C681BCB8-11BC-451E-B264-9C0DAA52335F}">
      <text>
        <r>
          <rPr>
            <b/>
            <sz val="9"/>
            <color indexed="81"/>
            <rFont val="Tahoma"/>
            <family val="2"/>
            <charset val="204"/>
          </rPr>
          <t>Without doubled</t>
        </r>
        <r>
          <rPr>
            <sz val="9"/>
            <color indexed="81"/>
            <rFont val="Tahoma"/>
            <family val="2"/>
            <charset val="204"/>
          </rPr>
          <t xml:space="preserve">
Only Relevant</t>
        </r>
      </text>
    </comment>
    <comment ref="G9" authorId="0" shapeId="0" xr:uid="{18AA087D-3C88-4688-9FC8-F522D1D17FB2}">
      <text>
        <r>
          <rPr>
            <b/>
            <sz val="9"/>
            <color indexed="81"/>
            <rFont val="Tahoma"/>
            <family val="2"/>
            <charset val="204"/>
          </rPr>
          <t>A bank account, from the old Bridgewest client</t>
        </r>
        <r>
          <rPr>
            <sz val="9"/>
            <color indexed="81"/>
            <rFont val="Tahoma"/>
            <family val="2"/>
            <charset val="204"/>
          </rPr>
          <t xml:space="preserve">
</t>
        </r>
      </text>
    </comment>
    <comment ref="B85" authorId="0" shapeId="0" xr:uid="{93ACD7C0-CC42-497F-9921-BD7ADCA6338C}">
      <text>
        <r>
          <rPr>
            <b/>
            <sz val="9"/>
            <color indexed="81"/>
            <rFont val="Tahoma"/>
            <family val="2"/>
            <charset val="204"/>
          </rPr>
          <t>One from Bridgewest</t>
        </r>
        <r>
          <rPr>
            <sz val="9"/>
            <color indexed="81"/>
            <rFont val="Tahoma"/>
            <family val="2"/>
            <charset val="204"/>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J3" authorId="0" shapeId="0" xr:uid="{EC97A4B3-0A88-4065-956E-A9FB34ECA1F9}">
      <text>
        <r>
          <rPr>
            <b/>
            <sz val="9"/>
            <color indexed="81"/>
            <rFont val="Tahoma"/>
            <family val="2"/>
            <charset val="204"/>
          </rPr>
          <t>Conversion rate</t>
        </r>
        <r>
          <rPr>
            <sz val="9"/>
            <color indexed="81"/>
            <rFont val="Tahoma"/>
            <family val="2"/>
            <charset val="204"/>
          </rPr>
          <t xml:space="preserve">
</t>
        </r>
      </text>
    </comment>
    <comment ref="O3" authorId="0" shapeId="0" xr:uid="{59CEDC8E-4E61-4697-B721-F0D7FB8B6173}">
      <text>
        <r>
          <rPr>
            <b/>
            <sz val="9"/>
            <color indexed="81"/>
            <rFont val="Tahoma"/>
            <family val="2"/>
            <charset val="204"/>
          </rPr>
          <t>Conversion rate</t>
        </r>
        <r>
          <rPr>
            <sz val="9"/>
            <color indexed="81"/>
            <rFont val="Tahoma"/>
            <family val="2"/>
            <charset val="204"/>
          </rPr>
          <t xml:space="preserve">
</t>
        </r>
      </text>
    </comment>
    <comment ref="AH3" authorId="0" shapeId="0" xr:uid="{581D0A73-4EA9-4FF4-8F4B-1FDD7C8F62E6}">
      <text>
        <r>
          <rPr>
            <b/>
            <sz val="9"/>
            <color indexed="81"/>
            <rFont val="Tahoma"/>
            <family val="2"/>
            <charset val="204"/>
          </rPr>
          <t>Conversion rate</t>
        </r>
        <r>
          <rPr>
            <sz val="9"/>
            <color indexed="81"/>
            <rFont val="Tahoma"/>
            <family val="2"/>
            <charset val="204"/>
          </rPr>
          <t xml:space="preserve">
</t>
        </r>
      </text>
    </comment>
    <comment ref="AM3" authorId="0" shapeId="0" xr:uid="{98F9D8F5-2692-4FA0-86F1-C91A4BD72228}">
      <text>
        <r>
          <rPr>
            <b/>
            <sz val="9"/>
            <color indexed="81"/>
            <rFont val="Tahoma"/>
            <family val="2"/>
            <charset val="204"/>
          </rPr>
          <t>Conversion rate</t>
        </r>
        <r>
          <rPr>
            <sz val="9"/>
            <color indexed="81"/>
            <rFont val="Tahoma"/>
            <family val="2"/>
            <charset val="204"/>
          </rPr>
          <t xml:space="preserve">
</t>
        </r>
      </text>
    </comment>
    <comment ref="D10" authorId="0" shapeId="0" xr:uid="{A3F1EA13-C0CC-4CC9-9EB6-D001F8E135AA}">
      <text>
        <r>
          <rPr>
            <b/>
            <sz val="9"/>
            <color indexed="81"/>
            <rFont val="Tahoma"/>
            <family val="2"/>
            <charset val="204"/>
          </rPr>
          <t>An LT lead through the LV website</t>
        </r>
        <r>
          <rPr>
            <sz val="9"/>
            <color indexed="81"/>
            <rFont val="Tahoma"/>
            <family val="2"/>
            <charset val="204"/>
          </rPr>
          <t xml:space="preserve">
</t>
        </r>
      </text>
    </comment>
    <comment ref="H11" authorId="0" shapeId="0" xr:uid="{5D9B6D45-99D3-4311-B124-1F5D617759FA}">
      <text>
        <r>
          <rPr>
            <b/>
            <sz val="9"/>
            <color indexed="81"/>
            <rFont val="Tahoma"/>
            <family val="2"/>
            <charset val="204"/>
          </rPr>
          <t>All RU-speaking leads</t>
        </r>
      </text>
    </comment>
    <comment ref="AB11" authorId="0" shapeId="0" xr:uid="{6CE425DF-DD19-4D20-BE1B-8B42F7223869}">
      <text>
        <r>
          <rPr>
            <b/>
            <sz val="9"/>
            <color indexed="81"/>
            <rFont val="Tahoma"/>
            <family val="2"/>
            <charset val="204"/>
          </rPr>
          <t>All RU-speaking leads</t>
        </r>
      </text>
    </comment>
    <comment ref="G15" authorId="0" shapeId="0" xr:uid="{614916E8-F83F-4958-96A1-B3BF960FD92E}">
      <text>
        <r>
          <rPr>
            <b/>
            <sz val="9"/>
            <color indexed="81"/>
            <rFont val="Tahoma"/>
            <family val="2"/>
            <charset val="204"/>
          </rPr>
          <t>1 via Calendly</t>
        </r>
        <r>
          <rPr>
            <sz val="9"/>
            <color indexed="81"/>
            <rFont val="Tahoma"/>
            <family val="2"/>
            <charset val="204"/>
          </rPr>
          <t xml:space="preserve">
</t>
        </r>
      </text>
    </comment>
    <comment ref="I30" authorId="0" shapeId="0" xr:uid="{3D4C460B-211E-4E56-9850-754A58069B0C}">
      <text>
        <r>
          <rPr>
            <b/>
            <sz val="9"/>
            <color indexed="81"/>
            <rFont val="Tahoma"/>
            <family val="2"/>
            <charset val="204"/>
          </rPr>
          <t>Conversion rate</t>
        </r>
        <r>
          <rPr>
            <sz val="9"/>
            <color indexed="81"/>
            <rFont val="Tahoma"/>
            <family val="2"/>
            <charset val="204"/>
          </rPr>
          <t xml:space="preserve">
</t>
        </r>
      </text>
    </comment>
    <comment ref="N30" authorId="0" shapeId="0" xr:uid="{210CDAB7-7D79-47E3-B221-F4D6F767D567}">
      <text>
        <r>
          <rPr>
            <b/>
            <sz val="9"/>
            <color indexed="81"/>
            <rFont val="Tahoma"/>
            <family val="2"/>
            <charset val="204"/>
          </rPr>
          <t>Conversion rate</t>
        </r>
        <r>
          <rPr>
            <sz val="9"/>
            <color indexed="81"/>
            <rFont val="Tahoma"/>
            <family val="2"/>
            <charset val="204"/>
          </rPr>
          <t xml:space="preserve">
</t>
        </r>
      </text>
    </comment>
    <comment ref="AE30" authorId="0" shapeId="0" xr:uid="{5B1A71CA-B1C0-4081-A3DE-197A4C19B7C3}">
      <text>
        <r>
          <rPr>
            <b/>
            <sz val="9"/>
            <color indexed="81"/>
            <rFont val="Tahoma"/>
            <family val="2"/>
            <charset val="204"/>
          </rPr>
          <t>Conversion rate</t>
        </r>
        <r>
          <rPr>
            <sz val="9"/>
            <color indexed="81"/>
            <rFont val="Tahoma"/>
            <family val="2"/>
            <charset val="204"/>
          </rPr>
          <t xml:space="preserve">
</t>
        </r>
      </text>
    </comment>
    <comment ref="AJ30" authorId="0" shapeId="0" xr:uid="{3A3AE020-7D7F-4A6D-A290-EAE38FA42544}">
      <text>
        <r>
          <rPr>
            <b/>
            <sz val="9"/>
            <color indexed="81"/>
            <rFont val="Tahoma"/>
            <family val="2"/>
            <charset val="204"/>
          </rPr>
          <t>Conversion rate</t>
        </r>
        <r>
          <rPr>
            <sz val="9"/>
            <color indexed="81"/>
            <rFont val="Tahoma"/>
            <family val="2"/>
            <charset val="204"/>
          </rPr>
          <t xml:space="preserve">
</t>
        </r>
      </text>
    </comment>
    <comment ref="H47" authorId="0" shapeId="0" xr:uid="{E984F540-FB20-4C23-9C5A-55AEB8E3E3B1}">
      <text>
        <r>
          <rPr>
            <b/>
            <sz val="9"/>
            <color indexed="81"/>
            <rFont val="Tahoma"/>
            <family val="2"/>
            <charset val="204"/>
          </rPr>
          <t>Conversion rate</t>
        </r>
        <r>
          <rPr>
            <sz val="9"/>
            <color indexed="81"/>
            <rFont val="Tahoma"/>
            <family val="2"/>
            <charset val="204"/>
          </rPr>
          <t xml:space="preserve">
</t>
        </r>
      </text>
    </comment>
    <comment ref="M47" authorId="0" shapeId="0" xr:uid="{1241AF57-2E2C-4D23-8E71-7D7992F6FB7C}">
      <text>
        <r>
          <rPr>
            <b/>
            <sz val="9"/>
            <color indexed="81"/>
            <rFont val="Tahoma"/>
            <family val="2"/>
            <charset val="204"/>
          </rPr>
          <t>Conversion rate</t>
        </r>
        <r>
          <rPr>
            <sz val="9"/>
            <color indexed="81"/>
            <rFont val="Tahoma"/>
            <family val="2"/>
            <charset val="204"/>
          </rPr>
          <t xml:space="preserve">
</t>
        </r>
      </text>
    </comment>
  </commentList>
</comments>
</file>

<file path=xl/sharedStrings.xml><?xml version="1.0" encoding="utf-8"?>
<sst xmlns="http://schemas.openxmlformats.org/spreadsheetml/2006/main" count="18464" uniqueCount="3840">
  <si>
    <t>Number</t>
  </si>
  <si>
    <t>Counterparty</t>
  </si>
  <si>
    <t>Name</t>
  </si>
  <si>
    <t>Creation date</t>
  </si>
  <si>
    <t>Status</t>
  </si>
  <si>
    <t>Relevant</t>
  </si>
  <si>
    <t>Assignees</t>
  </si>
  <si>
    <t>Service (group)</t>
  </si>
  <si>
    <t>Country</t>
  </si>
  <si>
    <t>UTM tag</t>
  </si>
  <si>
    <t>Google Client ID</t>
  </si>
  <si>
    <t>LANGUAGE</t>
  </si>
  <si>
    <t>Type</t>
  </si>
  <si>
    <t>E-mail Counterparty</t>
  </si>
  <si>
    <t>Reason for Rejection</t>
  </si>
  <si>
    <t>Data event</t>
  </si>
  <si>
    <t>INTERNAL MAIL</t>
  </si>
  <si>
    <t/>
  </si>
  <si>
    <t>Sheila Bartin</t>
  </si>
  <si>
    <t>Othe</t>
  </si>
  <si>
    <t>Kristina Ishkauskaite</t>
  </si>
  <si>
    <t>IN WORK</t>
  </si>
  <si>
    <t>Oleh Dymovski</t>
  </si>
  <si>
    <t>LT citizenship</t>
  </si>
  <si>
    <t>Serbia</t>
  </si>
  <si>
    <t>https://www.lithuaniancitizenship.com/contact/?not-set</t>
  </si>
  <si>
    <t>EN</t>
  </si>
  <si>
    <t>Lead from LT email</t>
  </si>
  <si>
    <t>christina.bmstu@gmail.com</t>
  </si>
  <si>
    <t>Website Form</t>
  </si>
  <si>
    <t>Chanah butler</t>
  </si>
  <si>
    <t>Chanah Valerie Sylvia Butler</t>
  </si>
  <si>
    <t>Israel</t>
  </si>
  <si>
    <t>?kw&amp;cpn=23357613537&amp;utm_source=google&amp;utm_medium=cpc&amp;utm_campaign=LT-Discovery&amp;network&amp;utm_term&amp;gad_source=1&amp;gad_campaignid=23357613537&amp;gclid=Cj0KCQjw4a3OBhCHARIsAChaqJPVSqR6As7P__nRUrt-koY62I_OC6cq56XO5s2K5cjuAOd7tP42YBQaAgwrEALw_wcB</t>
  </si>
  <si>
    <t>1557287642.1775012854</t>
  </si>
  <si>
    <t>myafrica770@gmail.com</t>
  </si>
  <si>
    <t>Google Ads</t>
  </si>
  <si>
    <t>Ahmed Header</t>
  </si>
  <si>
    <t>ahmed header</t>
  </si>
  <si>
    <t>Company Formation</t>
  </si>
  <si>
    <t>ahmed95header@gmail.com</t>
  </si>
  <si>
    <t>Other (direct email, phone call, referral etc.)</t>
  </si>
  <si>
    <t>Ong Ming Yuan</t>
  </si>
  <si>
    <t>LV RBI Company</t>
  </si>
  <si>
    <t>Singapore</t>
  </si>
  <si>
    <t>?kw=latvia%20golden%20visa&amp;cpn=20594231202&amp;utm_source=google&amp;utm_medium=cpc&amp;utm_campaign=LV-RBI&amp;network=g&amp;utm_term=latvia%20golden%20visa&amp;gad_source=1&amp;gad_campaignid=20594231202&amp;gbraid=0AAAAADisZv9B9DHLNkQDiXbzhQ8auirow&amp;gclid=CjwKCAjwhLPOBhBiEiwA8_wJ</t>
  </si>
  <si>
    <t>1487109277.1775030269</t>
  </si>
  <si>
    <t>Lead from LV email</t>
  </si>
  <si>
    <t>ong_ming_yuan@yahoo.com</t>
  </si>
  <si>
    <t>Calendly</t>
  </si>
  <si>
    <t>Анастасия</t>
  </si>
  <si>
    <t>Mauritius</t>
  </si>
  <si>
    <t>?kw=%D0%B3%D1%80%D0%B0%D0%B6%D0%B4%D0%B0%D0%BD%D1%81%D1%82%D0%B2%D0%BE%20%D0%BB%D0%B8%D1%82%D0%B2%D1%8B&amp;cpn=23681560526&amp;utm_source=google&amp;utm_medium=cpc&amp;utm_campaign=LT-ru-lang-conversions&amp;network=g&amp;utm_term=%D0%B3%D1%80%D0%B0%D0%B6%D0%B4%D0%B0%D0%BD</t>
  </si>
  <si>
    <t>360822124.1775051782</t>
  </si>
  <si>
    <t>RU</t>
  </si>
  <si>
    <t>grigorovichnastya@gmail.com</t>
  </si>
  <si>
    <t>Craig Zarnosky</t>
  </si>
  <si>
    <t>Rejected</t>
  </si>
  <si>
    <t>Austria</t>
  </si>
  <si>
    <t>?kw=citizenship%20lithuanian&amp;cpn=17158881096&amp;utm_source=google&amp;utm_medium=cpc&amp;utm_campaign=LT-EU&amp;network=g&amp;utm_term=citizenship%20lithuanian&amp;gad_source=1&amp;gad_campaignid=17158881096&amp;gclid=CjwKCAjwhLPOBhBiEiwA8_wJHDVVxc0BeISnybxXc1HTpmRKat9sSlt9IToPZgR</t>
  </si>
  <si>
    <t>1581703353.1775054688</t>
  </si>
  <si>
    <t>craigz.at@gmail.com</t>
  </si>
  <si>
    <t>LEFT BEFORE 1918</t>
  </si>
  <si>
    <t>Тынарбек</t>
  </si>
  <si>
    <t>Kyrgyzstan</t>
  </si>
  <si>
    <t>?kw=%D0%BB%D0%B8%D1%82%D0%BE%D0%B2%D1%81%D0%BA%D0%BE%D0%B5%20%D0%B3%D1%80%D0%B0%D0%B6%D0%B4%D0%B0%D0%BD%D1%81%D1%82%D0%B2%D0%BE&amp;cpn=23681560526&amp;utm_source=google&amp;utm_medium=cpc&amp;utm_campaign=LT-ru-lang-conversions&amp;network=g&amp;utm_term=%D0%BB%D0%B8%D1%82</t>
  </si>
  <si>
    <t>undefined</t>
  </si>
  <si>
    <t>tynarbekkerezov67@gmail.com</t>
  </si>
  <si>
    <t>Denis Sinkdenart</t>
  </si>
  <si>
    <t>FULL PAYMENT IS MADE</t>
  </si>
  <si>
    <t>Oleksandr Mostovyi</t>
  </si>
  <si>
    <t>Serbia/russia</t>
  </si>
  <si>
    <t>sinkdenart@gmail.com</t>
  </si>
  <si>
    <t>Ea Afridi</t>
  </si>
  <si>
    <t>United Arab Emirates (AE - AS)</t>
  </si>
  <si>
    <t>?kw=portugal%20golden%20visa%202026&amp;cpn=22658494721&amp;utm_source=google&amp;utm_medium=cpc&amp;utm_campaign=LV-RBI-TOP&amp;network=s&amp;utm_term=portugal%20golden%20visa%202026&amp;gad_source=5&amp;gad_campaignid=22658494721&amp;gclid=EAIaIQobChMIpPSHrv_MkwMV1qJQBh3Z5zS3EAAYASAA</t>
  </si>
  <si>
    <t>785159876.1775058277</t>
  </si>
  <si>
    <t>afridiofficialea@gmail.com</t>
  </si>
  <si>
    <t>NO ANSWER</t>
  </si>
  <si>
    <t>LUCY APARECIDA NORBUTAS GIAMELLARO LIMA</t>
  </si>
  <si>
    <t>Mariana Razimavicius</t>
  </si>
  <si>
    <t>Brazil</t>
  </si>
  <si>
    <t>?kw=cidadania%20por%20descend%C3%AAncia%20lituana&amp;cpn=14712129487&amp;utm_source=google&amp;utm_medium=cpc&amp;utm_campaign=LT-BR&amp;network=g&amp;utm_term=cidadania%20por%20descend%C3%AAncia%20lituana&amp;gad_source=1&amp;gad_campaignid=14712129487&amp;gclid=CjwKCAjwhLPOBhBiEiwA8</t>
  </si>
  <si>
    <t>1136279210.1775069465</t>
  </si>
  <si>
    <t>PT</t>
  </si>
  <si>
    <t>lucygllima1522@gmail.com</t>
  </si>
  <si>
    <t>Mr. Ian Scheidel</t>
  </si>
  <si>
    <t>Ian Scheidel</t>
  </si>
  <si>
    <t>United States</t>
  </si>
  <si>
    <t>?kw=how%20to%20get%20lithuanian%20citizenship&amp;cpn=14656253006&amp;utm_source=google&amp;utm_medium=cpc&amp;utm_campaign=LT-US-conversions&amp;network=g&amp;utm_term=how%20to%20get%20lithuanian%20citizenship&amp;gad_source=1&amp;gad_campaignid=14656253006&amp;gbraid=0AAAAADisZv_9fvy</t>
  </si>
  <si>
    <t>1861970970.1775069901</t>
  </si>
  <si>
    <t>ijscheidel@gmail.com</t>
  </si>
  <si>
    <t>MR. EDWARD J SCHUMANN</t>
  </si>
  <si>
    <t>EDWARD J SCHUMANN</t>
  </si>
  <si>
    <t>?utm_source=bing&amp;utm_medium=cpc&amp;utm_campaign=Bing-LT-US&amp;network=o&amp;utm_term=lithuanian%20descent&amp;msclkid=dc274dc9015c1dab56b724047224f6cf https://www.lithuaniancitizenship.com/thank-you/</t>
  </si>
  <si>
    <t>1168574319.1775072249</t>
  </si>
  <si>
    <t>okurbanova@email.com</t>
  </si>
  <si>
    <t>Bing Ads</t>
  </si>
  <si>
    <t>Argentina</t>
  </si>
  <si>
    <t>https://www.lithuaniancitizenship.com/es/</t>
  </si>
  <si>
    <t>ES</t>
  </si>
  <si>
    <t>Organic Search</t>
  </si>
  <si>
    <t>Ms. Diane Austin</t>
  </si>
  <si>
    <t>Diane Austin</t>
  </si>
  <si>
    <t>?kw=lithuanian%20citizenship%20by%20descent&amp;cpn=14656253006&amp;utm_source=google&amp;utm_medium=cpc&amp;utm_campaign=LT-US-conversions&amp;network=g&amp;utm_term=lithuanian%20citizenship%20by%20descent&amp;gad_source=1&amp;gad_campaignid=14656253006&amp;gbraid=0AAAAADisZv9uTl2mal5</t>
  </si>
  <si>
    <t>237078475.1774994494</t>
  </si>
  <si>
    <t>diaustin.tahoe@gmail.com</t>
  </si>
  <si>
    <t>ANOTHER REASON</t>
  </si>
  <si>
    <t>Mr. Evan Matthew gendel</t>
  </si>
  <si>
    <t>Evan Matthew gendel</t>
  </si>
  <si>
    <t>Canada</t>
  </si>
  <si>
    <t>?kw=does%20lithuania%20allow%20dual%20citizenship&amp;cpn=14656253006&amp;utm_source=google&amp;utm_medium=cpc&amp;utm_campaign=LT-US-conversions&amp;network=g&amp;utm_term=does%20lithuania%20allow%20dual%20citizenship&amp;gad_source=1&amp;gad_campaignid=14656253006&amp;gbraid=0AAAAADi</t>
  </si>
  <si>
    <t>1642948366.1775087882</t>
  </si>
  <si>
    <t>evangendel@gmail.com</t>
  </si>
  <si>
    <t>GONZALEZ NATALIA CAROLINA</t>
  </si>
  <si>
    <t>https://www.lithuaniancitizenship.com/es/contact-es/?ithuania-Leads-Search-Argentina/Colombia/Uruguay/Mexico</t>
  </si>
  <si>
    <t>1332815185.1775091353</t>
  </si>
  <si>
    <t>liccarolinag@yahoo.com.ar</t>
  </si>
  <si>
    <t>Amanda Krutulis</t>
  </si>
  <si>
    <t>?kw=lithuanian%20ancestry%20search&amp;cpn=14656253006&amp;utm_source=google&amp;utm_medium=cpc&amp;utm_campaign=LT-US-conversions&amp;network=g&amp;utm_term=lithuanian%20ancestry%20search&amp;gad_source=1&amp;gad_campaignid=14656253006&amp;gbraid=0AAAAADisZv9bjXQE-hLVxxK8fAVecnuj9&amp;gcl</t>
  </si>
  <si>
    <t>1784276395.1775096699</t>
  </si>
  <si>
    <t>aeiden79@gmail.com</t>
  </si>
  <si>
    <t>Наталья Солдовская</t>
  </si>
  <si>
    <t>6955nana@gmail.com</t>
  </si>
  <si>
    <t>Fausta Budrecke</t>
  </si>
  <si>
    <t>faustabudreckyte@gmail.com</t>
  </si>
  <si>
    <t>Non-relevant lead</t>
  </si>
  <si>
    <t>BridgeWest</t>
  </si>
  <si>
    <t>Emma Pearlman</t>
  </si>
  <si>
    <t>emma.pearlman@gmail.com</t>
  </si>
  <si>
    <t>Denis Gulyaev</t>
  </si>
  <si>
    <t>rule711@gmail.com</t>
  </si>
  <si>
    <t>Eslanda</t>
  </si>
  <si>
    <t>The Netherlands</t>
  </si>
  <si>
    <t>https://www.lithuaniancitizenship.com/ru/contact-ru/</t>
  </si>
  <si>
    <t>svetasvetlaya171@gmail.com</t>
  </si>
  <si>
    <t>Mr. Irving Miller</t>
  </si>
  <si>
    <t>Irving Miller</t>
  </si>
  <si>
    <t>?kw&amp;cpn=23440895177&amp;utm_source=google&amp;utm_medium=cpc&amp;utm_campaign=LT-Discovery-US&amp;network&amp;utm_term&amp;gad_campaignid=23440895177&amp;wbraid=ClMKCAjwhLPOBhAMEkMApk2-asNlYbBO7BD_8KYxBwesdtWSItC6zXJxxOzZujprO_SlzBVLwRAl2MKg_Kxss2hBX0P2PmuLZot4LzAdtSKpGgLiBA</t>
  </si>
  <si>
    <t>1552821172.1774218283</t>
  </si>
  <si>
    <t>ihmiller41@gmail.com</t>
  </si>
  <si>
    <t>Robin Hossain</t>
  </si>
  <si>
    <t>Qatar (QA - AS)</t>
  </si>
  <si>
    <t>?kw=portugal%20golden%20visa&amp;cpn=22658494721&amp;utm_source=google&amp;utm_medium=cpc&amp;utm_campaign=LV-RBI-TOP&amp;network=s&amp;utm_term=portugal%20golden%20visa&amp;gad_source=5&amp;gad_campaignid=22658494721&amp;gclid=EAIaIQobChMIpKSClaPPkwMVZJZQBh2uoRlHEAAYASAAEgIHbPD_BwE</t>
  </si>
  <si>
    <t>184602190.1774856065</t>
  </si>
  <si>
    <t>robin.hossain1994bd@gmail.com</t>
  </si>
  <si>
    <t>Muhammad Raheel</t>
  </si>
  <si>
    <t>muhammad raheel</t>
  </si>
  <si>
    <t>United Kingdom (GB - EU)</t>
  </si>
  <si>
    <t>?kw=hungary%20golden%20visa&amp;cpn=22658494721&amp;utm_source=google&amp;utm_medium=cpc&amp;utm_campaign=LV-RBI-TOP&amp;network=g&amp;utm_term=hungary%20golden%20visa&amp;gad_source=1&amp;gad_campaignid=22658494721&amp;gbraid=0AAAAADisZv9W3UudOZr52k7vjQ9g2_g5a&amp;gclid=Cj0KCQjwp7jOBhDGAR</t>
  </si>
  <si>
    <t>1180999965.1775140635</t>
  </si>
  <si>
    <t>minequest@hotmail.com</t>
  </si>
  <si>
    <t>Ms. Kamile Lazauskaite</t>
  </si>
  <si>
    <t>Kamile Lazauskaite</t>
  </si>
  <si>
    <t>?kw=dual%20lithuanian%20citizenship&amp;cpn=14656253006&amp;utm_source=google&amp;utm_medium=cpc&amp;utm_campaign=LT-US-conversions&amp;network=g&amp;utm_term=dual%20lithuanian%20citizenship&amp;gad_source=1&amp;gad_campaignid=14656253006&amp;gbraid=0AAAAADisZv9nnpmmajqv-4XB0pztcoQbs&amp;g</t>
  </si>
  <si>
    <t>1783001498.1775138874</t>
  </si>
  <si>
    <t>kamile.lazauskaite@pwc.com</t>
  </si>
  <si>
    <t>Ms. Lianne Shina Glazer</t>
  </si>
  <si>
    <t>Lianne Shina Glazer</t>
  </si>
  <si>
    <t>Australia</t>
  </si>
  <si>
    <t>https://www.lithuaniancitizenship.com/?Lithuania-Leads-Search-Australia</t>
  </si>
  <si>
    <t>125439742.1775142431</t>
  </si>
  <si>
    <t>lianne.glazer@icloud.com</t>
  </si>
  <si>
    <t>Tarik Yalcin Senol</t>
  </si>
  <si>
    <t>https://latviancitizenship.eu/contact/?not-set</t>
  </si>
  <si>
    <t>tarikyalcinsenol@gmail.com</t>
  </si>
  <si>
    <t>Allyssa El-Mansy</t>
  </si>
  <si>
    <t>FIRST CONTACT</t>
  </si>
  <si>
    <t>LV citizenship</t>
  </si>
  <si>
    <t>Austria (AT - EU)</t>
  </si>
  <si>
    <t>https://latviancitizenship.eu/</t>
  </si>
  <si>
    <t>130425817.1775145829</t>
  </si>
  <si>
    <t>allyssa@patzer.us</t>
  </si>
  <si>
    <t>Mr. Eric Kaseff</t>
  </si>
  <si>
    <t>Eric Kaseff</t>
  </si>
  <si>
    <t>?kw=lithuanian%20immigration%20lawyer&amp;cpn=14656253006&amp;utm_source=google&amp;utm_medium=cpc&amp;utm_campaign=LT-US-conversions&amp;network=g&amp;utm_term=lithuanian%20immigration%20lawyer&amp;gad_source=1&amp;gad_campaignid=14656253006&amp;gbraid=0AAAAADisZv9nnpmmajqv-4XB0pztcoQ</t>
  </si>
  <si>
    <t>2091252700.1741362629</t>
  </si>
  <si>
    <t>ekaseff@gmail.com</t>
  </si>
  <si>
    <t>Marina-Sheina Tcivie</t>
  </si>
  <si>
    <t>NEW</t>
  </si>
  <si>
    <t>ms@tcivie.com</t>
  </si>
  <si>
    <t>Mr. Michael Epstein</t>
  </si>
  <si>
    <t>Michael Epstein</t>
  </si>
  <si>
    <t>?kw=dual%20citizenship%20lithuania&amp;cpn=14656253006&amp;utm_source=google&amp;utm_medium=cpc&amp;utm_campaign=LT-US-conversions&amp;network=g&amp;utm_term=dual%20citizenship%20lithuania&amp;gad_source=1&amp;gad_campaignid=14656253006&amp;gclid=Cj0KCQjwp7jOBhDGARIsABe7C4cIpIC8vNix9Ea</t>
  </si>
  <si>
    <t>1570083531.1775152056</t>
  </si>
  <si>
    <t>michaelepstein123@outlook.com</t>
  </si>
  <si>
    <t>River Johanson</t>
  </si>
  <si>
    <t>United States (US - NA)</t>
  </si>
  <si>
    <t>https://latviancitizenship.eu/?direct</t>
  </si>
  <si>
    <t>1534533334.1775153830</t>
  </si>
  <si>
    <t>river.johanson@gmail.com</t>
  </si>
  <si>
    <t>Mr. Adam Lesnick</t>
  </si>
  <si>
    <t>Adam Lesnick</t>
  </si>
  <si>
    <t>https://www.lithuaniancitizenship.com/?direct</t>
  </si>
  <si>
    <t>956146905.1775156405</t>
  </si>
  <si>
    <t>sjdad8@gmail.com</t>
  </si>
  <si>
    <t>fernando henrique dubinevics filgueiras</t>
  </si>
  <si>
    <t>?kw=%27cidadania%20lituana%27&amp;cpn=14712129487&amp;utm_source=google&amp;utm_medium=cpc&amp;utm_campaign=LT-BR&amp;network=g&amp;utm_term=%27cidadania%20lituana%27&amp;gad_source=1&amp;gad_campaignid=14712129487&amp;gbraid=0AAAAADisZv-dhvM9JoSX2EoPKi2GDN0Yw&amp;gclid=Cj0KCQjwp7jOBhDGARI</t>
  </si>
  <si>
    <t>399925730.1775157742</t>
  </si>
  <si>
    <t>fernandod.filgueiras@hotmail.com</t>
  </si>
  <si>
    <t>Joshua Barnatt</t>
  </si>
  <si>
    <t>?utm_source=bing&amp;utm_medium=cpc&amp;utm_campaign=Bing-LT-US&amp;network=o&amp;utm_term=%27lithuania%20passport%27&amp;msclkid=d34e7a24b4c012d35cae13ea772315b8</t>
  </si>
  <si>
    <t>1289386562.1775158284</t>
  </si>
  <si>
    <t>laurabarnatt@gmail.com</t>
  </si>
  <si>
    <t>Ellie Hearm</t>
  </si>
  <si>
    <t>?kw=latvia%20residence%20permit%20by%20investment&amp;cpn=20594231202&amp;utm_source=google&amp;utm_medium=cpc&amp;utm_campaign=LV-RBI&amp;network=g&amp;utm_term=latvia%20residence%20permit%20by%20investment&amp;gad_source=1&amp;gad_campaignid=20594231202&amp;gbraid=0AAAAADisZv_OnCgl0C</t>
  </si>
  <si>
    <t>342866515.1775158863</t>
  </si>
  <si>
    <t>ellie@foshch.com</t>
  </si>
  <si>
    <t>DID NOT CONTINUE</t>
  </si>
  <si>
    <t>Qazi Abdul Rehman Gohar</t>
  </si>
  <si>
    <t>?kw=latvia%20residence&amp;cpn=22658494721&amp;utm_source=google&amp;utm_medium=cpc&amp;utm_campaign=LV-RBI-TOP&amp;network=g&amp;utm_term=latvia%20residence&amp;gad_source=1&amp;gad_campaignid=22658494721&amp;gclid=Cj0KCQjwp7jOBhDGARIsABe7C4fnHD6Perashj7TfKIwAA6s1IsUqq2lBIEzEHj68rgu3J</t>
  </si>
  <si>
    <t>1006224861.1775169465</t>
  </si>
  <si>
    <t>qaziabdulrehmangohar6@gmail.com</t>
  </si>
  <si>
    <t>Paul Randall</t>
  </si>
  <si>
    <t>2paulrandall@gmail.com</t>
  </si>
  <si>
    <t>Ms. Sofie Saviskis</t>
  </si>
  <si>
    <t>Sofie Saviskis</t>
  </si>
  <si>
    <t>?kw=how%20to%20get%20a%20lithuanian%20passport&amp;cpn=14662670148&amp;utm_source=google&amp;utm_medium=cpc&amp;utm_campaign=LT-AU&amp;network=g&amp;utm_term=how%20to%20get%20a%20lithuanian%20passport&amp;gad_source=1&amp;gad_campaignid=14662670148&amp;gbraid=0AAAAADisZv_xwgPzQY1WIPVxt</t>
  </si>
  <si>
    <t>805805118.1775178041</t>
  </si>
  <si>
    <t>sofie671165@icloud.com</t>
  </si>
  <si>
    <t>Ziaurrahman</t>
  </si>
  <si>
    <t>?kw=latvia%20residency%20by%20investment&amp;cpn=20594231202&amp;utm_source=google&amp;utm_medium=cpc&amp;utm_campaign=LV-RBI&amp;network=g&amp;utm_term=latvia%20residency%20by%20investment&amp;gad_source=1&amp;gad_campaignid=20594231202&amp;gclid=Cj0KCQjwp7jOBhDGARIsABe7C4ddSmKViXXc1v</t>
  </si>
  <si>
    <t>354839929.1775191544</t>
  </si>
  <si>
    <t>Zia.khan6680@gmail.com</t>
  </si>
  <si>
    <t>Sumit Kumar Singh</t>
  </si>
  <si>
    <t>Sumit kumar singh</t>
  </si>
  <si>
    <t>?kw=portugal%20golden%20visa%202026&amp;cpn=22658494721&amp;utm_source=google&amp;utm_medium=cpc&amp;utm_campaign=LV-RBI-TOP&amp;network=s&amp;utm_term=portugal%20golden%20visa%202026&amp;gad_source=5&amp;gad_campaignid=22658494721&amp;gclid=EAIaIQobChMImt7X5pPRkwMVn6JQBh0pRhFjEAAYASAA</t>
  </si>
  <si>
    <t>1447768930.1775201209</t>
  </si>
  <si>
    <t>sumitkumarmahato292@gmail.com</t>
  </si>
  <si>
    <t>Ignacio Urbelz</t>
  </si>
  <si>
    <t>No relevant</t>
  </si>
  <si>
    <t>Ignacio.Urbelz@adlbiopharmasl.com</t>
  </si>
  <si>
    <t>Alex</t>
  </si>
  <si>
    <t>alexdienov@gmail.com</t>
  </si>
  <si>
    <t>MD ROCKY MIA</t>
  </si>
  <si>
    <t>50/50</t>
  </si>
  <si>
    <t>Malaysia</t>
  </si>
  <si>
    <t>nopan782@gmail.com</t>
  </si>
  <si>
    <t>IFEANYI OKORI</t>
  </si>
  <si>
    <t>Nigeria (NG - AF)</t>
  </si>
  <si>
    <t>https://latviancitizenship.eu/contact/</t>
  </si>
  <si>
    <t>1684321353.1775224805</t>
  </si>
  <si>
    <t>ifeanyiokori77@gmail.com</t>
  </si>
  <si>
    <t>Fadi</t>
  </si>
  <si>
    <t>LT RBI</t>
  </si>
  <si>
    <t>Switzerland</t>
  </si>
  <si>
    <t>https://www.lithuaniancitizenship.com/?referral</t>
  </si>
  <si>
    <t>1342502088.1775226149</t>
  </si>
  <si>
    <t>fadi.zeitoun@gmail.com</t>
  </si>
  <si>
    <t>Adeel</t>
  </si>
  <si>
    <t>Pakistan (PK - AS)</t>
  </si>
  <si>
    <t>https://latviancitizenship.eu/residency-by-investment/</t>
  </si>
  <si>
    <t>1397501818.1775227525</t>
  </si>
  <si>
    <t>m.adeel.nawaz@me.com</t>
  </si>
  <si>
    <t>Ms. Hannah Mark</t>
  </si>
  <si>
    <t>Hannah Mark</t>
  </si>
  <si>
    <t>United Kingdom</t>
  </si>
  <si>
    <t>?kw=%27lithuania%20passport%27&amp;cpn=17080759337&amp;utm_source=google&amp;utm_medium=cpc&amp;utm_campaign=LT-UK&amp;network=g&amp;utm_term=%27lithuania%20passport%27&amp;gad_source=1&amp;gad_campaignid=17080759337&amp;gbraid=0AAAAADisZv_iEPIJo5EkfYItr0iVCohHg</t>
  </si>
  <si>
    <t>hannahcmark@gmail.com</t>
  </si>
  <si>
    <t>Muhammad Saeed</t>
  </si>
  <si>
    <t>muhammad saeed</t>
  </si>
  <si>
    <t>?kw&amp;cpn=23440895177&amp;utm_source=google&amp;utm_medium=cpc&amp;utm_campaign=LT-Discovery-US&amp;network&amp;utm_term&amp;gad_source=1&amp;gad_campaignid=23440895177&amp;gclid=Cj0KCQjwyr3OBhD0ARIsALlo-OnBrrO2PlTravs2QPPsQy9tIrcP22QxfctA2aMCiq1_ANsXItnRQM0aAlaXEALw_wcB</t>
  </si>
  <si>
    <t>1875719806.1775235839</t>
  </si>
  <si>
    <t>saeedaiou9a@gmail.com</t>
  </si>
  <si>
    <t>Bhupinder Singh</t>
  </si>
  <si>
    <t>?kw&amp;cpn=23357613537&amp;utm_source=google&amp;utm_medium=cpc&amp;utm_campaign=LT-Discovery&amp;network&amp;utm_term&amp;gad_source=1&amp;gad_campaignid=23357613537&amp;gclid=Cj0KCQjwyr3OBhD0ARIsALlo-OmmI3C0wHv8zmIi8q7yEGHwklqeRmQoo9cT5jG46plOXs0A2IlhKXgaAgfWEALw_wcB</t>
  </si>
  <si>
    <t>2123770347.1775236615</t>
  </si>
  <si>
    <t>singhbhupinder75569@gmail.com</t>
  </si>
  <si>
    <t>Zikrullah Sultan</t>
  </si>
  <si>
    <t>zekrullahb19@gmail.com</t>
  </si>
  <si>
    <t>Ms. Sarah Sallon</t>
  </si>
  <si>
    <t>Sarah Sallon</t>
  </si>
  <si>
    <t>?kw&amp;cpn=23357613537&amp;utm_source=google&amp;utm_medium=cpc&amp;utm_campaign=LT-Discovery&amp;network&amp;utm_term&amp;gad_source=1&amp;gad_campaignid=23357613537&amp;gclid=Cj0KCQjwyr3OBhD0ARIsALlo-OkjXylg-3eNUMrhPMSgPDnNuROqwn8O0j4Aov2jKiLK-9W0PjMXU64aAsxmEALw_wcB</t>
  </si>
  <si>
    <t>735008956.1775251808</t>
  </si>
  <si>
    <t>ssallon123@gmail.com</t>
  </si>
  <si>
    <t>Daniel Fliguel Guz</t>
  </si>
  <si>
    <t>INITIAL PAYMENT RECEIVED</t>
  </si>
  <si>
    <t>https://www.lithuaniancitizenship.com/pt-pt/certificado-de-ascendencia-lituana/</t>
  </si>
  <si>
    <t>1306148051.1775251984</t>
  </si>
  <si>
    <t>daniel5892@gmail.com</t>
  </si>
  <si>
    <t>Mohamed El-aaka</t>
  </si>
  <si>
    <t>mohamedelaaka@gmail.com</t>
  </si>
  <si>
    <t>Ray DAlessandro</t>
  </si>
  <si>
    <t>ray@epmtechsales.com</t>
  </si>
  <si>
    <t>SPAM</t>
  </si>
  <si>
    <t>Mohamed Ahmed</t>
  </si>
  <si>
    <t>?kw=portugal%20golden%20visa&amp;cpn=22658494721&amp;utm_source=google&amp;utm_medium=cpc&amp;utm_campaign=LV-RBI-TOP&amp;network=s&amp;utm_term=portugal%20golden%20visa&amp;gad_campaignid=22658494721&amp;wbraid=ClMKCAjwyr3OBhAkEkMAkUW-2s0TkzOJZfprRaNXr5EV7Y34zFu2oSVxuIew9CR7sgqHZP</t>
  </si>
  <si>
    <t>1867371290.1775263151</t>
  </si>
  <si>
    <t>moelba72@gmail.com</t>
  </si>
  <si>
    <t>Victoria Cojab Selechnik</t>
  </si>
  <si>
    <t>Guatemala</t>
  </si>
  <si>
    <t>?kw=lithuanian%20passport%20application&amp;cpn=14656253006&amp;utm_source=google&amp;utm_medium=cpc&amp;utm_campaign=LT-US-conversions&amp;network=g&amp;utm_term=lithuanian%20passport%20application&amp;gad_source=1&amp;gad_campaignid=14656253006&amp;gbraid=0AAAAADisZv9OcMVTmTZgSdGYP2g</t>
  </si>
  <si>
    <t>vcojabs@gmail.com</t>
  </si>
  <si>
    <t>Ms. Irina Boris Khanin</t>
  </si>
  <si>
    <t>Irina Boris Khanin</t>
  </si>
  <si>
    <t>https://www.lithuaniancitizenship.com/company/about-us/?Bing-LT-US</t>
  </si>
  <si>
    <t>482648762.1775273164</t>
  </si>
  <si>
    <t>Ibkhanbd@gmail.com</t>
  </si>
  <si>
    <t>Khalid</t>
  </si>
  <si>
    <t>khalid</t>
  </si>
  <si>
    <t>1827396644.1775291200</t>
  </si>
  <si>
    <t>ktkinternational00@gmail.com</t>
  </si>
  <si>
    <t>Alan Sturgeon</t>
  </si>
  <si>
    <t>Albania (AL - EU)</t>
  </si>
  <si>
    <t>?kw=citizenship%20by%20investment%20latvia&amp;cpn=20594231202&amp;utm_source=google&amp;utm_medium=cpc&amp;utm_campaign=LV-RBI&amp;network=g&amp;utm_term=citizenship%20by%20investment%20latvia&amp;gad_source=1&amp;gad_campaignid=20594231202&amp;gclid=Cj0KCQjw7cLOBhDmARIsAGsuA0n4O1ClLw</t>
  </si>
  <si>
    <t>1819061307.1775303572</t>
  </si>
  <si>
    <t>kfuge@msn.com</t>
  </si>
  <si>
    <t>Rohit</t>
  </si>
  <si>
    <t>Alina Samura</t>
  </si>
  <si>
    <t>France (FR - EU)</t>
  </si>
  <si>
    <t>?kw=residence%20permit%20latvian&amp;cpn=20594231202&amp;utm_source=google&amp;utm_medium=cpc&amp;utm_campaign=LV-RBI&amp;network=g&amp;utm_term=residence%20permit%20latvian&amp;gad_source=1&amp;gad_campaignid=20594231202&amp;gclid=Cj0KCQjw7cLOBhDmARIsAGsuA0n3XqBNxbgdx2nXIVD44LDwvHme_N</t>
  </si>
  <si>
    <t>791105878.1775309522</t>
  </si>
  <si>
    <t>vermasristhi31@gmail.com</t>
  </si>
  <si>
    <t>Ranjesh</t>
  </si>
  <si>
    <t>Romania (RO - EU)</t>
  </si>
  <si>
    <t>519993381.1775309754</t>
  </si>
  <si>
    <t>kanishchaudhary2074@gmail.com</t>
  </si>
  <si>
    <t>Antons Andrejevs</t>
  </si>
  <si>
    <t>Cyprus (CY - EU)</t>
  </si>
  <si>
    <t>https://latviancitizenship.eu/company/services/</t>
  </si>
  <si>
    <t>1337765654.1775326744</t>
  </si>
  <si>
    <t>anton.andreyeff@gmail.com</t>
  </si>
  <si>
    <t>Benjamin Wood</t>
  </si>
  <si>
    <t>Benjamin wood</t>
  </si>
  <si>
    <t>https://www.lithuaniancitizenship.com/?not-set</t>
  </si>
  <si>
    <t>lithuania-ben.makeshift347@passmail.net</t>
  </si>
  <si>
    <t>Mr. Zigmas Gataveckas</t>
  </si>
  <si>
    <t>Zigmas Gataveckas</t>
  </si>
  <si>
    <t>?kw=citizenship%20lithuanian&amp;cpn=14663474296&amp;utm_source=google&amp;utm_medium=cpc&amp;utm_campaign=LT-CA&amp;network=g&amp;utm_term=citizenship%20lithuanian&amp;gad_source=1&amp;gad_campaignid=14663474296&amp;gclid=Cj0KCQjw7cLOBhDmARIsAGsuA0mmZto4ZPFQNKCzX8QtAhdlBDuOEPX_VL23dT6</t>
  </si>
  <si>
    <t>685064264.1775331056</t>
  </si>
  <si>
    <t>tonyfoodguy@gmail.com</t>
  </si>
  <si>
    <t>Mr. Jeffrey Winnick</t>
  </si>
  <si>
    <t>?kw&amp;cpn=23440895177&amp;utm_source=google&amp;utm_medium=cpc&amp;utm_campaign=LT-Discovery-US&amp;network&amp;utm_term&amp;gad_campaignid=23440895177&amp;wbraid=ClMKCAjwyr3OBhAkEkMAkUW-2r4-LfFlgxpFjJfR5IXyFFMTuY_wvQd1s9RSY3aFvKB-Vf3qAHTwPCIF5iYEMk0VxdoiJ0EXmS8ixH2J541SGgIP6A</t>
  </si>
  <si>
    <t>1493402926.1769401697</t>
  </si>
  <si>
    <t>Jwinn1020@gmail.com</t>
  </si>
  <si>
    <t>Matheus Blank Salata</t>
  </si>
  <si>
    <t>?kw=nacionalidade%20lituana&amp;cpn=14712129487&amp;utm_source=google&amp;utm_medium=cpc&amp;utm_campaign=LT-BR&amp;network=g&amp;utm_term=nacionalidade%20lituana&amp;gad_source=1&amp;gad_campaignid=14712129487&amp;gclid=Cj0KCQjw7cLOBhDmARIsAGsuA0lMl6uYQvZ-7VmZ1yqMXiVxvgieTXvwiRZ37zQii</t>
  </si>
  <si>
    <t>1943184592.1775341999</t>
  </si>
  <si>
    <t>matheusblank09@gmail.com</t>
  </si>
  <si>
    <t>Ms. Angela Beallor</t>
  </si>
  <si>
    <t>Angela Beallor</t>
  </si>
  <si>
    <t>?kw=lithuanian%20citizenship%20by%20descent&amp;cpn=14656253006&amp;utm_source=google&amp;utm_medium=cpc&amp;utm_campaign=LT-US-conversions&amp;network=g&amp;utm_term=lithuanian%20citizenship%20by%20descent&amp;gad_source=1&amp;gad_campaignid=14656253006&amp;gbraid=0AAAAADisZv9OcMVTmTZ</t>
  </si>
  <si>
    <t>1708375557.1775344243</t>
  </si>
  <si>
    <t>asbeallz@proton.me</t>
  </si>
  <si>
    <t>Lei Huang</t>
  </si>
  <si>
    <t>France</t>
  </si>
  <si>
    <t>?kw=latvia%20golden%20visa&amp;cpn=20594231202&amp;utm_source=google&amp;utm_medium=cpc&amp;utm_campaign=LV-RBI&amp;network=g&amp;utm_term=latvia%20golden%20visa&amp;gad_source=1&amp;gad_campaignid=20594231202&amp;gclid=Cj0KCQjw7cLOBhDmARIsAGsuA0n_c291qKohkbsXS9nVaPQcvQ12rvqDACY-49TGzP</t>
  </si>
  <si>
    <t>1976219788.1775354123</t>
  </si>
  <si>
    <t>lei1crystalcity@gmail.com</t>
  </si>
  <si>
    <t>Sunil Kumar</t>
  </si>
  <si>
    <t>India</t>
  </si>
  <si>
    <t>suneelsuneel3408@gmail.com</t>
  </si>
  <si>
    <t>Mr. Roger Berman</t>
  </si>
  <si>
    <t>Roger Berman</t>
  </si>
  <si>
    <t>https://www.lithuaniancitizenship.com/?Lithuania--Search-Conversions-USA</t>
  </si>
  <si>
    <t>702015368.1774459727</t>
  </si>
  <si>
    <t>rbermanboston@gmail.com</t>
  </si>
  <si>
    <t>Asbab</t>
  </si>
  <si>
    <t>United Arab Emirates</t>
  </si>
  <si>
    <t>?kw=eu%20golden%20visa&amp;cpn=22658494721&amp;utm_source=google&amp;utm_medium=cpc&amp;utm_campaign=LV-RBI-TOP&amp;network=s&amp;utm_term=eu%20golden%20visa&amp;gad_source=5&amp;gad_campaignid=22658494721&amp;gclid=EAIaIQobChMIqoLc8-fWkwMVfVdBAh1X9xZVEAAYASAAEgKazvD_BwE</t>
  </si>
  <si>
    <t>1378888621.1775395586</t>
  </si>
  <si>
    <t>choudharyasbab@gmail.com</t>
  </si>
  <si>
    <t>Ms. Caroline Kastelic</t>
  </si>
  <si>
    <t>Caroline Kastelic</t>
  </si>
  <si>
    <t>https://www.lithuaniancitizenship.com/contact/?Lithuania--Search-Conversions-USA</t>
  </si>
  <si>
    <t>1020750906.1775406813</t>
  </si>
  <si>
    <t>cjtkastelic@gmail.com</t>
  </si>
  <si>
    <t>Sandra Stella Guindi Selechnik</t>
  </si>
  <si>
    <t>https://www.lithuaniancitizenship.com/es/lithuanian-passport/</t>
  </si>
  <si>
    <t>1627509490.1775407283</t>
  </si>
  <si>
    <t>s.guindi@yahoo.com</t>
  </si>
  <si>
    <t>mobeen khaliq</t>
  </si>
  <si>
    <t>?kw=portugal%20golden%20visa&amp;cpn=22658494721&amp;utm_source=google&amp;utm_medium=cpc&amp;utm_campaign=LV-RBI-TOP&amp;network=s&amp;utm_term=portugal%20golden%20visa&amp;gad_source=5&amp;gad_campaignid=22658494721&amp;gclid=EAIaIQobChMIiu_W7JjXkwMV65JQBh1PUxwQEAAYASAAEgIgMPD_BwE</t>
  </si>
  <si>
    <t>1495079405.1775408723</t>
  </si>
  <si>
    <t>mobeenkhaliq63@gmail.com</t>
  </si>
  <si>
    <t>Lucca Bonatto Zwaizdis Scaquetti</t>
  </si>
  <si>
    <t>?kw=como%20tirar%20cidadania%20lituana&amp;cpn=14712129487&amp;utm_source=google&amp;utm_medium=cpc&amp;utm_campaign=LT-BR&amp;network=g&amp;utm_term=como%20tirar%20cidadania%20lituana&amp;gad_source=1&amp;gad_campaignid=14712129487&amp;gbraid=0AAAAADisZv_j1ablY-vHFSGAaOSYAhXSN&amp;gclid=C</t>
  </si>
  <si>
    <t>461290585.1775416541</t>
  </si>
  <si>
    <t>bonattomain@gmail.com</t>
  </si>
  <si>
    <t>Murat Koca</t>
  </si>
  <si>
    <t>Germany</t>
  </si>
  <si>
    <t>m.koca@mktranslogistics.de</t>
  </si>
  <si>
    <t>DOUBLE</t>
  </si>
  <si>
    <t>Ana Sánchez Mindel</t>
  </si>
  <si>
    <t>Uruguay</t>
  </si>
  <si>
    <t>?kw=ciudadan%C3%ADa%20lituana&amp;cpn=14731585806&amp;utm_source=google&amp;utm_medium=cpc&amp;utm_campaign=LT-AR-CO-MX-UR&amp;network=g&amp;utm_term=ciudadan%C3%ADa%20lituana&amp;gad_source=1&amp;gad_campaignid=14731585806&amp;gbraid=0AAAAADisZv-3tNvN6e1h6MAVPLzvnMLJc&amp;gclid=Cj0KCQjwkM</t>
  </si>
  <si>
    <t>191118621.1775424357</t>
  </si>
  <si>
    <t>zuluqui@gmail.com</t>
  </si>
  <si>
    <t>Ms. Sarah Diamond</t>
  </si>
  <si>
    <t>Sarah Diamond</t>
  </si>
  <si>
    <t>?kw=ancestry%20lithuania&amp;cpn=14656253006&amp;utm_source=google&amp;utm_medium=cpc&amp;utm_campaign=LT-US-conversions&amp;network=g&amp;utm_term=ancestry%20lithuania&amp;gad_source=1&amp;gad_campaignid=14656253006&amp;gclid=Cj0KCQjwkMjOBhC5ARIsADIdb3eYN8cZCVXghH3fWrk0KxsZw_NihbdPJhJ</t>
  </si>
  <si>
    <t>1365564823.1775424383</t>
  </si>
  <si>
    <t>smdiamond17@gmail.com</t>
  </si>
  <si>
    <t>Ms. Olga Kosoy</t>
  </si>
  <si>
    <t>Olga kosoy</t>
  </si>
  <si>
    <t>?kw&amp;cpn=23440895177&amp;utm_source=google&amp;utm_medium=cpc&amp;utm_campaign=LT-Discovery-US&amp;network&amp;utm_term&amp;gad_campaignid=23440895177&amp;wbraid=ClQKCQjwkMjOBhChARJDAPX7IwglIrb2J_N7osTt2vG6iJz-ySOpmBmdzif-BbBqDnHIVlF565t89A1TA6dzuHnqP_MWBz2CVQXGViFDVrSSQBoC-Bo</t>
  </si>
  <si>
    <t>1357597022.1775433668</t>
  </si>
  <si>
    <t>nyc_pac@yahoo.com</t>
  </si>
  <si>
    <t>Ms. Sydney Kerman</t>
  </si>
  <si>
    <t>Sydney Kerman</t>
  </si>
  <si>
    <t>sydneykerman@gmail.com</t>
  </si>
  <si>
    <t>Abdul Kader Zillani</t>
  </si>
  <si>
    <t>Abdul kader zillani</t>
  </si>
  <si>
    <t>?kw=portugal%20golden%20visa%202026&amp;cpn=22658494721&amp;utm_source=google&amp;utm_medium=cpc&amp;utm_campaign=LV-RBI-TOP&amp;network=s&amp;utm_term=portugal%20golden%20visa%202026&amp;gad_source=5&amp;gad_campaignid=22658494721&amp;gclid=EAIaIQobChMIuYPK0eXYkwMVWo9QBh29bRi4EAAYASAA</t>
  </si>
  <si>
    <t>1626334994.1775463693</t>
  </si>
  <si>
    <t>akzillani889@gmail.com</t>
  </si>
  <si>
    <t>Виктория</t>
  </si>
  <si>
    <t>https://www.lithuaniancitizenship.com/ru/lithuania-dual-citizenship/</t>
  </si>
  <si>
    <t>1228919693.1775467612</t>
  </si>
  <si>
    <t>vika2947@mail.ru</t>
  </si>
  <si>
    <t>Thomas Seewald</t>
  </si>
  <si>
    <t>Rabiga Ibrayeva</t>
  </si>
  <si>
    <t>498421542.1775473395</t>
  </si>
  <si>
    <t>irabiga@gmail.com</t>
  </si>
  <si>
    <t>Ms. Elizabeth Strople</t>
  </si>
  <si>
    <t>Elizabeth Strople</t>
  </si>
  <si>
    <t>elizabethstrople@gmail.com</t>
  </si>
  <si>
    <t>Margarita</t>
  </si>
  <si>
    <t>Ms. Charlotte Jocelyn</t>
  </si>
  <si>
    <t>Charlotte Jocelyn</t>
  </si>
  <si>
    <t>https://www.lithuaniancitizenship.com/</t>
  </si>
  <si>
    <t>526732212.1775479353</t>
  </si>
  <si>
    <t>fireflycgj@gmail.com</t>
  </si>
  <si>
    <t>Sarfraz Ahmad</t>
  </si>
  <si>
    <t>?kw=europe%20residence%20by%20investment&amp;cpn=22658494721&amp;utm_source=google&amp;utm_medium=cpc&amp;utm_campaign=LV-RBI-TOP&amp;network=g&amp;utm_term=europe%20residence%20by%20investment&amp;gad_source=1&amp;gad_campaignid=22658494721&amp;gbraid=0AAAAADisZv8wU05b0FxZgIrHAZ3-yFjmo&amp;gcl</t>
  </si>
  <si>
    <t>1019639031.1775492271</t>
  </si>
  <si>
    <t>miansarfraz112@gmail.com</t>
  </si>
  <si>
    <t>Victor Shokhen</t>
  </si>
  <si>
    <t>Sweden</t>
  </si>
  <si>
    <t>victsh88@gmail.com</t>
  </si>
  <si>
    <t>Ms. Julie Cornelius</t>
  </si>
  <si>
    <t>Julie Cornelius</t>
  </si>
  <si>
    <t>?kw=lithuanian%20citizenship%20by%20ancestry&amp;cpn=14656253006&amp;utm_source=google&amp;utm_medium=cpc&amp;utm_campaign=LT-US-conversions&amp;network=g&amp;utm_term=lithuanian%20citizenship%20by%20ancestry&amp;gad_source=1&amp;gad_campaignid=14656253006&amp;gbraid=0AAAAADisZv-kkOGnp2LV8c</t>
  </si>
  <si>
    <t>1207128947.1775494516</t>
  </si>
  <si>
    <t>jgnutrition@gmail.com</t>
  </si>
  <si>
    <t>Bahar Ali</t>
  </si>
  <si>
    <t>?kw=europe%20residence%20by%20investment&amp;cpn=22658494721&amp;utm_source=google&amp;utm_medium=cpc&amp;utm_campaign=LV-RBI-TOP&amp;network=g&amp;utm_term=europe%20residence%20by%20investment&amp;gad_source=1&amp;gad_campaignid=22658494721&amp;gclid=EAIaIQobChMI1t6bt-jZkwMV5l9BAh3vowZ_EAA</t>
  </si>
  <si>
    <t>192979057.1775498815</t>
  </si>
  <si>
    <t>bahar15103@gmail.com</t>
  </si>
  <si>
    <t>Ms. Chrystina Wosny</t>
  </si>
  <si>
    <t>Chrystina Wosny</t>
  </si>
  <si>
    <t>?kw=lithuanian%20citizenship&amp;cpn=14656253006&amp;utm_source=google&amp;utm_medium=cpc&amp;utm_campaign=LT-US-conversions&amp;network=g&amp;utm_term=lithuanian%20citizenship&amp;gad_source=1&amp;gad_campaignid=14656253006&amp;gbraid=0AAAAADisZv_rziJlmHxOzXoqVrgn8LQbe&amp;gclid=Cj0KCQjws83OBh</t>
  </si>
  <si>
    <t>1646248819.1775499552</t>
  </si>
  <si>
    <t>nenubeans@gmail.com</t>
  </si>
  <si>
    <t>Ricardo Teodoro de Jesus</t>
  </si>
  <si>
    <t>Ireland</t>
  </si>
  <si>
    <t>265428446.1775499489</t>
  </si>
  <si>
    <t>r.teodoro21@outlook.com</t>
  </si>
  <si>
    <t>Leeann Eubanks</t>
  </si>
  <si>
    <t>https://www.lithuaniancitizenship.com/contact/</t>
  </si>
  <si>
    <t>1508321510.1775503701</t>
  </si>
  <si>
    <t>leeann1520@gmail.com</t>
  </si>
  <si>
    <t>Aura Staskeviciene</t>
  </si>
  <si>
    <t>Mexico</t>
  </si>
  <si>
    <t>https://www.lithuaniancitizenship.com/es/certificado-de-ascendencia-lituana/?direct</t>
  </si>
  <si>
    <t>99211339.1775505555</t>
  </si>
  <si>
    <t>sventorada2013@gmail.com</t>
  </si>
  <si>
    <t>Daniel Liebson</t>
  </si>
  <si>
    <t>https://www.lithuaniancitizenship.com/contact/?Bing-LT-US</t>
  </si>
  <si>
    <t>1544174000.1775517992</t>
  </si>
  <si>
    <t>danliebson@gmail.com</t>
  </si>
  <si>
    <t>Lee Perrotta</t>
  </si>
  <si>
    <t>Lee perrotta</t>
  </si>
  <si>
    <t>https://www.lithuaniancitizenship.com/lithuanian-citizenship-for-jewish-descendants/</t>
  </si>
  <si>
    <t>2133622483.1775520063</t>
  </si>
  <si>
    <t>chocolateladyboutique@gmail.com</t>
  </si>
  <si>
    <t>Mr. Moroni T. Rueckert</t>
  </si>
  <si>
    <t>MORONI T RUECKERT</t>
  </si>
  <si>
    <t>?kw&amp;cpn=23440895177&amp;utm_source=google&amp;utm_medium=cpc&amp;utm_campaign=LT-Discovery-US&amp;network&amp;utm_term&amp;gad_source=1&amp;gad_campaignid=23440895177&amp;gclid=Cj0KCQjws83OBhD4ARIsACblj19WtEeB2mjg4HAcOMzCX_cKN8HkoodTCbuIsudhyCgxosXbbPLfX94aAnnqEALw_wcB</t>
  </si>
  <si>
    <t>826888518.1775521694</t>
  </si>
  <si>
    <t>Moronirueckert860@gmail.com</t>
  </si>
  <si>
    <t>Sarah Semenas</t>
  </si>
  <si>
    <t>semenassarah@gmail.com</t>
  </si>
  <si>
    <t>LEEANN EUBANKS</t>
  </si>
  <si>
    <t>RETAINER AGREEMENT SENT</t>
  </si>
  <si>
    <t>leeann1520@yahoo.com</t>
  </si>
  <si>
    <t>philip schechtman</t>
  </si>
  <si>
    <t>?kw=latvia%20citizenship&amp;cpn=14711890461&amp;campaignid=14711890461&amp;adgroupid=136078623308&amp;keywordid=%7Bkeywordid%7D&amp;network=g&amp;device=c&amp;gad_source=1&amp;gad_campaignid=14711890461&amp;gbraid=0AAAAADisZv8I7Z9huGqyiwh7mYyb0y5PO&amp;gclid=Cj0KCQjws83OBhD4ARIsACblj1-KiOSWm4f</t>
  </si>
  <si>
    <t>1008406156.1775508863</t>
  </si>
  <si>
    <t>philip98man@gmail.com</t>
  </si>
  <si>
    <t>Fazliddin</t>
  </si>
  <si>
    <t>Uzbekistan</t>
  </si>
  <si>
    <t>?kw=%D0%B3%D1%80%D0%B0%D0%B6%D0%B4%D0%B0%D0%BD%D1%81%D1%82%D0%B2%D0%BE%20%D0%BB%D0%B8%D1%82%D0%B2%D1%8B&amp;cpn=23681560526&amp;utm_source=google&amp;utm_medium=cpc&amp;utm_campaign=LT-ru-lang-conversions&amp;network=g&amp;utm_term=%D0%B3%D1%80%D0%B0%D0%B6%D0%B4%D0%B0%D0%BD%D1%8</t>
  </si>
  <si>
    <t>1049957511.1775535359</t>
  </si>
  <si>
    <t>shermatov.rozlyadin@gmail.com</t>
  </si>
  <si>
    <t>Mona</t>
  </si>
  <si>
    <t>mona.rss123@gmail.com</t>
  </si>
  <si>
    <t>Iris Le</t>
  </si>
  <si>
    <t>Partnership</t>
  </si>
  <si>
    <t>Vietnam (VN - AS)</t>
  </si>
  <si>
    <t>?utm_source=chatgpt.com</t>
  </si>
  <si>
    <t>1570972048.1775548555</t>
  </si>
  <si>
    <t>irisdiemmy@gmail.com</t>
  </si>
  <si>
    <t>AI (ChatGPT etc.)</t>
  </si>
  <si>
    <t>Doukani Chaouki</t>
  </si>
  <si>
    <t>?kw=citizenship%20lithuanian&amp;cpn=14663474296&amp;utm_source=google&amp;utm_medium=cpc&amp;utm_campaign=LT-CA&amp;network=g&amp;utm_term=citizenship%20lithuanian&amp;gad_source=1&amp;gad_campaignid=14663474296&amp;gbraid=0AAAAADisZv_hVHfHGyVnTDcGsfmOGlGkv&amp;gclid=CjwKCAjw1tLOBhAMEiwAiPkRHq</t>
  </si>
  <si>
    <t>824942125.1775569069</t>
  </si>
  <si>
    <t>ceoukankmak@gmail.com</t>
  </si>
  <si>
    <t>Чичюрка Дмитро Сигитасович</t>
  </si>
  <si>
    <t>Ukraine</t>
  </si>
  <si>
    <t>1363528720.1775571156</t>
  </si>
  <si>
    <t>dcicurka@gmail.com</t>
  </si>
  <si>
    <t>Ahmed</t>
  </si>
  <si>
    <t>LV RBI Real Estate</t>
  </si>
  <si>
    <t>?kw=latvia%20residence%20permit%20real%20estate&amp;cpn=23639687984&amp;utm_source=google&amp;utm_medium=cpc&amp;utm_campaign=LV-RBI-RE&amp;network=g&amp;utm_term=latvia%20residence%20permit%20real%20estate&amp;gad_source=1&amp;gad_campaignid=23639687984&amp;gbraid=0AAAAADisZv-XayvgqZbjJdGM</t>
  </si>
  <si>
    <t>587674039.1775571502</t>
  </si>
  <si>
    <t>Rashid786.dxb@gmail.com</t>
  </si>
  <si>
    <t>Mr. Paul Vepraskas</t>
  </si>
  <si>
    <t>Paul Vepraskas</t>
  </si>
  <si>
    <t>?kw=obtaining%20lithuanian%20citizenship&amp;cpn=14656253006&amp;utm_source=google&amp;utm_medium=cpc&amp;utm_campaign=LT-US-conversions&amp;network=g&amp;utm_term=obtaining%20lithuanian%20citizenship&amp;gad_source=1&amp;gad_campaignid=14656253006&amp;gbraid=0AAAAADisZv8HrRexDdugKn0Us9jXRb</t>
  </si>
  <si>
    <t>477918106.1775584084</t>
  </si>
  <si>
    <t>paulvepraskas@gmail.com</t>
  </si>
  <si>
    <t>Tejinder Kaur</t>
  </si>
  <si>
    <t>Tejinder kaur</t>
  </si>
  <si>
    <t>?kw=latvia%20investment%20visa&amp;cpn=20594231202&amp;utm_source=google&amp;utm_medium=cpc&amp;utm_campaign=LV-RBI&amp;network=g&amp;utm_term=latvia%20investment%20visa&amp;gad_source=1&amp;gad_campaignid=20594231202&amp;gbraid=0AAAAADisZv8QfO4PiCH3WA4tI1f-37TJ1&amp;gclid=CjwKCAjw1tLOBhAMEiwAi</t>
  </si>
  <si>
    <t>1776940032.1775590961</t>
  </si>
  <si>
    <t>harrytransinc@gmail.com</t>
  </si>
  <si>
    <t>Mr. Loey Tawil</t>
  </si>
  <si>
    <t>Loey tawil</t>
  </si>
  <si>
    <t>Finland</t>
  </si>
  <si>
    <t>?kw&amp;cpn=23357613537&amp;utm_source=google&amp;utm_medium=cpc&amp;utm_campaign=LT-Discovery&amp;network&amp;utm_term&amp;gad_source=1&amp;gad_campaignid=23357613537&amp;gclid=CjwKCAjw1tLOBhAMEiwAiPkRHkjO3f_zn6tEYoS8jXz9XOGtUw8UHYvG4LF82gUWVABqY7TTtzsI7RoC43kQAvD_BwE</t>
  </si>
  <si>
    <t>1901501050.1775628539</t>
  </si>
  <si>
    <t>loeyt@hotmail.com</t>
  </si>
  <si>
    <t>Elena</t>
  </si>
  <si>
    <t>Елена Белик</t>
  </si>
  <si>
    <t>e8elik@gmail.com</t>
  </si>
  <si>
    <t>Rana Imran Khan</t>
  </si>
  <si>
    <t>?kw=lithuania%20citizenship%20by%20descent&amp;cpn=14656253006&amp;utm_source=google&amp;utm_medium=cpc&amp;utm_campaign=LT-US-conversions&amp;network=g&amp;utm_term=lithuania%20citizenship%20by%20descent&amp;gad_source=1&amp;gad_campaignid=14656253006&amp;gbraid=0AAAAADisZv9jafsYQRZoeSx4oO</t>
  </si>
  <si>
    <t>1260243828.1775631759</t>
  </si>
  <si>
    <t>imrankhan0040@me.com</t>
  </si>
  <si>
    <t>Fred Elenwo</t>
  </si>
  <si>
    <t>Poland (PL - EU)</t>
  </si>
  <si>
    <t>?kw=latvia%20citizenship%20by%20investment&amp;cpn=20594231202&amp;utm_source=google&amp;utm_medium=cpc&amp;utm_campaign=LV-RBI&amp;network=g&amp;utm_term=latvia%20citizenship%20by%20investment&amp;gad_source=1&amp;gad_campaignid=20594231202&amp;gbraid=0AAAAADisZv-Ea3ufbi95fnpv9DN4Ii_G1&amp;gcl</t>
  </si>
  <si>
    <t>774546478.1775638515</t>
  </si>
  <si>
    <t>fred.elenwo@gmail.com</t>
  </si>
  <si>
    <t>Yusupov Asilbek Sherzod ogli</t>
  </si>
  <si>
    <t>?kw=%D0%BC%D0%B8%D0%B3%D1%80%D0%B0%D1%86%D0%B8%D1%8F%20%D0%BB%D1%82&amp;cpn=23681560526&amp;utm_source=google&amp;utm_medium=cpc&amp;utm_campaign=LT-ru-lang-conversions&amp;network=g&amp;utm_term=%D0%BC%D0%B8%D0%B3%D1%80%D0%B0%D1%86%D0%B8%D1%8F%20%D0%BB%D1%82&amp;gad_source=1&amp;gad_ca</t>
  </si>
  <si>
    <t>1838332515.1775639062</t>
  </si>
  <si>
    <t>yusupov.asilbek.sher@gmail.com</t>
  </si>
  <si>
    <t>Nabih Saade</t>
  </si>
  <si>
    <t>Democratic Republic of Congo</t>
  </si>
  <si>
    <t>Yuli</t>
  </si>
  <si>
    <t>Calendly: Yuli</t>
  </si>
  <si>
    <t>yuli.tzaadimclinic@gmail.com</t>
  </si>
  <si>
    <t>Mr. Paul Cassel</t>
  </si>
  <si>
    <t>Paul Cassel</t>
  </si>
  <si>
    <t>?kw=genealogy%20lithuanian&amp;cpn=14656253006&amp;utm_source=google&amp;utm_medium=cpc&amp;utm_campaign=LT-US-conversions&amp;network=g&amp;utm_term=genealogy%20lithuanian&amp;gad_source=1&amp;gad_campaignid=14656253006&amp;gbraid=0AAAAADisZv9jafsYQRZoeSx4oOXD8IsnT&amp;gclid=CjwKCAjw-dfOBhAjEi</t>
  </si>
  <si>
    <t>800041098.1775647439</t>
  </si>
  <si>
    <t>paul.cassel@aol.com</t>
  </si>
  <si>
    <t>Maxim Koptsov</t>
  </si>
  <si>
    <t>maxim.koptsov@gmail.com</t>
  </si>
  <si>
    <t>Daniil Shapovalov</t>
  </si>
  <si>
    <t>Jorge luis tomas</t>
  </si>
  <si>
    <t>?kw=ciudadan%C3%ADa%20lituana&amp;cpn=14731585806&amp;utm_source=google&amp;utm_medium=cpc&amp;utm_campaign=LT-AR-CO-MX-UR&amp;network=g&amp;utm_term=ciudadan%C3%ADa%20lituana&amp;gad_source=1&amp;gad_campaignid=14731585806&amp;gbraid=0AAAAADisZv_bQqJZmtju4nMAXAfHvN9uS&amp;gclid=CjwKCAjw-dfOBhA</t>
  </si>
  <si>
    <t>jorgeluistomas04@gmail.com</t>
  </si>
  <si>
    <t>Виталина Лалетина</t>
  </si>
  <si>
    <t>Russia</t>
  </si>
  <si>
    <t>fleer1997@yandex.ru</t>
  </si>
  <si>
    <t>Tamila</t>
  </si>
  <si>
    <t>1423094620.1775587876</t>
  </si>
  <si>
    <t>tmirzoeva87@gmail.com</t>
  </si>
  <si>
    <t>Abdullah cheema</t>
  </si>
  <si>
    <t>416664018.1775668328</t>
  </si>
  <si>
    <t>munipeaple4@gmail.com</t>
  </si>
  <si>
    <t>CESAR DANIEL RODRIGUEZ</t>
  </si>
  <si>
    <t>https://www.lithuaniancitizenship.com/es/contact-es/?Lithuania-Leads-Search-Argentina/Colombia/Uruguay/Mexico</t>
  </si>
  <si>
    <t>2110337268.1775671693</t>
  </si>
  <si>
    <t>PEDIATRA.DANIEL@GMAIL.COM</t>
  </si>
  <si>
    <t>Ms. Samantha Cathcart</t>
  </si>
  <si>
    <t>Samantha Cathcart</t>
  </si>
  <si>
    <t>?kw=lithuanian%20citizenship&amp;cpn=14656253006&amp;utm_source=google&amp;utm_medium=cpc&amp;utm_campaign=LT-US-conversions&amp;network=g&amp;utm_term=lithuanian%20citizenship&amp;gad_source=1&amp;gad_campaignid=14656253006&amp;gbraid=0AAAAADisZv_fvcCaMaMkLskFALGsAJQA7&amp;gclid=EAIaIQobChMIqY</t>
  </si>
  <si>
    <t>607638531.1775672128</t>
  </si>
  <si>
    <t>samcat@amazon.com</t>
  </si>
  <si>
    <t>Mohamed said saber</t>
  </si>
  <si>
    <t>?kw&amp;cpn=23440895177&amp;utm_source=google&amp;utm_medium=cpc&amp;utm_campaign=LT-Discovery-US&amp;network&amp;utm_term&amp;gad_campaignid=23440895177&amp;wbraid=ClMKCAjw1tLOBhAcEkMAV7egcoX32ZImE-y8WcVIwymp2zEInGT0r_MYhW9Iq1SCfofhym8bMRAEMnWeig6nmebl0ZWjonYKhjCPpdTPUgI1GgJdUQ</t>
  </si>
  <si>
    <t>1142907243.1775683022</t>
  </si>
  <si>
    <t>drsaber7644@yahoo.com</t>
  </si>
  <si>
    <t>Karen Marie Dickson</t>
  </si>
  <si>
    <t>Calendly: Karen Marie Dickson</t>
  </si>
  <si>
    <t>karenmariedickson@gmail.com</t>
  </si>
  <si>
    <t>Arun</t>
  </si>
  <si>
    <t>Arun S. Maini</t>
  </si>
  <si>
    <t>PAUSED</t>
  </si>
  <si>
    <t>arunsmaini@gmail.com</t>
  </si>
  <si>
    <t>Ms. Mara Goldryn</t>
  </si>
  <si>
    <t>Mara Goldryn</t>
  </si>
  <si>
    <t>?kw&amp;cpn=23440895177&amp;utm_source=google&amp;utm_medium=cpc&amp;utm_campaign=LT-Discovery-US&amp;network&amp;utm_term&amp;gad_campaignid=23440895177&amp;wbraid=ClQKCQjw-dfOBhDnARJDAGiN38LLB0ZRuOzuUOLvwZHQiTmAM-_m09HCaNr9Pb45UfF3HbcqNIDkD9-AhNMd9acVYMvLxIBkYXDPRVitHsHY5BoCyLI</t>
  </si>
  <si>
    <t>353998374.1775743581</t>
  </si>
  <si>
    <t>Mgoldryn@gmail.com</t>
  </si>
  <si>
    <t>Mr. Christopher Kornfeld</t>
  </si>
  <si>
    <t>Christopher Kornfeld</t>
  </si>
  <si>
    <t>?kw=lithuanian%20passport&amp;cpn=14656253006&amp;utm_source=google&amp;utm_medium=cpc&amp;utm_campaign=LT-US-conversions&amp;network=g&amp;utm_term=lithuanian%20passport&amp;gad_source=1&amp;gad_campaignid=14656253006&amp;gbraid=0AAAAADisZv8-QrZ8P48Gh36E8-ge9jCMg&amp;gclid=CjwKCAjwnN3OBhA8EiwA</t>
  </si>
  <si>
    <t>2005790062.1775743940</t>
  </si>
  <si>
    <t>livinlarge1232@aol.com</t>
  </si>
  <si>
    <t>Mr. Robert Matarazzo</t>
  </si>
  <si>
    <t>Robert Matarazzo</t>
  </si>
  <si>
    <t>?kw=applying%20for%20lithuanian%20citizenship&amp;cpn=14656253006&amp;utm_source=google&amp;utm_medium=cpc&amp;utm_campaign=LT-US-conversions&amp;network=g&amp;utm_term=applying%20for%20lithuanian%20citizenship&amp;gad_source=1&amp;gad_campaignid=14656253006&amp;gclid=CjwKCAjwnN3OBhA8EiwAfp</t>
  </si>
  <si>
    <t>1007184997.1775748653</t>
  </si>
  <si>
    <t>bobmetro@Hotmail.com</t>
  </si>
  <si>
    <t>shveta parmar</t>
  </si>
  <si>
    <t>?kw=latvia%20residence%20permit&amp;cpn=22658494721&amp;utm_source=google&amp;utm_medium=cpc&amp;utm_campaign=LV-RBI-TOP&amp;network=g&amp;utm_term=latvia%20residence%20permit&amp;gad_source=1&amp;gad_campaignid=22658494721&amp;gbraid=0AAAAADisZv_h9z-PqziIfy7XT8m7LV4tJ&amp;gclid=CjwKCAjwnN3OBhA</t>
  </si>
  <si>
    <t>2041509204.1775749725</t>
  </si>
  <si>
    <t>tikukalpesh2000@gmail.com</t>
  </si>
  <si>
    <t>Stanislav</t>
  </si>
  <si>
    <t>Calendly: Stanislav</t>
  </si>
  <si>
    <t>stas.afinogenov@gmail.com</t>
  </si>
  <si>
    <t>Sagar Roy</t>
  </si>
  <si>
    <t>India (IN - AS)</t>
  </si>
  <si>
    <t>https://latviancitizenship.eu/latvian-citizenship-will-your-spouse-get-citizenship-or-residence/</t>
  </si>
  <si>
    <t>1251141371.1775753278</t>
  </si>
  <si>
    <t>roysagar52696@gmail.com</t>
  </si>
  <si>
    <t>Daniele Dora</t>
  </si>
  <si>
    <t>https://www.lithuaniancitizenship.com/pt-pt/benefits-pt/direito-de-viver-em-mais-de-30-paises/</t>
  </si>
  <si>
    <t>463285437.1775753976</t>
  </si>
  <si>
    <t>dani.debesaitis@gmail.com</t>
  </si>
  <si>
    <t>Hammad Ahmed Rehan</t>
  </si>
  <si>
    <t>Pakistan</t>
  </si>
  <si>
    <t>?kw&amp;cpn=23481896379&amp;utm_source=google&amp;utm_medium=cpc&amp;utm_campaign=LT-Discovery-CA&amp;network&amp;utm_term&amp;gad_source=1&amp;gad_campaignid=23481896379&amp;gclid=CjwKCAjwnN3OBhA8EiwAfpTYehf49RoU0WnC1OSoEwozI4VFQ3DkcuwufHh6js0lOGGhLu7xe6E_PRoCXd8QAvD_BwE</t>
  </si>
  <si>
    <t>hammadrehan@gmail.com</t>
  </si>
  <si>
    <t>Mr. Andrew Morton</t>
  </si>
  <si>
    <t>Andrew Morton</t>
  </si>
  <si>
    <t>418824325.1775757124</t>
  </si>
  <si>
    <t>andrewmorton08@google.com</t>
  </si>
  <si>
    <t>Vincent Isaacs</t>
  </si>
  <si>
    <t>1945325123.1775758551</t>
  </si>
  <si>
    <t>vincecisaacs@gmail.com</t>
  </si>
  <si>
    <t>Mohamed Saber</t>
  </si>
  <si>
    <t>msaber7644@gmail.com</t>
  </si>
  <si>
    <t>Mr. Paul Kazlauskas</t>
  </si>
  <si>
    <t>Paul Kazlauskas</t>
  </si>
  <si>
    <t>1472906033.1775761699</t>
  </si>
  <si>
    <t>paulk596@hotmail.com</t>
  </si>
  <si>
    <t>Malik farooq</t>
  </si>
  <si>
    <t>Finland (FI - EU)</t>
  </si>
  <si>
    <t>?kw=latvia%20investment&amp;cpn=20594231202&amp;utm_source=google&amp;utm_medium=cpc&amp;utm_campaign=LV-RBI&amp;network=g&amp;utm_term=latvia%20investment&amp;gad_source=1&amp;gad_campaignid=20594231202&amp;gbraid=0AAAAADisZv9v81gKi16bpyqBI_Whu8Inc&amp;gclid=CjwKCAjwnN3OBhA8EiwAfpTYel-jXhAXhZ8</t>
  </si>
  <si>
    <t>949809025.1775763196</t>
  </si>
  <si>
    <t>malikfarooq7380@gmail.com</t>
  </si>
  <si>
    <t>Grace Rubenstein</t>
  </si>
  <si>
    <t>?kw=latvia%20immigration%20lawyer&amp;cpn=14711890461&amp;campaignid=14711890461&amp;adgroupid=136078623308&amp;keywordid=%7Bkeywordid%7D&amp;network=g&amp;device=c&amp;gad_source=1&amp;gad_campaignid=14711890461&amp;gbraid=0AAAAADisZv87WInxl09EnfsPRI_tQXEwR&amp;gclid=CjwKCAiAj8LLBhAkEiwAJjbY72</t>
  </si>
  <si>
    <t>1563426720.1775781542</t>
  </si>
  <si>
    <t>graceellen@gmail.com</t>
  </si>
  <si>
    <t>Agustin Aldo Lupeik</t>
  </si>
  <si>
    <t>621997823.1775782298</t>
  </si>
  <si>
    <t>lupeik92@gmail.com</t>
  </si>
  <si>
    <t>Luis Mariano de Campos</t>
  </si>
  <si>
    <t>luismariano47@gmail.com</t>
  </si>
  <si>
    <t>Tommy Nathan</t>
  </si>
  <si>
    <t>WHATSAPP ❓</t>
  </si>
  <si>
    <t>Spain</t>
  </si>
  <si>
    <t>?kw=latvia%20real%20estate%20residency&amp;cpn=23639687984&amp;utm_source=google&amp;utm_medium=cpc&amp;utm_campaign=LV-RBI-RE&amp;network=g&amp;utm_term=latvia%20real%20estate%20residency&amp;gad_source=1&amp;gad_campaignid=23639687984&amp;gbraid=0AAAAADisZv-VJbRdSSfIN4Xs4gn9NFCyn</t>
  </si>
  <si>
    <t>tnathan@intimo.com</t>
  </si>
  <si>
    <t>Jorge Isaac Ginieniewicz</t>
  </si>
  <si>
    <t>jorgegini@hotmail.com</t>
  </si>
  <si>
    <t>Garriz juan</t>
  </si>
  <si>
    <t>https://www.lithuaniancitizenship.com/es/contact-es/?direct</t>
  </si>
  <si>
    <t>1659978936.1775829303</t>
  </si>
  <si>
    <t>j_garriz@hotmail.com</t>
  </si>
  <si>
    <t>Yury V</t>
  </si>
  <si>
    <t>russia</t>
  </si>
  <si>
    <t>olmail73@gmail.com</t>
  </si>
  <si>
    <t>Mr. Michael Sabia</t>
  </si>
  <si>
    <t>Michael Sabia</t>
  </si>
  <si>
    <t>mjsabia@gmail.com</t>
  </si>
  <si>
    <t>Анжела Баглай</t>
  </si>
  <si>
    <t>https://www.lithuaniancitizenship.com/ru/?direct</t>
  </si>
  <si>
    <t>947036459.1775846342</t>
  </si>
  <si>
    <t>baglajanzela930@gmail.com</t>
  </si>
  <si>
    <t>Abdelkader MOUTAIB</t>
  </si>
  <si>
    <t>?kw&amp;cpn=23440895177&amp;utm_source=google&amp;utm_medium=cpc&amp;utm_campaign=LT-Discovery-US&amp;network&amp;utm_term&amp;gad_campaignid=23440895177&amp;wbraid=ClMKCAjwnN3OBhBTEkMAkAejLhleOSFWiscHyI_6MWjN0gELBGA8oIbavX2Tr7fHbYNDop1GM09L3gcI0QUJ7Yh1S6e0SV6E-gU-xKepPhOQGgLdWw</t>
  </si>
  <si>
    <t>116940432.1775848277</t>
  </si>
  <si>
    <t>mout.abdelkader@gmail.com</t>
  </si>
  <si>
    <t>Mr. Jeffrey Heller</t>
  </si>
  <si>
    <t>Jeffrey Heller</t>
  </si>
  <si>
    <t>?utm_source=bing&amp;utm_medium=cpc&amp;utm_campaign=Bing-LT-US&amp;network=o&amp;utm_term=lithuanian%20descent&amp;msclkid=d9afddef4dba14cb42beb43639004061</t>
  </si>
  <si>
    <t>hellerje@gmail.com</t>
  </si>
  <si>
    <t>Artur</t>
  </si>
  <si>
    <t>Artur Autotransport xhihani</t>
  </si>
  <si>
    <t>Albania</t>
  </si>
  <si>
    <t>transport.artur2010@gmail.com</t>
  </si>
  <si>
    <t>Azriel Sánchez</t>
  </si>
  <si>
    <t>?kw&amp;cpn=23357613537&amp;utm_source=google&amp;utm_medium=cpc&amp;utm_campaign=LT-Discovery&amp;network&amp;utm_term&amp;gad_campaignid=23357613537&amp;wbraid=ClMKCAjwv-LOBhAqEkMADfTDQyMBCMEKzGPHeAWM98nRuaFJHU2mvzwsUrvLc5CO1To39dN6ymSuVstEiIMmrGg-lbibE-TM9pxcXi6fAhhIGgLEHA</t>
  </si>
  <si>
    <t>1803821546.1775880119</t>
  </si>
  <si>
    <t>azrieli19754@gmail.com</t>
  </si>
  <si>
    <t>Afzaal</t>
  </si>
  <si>
    <t>Bahrain (BH - AS)</t>
  </si>
  <si>
    <t>?kw=portugal%20golden%20visa&amp;cpn=22658494721&amp;utm_source=google&amp;utm_medium=cpc&amp;utm_campaign=LV-RBI-TOP&amp;network=s&amp;utm_term=portugal%20golden%20visa&amp;gad_source=5&amp;gad_campaignid=22658494721&amp;gclid=EAIaIQobChMIg8OEjpLlkwMVxjsGAB3jIR7CEAAYASAAEgKABfD_BwE</t>
  </si>
  <si>
    <t>1070843288.1775887952</t>
  </si>
  <si>
    <t>mughalafzaal101@gmail.com</t>
  </si>
  <si>
    <t>Fiaz Muhammad</t>
  </si>
  <si>
    <t>fiaz muhammad</t>
  </si>
  <si>
    <t>?kw=latvia%20golden%20visa%20requirements&amp;cpn=20594231202&amp;utm_source=google&amp;utm_medium=cpc&amp;utm_campaign=LV-RBI&amp;network=g&amp;utm_term=latvia%20golden%20visa%20requirements&amp;gad_source=1&amp;gad_campaignid=20594231202&amp;gclid=Cj0KCQjwv-LOBhCdARIsAM5hdKfrikmZwezt9GQjR</t>
  </si>
  <si>
    <t>1463046010.1775890735</t>
  </si>
  <si>
    <t>fiazmuh@gmail.com</t>
  </si>
  <si>
    <t>Ms. Marisha Wepener</t>
  </si>
  <si>
    <t>Marisha Wepener</t>
  </si>
  <si>
    <t>South Africa</t>
  </si>
  <si>
    <t>?kw=lithuanian%20ancestry%20passport&amp;cpn=14663765738&amp;utm_source=google&amp;utm_medium=cpc&amp;utm_campaign=LT-RSA&amp;network=g&amp;utm_term=lithuanian%20ancestry%20passport&amp;gad_source=1&amp;gad_campaignid=14663765738&amp;gbraid=0AAAAADisZv_x0qN6DTk0HkqSzldcKR3OF&amp;gclid=EAIaIQobC</t>
  </si>
  <si>
    <t>1907471795.1775892536</t>
  </si>
  <si>
    <t>marishawepener06@gmail.com</t>
  </si>
  <si>
    <t>Mr. James Cook</t>
  </si>
  <si>
    <t>James Cook</t>
  </si>
  <si>
    <t>?kw=lithuanian%20birthright%20citizenship&amp;cpn=14656253006&amp;utm_source=google&amp;utm_medium=cpc&amp;utm_campaign=LT-US-conversions&amp;network=g&amp;utm_term=lithuanian%20birthright%20citizenship&amp;gad_source=1&amp;gad_campaignid=14656253006&amp;gclid=CjwKCAjw4ufOBhBkEiwAfuC7-bwRZ1</t>
  </si>
  <si>
    <t>687976947.1775893192</t>
  </si>
  <si>
    <t>bencook400@gmail.com</t>
  </si>
  <si>
    <t>Jennifer Main</t>
  </si>
  <si>
    <t>?kw=citizenship%20latvia&amp;cpn=17080870499&amp;campaignid=17080870499&amp;adgroupid=138645502280&amp;keywordid=%7Bkeywordid%7D&amp;network=g&amp;device=m&amp;gad_source=1&amp;gad_campaignid=17080870499&amp;gbraid=0AAAAADisZv__RG-msYTl-Wa_ar9ETGmvU&amp;gclid=CjwKCAjw4ufOBhBkEiwAfuC7-QIN5FGI8Xo</t>
  </si>
  <si>
    <t>1071689519.1775903711</t>
  </si>
  <si>
    <t>jennifermain796@gmail.com</t>
  </si>
  <si>
    <t>Steve Connon</t>
  </si>
  <si>
    <t>steveconnon@gmail.com</t>
  </si>
  <si>
    <t>Gulfam Mustafa</t>
  </si>
  <si>
    <t>Gulfam mustafa</t>
  </si>
  <si>
    <t>?kw=europe%20residence%20by%20investment&amp;cpn=22658494721&amp;utm_source=google&amp;utm_medium=cpc&amp;utm_campaign=LV-RBI-TOP&amp;network=g&amp;utm_term=europe%20residence%20by%20investment&amp;gad_source=1&amp;gad_campaignid=22658494721&amp;gclid=EAIaIQobChMI3-CkppfmkwMVg8l5BB3-2xhpEAA</t>
  </si>
  <si>
    <t>103430689.1775923715</t>
  </si>
  <si>
    <t>ranagulfam24@gmail.com</t>
  </si>
  <si>
    <t>Ramzan</t>
  </si>
  <si>
    <t>?kw=europe%20residence%20by%20investment&amp;cpn=22658494721&amp;utm_source=google&amp;utm_medium=cpc&amp;utm_campaign=LV-RBI-TOP&amp;network=g&amp;utm_term=europe%20residence%20by%20investment&amp;gad_source=1&amp;gad_campaignid=22658494721&amp;gclid=CjwKCAjw4ufOBhBkEiwAfuC7-T44nX6KEQYUbFr</t>
  </si>
  <si>
    <t>462710029.1775924569</t>
  </si>
  <si>
    <t>bobygujjer25@gmail.com</t>
  </si>
  <si>
    <t>Anelia Cerniseva</t>
  </si>
  <si>
    <t>Moldova</t>
  </si>
  <si>
    <t>?kw=%D0%BA%D0%B0%D0%BA%20%D0%BF%D0%BE%D0%BB%D1%83%D1%87%D0%B8%D1%82%D1%8C%20%D0%BF%D0%BC%D0%B6%20%D0%B2%20%D0%BB%D0%B8%D1%82%D0%B2%D0%B5&amp;cpn=23681560526&amp;utm_source=google&amp;utm_medium=cpc&amp;utm_campaign=LT-ru-lang-conversions&amp;network=g&amp;utm_term=%D0%BA%D0%B0%D</t>
  </si>
  <si>
    <t>2051848705.1775935258</t>
  </si>
  <si>
    <t>nelacernyseva@gmail.com</t>
  </si>
  <si>
    <t>Ms. Susan Utell</t>
  </si>
  <si>
    <t>Susan Utell</t>
  </si>
  <si>
    <t>975280547.1775938692</t>
  </si>
  <si>
    <t>utelevision333@gmail.com</t>
  </si>
  <si>
    <t>Sarhad Rahman Afghan</t>
  </si>
  <si>
    <t>Sarhad rahman afghan</t>
  </si>
  <si>
    <t>Afghanistan (AF - AS)</t>
  </si>
  <si>
    <t>https://latviancitizenship.eu/residency-by-investment/?not-set</t>
  </si>
  <si>
    <t>sarhad.rahman1@icloud.com</t>
  </si>
  <si>
    <t>Mr. William Walker</t>
  </si>
  <si>
    <t>William Walker</t>
  </si>
  <si>
    <t>?kw=dual%20lithuanian%20citizenship&amp;cpn=14656253006&amp;utm_source=google&amp;utm_medium=cpc&amp;utm_campaign=LT-US-conversions&amp;network=g&amp;utm_term=dual%20lithuanian%20citizenship&amp;gad_source=1&amp;gad_campaignid=14656253006&amp;gbraid=0AAAAADisZv9FihJxZ8HvR1ajwutPQc5Vk&amp;gclid=</t>
  </si>
  <si>
    <t>549665452.1770169294</t>
  </si>
  <si>
    <t>wwalker048008135@gmail.com</t>
  </si>
  <si>
    <t>Ms. Danielle Lisa Roline-Dilbert</t>
  </si>
  <si>
    <t>Danielle Lisa Roline-Dilbert</t>
  </si>
  <si>
    <t>https://www.lithuaniancitizenship.com/contact/?referral</t>
  </si>
  <si>
    <t>468418456.1775953303</t>
  </si>
  <si>
    <t>danielleroline@hotmail.com</t>
  </si>
  <si>
    <t>Ms. Grace O'Donnell</t>
  </si>
  <si>
    <t>Grace O'Donnell</t>
  </si>
  <si>
    <t>?kw=lithuanian%20passport&amp;cpn=14662670148&amp;utm_source=google&amp;utm_medium=cpc&amp;utm_campaign=LT-AU&amp;network=g&amp;utm_term=lithuanian%20passport&amp;gad_source=1&amp;gad_campaignid=14662670148&amp;gbraid=0AAAAADisZv-luTy9WAI_RWTTVFRPM9Xop&amp;gclid=CjwKCAjw4ufOBhBkEiwAfuC7-eAD9TlZ</t>
  </si>
  <si>
    <t>1454194377.1775967156</t>
  </si>
  <si>
    <t>graceodonnell@hotmail.com.au</t>
  </si>
  <si>
    <t>Ms. Erin Varejes</t>
  </si>
  <si>
    <t>Erin Varejes</t>
  </si>
  <si>
    <t>175102540.1775983672</t>
  </si>
  <si>
    <t>erinvarejes@gmail.com</t>
  </si>
  <si>
    <t>Shaho Mahmood</t>
  </si>
  <si>
    <t>Shaho mahmood</t>
  </si>
  <si>
    <t>Türkiye (TR - AS)</t>
  </si>
  <si>
    <t>?kw=residence%20permit%20latvian&amp;cpn=20594231202&amp;utm_source=google&amp;utm_medium=cpc&amp;utm_campaign=LV-RBI&amp;network=g&amp;utm_term=residence%20permit%20latvian&amp;gad_source=1&amp;gad_campaignid=20594231202&amp;gbraid=0AAAAADisZv8aa7mofRn_DDLdU0Keysa_K&amp;gclid=Cj0KCQjws83OBhD4A</t>
  </si>
  <si>
    <t>415200487.1775480521</t>
  </si>
  <si>
    <t>shahossa@hotmail.com</t>
  </si>
  <si>
    <t>Ms. Lily Schrire</t>
  </si>
  <si>
    <t>Lily Schrire</t>
  </si>
  <si>
    <t>1211519355.1775993183</t>
  </si>
  <si>
    <t>lilymsvidal@gmail.com</t>
  </si>
  <si>
    <t>Андрей Новаковец</t>
  </si>
  <si>
    <t>https://www.lithuaniancitizenship.com/ru/arhivy-litvy-gde-najti-zapisi-o-proishozhdenii-dlya-polucheniya-grazhdanstva/</t>
  </si>
  <si>
    <t>36141334.1775994032</t>
  </si>
  <si>
    <t>cosmeticerin@gmail.com</t>
  </si>
  <si>
    <t>Максим Strukov</t>
  </si>
  <si>
    <t>maksim Strukov</t>
  </si>
  <si>
    <t>maxim_strukov@mail.ru</t>
  </si>
  <si>
    <t>Ms. Shirley Elaine KATZ</t>
  </si>
  <si>
    <t>Shirley Elaine KATZ</t>
  </si>
  <si>
    <t>?kw=lithuanian%20ancestry%20passport&amp;cpn=14663765738&amp;utm_source=google&amp;utm_medium=cpc&amp;utm_campaign=LT-RSA&amp;network=g&amp;utm_term=lithuanian%20ancestry%20passport&amp;gad_source=1&amp;gad_campaignid=14663765738&amp;gclid=CjwKCAjwhe3OBhABEiwA6392zFNvtkqL2WFFUhY86u2tNEvSj6A</t>
  </si>
  <si>
    <t>1194760987.1775998274</t>
  </si>
  <si>
    <t>shirleyk@telkomsa.net</t>
  </si>
  <si>
    <t>Mr. Jeffrey Bladek</t>
  </si>
  <si>
    <t>Jeffrey Bladek</t>
  </si>
  <si>
    <t>Italy</t>
  </si>
  <si>
    <t>jeffbladek@msn.com</t>
  </si>
  <si>
    <t>Mr. Tony Levitan</t>
  </si>
  <si>
    <t>Tony Levitan</t>
  </si>
  <si>
    <t>?kw=lithuanian%20citizen%20by%20descent&amp;cpn=14656253006&amp;utm_source=google&amp;utm_medium=cpc&amp;utm_campaign=LT-US-conversions&amp;network=g&amp;utm_term=lithuanian%20citizen%20by%20descent&amp;gad_source=1&amp;gad_campaignid=14656253006&amp;gbraid=0AAAAADisZv8_x9psgl0776TG9JkVOrqI</t>
  </si>
  <si>
    <t>tonylevitan@gmail.com</t>
  </si>
  <si>
    <t>Karla Padva</t>
  </si>
  <si>
    <t>https://latviancitizenship.eu/company/services/?direct</t>
  </si>
  <si>
    <t>118525810.1776048376</t>
  </si>
  <si>
    <t>karlapadva@gmail.com</t>
  </si>
  <si>
    <t>Suresh</t>
  </si>
  <si>
    <t>South Africa (ZA - AF)</t>
  </si>
  <si>
    <t>?kw=latvia%20investment%20residence%20permit&amp;cpn=20594231202&amp;utm_source=google&amp;utm_medium=cpc&amp;utm_campaign=LV-RBI&amp;network=g&amp;utm_term=latvia%20investment%20residence%20permit&amp;gad_source=1&amp;gad_campaignid=20594231202&amp;gbraid=0AAAAADisZv_m0Xa-CbyErW4PGIl2Caqjm</t>
  </si>
  <si>
    <t>422121519.1776065818</t>
  </si>
  <si>
    <t>suresh.unisource@gmail.com</t>
  </si>
  <si>
    <t>Mr. Doudy Charles</t>
  </si>
  <si>
    <t>Doudy charles</t>
  </si>
  <si>
    <t>?kw&amp;cpn=23357613537&amp;utm_source=google&amp;utm_medium=cpc&amp;utm_campaign=LT-Discovery&amp;network&amp;utm_term&amp;gad_source=1&amp;gad_campaignid=23357613537&amp;gclid=Cj0KCQjwqPLOBhCiARIsAKRMPZoujlxfOWAA_w_kiOKy-N6tzQEp156BxGkdEV1c28Fb5hMWhj_BqvgaAmLeEALw_wcB</t>
  </si>
  <si>
    <t>161149111.1776072063</t>
  </si>
  <si>
    <t>doudycharles195@gmail.com</t>
  </si>
  <si>
    <t>NO ANCESTORS</t>
  </si>
  <si>
    <t>Asim Nawaz</t>
  </si>
  <si>
    <t>asimnawazjee@yahoo.com</t>
  </si>
  <si>
    <t>clark russell</t>
  </si>
  <si>
    <t>https://latviancitizenship.eu/live-in-eu-with-latvian-citizenship/?not-set</t>
  </si>
  <si>
    <t>clark.russell2@outlook.com</t>
  </si>
  <si>
    <t>Валерий Канкевичус</t>
  </si>
  <si>
    <t>валера канкевичус</t>
  </si>
  <si>
    <t>kankevichus@mail.ru</t>
  </si>
  <si>
    <t>Azadeh mehdizadeh</t>
  </si>
  <si>
    <t>Germany (DE - EU)</t>
  </si>
  <si>
    <t>?kw=latvia%20golden%20visa&amp;cpn=20594231202&amp;utm_source=google&amp;utm_medium=cpc&amp;utm_campaign=LV-RBI&amp;network=g&amp;utm_term=latvia%20golden%20visa&amp;gad_source=1&amp;gad_campaignid=20594231202&amp;gbraid=0AAAAADisZv_7grh2tfV9ylaGPqpyTzxfY&amp;gclid=Cj0KCQjwqPLOBhCiARIsAKRMPZozh</t>
  </si>
  <si>
    <t>mohyyy8@yahoo.com</t>
  </si>
  <si>
    <t>Vahid Nikrou</t>
  </si>
  <si>
    <t>vahid nikrou</t>
  </si>
  <si>
    <t>?kw=portugal%20residency%20by%20investment&amp;cpn=22658494721&amp;utm_source=google&amp;utm_medium=cpc&amp;utm_campaign=LV-RBI-TOP&amp;network=g&amp;utm_term=portugal%20residency%20by%20investment&amp;gad_source=1&amp;gad_campaignid=22658494721&amp;gbraid=0AAAAADisZv8en3ilo8ZLV1DVFfXJ0y1yg</t>
  </si>
  <si>
    <t>1698505319.1776099340</t>
  </si>
  <si>
    <t>v.nikrou@gmail.com</t>
  </si>
  <si>
    <t>Mr. Justin Andrusk</t>
  </si>
  <si>
    <t>Justin Andrusk</t>
  </si>
  <si>
    <t>jra@andrusk.com</t>
  </si>
  <si>
    <t>Likhith</t>
  </si>
  <si>
    <t>Calendly: Likhith</t>
  </si>
  <si>
    <t>liki11nash@gmail.com</t>
  </si>
  <si>
    <t>Ms. Diana Vytell</t>
  </si>
  <si>
    <t>Diana Vytell</t>
  </si>
  <si>
    <t>?kw=lithuanian%20citizenship%20by%20descent&amp;cpn=14656253006&amp;utm_source=google&amp;utm_medium=cpc&amp;utm_campaign=LT-US-conversions&amp;network=g&amp;utm_term=lithuanian%20citizenship%20by%20descent&amp;gad_source=1&amp;gad_campaignid=14656253006&amp;gclid=Cj0KCQjwqPLOBhCiARIsAKRMPZ</t>
  </si>
  <si>
    <t>2036030648.1776122895</t>
  </si>
  <si>
    <t>dvytell@gmail.com</t>
  </si>
  <si>
    <t>Mr. Eduardo Troetsch</t>
  </si>
  <si>
    <t>Eduardo Troetsch</t>
  </si>
  <si>
    <t>?kw&amp;cpn=23440895177&amp;utm_source=google&amp;utm_medium=cpc&amp;utm_campaign=LT-Discovery-US&amp;network&amp;utm_term&amp;gad_source=1&amp;gad_campaignid=23440895177&amp;gclid=Cj0KCQjwqPLOBhCiARIsAKRMPZoXUfV_6gU0GzGftgTia4hkdmiIXsD8Hb81H3Crk_ITOQyICahBvGkaAlydEALw_wcB</t>
  </si>
  <si>
    <t>1277273493.1776130755</t>
  </si>
  <si>
    <t>etroetsch9@gmail.com</t>
  </si>
  <si>
    <t>Mr. Dylan Bitran</t>
  </si>
  <si>
    <t>Dylan Bitran</t>
  </si>
  <si>
    <t>Chile</t>
  </si>
  <si>
    <t>802227353.1776134282</t>
  </si>
  <si>
    <t>dylanbitran@gmail.com</t>
  </si>
  <si>
    <t>Fernanda Bukinas</t>
  </si>
  <si>
    <t>193406567.1776134892</t>
  </si>
  <si>
    <t>febukinas@gmail.com</t>
  </si>
  <si>
    <t>Povilas Zemaitaitis</t>
  </si>
  <si>
    <t>?kw=lithuanian%20citizenship%20lawyer&amp;cpn=14656253006&amp;utm_source=google&amp;utm_medium=cpc&amp;utm_campaign=LT-US-conversions&amp;network=g&amp;utm_term=lithuanian%20citizenship%20lawyer&amp;gad_source=1&amp;gad_campaignid=14656253006&amp;gbraid=0AAAAADisZv8hWqYJYg2vQamjAQWpU_OuR</t>
  </si>
  <si>
    <t>pzemaitaitis@gmail.com</t>
  </si>
  <si>
    <t>Nadeem Muhammad</t>
  </si>
  <si>
    <t>?kw=italy%20golden%20visa&amp;cpn=22658494721&amp;utm_source=google&amp;utm_medium=cpc&amp;utm_campaign=LV-RBI-TOP&amp;network=g&amp;utm_term=italy%20golden%20visa&amp;gad_source=1&amp;gad_campaignid=22658494721&amp;gbraid=0AAAAADisZv8JyLBpW9xcmyk_pCrAle4tf&amp;gclid=Cj0KCQjwy_fOBhC6ARIsAHKFB78</t>
  </si>
  <si>
    <t>760885359.1776152944</t>
  </si>
  <si>
    <t>muhammadnadeem9072@gmail.com</t>
  </si>
  <si>
    <t>Андриус Виргилиевич Ауглис</t>
  </si>
  <si>
    <t>https://www.lithuaniancitizenship.com/ru/</t>
  </si>
  <si>
    <t>531520048.1776155659</t>
  </si>
  <si>
    <t>andrius-auglis@mail.ru</t>
  </si>
  <si>
    <t>Mr. Corey Furminger</t>
  </si>
  <si>
    <t>Corey Furminger</t>
  </si>
  <si>
    <t>?kw=lithuania%20dual%20passport&amp;cpn=14662670148&amp;utm_source=google&amp;utm_medium=cpc&amp;utm_campaign=LT-AU&amp;network=g&amp;utm_term=lithuania%20dual%20passport&amp;gad_source=1&amp;gad_campaignid=14662670148&amp;gbraid=0AAAAADisZv-LgiLG5Y3ae1NIgApTmfz-v&amp;gclid=Cj0KCQjwy_fOBhC6ARIs</t>
  </si>
  <si>
    <t>1308544210.1776161634</t>
  </si>
  <si>
    <t>cfurminger07@gmail.com</t>
  </si>
  <si>
    <t>Ms. Margaret Chasan nee Grevler</t>
  </si>
  <si>
    <t>Margaret Chasan née Grevler</t>
  </si>
  <si>
    <t>?kw&amp;cpn=23440895177&amp;utm_source=google&amp;utm_medium=cpc&amp;utm_campaign=LT-Discovery-US&amp;network&amp;utm_term&amp;gad_campaignid=23440895177&amp;wbraid=ClQKCQjwqPLOBhDHARJDAJIcskIWagJATH58nsbiC_ARaDU57kXNRSAw5ipCfqv_wj8mVLCscqTg-dl5_Y8uwSv25yBpckAaHIL0KHWq_j8YPxoCIt0</t>
  </si>
  <si>
    <t>17893983.1776164411</t>
  </si>
  <si>
    <t>margaretchasan@me.com</t>
  </si>
  <si>
    <t>Mr. Anthony C Jankunas</t>
  </si>
  <si>
    <t>Anthony C Jankunas</t>
  </si>
  <si>
    <t>?kw=how%20to%20get%20a%20lithuanian%20passport&amp;cpn=17080759337&amp;utm_source=google&amp;utm_medium=cpc&amp;utm_campaign=LT-UK&amp;network=g&amp;utm_term=how%20to%20get%20a%20lithuanian%20passport&amp;gad_source=1&amp;gad_campaignid=17080759337&amp;gclid=Cj0KCQjwy_fOBhC6ARIsAHKFB78lO2Z5</t>
  </si>
  <si>
    <t>1367837886.1776179572</t>
  </si>
  <si>
    <t>anthony.jankunas@gmail.com</t>
  </si>
  <si>
    <t>md Alamgir Hossain</t>
  </si>
  <si>
    <t>md alamgir Hossain md alalamgir Hossain</t>
  </si>
  <si>
    <t>https://latviancitizenship.eu/?LV-Leads-Search-RBI TOP countries</t>
  </si>
  <si>
    <t>990057599.1776185896</t>
  </si>
  <si>
    <t>alamgirhossen82@icloud.com</t>
  </si>
  <si>
    <t>ISAM</t>
  </si>
  <si>
    <t>Algeria</t>
  </si>
  <si>
    <t>issamtouati25@gmail.com</t>
  </si>
  <si>
    <t>Mr. David Segal</t>
  </si>
  <si>
    <t>David Segal</t>
  </si>
  <si>
    <t>?kw=lithuania%20citizenship%20by%20descent&amp;cpn=14672734044&amp;utm_source=google&amp;utm_medium=cpc&amp;utm_campaign=LT-ISR&amp;network=g&amp;utm_term=lithuania%20citizenship%20by%20descent&amp;gad_source=1&amp;gad_campaignid=14672734044&amp;gclid=Cj0KCQjwy_fOBhC6ARIsAHKFB78u4Hi9PSV2Yfc</t>
  </si>
  <si>
    <t>35663477.1776187076</t>
  </si>
  <si>
    <t>davysegal@gmail.com</t>
  </si>
  <si>
    <t>Mary</t>
  </si>
  <si>
    <t>M O</t>
  </si>
  <si>
    <t>movo222@gmail.com</t>
  </si>
  <si>
    <t>Mr. Howard Agress</t>
  </si>
  <si>
    <t>howard Agress</t>
  </si>
  <si>
    <t>?kw=lithuanian%20citizenship%20by%20descent&amp;cpn=14656253006&amp;utm_source=google&amp;utm_medium=cpc&amp;utm_campaign=LT-US-conversions&amp;network=g&amp;utm_term=lithuanian%20citizenship%20by%20descent&amp;gad_source=1&amp;gad_campaignid=14656253006&amp;gclid=EAIaIQobChMIqpXqkP_tkwMVRy</t>
  </si>
  <si>
    <t>1439737774.1776192092</t>
  </si>
  <si>
    <t>agressh@gmail.com</t>
  </si>
  <si>
    <t>Alexandr</t>
  </si>
  <si>
    <t>Calendly: Alexandr</t>
  </si>
  <si>
    <t>sanpol@i.ua</t>
  </si>
  <si>
    <t>ТОКТАЛИЕВА АНАРА ЖАЙЫЛГАНОВНА</t>
  </si>
  <si>
    <t>1410135766.1776198072</t>
  </si>
  <si>
    <t>karimovaasema1234@gmail.com</t>
  </si>
  <si>
    <t>Анара Токталиева</t>
  </si>
  <si>
    <t>Calendly: Анара Токталиева</t>
  </si>
  <si>
    <t>anaratoktalieva783@gmael.com</t>
  </si>
  <si>
    <t>Ms. Lesa Sevin</t>
  </si>
  <si>
    <t>Lesa Sevin</t>
  </si>
  <si>
    <t>https://www.lithuaniancitizenship.com/a-brief-history-of-lithuanian-americans/</t>
  </si>
  <si>
    <t>1836501488.1776203894</t>
  </si>
  <si>
    <t>lesasevin@gmail.com</t>
  </si>
  <si>
    <t>Wellington Panta</t>
  </si>
  <si>
    <t>SIXTH FFUP SENT</t>
  </si>
  <si>
    <t>?kw=%27lituania%20cidadania%27&amp;cpn=14712129487&amp;utm_source=google&amp;utm_medium=cpc&amp;utm_campaign=LT-BR&amp;network=g&amp;utm_term=%27lituania%20cidadania%27&amp;gad_source=1&amp;gad_campaignid=14712129487&amp;gclid=Cj0KCQjwy_fOBhC6ARIsAHKFB7_NS45n_UHrH_1J0AjBymgYGv1IG1TUsmDxW4TK</t>
  </si>
  <si>
    <t>1970117940.1776208538</t>
  </si>
  <si>
    <t>eletropanta@yahoo.com.br</t>
  </si>
  <si>
    <t>Maria Rychlicki</t>
  </si>
  <si>
    <t>FIFTH FFUP SENT</t>
  </si>
  <si>
    <t>?kw&amp;cpn=23440895177&amp;utm_source=google&amp;utm_medium=cpc&amp;utm_campaign=LT-Discovery-US&amp;network&amp;utm_term&amp;gad_campaignid=23440895177&amp;wbraid=ClQKCQjwy_fOBhC-ARJDAELzLvxTWdxtLnvBax6YIQg6wjVA_aZ9n6uxiGlMQmIbQ5tkjDTujkClGzs7RKzByJZkqX9AZU34rHYzpbWhBaxHlhoCKBY</t>
  </si>
  <si>
    <t>1675244613.1776248580</t>
  </si>
  <si>
    <t>gmariacr@gmail.com</t>
  </si>
  <si>
    <t>Ishchuk Heorhii</t>
  </si>
  <si>
    <t>Poland</t>
  </si>
  <si>
    <t>1337531364.1776249373</t>
  </si>
  <si>
    <t>georgiy.ichyk@gmail.com</t>
  </si>
  <si>
    <t>Ishchuk Tetiana</t>
  </si>
  <si>
    <t>https://www.lithuaniancitizenship.com/thank-you/?direct</t>
  </si>
  <si>
    <t>1997506951.1776268445</t>
  </si>
  <si>
    <t>zaa295492@gmail.com</t>
  </si>
  <si>
    <t>Diego Salischiker</t>
  </si>
  <si>
    <t>?kw=ciudadan%C3%ADa%20lituana%20en%20argentina&amp;cpn=14731585806&amp;utm_source=google&amp;utm_medium=cpc&amp;utm_campaign=LT-AR-CO-MX-UR&amp;network=g&amp;utm_term=ciudadan%C3%ADa%20lituana%20en%20argentina&amp;gad_source=1&amp;gad_campaignid=14731585806&amp;gbraid=0AAAAADisZv_3xiZuTXfjh</t>
  </si>
  <si>
    <t>diegosalischiker711@gmail.com</t>
  </si>
  <si>
    <t>Mr. Vytas Fidleris</t>
  </si>
  <si>
    <t>Vytas Fidleris</t>
  </si>
  <si>
    <t>vytasfidleris@gmail.com</t>
  </si>
  <si>
    <t>Maria Shoichate</t>
  </si>
  <si>
    <t>Canada (CA - NA)</t>
  </si>
  <si>
    <t>?kw=latvia%20citizenship&amp;cpn=14724374870&amp;campaignid=14724374870&amp;adgroupid=131147015727&amp;keywordid=%7Bkeywordid%7D&amp;network=g&amp;device=c&amp;gad_source=1&amp;gad_campaignid=14724374870&amp;gbraid=0AAAAADisZv_0YmaYl-BfpPjEkC1wWx6qM&amp;gclid=CjwKCAjw7vzOBhBxEiwAc7WNr0C1CX-9XlW</t>
  </si>
  <si>
    <t>mshoichate@gmail.com</t>
  </si>
  <si>
    <t>Avneet Singh</t>
  </si>
  <si>
    <t>neetsingh20@yahoo.com</t>
  </si>
  <si>
    <t>Mia Matusow</t>
  </si>
  <si>
    <t>https://latviancitizenship.eu/contact/?Bing-LV-USA</t>
  </si>
  <si>
    <t>661799873.1776280500</t>
  </si>
  <si>
    <t>bluelinemia@live.com</t>
  </si>
  <si>
    <t>Peter Anwyl-Harris</t>
  </si>
  <si>
    <t>?kw=lithuanian%20ancestry%20records&amp;cpn=17080759337&amp;utm_source=google&amp;utm_medium=cpc&amp;utm_campaign=LT-UK&amp;network=g&amp;utm_term=lithuanian%20ancestry%20records&amp;gad_source=1&amp;gad_campaignid=17080759337&amp;gclid=EAIaIQobChMItvK-0fHxkwMVIJRQBh3d1g3XEAAYASAAEgLpUvD_Bw</t>
  </si>
  <si>
    <t>1090047196.1776325915</t>
  </si>
  <si>
    <t>anwylharris@btinternet.com</t>
  </si>
  <si>
    <t>Elizabeth Clemons</t>
  </si>
  <si>
    <t>Calendly: Elizabeth Clemons</t>
  </si>
  <si>
    <t>elizabethclemons1@gmail.com</t>
  </si>
  <si>
    <t>ADEEL</t>
  </si>
  <si>
    <t>?kw=latvia%20residence&amp;cpn=22658494721&amp;utm_source=google&amp;utm_medium=cpc&amp;utm_campaign=LV-RBI-TOP&amp;network=g&amp;utm_term=latvia%20residence&amp;gad_source=1&amp;gad_campaignid=22658494721&amp;gbraid=0AAAAADisZv8PeFKgtFS3oyqvPKl2W8SSV&amp;gclid=Cj0KCQjwkYLPBhC3ARIsAIyHi3RgGShi2</t>
  </si>
  <si>
    <t>251199551.1776335325</t>
  </si>
  <si>
    <t>adeeliftikhar7@gmail.com</t>
  </si>
  <si>
    <t>Jean nyabenda</t>
  </si>
  <si>
    <t>?kw=italy%20golden%20visa&amp;cpn=22658494721&amp;utm_source=google&amp;utm_medium=cpc&amp;utm_campaign=LV-RBI-TOP&amp;network=s&amp;utm_term=italy%20golden%20visa&amp;gad_source=5&amp;gad_campaignid=22658494721&amp;gclid=EAIaIQobChMInYyS45zykwMVtsh5BB2thDEfEAAYASAAEgJ-h_D_BwE</t>
  </si>
  <si>
    <t>njean23498@gmail.com</t>
  </si>
  <si>
    <t>Daniel Zoboli Bazilevski</t>
  </si>
  <si>
    <t>2ND INSTALLMENT RECEIVED</t>
  </si>
  <si>
    <t>dzbazilevski@gmail.com</t>
  </si>
  <si>
    <t>Oleg Artemchuk</t>
  </si>
  <si>
    <t>?kw&amp;cpn=23440895177&amp;utm_source=google&amp;utm_medium=cpc&amp;utm_campaign=LT-Discovery-US&amp;network&amp;utm_term&amp;gad_source=1&amp;gad_campaignid=23440895177&amp;gclid=Cj0KCQjwkYLPBhC3ARIsAIyHi3Rn8mvf9vbbvRt8sgC8VeH_Hac7E9-yy_c7pUgTzF_2V5H7AuUwuJYaAo-CEALw_wcB</t>
  </si>
  <si>
    <t>1019209045.1776373292</t>
  </si>
  <si>
    <t>artemchuki@gmail.com</t>
  </si>
  <si>
    <t>VILNIUS</t>
  </si>
  <si>
    <t>MOHAMMAD AGHDAIE</t>
  </si>
  <si>
    <t>1692588872.1776374102</t>
  </si>
  <si>
    <t>mohamad.aghdaie@gmail.com</t>
  </si>
  <si>
    <t>Paige Glazer</t>
  </si>
  <si>
    <t>?kw=lithuanian%20ancestry%20search&amp;cpn=14656253006&amp;utm_source=google&amp;utm_medium=cpc&amp;utm_campaign=LT-US-conversions&amp;network=g&amp;utm_term=lithuanian%20ancestry%20search&amp;gad_source=1&amp;gad_campaignid=14656253006&amp;gbraid=0AAAAADisZv8Thbp5eB7scnF3hAY4cIbfr&amp;gclid=Cj</t>
  </si>
  <si>
    <t>111902462.1776384309</t>
  </si>
  <si>
    <t>pkglazer04@gmail.com</t>
  </si>
  <si>
    <t>Андрюшкевичюс Станислав Федорович</t>
  </si>
  <si>
    <t>?kw=%D0%BB%D0%B8%D1%82%D0%BE%D0%B2%D1%81%D0%BA%D0%BE%D0%B5%20%D0%B3%D1%80%D0%B0%D0%B6%D0%B4%D0%B0%D0%BD%D1%81%D1%82%D0%B2%D0%BE&amp;cpn=23681560526&amp;utm_source=google&amp;utm_medium=cpc&amp;utm_campaign=LT-ru-lang-conversions&amp;network=g&amp;utm_term=%D0%BB%D0%B8%D1%82%D0%B</t>
  </si>
  <si>
    <t>193336369.1776418578</t>
  </si>
  <si>
    <t>stanislausstasis@gmail.com</t>
  </si>
  <si>
    <t>Mercy Michelle</t>
  </si>
  <si>
    <t>mercymichelle301@gmail.com</t>
  </si>
  <si>
    <t>Mohammad Imtiaz</t>
  </si>
  <si>
    <t>Greece (GR - EU)</t>
  </si>
  <si>
    <t>?kw=golden%20visa%20latvia&amp;cpn=20594231202&amp;utm_source=google&amp;utm_medium=cpc&amp;utm_campaign=LV-RBI&amp;network=g&amp;utm_term=golden%20visa%20latvia&amp;gad_source=1&amp;gad_campaignid=20594231202&amp;gbraid=0AAAAADisZv_l4_a9N7NnP05Vpxa-5-zrP&amp;gclid=CjwKCAjwtIfPBhAzEiwAv9RTJkrZ7</t>
  </si>
  <si>
    <t>778029813.1776428716</t>
  </si>
  <si>
    <t>imtiaz570@gmail.com</t>
  </si>
  <si>
    <t>Khursed</t>
  </si>
  <si>
    <t>+97470381430 Khursed</t>
  </si>
  <si>
    <t>?kw=europe%20golden%20visa&amp;cpn=22658494721&amp;utm_source=google&amp;utm_medium=cpc&amp;utm_campaign=LV-RBI-TOP&amp;network=s&amp;utm_term=europe%20golden%20visa&amp;gad_source=5&amp;gad_campaignid=22658494721&amp;gclid=EAIaIQobChMIiO7E2I71kwMVNlxBAh28bDP8EAAYASAAEgITePD_BwE</t>
  </si>
  <si>
    <t>913711497.1775451987</t>
  </si>
  <si>
    <t>khurshidmuhammad471@gmail.com</t>
  </si>
  <si>
    <t>Gustavo Ribeiro de Siqueira</t>
  </si>
  <si>
    <t>?kw=%27cidadania%20lituana%27&amp;cpn=14712129487&amp;utm_source=google&amp;utm_medium=cpc&amp;utm_campaign=LT-BR&amp;network=g&amp;utm_term=%27cidadania%20lituana%27&amp;gad_source=1&amp;gad_campaignid=14712129487&amp;gbraid=0AAAAADisZv_kKYTr3Hz1X7n9PPg-DMz4k&amp;gclid=CjwKCAjwtIfPBhAzEiwAv9RT</t>
  </si>
  <si>
    <t>1564685486.1776442413</t>
  </si>
  <si>
    <t>guuhh_ribeiro@hotmail.com</t>
  </si>
  <si>
    <t>Angulo bedoya</t>
  </si>
  <si>
    <t>Colombia</t>
  </si>
  <si>
    <t>?kw=ciudadan%C3%ADa%20lituana&amp;cpn=14731585806&amp;utm_source=google&amp;utm_medium=cpc&amp;utm_campaign=LT-AR-CO-MX-UR&amp;network=g&amp;utm_term=ciudadan%C3%ADa%20lituana&amp;gad_source=1&amp;gad_campaignid=14731585806&amp;gbraid=0AAAAADisZv_KwqaXriF7b2dNxA-x6iwoH</t>
  </si>
  <si>
    <t>arley9327@gmail.com</t>
  </si>
  <si>
    <t>Matthew Wagnon</t>
  </si>
  <si>
    <t>?kw=lithuanian%20citizenship%20by%20descent&amp;cpn=14656253006&amp;utm_source=google&amp;utm_medium=cpc&amp;utm_campaign=LT-US-conversions&amp;network=g&amp;utm_term=lithuanian%20citizenship%20by%20descent&amp;gad_source=1&amp;gad_campaignid=14656253006&amp;gbraid=0AAAAADisZv-4CBMUSvI_GeE3</t>
  </si>
  <si>
    <t>155584215.1776443072</t>
  </si>
  <si>
    <t>mwagnon87@gmail.com</t>
  </si>
  <si>
    <t>Najah</t>
  </si>
  <si>
    <t>1416954089.1776450327</t>
  </si>
  <si>
    <t>najahmohamed2006@gmail.com</t>
  </si>
  <si>
    <t>Cheryl Anne Mazil</t>
  </si>
  <si>
    <t>?kw=lithuanian%20citizenship%20by%20descent&amp;cpn=14663474296&amp;utm_source=google&amp;utm_medium=cpc&amp;utm_campaign=LT-CA&amp;network=g&amp;utm_term=lithuanian%20citizenship%20by%20descent&amp;gad_source=1&amp;gad_campaignid=14663474296&amp;gbraid=0AAAAADisZv8Z82_r5qI5GIEtiuezcJ11V&amp;gc</t>
  </si>
  <si>
    <t>1644971092.1776450528</t>
  </si>
  <si>
    <t>c.mazillionaire@gmail.com</t>
  </si>
  <si>
    <t>EHSAN ULLAH</t>
  </si>
  <si>
    <t>?kw&amp;cpn=23481896379&amp;utm_source=google&amp;utm_medium=cpc&amp;utm_campaign=LT-Discovery-CA&amp;network&amp;utm_term&amp;gad_source=1&amp;gad_campaignid=23481896379&amp;gbraid=0AAAAADisZv8MIrDedEwKUn6Lh9-ADG0lW&amp;gclid=CjwKCAjwtIfPBhAzEiwAv9RTJjIJ4wpS2-oHtd4kry4CiQTRL931P6v07L64cQhmqBRK</t>
  </si>
  <si>
    <t>malakshan252@gmail.com</t>
  </si>
  <si>
    <t>maristela hubermann Vieczorek</t>
  </si>
  <si>
    <t>1060001447.1776453797</t>
  </si>
  <si>
    <t>maristela.hubermann@gmail.com</t>
  </si>
  <si>
    <t>Inês Casagrande de Sousa</t>
  </si>
  <si>
    <t>?kw=%27cidadania%20lituana%27&amp;cpn=14712129487&amp;utm_source=google&amp;utm_medium=cpc&amp;utm_campaign=LT-BR&amp;network=g&amp;utm_term=%27cidadania%20lituana%27&amp;gad_source=1&amp;gad_campaignid=14712129487&amp;gclid=CjwKCAjwtIfPBhAzEiwAv9RTJjcQfYH2xNuPsxCn-m0QmxnciNHy4wiCoFW6wbB-9A</t>
  </si>
  <si>
    <t>1100133916.1776454647</t>
  </si>
  <si>
    <t>sydneyvilimavicius@gmail.com</t>
  </si>
  <si>
    <t>ابراهيم</t>
  </si>
  <si>
    <t>FOURTH FFUP SENT</t>
  </si>
  <si>
    <t>?kw&amp;cpn=23357613537&amp;utm_source=google&amp;utm_medium=cpc&amp;utm_campaign=LT-Discovery&amp;network&amp;utm_term&amp;gad_source=1&amp;gad_campaignid=23357613537&amp;gbraid=0AAAAADisZv9jYqFeAGx7Zt5QQRN5SLmkB&amp;gclid=Cj0KCQjwkYLPBhC3ARIsAIyHi3RIILBvSGaA4Ws0zqRmnhUB09qgUyQufMQzWufFblLoWcB</t>
  </si>
  <si>
    <t>2052961009.1776464901</t>
  </si>
  <si>
    <t>rrggiijj@gmail.com</t>
  </si>
  <si>
    <t>Farhan Ishak</t>
  </si>
  <si>
    <t>Bangladesh</t>
  </si>
  <si>
    <t>Prakash tamang</t>
  </si>
  <si>
    <t>?kw=italy%20golden%20visa&amp;cpn=22658494721&amp;utm_source=google&amp;utm_medium=cpc&amp;utm_campaign=LV-RBI-TOP&amp;network=s&amp;utm_term=italy%20golden%20visa&amp;gad_source=5&amp;gad_campaignid=22658494721&amp;gclid=EAIaIQobChMI04-Kp6n3kwMVtKVQBh3e9xTLEAAYASAAEgLD1fD_BwE</t>
  </si>
  <si>
    <t>848361385.1776512660</t>
  </si>
  <si>
    <t>pltamang640@gmail.com</t>
  </si>
  <si>
    <t>Ms. Allison Bellel</t>
  </si>
  <si>
    <t>Allison Bellel</t>
  </si>
  <si>
    <t>1518190136.1776513251</t>
  </si>
  <si>
    <t>allisonbellel17@gmail.com</t>
  </si>
  <si>
    <t>Mehtab Anwar Khalid</t>
  </si>
  <si>
    <t>mehtabanwar.szabist@gmail.com</t>
  </si>
  <si>
    <t>Mr. John Sebastian Smelko</t>
  </si>
  <si>
    <t>John Sebastian Smelko</t>
  </si>
  <si>
    <t>https://www.lithuaniancitizenship.com/lithuanian-passport/?not-set</t>
  </si>
  <si>
    <t>Sebastian.Smelko@icemiller.com</t>
  </si>
  <si>
    <t>Masthan Ali Raja Abukani</t>
  </si>
  <si>
    <t>?kw=latvia%20citizenship%20by%20investment&amp;cpn=22658494721&amp;utm_source=google&amp;utm_medium=cpc&amp;utm_campaign=LV-RBI-TOP&amp;network=g&amp;utm_term=latvia%20citizenship%20by%20investment&amp;gad_source=1&amp;gad_campaignid=22658494721&amp;gclid=CjwKCAjw14zPBhAuEiwAP3-Eb-P34GsE8TM</t>
  </si>
  <si>
    <t>1160247926.1776528972</t>
  </si>
  <si>
    <t>masthanaliraja.a@gmail.com</t>
  </si>
  <si>
    <t>Ms. Cynthia Elizabeth Benjamin</t>
  </si>
  <si>
    <t>Cynthia Elizabeth Benjamin</t>
  </si>
  <si>
    <t>https://www.lithuaniancitizenship.com/contact/?Bing-LT-CA</t>
  </si>
  <si>
    <t>474162250.1776537917</t>
  </si>
  <si>
    <t>cembenj23@gmail.com</t>
  </si>
  <si>
    <t>Denise Niclas</t>
  </si>
  <si>
    <t>?kw=citizenship%20in%20lithuania&amp;cpn=14656253006&amp;utm_source=google&amp;utm_medium=cpc&amp;utm_campaign=LT-US-conversions&amp;network=g&amp;utm_term=citizenship%20in%20lithuania&amp;gad_source=1&amp;gad_campaignid=14656253006&amp;gbraid=0AAAAADisZv9SImI0QNyQIetiX7qLjqquR&amp;gclid=CjwKCA</t>
  </si>
  <si>
    <t>1145844821.1776547648</t>
  </si>
  <si>
    <t>mercer3179@gmail.com</t>
  </si>
  <si>
    <t>Brandon Berkson</t>
  </si>
  <si>
    <t>brandonberkson@gmail.com</t>
  </si>
  <si>
    <t>Lana Maydew</t>
  </si>
  <si>
    <t>lana@jlia.co.za</t>
  </si>
  <si>
    <t>ROY USMAN</t>
  </si>
  <si>
    <t>?kw=latvia%20golden%20visa&amp;cpn=22658494721&amp;utm_source=google&amp;utm_medium=cpc&amp;utm_campaign=LV-RBI-TOP&amp;network=g&amp;utm_term=latvia%20golden%20visa&amp;gad_source=1&amp;gad_campaignid=22658494721&amp;gbraid=0AAAAADisZv-nxjLQPeOhwouuuA4db4pDJ&amp;gclid=EAIaIQobChMIlLPKzqb5kwMVW</t>
  </si>
  <si>
    <t>302312992.1776580651</t>
  </si>
  <si>
    <t>Roy.Usman@hotmail.com</t>
  </si>
  <si>
    <t>Laura Johnson</t>
  </si>
  <si>
    <t>Laura johnson</t>
  </si>
  <si>
    <t>Latvia (LV - EU)</t>
  </si>
  <si>
    <t>?kw=latvia%20entrepreneur%20visa&amp;cpn=20594231202&amp;utm_source=google&amp;utm_medium=cpc&amp;utm_campaign=LV-RBI&amp;network=g&amp;utm_term=latvia%20entrepreneur%20visa&amp;gad_source=1&amp;gad_campaignid=20594231202&amp;gclid=Cj0KCQjwqPLOBhCiARIsAKRMPZqqVK0fgb5je9VHBsDcgEo8fqcWeEiqc-L</t>
  </si>
  <si>
    <t>44314953.1776071510</t>
  </si>
  <si>
    <t>ottermonkeys@protonmail.com</t>
  </si>
  <si>
    <t>Diana Kotler</t>
  </si>
  <si>
    <t>https://latviancitizenship.eu/faq/?Bing-LV-USA</t>
  </si>
  <si>
    <t>414717346.1763614445</t>
  </si>
  <si>
    <t>dianak2631@gmail.com</t>
  </si>
  <si>
    <t>Rasia Friedler</t>
  </si>
  <si>
    <t>?kw=lituania%20ciudadania&amp;cpn=14731585806&amp;utm_source=google&amp;utm_medium=cpc&amp;utm_campaign=LT-AR-CO-MX-UR&amp;network=g&amp;utm_term=lituania%20ciudadania&amp;gad_source=1&amp;gad_campaignid=14731585806&amp;gbraid=0AAAAADisZv9Nq_M9YdHwSTLDxPAmJsJ3x&amp;gclid=Cj0KCQjw-pHPBhCdARIsAHX</t>
  </si>
  <si>
    <t>1833263819.1776611248</t>
  </si>
  <si>
    <t>rasiafriedler@netgate.com.uy</t>
  </si>
  <si>
    <t>Ahmadshah</t>
  </si>
  <si>
    <t>https://latviancitizenship.eu/residency-by-investment/?direct</t>
  </si>
  <si>
    <t>251355454.1776624856</t>
  </si>
  <si>
    <t>shahkhan345@gmail.com</t>
  </si>
  <si>
    <t>Mr. James A Prohaska</t>
  </si>
  <si>
    <t>James A Prohaska</t>
  </si>
  <si>
    <t>?kw=does%20lithuania%20allow%20dual%20citizenship&amp;cpn=14656253006&amp;utm_source=google&amp;utm_medium=cpc&amp;utm_campaign=LT-US-conversions&amp;network=g&amp;utm_term=does%20lithuania%20allow%20dual%20citizenship&amp;gad_source=1&amp;gad_campaignid=14656253006&amp;gbraid=0AAAAADisZv-4</t>
  </si>
  <si>
    <t>1346074635.1776625845</t>
  </si>
  <si>
    <t>j.a.prohaska@gmail.com</t>
  </si>
  <si>
    <t>Kasperskas Luis</t>
  </si>
  <si>
    <t>?kw=ciudadan%C3%ADa%20lituana&amp;cpn=14731585806&amp;utm_source=google&amp;utm_medium=cpc&amp;utm_campaign=LT-AR-CO-MX-UR&amp;network=g&amp;utm_term=ciudadan%C3%ADa%20lituana&amp;gad_source=1&amp;gad_campaignid=14731585806&amp;gbraid=0AAAAADisZv-jfEedbf78ZM1C_SOh2zRi1&amp;gclid=Cj0KCQjw-pHPBhC</t>
  </si>
  <si>
    <t>1768208615.1776629150</t>
  </si>
  <si>
    <t>andreavmenak@gmail.com</t>
  </si>
  <si>
    <t>Ms. Dana Brazdziunas</t>
  </si>
  <si>
    <t>Dana Brazdziunas</t>
  </si>
  <si>
    <t>https://www.lithuaniancitizenship.com/company/?direct</t>
  </si>
  <si>
    <t>797719675.1776197399</t>
  </si>
  <si>
    <t>dbrazdz@gmail.com</t>
  </si>
  <si>
    <t>TOO EXPENSIVE</t>
  </si>
  <si>
    <t>Ms. Beverly Sue James</t>
  </si>
  <si>
    <t>Beverly Sue James</t>
  </si>
  <si>
    <t>?kw&amp;cpn=23440895177&amp;utm_source=google&amp;utm_medium=cpc&amp;utm_campaign=LT-Discovery-US&amp;network&amp;utm_term&amp;gad_campaignid=23440895177&amp;wbraid=ClMKCAjw14zPBhAGEkMAS36ftevlCxbZtPahQGRYBZfSrwALbl47J9t7J3a65mMnP08NNOK6DHTyyQn6znbgVGQMM1BmNU3EzAmEZeSuFcoRGgKGWg</t>
  </si>
  <si>
    <t>1527130830.1775515654</t>
  </si>
  <si>
    <t>bsjames1957@gmail.com</t>
  </si>
  <si>
    <t>Agnese Jurevica</t>
  </si>
  <si>
    <t>Agnese</t>
  </si>
  <si>
    <t>https://latviancitizenship.eu/benefits/right-to-live-in-more-than-30-countries/?Latvia-Leads-Search-USA</t>
  </si>
  <si>
    <t>800329370.1776642265</t>
  </si>
  <si>
    <t>agnesmarshall62@gmail.com</t>
  </si>
  <si>
    <t>Khagendra Bahadur Bhandari</t>
  </si>
  <si>
    <t>?kw=portugal%20golden%20visa%202026&amp;cpn=22658494721&amp;utm_source=google&amp;utm_medium=cpc&amp;utm_campaign=LV-RBI-TOP&amp;network=s&amp;utm_term=portugal%20golden%20visa%202026&amp;gad_source=5&amp;gad_campaignid=22658494721&amp;gclid=EAIaIQobChMI4LO5gLv7kwMVban9BR3RZwKPEAAYASAAEgK-F</t>
  </si>
  <si>
    <t>1163170891.1776654841</t>
  </si>
  <si>
    <t>bhandaritarzan82@gmail.com</t>
  </si>
  <si>
    <t>Gabriel Gutiérrez torres</t>
  </si>
  <si>
    <t>?kw=ciudadan%C3%ADa%20lituana&amp;cpn=14731585806&amp;utm_source=google&amp;utm_medium=cpc&amp;utm_campaign=LT-AR-CO-MX-UR&amp;network=g&amp;utm_term=ciudadan%C3%ADa%20lituana&amp;gad_source=1&amp;gad_campaignid=14731585806&amp;gbraid=0AAAAADisZv8t8IF56dLf5VXMS0Tyc9t7L&amp;gclid=Cj0KCQjw-pHPBhC</t>
  </si>
  <si>
    <t>2038711392.1776659968</t>
  </si>
  <si>
    <t>gabrielgutierrez19888torres@gmail.com</t>
  </si>
  <si>
    <t>Дана</t>
  </si>
  <si>
    <t>?kw=%D0%BB%D0%B8%D1%82%D0%BE%D0%B2%D1%81%D0%BA%D0%BE%D0%B5%20%D0%B3%D1%80%D0%B0%D0%B6%D0%B4%D0%B0%D0%BD%D1%81%D1%82%D0%B2%D0%BE%20%D0%BF%D0%BE%20%D0%BA%D0%BE%D1%80%D0%BD%D1%8F%D0%BC&amp;cpn=23681560526&amp;utm_source=google&amp;utm_medium=cpc&amp;utm_campaign=LT-ru-lang-</t>
  </si>
  <si>
    <t>932288201.1776664926</t>
  </si>
  <si>
    <t>dana13.10.82@gmail.com</t>
  </si>
  <si>
    <t>Александр</t>
  </si>
  <si>
    <t>1623971210.1776667920</t>
  </si>
  <si>
    <t>viktalev.82@gmail.com</t>
  </si>
  <si>
    <t>AleÅ¡</t>
  </si>
  <si>
    <t>aleskorbar1@gmail.com</t>
  </si>
  <si>
    <t>BILAL RUBHA</t>
  </si>
  <si>
    <t>a1digital225@gmail.com</t>
  </si>
  <si>
    <t>David</t>
  </si>
  <si>
    <t>davidshawrsa@gmail.com</t>
  </si>
  <si>
    <t>Sergio Adriano Barbosa</t>
  </si>
  <si>
    <t>?kw=%27lituania%20cidadania%27&amp;cpn=14712129487&amp;utm_source=google&amp;utm_medium=cpc&amp;utm_campaign=LT-BR&amp;network=g&amp;utm_term=%27lituania%20cidadania%27&amp;gad_source=1&amp;gad_campaignid=14712129487&amp;gbraid=0AAAAADisZv8iz1sBUDEXdz0Z1dBmaZR-w&amp;gclid=CjwKCAjwnZfPBhAGEiwAzg</t>
  </si>
  <si>
    <t>1264998630.1776693436</t>
  </si>
  <si>
    <t>dridileto@gmail.com</t>
  </si>
  <si>
    <t>Tracey Wheeler Noonan</t>
  </si>
  <si>
    <t>Calendly: Tracey Wheeler Noonan</t>
  </si>
  <si>
    <t>traceywheelernoonan@gmail.com</t>
  </si>
  <si>
    <t>Tracey Wyder</t>
  </si>
  <si>
    <t>carbonkevlar2@gmail.com</t>
  </si>
  <si>
    <t>Courtney Greenbaum</t>
  </si>
  <si>
    <t>CourtneyGreenbaum</t>
  </si>
  <si>
    <t>https://latviancitizenship.eu/faq/</t>
  </si>
  <si>
    <t>1939982124.1776706154</t>
  </si>
  <si>
    <t>courtneygreenbaum@gmail.com</t>
  </si>
  <si>
    <t>Jonas siuksta</t>
  </si>
  <si>
    <t>Calendly: Jonas siuksta</t>
  </si>
  <si>
    <t>siuksta@gmail.com</t>
  </si>
  <si>
    <t>Ms. Donna Lea Heavner</t>
  </si>
  <si>
    <t>Donna Lea Heavner</t>
  </si>
  <si>
    <t>?kw&amp;cpn=23440895177&amp;utm_source=google&amp;utm_medium=cpc&amp;utm_campaign=LT-Discovery-US&amp;network&amp;utm_term&amp;gad_campaignid=23440895177&amp;wbraid=ClQKCQjwnZfPBhCMARJDAMWTH_Oq_lQMBm6VUBtPZYKanrWY3CCqd8-aREryxiwj8Jih3ko3MrcZlIVbCphqu4wYWGtioGXgeg-4QNxqjvlgHBoCuiY</t>
  </si>
  <si>
    <t>1656353154.1776742489</t>
  </si>
  <si>
    <t>Dtheavner50@gmail.com</t>
  </si>
  <si>
    <t>d kapasi</t>
  </si>
  <si>
    <t>danny26@hotmail.com</t>
  </si>
  <si>
    <t>Нина Вечер</t>
  </si>
  <si>
    <t>Belarus</t>
  </si>
  <si>
    <t>ninavecher@inbox.ru</t>
  </si>
  <si>
    <t>Rakesh Kumar</t>
  </si>
  <si>
    <t>https://www.lithuaniancitizenship.com/immigration-lawyers-in-lithuania/</t>
  </si>
  <si>
    <t>1887603104.1776757778</t>
  </si>
  <si>
    <t>rakesh_karora@yahoo.co.in</t>
  </si>
  <si>
    <t>Anatolie</t>
  </si>
  <si>
    <t>?kw=департамент миграции литвы&amp;cpn=23681560526&amp;utm_source=google&amp;utm_medium=cpc&amp;utm_campaign=LT-ru-lang-conversions&amp;network=g&amp;utm_t</t>
  </si>
  <si>
    <t>1728062129.1776760863</t>
  </si>
  <si>
    <t>a25770812@gmail.com</t>
  </si>
  <si>
    <t>AvronZel Krasner</t>
  </si>
  <si>
    <t>avronzel@gmail.com</t>
  </si>
  <si>
    <t>?kw=литва миграционная служба&amp;cpn=23681560526&amp;utm_source=google&amp;utm_medium=cpc&amp;utm_campaign=LT-ru-lang-conversions&amp;network=g&amp;utm_term=%D</t>
  </si>
  <si>
    <t>1908866343.1776770616</t>
  </si>
  <si>
    <t>u7945199216@gmail.com</t>
  </si>
  <si>
    <t>Barry Chantler</t>
  </si>
  <si>
    <t>Calendly: Barry Chantler</t>
  </si>
  <si>
    <t>barrychantler@gmail.com</t>
  </si>
  <si>
    <t>Inna Vashkite</t>
  </si>
  <si>
    <t>320073017.1776773874</t>
  </si>
  <si>
    <t>idvmed85@gmail.com</t>
  </si>
  <si>
    <t>Driss essalhami</t>
  </si>
  <si>
    <t>drissessalhami55@gmail.com</t>
  </si>
  <si>
    <t>Renat</t>
  </si>
  <si>
    <t>Ренат</t>
  </si>
  <si>
    <t>rennat1997@icloud.com</t>
  </si>
  <si>
    <t>Nithesh Pejavar</t>
  </si>
  <si>
    <t>Calendly: Nithesh Pejavar</t>
  </si>
  <si>
    <t>pnithesh@gmail.com</t>
  </si>
  <si>
    <t>Folad</t>
  </si>
  <si>
    <t>?kw=latvia%20residency%20by%20investment&amp;cpn=20594231202&amp;kw=latvia%20residency%20by%20investment&amp;cpn=20594231202&amp;utm_source=google&amp;utm_medium=cpc&amp;utm_campaign=LV-RBI&amp;network=g&amp;utm_term=latvia%20residency%20by%20investment&amp;gad_source=1&amp;gad_campaignid=20594</t>
  </si>
  <si>
    <t>2009789949.1776783156</t>
  </si>
  <si>
    <t>folad300@gmail.com</t>
  </si>
  <si>
    <t>Ms. Amanda Marion</t>
  </si>
  <si>
    <t>Amanda Marion</t>
  </si>
  <si>
    <t>?kw=applying%20for%20lithuanian%20citizenship&amp;cpn=14656253006&amp;utm_source=google&amp;utm_medium=cpc&amp;utm_campaign=LT-US-conversions&amp;network=g&amp;utm_term=applying%20for%20lithuanian%20citizenship&amp;gad_source=1&amp;gad_campaignid=14656253006&amp;gbraid=0AAAAADisZv-c89Dm4ROO</t>
  </si>
  <si>
    <t>5529224.1776787422</t>
  </si>
  <si>
    <t>amandabmarion@gmai.com</t>
  </si>
  <si>
    <t>AYMEN BEN RHOUMA</t>
  </si>
  <si>
    <t>ben rhouma aymen</t>
  </si>
  <si>
    <t>aymenbenrhouma0@gmail.com</t>
  </si>
  <si>
    <t>ryan elterman</t>
  </si>
  <si>
    <t>1452161352.1776794636</t>
  </si>
  <si>
    <t>relterman@me.com</t>
  </si>
  <si>
    <t>Ed Gaigalas</t>
  </si>
  <si>
    <t>Calendly: Ed Gaigalas</t>
  </si>
  <si>
    <t>edgaigalas@gmail.com</t>
  </si>
  <si>
    <t>Jakir Hussain</t>
  </si>
  <si>
    <t>THIRD FFUP SENT</t>
  </si>
  <si>
    <t>1048255245.1776807950</t>
  </si>
  <si>
    <t>jakir.uk23@gmail.com</t>
  </si>
  <si>
    <t>Miriam Paton</t>
  </si>
  <si>
    <t>https://www.lithuaniancitizenship.com/lithuanian-passport/?Bing-LT-CA</t>
  </si>
  <si>
    <t>997587579.1776810712</t>
  </si>
  <si>
    <t>send_miriam@yahoo.com</t>
  </si>
  <si>
    <t>Kathryn Abeyta</t>
  </si>
  <si>
    <t>219128341.1776821760</t>
  </si>
  <si>
    <t>kvkropp@gmail.com</t>
  </si>
  <si>
    <t>Ms. Eleanor Bruzas</t>
  </si>
  <si>
    <t>Eleanor bruzas</t>
  </si>
  <si>
    <t>?fbclid=IwdGRleARVN25leHRuA2FlbQIxMQBzcnRjBmFwcF9pZAo2NjI4NTY4Mzc5AAEentkizOie6VQP2PEOYx8vlulZc5D3zI-g6hRtPkVvNHdqZKHr5egl03p8i9g_aem_59KfXNZMvzUyvW_vresw-Q</t>
  </si>
  <si>
    <t>1148373310.1776834595</t>
  </si>
  <si>
    <t>elliebruzas@hotmail.com</t>
  </si>
  <si>
    <t>Facebook</t>
  </si>
  <si>
    <t>Galina Atlas Patil</t>
  </si>
  <si>
    <t>https://latviancitizenship.eu/?not-set</t>
  </si>
  <si>
    <t>709977007.1776839421</t>
  </si>
  <si>
    <t>galinapatil@gmail.com</t>
  </si>
  <si>
    <t>Syed Mohsin</t>
  </si>
  <si>
    <t>?kw=europe%20residence%20by%20investment&amp;cpn=22658494721&amp;utm_source=google&amp;utm_medium=cpc&amp;utm_campaign=LV-RBI-TOP&amp;network=g&amp;utm_term=europe%20residence%20by%20investment&amp;gad_source=1&amp;gad_campaignid=22658494721&amp;gbraid=0AAAAADisZv-WzLi3kWsKnxVOq4ZyQv6Y6&amp;gcl</t>
  </si>
  <si>
    <t>1163302863.1776841751</t>
  </si>
  <si>
    <t>mohsin.nse1@gmail.com</t>
  </si>
  <si>
    <t>sir</t>
  </si>
  <si>
    <t>Anvil Capital Investments SL</t>
  </si>
  <si>
    <t>Kaled Ben-Salah</t>
  </si>
  <si>
    <t>kaled ben-salah</t>
  </si>
  <si>
    <t>obcworld.ben@gmail.com</t>
  </si>
  <si>
    <t>Дмитрий Михайленко</t>
  </si>
  <si>
    <t>?kw=гражданство литвы по происхождению&amp;cpn=23681560526&amp;utm_source=google&amp;utm_medium=cpc&amp;utm_ca</t>
  </si>
  <si>
    <t>1136974471.1776859966</t>
  </si>
  <si>
    <t>dimamihajlenko5@gmail.com</t>
  </si>
  <si>
    <t>Michael Gretz</t>
  </si>
  <si>
    <t>1314878910.1776861737</t>
  </si>
  <si>
    <t>mikegretz01@aol.com</t>
  </si>
  <si>
    <t>Lou J Klevinas</t>
  </si>
  <si>
    <t>?fbclid=IwY2xjawRVr6lleHRuA2FlbQIxMQBzcnRjBmFwcF9pZAwzNTA2ODU1MzE3MjgAAR5FTs1BGPsqAIpgmHmdLzbOr4zUiNTzaXvdy53OnTL6FPz2WWzzEXU2o-g5xQ_aem_Lq44F9vmhEp9aHPsyB4Owg</t>
  </si>
  <si>
    <t>1286700967.1776865376</t>
  </si>
  <si>
    <t>louj@klevinas.com</t>
  </si>
  <si>
    <t>Lisa Golubiewski</t>
  </si>
  <si>
    <t>?fbclid=IwY2xjawRVs1ZleHRuA2FlbQIxMQBzcnRjBmFwcF9pZAwzNTA2ODU1MzE3MjgAAR7ufpCP29CRbIjs8f-IdYVPsP9GjX-vfRrMXr0lKtZVtfYeRBtBooV87gomAw_aem_gxgFHJRTDBPIvpC-eYjGDA</t>
  </si>
  <si>
    <t>554418876.1776866324</t>
  </si>
  <si>
    <t>felyn3@msn.com</t>
  </si>
  <si>
    <t>Dana McMillan</t>
  </si>
  <si>
    <t>?fbclid=IwZXh0bgNhZW0CMTEAc3J0YwZhcHBfaWQKNjYyODU2ODM3OQABHkh8_59-BUYNmViAtEQk_LqLLJWNSsJp7qcb-kfJ9RTiP2MpaN18K2eshG9y_aem_Viclqcu2nR1sL13sh-YXuQ</t>
  </si>
  <si>
    <t>1474391996.1776867402</t>
  </si>
  <si>
    <t>dana.mcmillan@gmail.com</t>
  </si>
  <si>
    <t>Arianna Knisely</t>
  </si>
  <si>
    <t>?fbclid=IwdGRleARV13JleHRuA2FlbQIxMQBzcnRjBmFwcF9pZAo2NjI4NTY4Mzc5AAEeqt4O2I6a_fzuCH_Srew6sERNB4a6_S_vkb7R6XzR4apV8LcT7Ek_KlPeyQM_aem_suwit0URYNPRjiPXMcmrfQ</t>
  </si>
  <si>
    <t>32356499.1776875562</t>
  </si>
  <si>
    <t>knisely.arianna@gmail.com</t>
  </si>
  <si>
    <t>Scott Allinson</t>
  </si>
  <si>
    <t>Calendly: Scott Allinson</t>
  </si>
  <si>
    <t>scottallinson1@gmail.com</t>
  </si>
  <si>
    <t>Mr. Timothy Niaura</t>
  </si>
  <si>
    <t>Timothy Niaura</t>
  </si>
  <si>
    <t>?fbclid=IwZXh0bgNhZW0CMTEAc3J0YwZhcHBfaWQKNjYyODU2ODM3OQABHmXGSUxJK_tckEvG4yvWyukgIJA3R2NVWHtw0TLw9y2GHHQT-4h8NDzQj9LS_aem_Jqkl7XKE4aJs3jrVcM8geQ</t>
  </si>
  <si>
    <t>1200796984.1776881677</t>
  </si>
  <si>
    <t>tsky65@yahoo.com</t>
  </si>
  <si>
    <t>Ms. Elizabeth Milliman Desmond</t>
  </si>
  <si>
    <t>Elizabeth Milliman Desmond</t>
  </si>
  <si>
    <t>1413962493.1776883735</t>
  </si>
  <si>
    <t>desmondcrew@yahoo.com</t>
  </si>
  <si>
    <t>Johir Hossain</t>
  </si>
  <si>
    <t>johirhossain9219@gmail.com</t>
  </si>
  <si>
    <t>Sarah Kangas</t>
  </si>
  <si>
    <t>?fbclid=IwY2xjawRWDCJleHRuA2FlbQIxMQBzcnRjBmFwcF9pZAwzNTA2ODU1MzE3MjgAAR5m48_lMlVsoYnpHWzADaTOSmhQarnQ-vLLgiu9pFHODaWhcefnvRjBvYW8lg_aem_raLA56kU-91vJRrBj6hZsw</t>
  </si>
  <si>
    <t>1064505450.1776889049</t>
  </si>
  <si>
    <t>sarah138x@gmail.com</t>
  </si>
  <si>
    <t>Ms. Margaret Laubert</t>
  </si>
  <si>
    <t>margaret laubert</t>
  </si>
  <si>
    <t>https://www.lithuaniancitizenship.com/lithuanian-citizenship-law-updates-2025/</t>
  </si>
  <si>
    <t>1333031034.1776892480</t>
  </si>
  <si>
    <t>margiemi@yahoo.com</t>
  </si>
  <si>
    <t>Ms. Jolita Snieskiene</t>
  </si>
  <si>
    <t>Jolita Snieskiene</t>
  </si>
  <si>
    <t>?fbclid=IwZXh0bgNhZW0CMTEAc3J0YwZhcHBfaWQKNjYyODU2ODM3OQABHlXmphy4wmRD1iHXVg9-wMH2JwfPfRdaSIq4ZjPI2nHYU6MfYL7LCUo14MKY_aem_MVwl6Dd_ABi11IcXj4SaBQ</t>
  </si>
  <si>
    <t>394085520.1776896369</t>
  </si>
  <si>
    <t>jadvile@gmail.com</t>
  </si>
  <si>
    <t>Amanda Jones</t>
  </si>
  <si>
    <t>1117681335.1776898692</t>
  </si>
  <si>
    <t>zumbyya@gmail.com</t>
  </si>
  <si>
    <t>KEVIN COHEN</t>
  </si>
  <si>
    <t>Calendly: KEVIN COHEN</t>
  </si>
  <si>
    <t>akivacohen41@gmail.com</t>
  </si>
  <si>
    <t>عيد طاهر</t>
  </si>
  <si>
    <t>Saudi Arabia (SA - AS)</t>
  </si>
  <si>
    <t>?kw=golden%20visa%20latvia&amp;cpn=20594231202&amp;utm_source=google&amp;utm_medium=cpc&amp;utm_campaign=LV-RBI&amp;network=s&amp;utm_term=golden%20visa%20latvia&amp;gad_source=5&amp;gad_campaignid=20594231202&amp;gclid=EAIaIQobChMItezWvJqDlAMVJaf9BR3KdgJ1EAAYASAAEgLjcfD_BwE</t>
  </si>
  <si>
    <t>1116316719.1776920811</t>
  </si>
  <si>
    <t>ytahr999@gmail.com</t>
  </si>
  <si>
    <t>Светлана Полищук</t>
  </si>
  <si>
    <t>svetlana3111@yandex.ru</t>
  </si>
  <si>
    <t>Fariba Moghaddasi</t>
  </si>
  <si>
    <t>?kw=latvia%20residency%20by%20investment&amp;cpn=20594231202&amp;utm_source=google&amp;utm_medium=cpc&amp;utm_campaign=LV-RBI&amp;network=g&amp;utm_term=latvia%20residency%20by%20investment&amp;gad_source=1&amp;gad_campaignid=20594231202&amp;gbraid=0AAAAADisZv_3hxB8wxn0rgClIpOj9xCeg&amp;gclid=C</t>
  </si>
  <si>
    <t>2021208334.1776931080</t>
  </si>
  <si>
    <t>faribamoghaddasi38@gmail.com</t>
  </si>
  <si>
    <t>Joe Narkin</t>
  </si>
  <si>
    <t>Joseph Narkin</t>
  </si>
  <si>
    <t>?kw=requirements%20for%20lithuanian%20citizenship&amp;cpn=14656253006&amp;utm_source=google&amp;utm_medium=cpc&amp;utm_campaign=LT-US-conversions&amp;network=g&amp;utm_term=requirements%20for%20lithuanian%20citizenship&amp;gad_source=1&amp;gad_campaignid=14656253006&amp;gbraid=0AAAAADisZv8W</t>
  </si>
  <si>
    <t>1693761608.1776939853</t>
  </si>
  <si>
    <t>joenarkin4@gmail.com</t>
  </si>
  <si>
    <t>stanmyerson@monaco.mc</t>
  </si>
  <si>
    <t>Mr. Paul Smith</t>
  </si>
  <si>
    <t>Paul Smith</t>
  </si>
  <si>
    <t>?kw=lithuanian%20ancestry%20records&amp;cpn=17080759337&amp;utm_source=google&amp;utm_medium=cpc&amp;utm_campaign=LT-UK&amp;network=g&amp;utm_term=lithuanian%20ancestry%20records&amp;gad_source=1&amp;gad_campaignid=17080759337&amp;gclid=CjwKCAjwhqfPBhBWEiwAZo196m7kK1FbnR-LTwQ_Yc_y4_avuUhXti</t>
  </si>
  <si>
    <t>1657503514.1776956628</t>
  </si>
  <si>
    <t>Pauljsmith21968@gmail.com</t>
  </si>
  <si>
    <t>Basis Grinbrg</t>
  </si>
  <si>
    <t>?kw&amp;cpn=23357613537&amp;utm_source=google&amp;utm_medium=cpc&amp;utm_campaign=LT-Discovery&amp;network&amp;utm_term&amp;gad_source=1&amp;gad_campaignid=23357613537&amp;gclid=CjwKCAjwhqfPBhBWEiwAZo196oqp5P-oKFfr0jtaCX9FS0s9j5-YTLyK9JHYsOir2_kHJdNSQpi7HhoCovUQAvD_BwE</t>
  </si>
  <si>
    <t>337253215.1776991002</t>
  </si>
  <si>
    <t>basiabf@hotmail.com</t>
  </si>
  <si>
    <t>Vilma Goldman</t>
  </si>
  <si>
    <t>Calendly: Vilma Goldman</t>
  </si>
  <si>
    <t>vilmelyte@yahoo.com</t>
  </si>
  <si>
    <t>RICARDO RINKEVICIUS</t>
  </si>
  <si>
    <t>?kw=passaporto%20lituano&amp;cpn=14712129487&amp;utm_source=google&amp;utm_medium=cpc&amp;utm_campaign=LT-BR&amp;network=g&amp;utm_term=passaporto%20lituano&amp;gad_source=1&amp;gad_campaignid=14712129487&amp;gbraid=0AAAAADisZv-0FCQvr5o2RIb_T8rpTLvNw&amp;gclid=EAIaIQobChMIzZyCgMSFlAMVY0JIAB1BKx</t>
  </si>
  <si>
    <t>1465784332.1777000849</t>
  </si>
  <si>
    <t>RICARDORINK64@OUTLOOK.COM</t>
  </si>
  <si>
    <t>Pavel</t>
  </si>
  <si>
    <t>?kw=литовское гражданство как получить&amp;cpn=23681560526&amp;utm_source=google&amp;utm_medium=cpc&amp;utm_ca</t>
  </si>
  <si>
    <t>502075547.1777013379</t>
  </si>
  <si>
    <t>pavvas24@gmail.com</t>
  </si>
  <si>
    <t>Андрій Глущенко</t>
  </si>
  <si>
    <t>avbg6310@gmail.com</t>
  </si>
  <si>
    <t>Vivek Gupta</t>
  </si>
  <si>
    <t>https://latviancitizenship.eu/contact/?LV-Leads-Search-RBI</t>
  </si>
  <si>
    <t>155225737.1777025855</t>
  </si>
  <si>
    <t>findvivekgupta1@gmail.com</t>
  </si>
  <si>
    <t>Надежда</t>
  </si>
  <si>
    <t>https://www.lithuaniancitizenship.com/ru/sertifikat-o-prave-na-vosstanovlenie-litovskogo-grazhdanstva/</t>
  </si>
  <si>
    <t>475570177.1777031977</t>
  </si>
  <si>
    <t>nsakovich59@gmail.com</t>
  </si>
  <si>
    <t>Saydaliev mahmadusuf</t>
  </si>
  <si>
    <t>Tajikistan</t>
  </si>
  <si>
    <t>?kw=миграция в литву&amp;utm_source=google&amp;utm_medium=cpc&amp;utm_campaign=LT-ru-lang-conversions&amp;network=g&amp;utm_term=%D0%BC%D0%B8%D0%B3%D1%80%D0%B0%D1%86%D0%B8%D1%8F%20%D0%B</t>
  </si>
  <si>
    <t>saydalev772@gmail.com</t>
  </si>
  <si>
    <t>Emily McAllister</t>
  </si>
  <si>
    <t>SECOND FFUP SENT</t>
  </si>
  <si>
    <t>?utm_source=ig&amp;utm_medium=social&amp;utm_content=link_in_bio&amp;fbclid=PAZXh0bgNhZW0CMTEAc3J0YwZhcHBfaWQPMTI0MDI0NTc0Mjg3NDE0AAGnrjGCf8XdY5MfjpDDJNxhratUsolwxiHeZX6pO7JYZpvj8-6r1NTdUVm4DWw_aem_7gWx2pv_2T37kzGTCTeoqw</t>
  </si>
  <si>
    <t>1611020017.1777040912</t>
  </si>
  <si>
    <t>emiky.mcallister@outlook.com</t>
  </si>
  <si>
    <t>Instagram</t>
  </si>
  <si>
    <t>Dalia Grig</t>
  </si>
  <si>
    <t>https://www.lithuaniancitizenship.com/faq/?referral</t>
  </si>
  <si>
    <t>2116735188.1777043655</t>
  </si>
  <si>
    <t>dalia7@optonline.net</t>
  </si>
  <si>
    <t>Algimantas Herve Phillipe Jasudavisius</t>
  </si>
  <si>
    <t>?kw=how%20to%20become%20lithuanian%20citizen&amp;cpn=14663474296&amp;utm_source=google&amp;utm_medium=cpc&amp;utm_campaign=LT-CA&amp;network=g&amp;utm_term=how%20to%20become%20lithuanian%20citizen&amp;gad_source=1&amp;gad_campaignid=14663474296&amp;gclid=CjwKCAjwqazPBhALEiwAOuXqdGeU5EqB1D83</t>
  </si>
  <si>
    <t>1969774524.1776603144</t>
  </si>
  <si>
    <t>hjasud@hotmail.com</t>
  </si>
  <si>
    <t>Ms. Charlotte Van Nostrand</t>
  </si>
  <si>
    <t>Charlotte Van Nostrand</t>
  </si>
  <si>
    <t>?kw=citizenship%20in%20lithuania&amp;cpn=14656253006&amp;utm_source=google&amp;utm_medium=cpc&amp;utm_campaign=LT-US-conversions&amp;network=g&amp;utm_term=citizenship%20in%20lithuania&amp;gad_source=1&amp;gad_campaignid=14656253006&amp;gbraid=0AAAAADisZv9f11gh4KPbiI4_tF1YhZDgn&amp;gclid=CjwKCA</t>
  </si>
  <si>
    <t>1843655333.1777060408</t>
  </si>
  <si>
    <t>charrosev1@gmail.com</t>
  </si>
  <si>
    <t>Fernanda Moura Paskevicius</t>
  </si>
  <si>
    <t>?kw=dupla%20cidadania%20lituana&amp;cpn=14712129487&amp;utm_source=google&amp;utm_medium=cpc&amp;utm_campaign=LT-BR&amp;network=g&amp;utm_term=dupla%20cidadania%20lituana&amp;gad_source=1&amp;gad_campaignid=14712129487&amp;gclid=CjwKCAjwqazPBhALEiwAOuXqdEe9OLoYypeRxXwvdE7j2nsgeCWN-09nZYEQ_o</t>
  </si>
  <si>
    <t>1831924355.1777066295</t>
  </si>
  <si>
    <t>fernandampaske@gmail.com</t>
  </si>
  <si>
    <t>Jean Carlos dos Santos Lima</t>
  </si>
  <si>
    <t>?kw=passaporto%20lituano&amp;cpn=14712129487&amp;utm_source=google&amp;utm_medium=cpc&amp;utm_campaign=LT-BR&amp;network=g&amp;utm_term=passaporto%20lituano&amp;gad_source=1&amp;gad_campaignid=14712129487&amp;gbraid=0AAAAADisZv-iJ8NDwHINiizQP8B2kw3HL&amp;gclid=CjwKCAjwqazPBhALEiwAOuXqdGsuXOx2ES</t>
  </si>
  <si>
    <t>1260469613.1777074816</t>
  </si>
  <si>
    <t>jeanfamilialima3018@gmail.com</t>
  </si>
  <si>
    <t>Danielle Rogers</t>
  </si>
  <si>
    <t>danielle.rogers@gmail.com</t>
  </si>
  <si>
    <t>Emad</t>
  </si>
  <si>
    <t>?kw=latvia%20residency%20program&amp;cpn=20594231202&amp;utm_source=google&amp;utm_medium=cpc&amp;utm_campaign=LV-RBI&amp;network=g&amp;utm_term=latvia%20residency%20program&amp;gad_source=1&amp;gad_campaignid=20594231202&amp;gclid=CjwKCAjwqazPBhALEiwAOuXqdGGAPS0pMhVOsSbO98aiIeG4IJTQQ6ktMie</t>
  </si>
  <si>
    <t>1056918875.1777095315</t>
  </si>
  <si>
    <t>emadh423@gmail.com</t>
  </si>
  <si>
    <t>JASWINDER SINGH BAINS</t>
  </si>
  <si>
    <t>?utm_source=bing&amp;utm_medium=cpc&amp;utm_campaign=Bing-LT-AU&amp;network=o&amp;utm_term=lithuanian%20citizenship&amp;msclkid=37154c28302f1e159e2425c4490d8cbb</t>
  </si>
  <si>
    <t>1390868263.1777105208</t>
  </si>
  <si>
    <t>jas1985aus@hotmail.com</t>
  </si>
  <si>
    <t>Kamran</t>
  </si>
  <si>
    <t>?kw=europe%20residence%20by%20investment&amp;cpn=22658494721&amp;utm_source=google&amp;utm_medium=cpc&amp;utm_campaign=LV-RBI-TOP&amp;network=g&amp;utm_term=europe%20residence%20by%20investment&amp;gad_source=1&amp;gad_campaignid=22658494721&amp;gclid=CjwKCAjwzLHPBhBTEiwABaLsSjo8hWQZsuC1HxJ</t>
  </si>
  <si>
    <t>1064513000.1777121256</t>
  </si>
  <si>
    <t>kamisaddal@gmail.com</t>
  </si>
  <si>
    <t>Sadaf shamshad haque</t>
  </si>
  <si>
    <t>Bangladesh (BD - AS)</t>
  </si>
  <si>
    <t>lana.ss@keemail.me</t>
  </si>
  <si>
    <t>Mr. Brett Levner</t>
  </si>
  <si>
    <t>Brett Levner</t>
  </si>
  <si>
    <t>381625802.1777126739</t>
  </si>
  <si>
    <t>BrettLevner@aol.com</t>
  </si>
  <si>
    <t>Ms. Miriam Smith</t>
  </si>
  <si>
    <t>Smith Miriam</t>
  </si>
  <si>
    <t>?kw=lithuania%20ancestry%20citizenship&amp;cpn=14656253006&amp;utm_source=google&amp;utm_medium=cpc&amp;utm_campaign=LT-US-conversions&amp;network=g&amp;utm_term=lithuania%20ancestry%20citizenship&amp;gad_source=1&amp;gad_campaignid=14656253006&amp;gbraid=0AAAAADisZv9HNTOKh-PaZxLlWTNWJU_Cd&amp;</t>
  </si>
  <si>
    <t>1529700745.1777126632</t>
  </si>
  <si>
    <t>Smithmiriam@icloud.com</t>
  </si>
  <si>
    <t>Ms. Antonia Lester</t>
  </si>
  <si>
    <t>Antonia Lester</t>
  </si>
  <si>
    <t>?kw=passport%20lithuanian&amp;cpn=17080759337&amp;utm_source=google&amp;utm_medium=cpc&amp;utm_campaign=LT-UK&amp;network=g&amp;utm_term=passport%20lithuanian&amp;gad_source=1&amp;gad_campaignid=17080759337&amp;gbraid=0AAAAADisZv8QA1kftJNdqiNbeK6QQSTMH&amp;gclid=CjwKCAjwzLHPBhBTEiwABaLsSjTXyeC9</t>
  </si>
  <si>
    <t>458317963.1777135717</t>
  </si>
  <si>
    <t>antonia_lester@yahoo.com</t>
  </si>
  <si>
    <t>Mr. Ray Ulbikas</t>
  </si>
  <si>
    <t>Ray Ulbikas</t>
  </si>
  <si>
    <t>?utm_source=bing&amp;utm_medium=cpc&amp;utm_campaign=Bing-LT-CA&amp;network=s&amp;utm_term=how%20to%20apply%20for%20lithuanian%20citizenship%20by%20descent&amp;msclkid=3ba9e05d5c7d1281aafb89b1a2e8703b</t>
  </si>
  <si>
    <t>417528133.1777139367</t>
  </si>
  <si>
    <t>rayulbikas@protonmail.com</t>
  </si>
  <si>
    <t>Соболева Виктория Денисовна</t>
  </si>
  <si>
    <t>https://www.lithuaniancitizenship.com/ru/contact-ru/?referral</t>
  </si>
  <si>
    <t>1050574568.1777147096</t>
  </si>
  <si>
    <t>vgalkina276@gmail.com</t>
  </si>
  <si>
    <t>Rebekah Ruth Davis</t>
  </si>
  <si>
    <t>957514370.1777150465</t>
  </si>
  <si>
    <t>rdavis25@bu.edu</t>
  </si>
  <si>
    <t>Jardel Gonçalves Adaskevicius</t>
  </si>
  <si>
    <t>?kw=%27cidadania%20lituania%27&amp;cpn=14712129487&amp;utm_source=google&amp;utm_medium=cpc&amp;utm_campaign=LT-BR&amp;network=g&amp;utm_term=%27cidadania%20lituania%27&amp;gad_source=1&amp;gad_campaignid=14712129487&amp;gbraid=0AAAAADisZv_QfAkNHqHGhyVV1TWf_mAVo&amp;gclid=CjwKCAjwzLHPBhBTEiwABa</t>
  </si>
  <si>
    <t>1801691179.1775961224</t>
  </si>
  <si>
    <t>jardelnett@yahoo.com.br</t>
  </si>
  <si>
    <t>Haripriya K</t>
  </si>
  <si>
    <t>?utm_source=bing&amp;utm_medium=cpc&amp;utm_campaign=Bing-LT-RBI&amp;network=o&amp;utm_term=european%20countries%20citizenship%20by%20investment&amp;msclkid=22071096724e1a9bbdd2797b9ab09ee3</t>
  </si>
  <si>
    <t>1874354763.1777199400</t>
  </si>
  <si>
    <t>haripriyaa520@gmail.com</t>
  </si>
  <si>
    <t>Слуцька Оксана Максимівна</t>
  </si>
  <si>
    <t>Oleh Dymovski, Sheila Bartin</t>
  </si>
  <si>
    <t>?kw=литовское гражданство&amp;cpn=23681560526&amp;utm_source=google&amp;utm_medium=cpc&amp;utm_campaign=LT-ru-lang-conversions&amp;network=g&amp;utm_term=%D0%BB%D0%B8%D1%82%D0%B</t>
  </si>
  <si>
    <t>slutska110@gmail.com</t>
  </si>
  <si>
    <t>Mr. Viktor Poor</t>
  </si>
  <si>
    <t>Viktor Poor</t>
  </si>
  <si>
    <t>?kw=certificate%20of%20lithuanian%20descent&amp;cpn=14656253006&amp;utm_source=google&amp;utm_medium=cpc&amp;utm_campaign=LT-US-conversions&amp;network=g&amp;utm_term=certificate%20of%20lithuanian%20descent&amp;gad_source=1&amp;gad_campaignid=14656253006&amp;gbraid=0AAAAADisZv8zc0s8Z5zS_s9t</t>
  </si>
  <si>
    <t>vkpoor@gmail.com</t>
  </si>
  <si>
    <t>Satnam Saggu</t>
  </si>
  <si>
    <t>?kw=portugal%20golden%20visa%202026&amp;cpn=22658494721&amp;utm_source=google&amp;utm_medium=cpc&amp;utm_campaign=LV-RBI-TOP&amp;network=s&amp;utm_term=portugal%20golden%20visa%202026&amp;gad_source=5&amp;gad_campaignid=22658494721&amp;gclid=EAIaIQobChMI6pzB99qLlAMVAJRQBh3_9w4_EAAYASAAEgLiF</t>
  </si>
  <si>
    <t>726131556.1777213167</t>
  </si>
  <si>
    <t>saggusaggu575@gmail.com</t>
  </si>
  <si>
    <t>Nicole Palavs</t>
  </si>
  <si>
    <t>Italy (IT - EU)</t>
  </si>
  <si>
    <t>?fbclid=IwZXh0bgNhZW0CMTEAc3J0YwZhcHBfaWQKNjYyODU2ODM3OQABHqhlOtITT1GyH14c0bZbvBrGdeqzhF82W_v88ORPVH6T0zx_aNZ1qwWnvxcI_aem_XTZHkxWexab1a9qJxjY7lA</t>
  </si>
  <si>
    <t>2019690862.1777213465</t>
  </si>
  <si>
    <t>nikatinac@hotmail.com</t>
  </si>
  <si>
    <t>Samson ntogoro</t>
  </si>
  <si>
    <t>samsonntogoro@gmail.com</t>
  </si>
  <si>
    <t>Виктория Гайдар</t>
  </si>
  <si>
    <t>re89812411400@gmail.com</t>
  </si>
  <si>
    <t>Alexander Berezin</t>
  </si>
  <si>
    <t>Lithuania</t>
  </si>
  <si>
    <t>https://www.lithuaniancitizenship.com/ru/?not-set</t>
  </si>
  <si>
    <t>lbamalubama@protonmail.com</t>
  </si>
  <si>
    <t>German Bustamante</t>
  </si>
  <si>
    <t>?kw=lituania%20ciudadania&amp;cpn=14731585806&amp;utm_source=google&amp;utm_medium=cpc&amp;utm_campaign=LT-AR-CO-MX-UR&amp;network=g&amp;utm_term=lituania%20ciudadania&amp;gad_source=1&amp;gad_campaignid=14731585806&amp;gclid=Cj0KCQjw77bPBhC_ARIsAGAjjV9YgASgqcvpHaz1N7YCzdeNA3T2XShmiYhEYqFaq</t>
  </si>
  <si>
    <t>1396703648.1777225322</t>
  </si>
  <si>
    <t>germanab77@gmail.com</t>
  </si>
  <si>
    <t>Gaije Kushner Gordon</t>
  </si>
  <si>
    <t>?kw=lithuanian%20citizenship&amp;cpn=14656253006&amp;utm_source=google&amp;utm_medium=cpc&amp;utm_campaign=LT-US-conversions&amp;network=g&amp;utm_term=lithuanian%20citizenship&amp;gad_source=1&amp;gad_campaignid=14656253006&amp;gbraid=0AAAAADisZv8zc0s8Z5zS_s9t1hhHuoy5k&amp;gclid=Cj0KCQjw77bPBh</t>
  </si>
  <si>
    <t>724373312.1777232460</t>
  </si>
  <si>
    <t>gainek@gmail.com</t>
  </si>
  <si>
    <t>Abas</t>
  </si>
  <si>
    <t>Iraq</t>
  </si>
  <si>
    <t>990638666.1777233179</t>
  </si>
  <si>
    <t>sulivet2016@gmail.com</t>
  </si>
  <si>
    <t>Mary Elizabeth Carroll</t>
  </si>
  <si>
    <t>?kw=lithuanian%20ancestry%20citizenship&amp;cpn=14656253006&amp;utm_source=google&amp;utm_medium=cpc&amp;utm_campaign=LT-US-conversions&amp;network=g&amp;utm_term=lithuanian%20ancestry%20citizenship&amp;gad_source=1&amp;gad_campaignid=14656253006&amp;gbraid=0AAAAADisZv8zc0s8Z5zS_s9t1hhHuoy5</t>
  </si>
  <si>
    <t>780222608.1777245391</t>
  </si>
  <si>
    <t>mecarroll7@gmail.com</t>
  </si>
  <si>
    <t>Dorothy Pascale</t>
  </si>
  <si>
    <t>?kw=genealogy%20lithuanian&amp;cpn=14656253006&amp;utm_source=google&amp;utm_medium=cpc&amp;utm_campaign=LT-US-conversions&amp;network=g&amp;utm_term=genealogy%20lithuanian&amp;gad_source=1&amp;gad_campaignid=14656253006&amp;gbraid=0AAAAADisZv-pJdr4yxAHy5amECLtegWtc&amp;gclid=EAIaIQobChMI69SP-u</t>
  </si>
  <si>
    <t>1987117800.1777252381</t>
  </si>
  <si>
    <t>dorothypascale@gmail.com</t>
  </si>
  <si>
    <t>Heather Marie Gedman Buritica</t>
  </si>
  <si>
    <t>https://www.lithuaniancitizenship.com/company/</t>
  </si>
  <si>
    <t>457947348.1777258629</t>
  </si>
  <si>
    <t>hgedman@gmail.com</t>
  </si>
  <si>
    <t>Mr. Ryan Barker</t>
  </si>
  <si>
    <t>Ryan Barker</t>
  </si>
  <si>
    <t>?kw=lithuanian%20citizenship%20by%20descent&amp;cpn=14656253006&amp;utm_source=google&amp;utm_medium=cpc&amp;utm_campaign=LT-US-conversions&amp;network=g&amp;utm_term=lithuanian%20citizenship%20by%20descent&amp;gad_source=1&amp;gad_campaignid=14656253006&amp;gbraid=0AAAAADisZv-pJdr4yxAHy5am</t>
  </si>
  <si>
    <t>746451624.1777259592</t>
  </si>
  <si>
    <t>ryanjohnb71003@gmail.com</t>
  </si>
  <si>
    <t>Андрей Валерьевичь Глущенко</t>
  </si>
  <si>
    <t>https://www.lithuaniancitizenship.com/ru/benefits-ru/access-to-all-social-security-benefits-ru/?Lithuania--Search-Conversions-ru-lang</t>
  </si>
  <si>
    <t>2135431833.1777017534</t>
  </si>
  <si>
    <t>Luke Harris</t>
  </si>
  <si>
    <t>Calendly: Luke Harris</t>
  </si>
  <si>
    <t>lukejacobharris@gmail.com</t>
  </si>
  <si>
    <t>Sarwan</t>
  </si>
  <si>
    <t>?kw=portugal%20golden%20visa&amp;cpn=22658494721&amp;utm_source=google&amp;utm_medium=cpc&amp;utm_campaign=LV-RBI-TOP&amp;network=s&amp;utm_term=portugal%20golden%20visa&amp;gad_source=5&amp;gad_campaignid=22658494721&amp;gclid=EAIaIQobChMI5dbb2sWNlAMVw5ZQBh1UIBGUEAAYASAAEgJ46PD_BwE</t>
  </si>
  <si>
    <t>65190149.1777201953</t>
  </si>
  <si>
    <t>said.raouf2020@gmail.com</t>
  </si>
  <si>
    <t>segun</t>
  </si>
  <si>
    <t>olorunsholasegun89@gmail.com</t>
  </si>
  <si>
    <t>sepas</t>
  </si>
  <si>
    <t>haghighi.sepas@gmail.com</t>
  </si>
  <si>
    <t>Валентина</t>
  </si>
  <si>
    <t>Latvia</t>
  </si>
  <si>
    <t>1181638608.1777290286</t>
  </si>
  <si>
    <t>valjavinokurova@gmail.com</t>
  </si>
  <si>
    <t>Roman Pinkovskyi</t>
  </si>
  <si>
    <t>roman.fisherway@gmail.com</t>
  </si>
  <si>
    <t>Abdullah Shair</t>
  </si>
  <si>
    <t>?kw=europe%20residence%20by%20investment&amp;cpn=22658494721&amp;utm_source=google&amp;utm_medium=cpc&amp;utm_campaign=LV-RBI-TOP&amp;network=s&amp;utm_term=europe%20residence%20by%20investment&amp;gad_source=5&amp;gad_campaignid=22658494721&amp;gclid=EAIaIQobChMI-r3bqoiOlAMVTAUGAB3ZvD0lEAA</t>
  </si>
  <si>
    <t>1919000641.1777294079</t>
  </si>
  <si>
    <t>princeabdullah0100@gmail.com</t>
  </si>
  <si>
    <t>Joshua Lane Bivins</t>
  </si>
  <si>
    <t>1572185337.1777294482</t>
  </si>
  <si>
    <t>joshuabivins96@gmail.com</t>
  </si>
  <si>
    <t>Guilherme Saldanha Henkin</t>
  </si>
  <si>
    <t>https://www.lithuaniancitizenship.com/pt-pt/?not-set</t>
  </si>
  <si>
    <t>guilhermehenkin@gmail.com</t>
  </si>
  <si>
    <t>Abdo Abdalbaky</t>
  </si>
  <si>
    <t>3bdo3bdalbaky@gmail.com</t>
  </si>
  <si>
    <t>Гражина</t>
  </si>
  <si>
    <t>?kw=литва миграционная служба&amp;utm_source=google&amp;utm_medium=cpc&amp;utm_campaign=LT-ru-lang-conversions&amp;network=g&amp;utm_term=%D</t>
  </si>
  <si>
    <t>906131018.1777298228</t>
  </si>
  <si>
    <t>blynovahrazhyna@gmail.com</t>
  </si>
  <si>
    <t>Mathias</t>
  </si>
  <si>
    <t>Calendly: Mathias</t>
  </si>
  <si>
    <t>amathias7399@gmail.com</t>
  </si>
  <si>
    <t>Rauf</t>
  </si>
  <si>
    <t>?kw=гражданство литвы&amp;utm_source=google&amp;utm_medium=cpc&amp;utm_campaign=LT-ru-lang-conversions&amp;network=g&amp;utm_term=%D0%B3%D1%80%D0%B0%D0%B6%D0%B4%D0%B0%D0%BD%D1%8</t>
  </si>
  <si>
    <t>481464547.1777305389</t>
  </si>
  <si>
    <t>qaraehmedovrauf987@gmail.com</t>
  </si>
  <si>
    <t>Rachel Moser</t>
  </si>
  <si>
    <t>rachelmsmoser@gmail.com</t>
  </si>
  <si>
    <t>Vim Aryal</t>
  </si>
  <si>
    <t>vim aryal</t>
  </si>
  <si>
    <t>https://www.lithuaniancitizenship.com/investment/?Bing-LT-CA</t>
  </si>
  <si>
    <t>406211817.1777315909</t>
  </si>
  <si>
    <t>vim.aryan@gmail.com</t>
  </si>
  <si>
    <t>Tiffany Rudzitis</t>
  </si>
  <si>
    <t>?utm_source=bing&amp;utm_medium=cpc&amp;utm_campaign=Bing-LV-USA&amp;msclkid=d6987be2ab181ec65e8b120d18dc9f9b</t>
  </si>
  <si>
    <t>1904436311.1777316812</t>
  </si>
  <si>
    <t>Tiffany.Rasaphangthong@gmail.com</t>
  </si>
  <si>
    <t>Amy Shenstone</t>
  </si>
  <si>
    <t>?kw=how%20to%20become%20lithuanian%20citizen&amp;cpn=17158881096&amp;utm_source=google&amp;utm_medium=cpc&amp;utm_campaign=LT-EU&amp;network=g&amp;utm_term=how%20to%20become%20lithuanian%20citizen&amp;gad_source=1&amp;gad_campaignid=17158881096&amp;gbraid=0AAAAADisZv8vQ20iPQA7gUJQXJI2gMW1L&amp;</t>
  </si>
  <si>
    <t>183545099.1777317184</t>
  </si>
  <si>
    <t>amyshenstone@gmail.com</t>
  </si>
  <si>
    <t>Vaughan. Naidoo</t>
  </si>
  <si>
    <t>Ireland (IE - EU)</t>
  </si>
  <si>
    <t>?kw=golden%20visa%20in%20latvia&amp;cpn=20594231202&amp;utm_source=google&amp;utm_medium=cpc&amp;utm_campaign=LV-RBI&amp;network=g&amp;utm_term=golden%20visa%20in%20latvia&amp;gad_source=1&amp;gad_campaignid=20594231202&amp;gclid=Cj0KCQjwkrzPBhCqARIsAJN460n_HLC1vRFEpsmiDAb2w2p3gWhE0wpCJk_VQ</t>
  </si>
  <si>
    <t>616693066.1777318195</t>
  </si>
  <si>
    <t>naidoo.vaughan@gmail.com</t>
  </si>
  <si>
    <t>SELMA OLIVEIRA CEZAR</t>
  </si>
  <si>
    <t>?kw=como%20conseguir%20cidadania%20lituana&amp;cpn=14712129487&amp;utm_source=google&amp;utm_medium=cpc&amp;utm_campaign=LT-BR&amp;network=g&amp;utm_term=como%20conseguir%20cidadania%20lituana&amp;gad_source=1&amp;gad_campaignid=14712129487&amp;gclid=Cj0KCQjwkrzPBhCqARIsAJN460myiVtzch6z2-qU</t>
  </si>
  <si>
    <t>2010793541.1777329125</t>
  </si>
  <si>
    <t>selma-c@uol.com.br</t>
  </si>
  <si>
    <t>Norbert Edmund Onaitis</t>
  </si>
  <si>
    <t>?kw&amp;cpn=23440895177&amp;utm_source=google&amp;utm_medium=cpc&amp;utm_campaign=LT-Discovery-US&amp;network&amp;utm_term&amp;gad_source=1&amp;gad_campaignid=23440895177&amp;gbraid=0AAAAADisZv_2r2pSMYiPOhnwXaJW3cIRf&amp;gclid=Cj0KCQjwkrzPBhCqARIsAJN460k9C_RM2WoobvFsse7qwqTIedFE_83Cs-QxwtqYhM_3</t>
  </si>
  <si>
    <t>635743747.1777329811</t>
  </si>
  <si>
    <t>norbertonaitis@gmail.com</t>
  </si>
  <si>
    <t>Shaikh Hazrat Ali</t>
  </si>
  <si>
    <t>alideltaforex@gmail.com</t>
  </si>
  <si>
    <t>Farhad Farhadi</t>
  </si>
  <si>
    <t>Farhad@Intelliwealth.co.uk</t>
  </si>
  <si>
    <t>Tahir Sultan</t>
  </si>
  <si>
    <t>119638623.1777334042</t>
  </si>
  <si>
    <t>tahirsultan1987@gmail.com</t>
  </si>
  <si>
    <t>Adrian Maher</t>
  </si>
  <si>
    <t>1502411130.1777339327</t>
  </si>
  <si>
    <t>adrian.maher@aptic.com.au</t>
  </si>
  <si>
    <t>Arun Rawat</t>
  </si>
  <si>
    <t>2020210006.1777350121</t>
  </si>
  <si>
    <t>sendtoarun20@gmail.com</t>
  </si>
  <si>
    <t>Shafqat bashir</t>
  </si>
  <si>
    <t>?kw=europe%20residence%20by%20investment&amp;cpn=22658494721&amp;utm_source=google&amp;utm_medium=cpc&amp;utm_campaign=LV-RBI-TOP&amp;network=g&amp;utm_term=europe%20residence%20by%20investment&amp;gad_source=1&amp;gad_campaignid=22658494721&amp;gclid=Cj0KCQjwkrzPBhCqARIsAJN460mv4IzJlzwFwBL</t>
  </si>
  <si>
    <t>1613533903.1777352405</t>
  </si>
  <si>
    <t>nbsgs.inc@gmail.com</t>
  </si>
  <si>
    <t>Moniruzzaman Sarker</t>
  </si>
  <si>
    <t>moniruzzaman.nrg@gmail.com</t>
  </si>
  <si>
    <t>Alhassane Soumah</t>
  </si>
  <si>
    <t>?kw=portugal%20golden%20visa&amp;cpn=22658494721&amp;utm_source=google&amp;utm_medium=cpc&amp;utm_campaign=LV-RBI-TOP&amp;network=s&amp;utm_term=portugal%20golden%20visa&amp;gad_source=5&amp;gad_campaignid=22658494721&amp;gclid=EAIaIQobChMI0JfY7rWQlAMVXYtoCR32Lx8zEAAYASAAEgKga_D_BwE</t>
  </si>
  <si>
    <t>156493168.1777375016</t>
  </si>
  <si>
    <t>soumahal66@gmail.com</t>
  </si>
  <si>
    <t>Ms. Amelia Zaremba</t>
  </si>
  <si>
    <t>Amelia Zaremba</t>
  </si>
  <si>
    <t>365321423.1777392258</t>
  </si>
  <si>
    <t>ameliazaremba@outlook.com</t>
  </si>
  <si>
    <t>Ibrahim Samha</t>
  </si>
  <si>
    <t>?kw=latvia%20residency&amp;cpn=22658494721&amp;utm_source=google&amp;utm_medium=cpc&amp;utm_campaign=LV-RBI-TOP&amp;network=g&amp;utm_term=latvia%20residency&amp;gad_source=1&amp;gad_campaignid=22658494721&amp;gbraid=0AAAAADisZv_syOAY4gtkF2GY_CFzmtMCu</t>
  </si>
  <si>
    <t>ibrahimaljusi0@gmail.com</t>
  </si>
  <si>
    <t>N. M.</t>
  </si>
  <si>
    <t>esteemed918.legislate772@passmail.com</t>
  </si>
  <si>
    <t>Denise Fanning via Alignable</t>
  </si>
  <si>
    <t>invitations@alignable.com</t>
  </si>
  <si>
    <t>S M Masud Rana</t>
  </si>
  <si>
    <t>?kw=eu%20golden%20visa&amp;cpn=23802531542&amp;utm_source=google&amp;utm_medium=cpc&amp;utm_campaign=LV-RBI-RE2-TOP&amp;network=s&amp;utm_term=eu%20golden%20visa&amp;gad_source=5&amp;gad_campaignid=23802531542&amp;gclid=EAIaIQobChMInIy7z8CSlAMVjfB5BB3aSjwVEAAYASAAEgLd9vD_BwE</t>
  </si>
  <si>
    <t>1585476168.1777446626</t>
  </si>
  <si>
    <t>mmmasudrana196@gmail.com</t>
  </si>
  <si>
    <t>Daniils</t>
  </si>
  <si>
    <t>d.petrovs@bilderlings.com</t>
  </si>
  <si>
    <t>Robert Wilson</t>
  </si>
  <si>
    <t>?kw=apply%20for%20latvian%20passport&amp;%3Bcpn=17080870499&amp;%3Bcampaignid=17080870499&amp;%3Badgroupid=138645502520&amp;%3Bkeywordid=%7Bkeywordid%7D&amp;%3Bnetwork=g&amp;%3Bdevice=m&amp;%3Bgad_source=1&amp;%3Bgad_campaignid=17080870499&amp;%3Bgclid=Cj0KCQjw2MbPBhCSARIsAP3jP9yj5QwZOrrMAg</t>
  </si>
  <si>
    <t>1240099798.1777456798</t>
  </si>
  <si>
    <t>robwilson3333@gmail.com</t>
  </si>
  <si>
    <t>Ms. Michelle Lathrop</t>
  </si>
  <si>
    <t>Michelle Lathrop</t>
  </si>
  <si>
    <t>?kw=how%20to%20get%20a%20lithuanian%20passport&amp;cpn=17158881096&amp;utm_source=google&amp;utm_medium=cpc&amp;utm_campaign=LT-EU&amp;network=g&amp;utm_term=how%20to%20get%20a%20lithuanian%20passport&amp;gad_source=1&amp;gad_campaignid=17158881096&amp;gbraid=0AAAAADisZv8_ObACEMPBbNSjBbquVe</t>
  </si>
  <si>
    <t>1563202782.1777456768</t>
  </si>
  <si>
    <t>peacewarrior1@icloud.com</t>
  </si>
  <si>
    <t>Игорь</t>
  </si>
  <si>
    <t>?kw=как получить гражданство литвы&amp;cpn=23681560526&amp;utm_source=google&amp;utm_medium=cpc&amp;utm_campaign=LT-ru-lang-conver</t>
  </si>
  <si>
    <t>585500876.1777464775</t>
  </si>
  <si>
    <t>kid3030468@gmail.com</t>
  </si>
  <si>
    <t>LADIN ALHABORI</t>
  </si>
  <si>
    <t>Yemen</t>
  </si>
  <si>
    <t>marvnfy@gmail.com</t>
  </si>
  <si>
    <t>Julian Ziogas</t>
  </si>
  <si>
    <t>?kw=lituania%20ciudadania&amp;cpn=14731585806&amp;utm_source=google&amp;utm_medium=cpc&amp;utm_campaign=LT-AR-CO-MX-UR&amp;network=g&amp;utm_term=lituania%20ciudadania&amp;gad_source=1&amp;gad_campaignid=14731585806&amp;gbraid=0AAAAADisZv-5qdbDMZshS0Eg8HMGgkWES&amp;gclid=Cj0KCQjw2MbPBhCSARIsAP3</t>
  </si>
  <si>
    <t>2086055734.1777475085</t>
  </si>
  <si>
    <t>julianziogas14@gmail.com</t>
  </si>
  <si>
    <t>Calendly: Vytas Fidleris</t>
  </si>
  <si>
    <t>vytas@socket.dev</t>
  </si>
  <si>
    <t>JESSE DYSART</t>
  </si>
  <si>
    <t>1269801211.1777477819</t>
  </si>
  <si>
    <t>sdstonesguy@yahoo.com</t>
  </si>
  <si>
    <t>Misty Ellen Abols</t>
  </si>
  <si>
    <t>https://latviancitizenship.eu/benefits/</t>
  </si>
  <si>
    <t>1281905123.1777486358</t>
  </si>
  <si>
    <t>4casaemmi@gmail.com</t>
  </si>
  <si>
    <t>Светлана</t>
  </si>
  <si>
    <t>?kw=получение литовского гражданства&amp;cpn=23681560526&amp;utm_source=google&amp;utm_medium=cpc&amp;utm_campaign=LT</t>
  </si>
  <si>
    <t>157611499.1777496094</t>
  </si>
  <si>
    <t>kolesnichko@gmail.com</t>
  </si>
  <si>
    <t>Muhammad Zahoor Ahmed</t>
  </si>
  <si>
    <t>?kw=eu%20golden%20visa&amp;cpn=23802531542&amp;utm_source=google&amp;utm_medium=cpc&amp;utm_campaign=LV-RBI-RE2-TOP&amp;network=s&amp;utm_term=eu%20golden%20visa&amp;gad_source=5&amp;gad_campaignid=23802531542&amp;gclid=EAIaIQobChMIv5b32YuUlAMVlTgGAB1ggQ82EAAYASAAEgKvyfD_BwE</t>
  </si>
  <si>
    <t>1522419129.1777501147</t>
  </si>
  <si>
    <t>zm408228@gmail.com</t>
  </si>
  <si>
    <t>Marta Ferreira da Silva</t>
  </si>
  <si>
    <t>?kw=como%20tirar%20cidadania%20lituana&amp;cpn=14712129487&amp;utm_source=google&amp;utm_medium=cpc&amp;utm_campaign=LT-BR&amp;network=g&amp;utm_term=como%20tirar%20cidadania%20lituana&amp;gad_source=1&amp;gad_campaignid=14712129487&amp;gclid=Cj0KCQjw2MbPBhCSARIsAP3jP9xAavvXEPcj1VW-oOKYTe_H</t>
  </si>
  <si>
    <t>640316097.1777502660</t>
  </si>
  <si>
    <t>martaferresilva@gmail.com</t>
  </si>
  <si>
    <t>Ms. Nazha Salhi</t>
  </si>
  <si>
    <t>Nazha Salhi</t>
  </si>
  <si>
    <t>?kw=obtaining%20lithuanian%20citizenship&amp;cpn=14656253006&amp;utm_source=google&amp;utm_medium=cpc&amp;utm_campaign=LT-US-conversions&amp;network=g&amp;utm_term=obtaining%20lithuanian%20citizenship&amp;gad_source=1&amp;gad_campaignid=14656253006&amp;gclid=Cj0KCQjw2MbPBhCSARIsAP3jP9w--JMQ</t>
  </si>
  <si>
    <t>1265154829.1777505090</t>
  </si>
  <si>
    <t>sali2003ma@gmail.com</t>
  </si>
  <si>
    <t>Ms. Sylvie Mei</t>
  </si>
  <si>
    <t>Sylvie Mei</t>
  </si>
  <si>
    <t>?utm_source=bing&amp;utm_medium=cpc&amp;utm_campaign=Bing-LT-AU&amp;network=o&amp;utm_term=how%20to%20get%20lithuanian%20citizenship%20by%20descent&amp;msclkid=cdfcea86ee82102d65d9837421ca5e5e</t>
  </si>
  <si>
    <t>1499067484.1777521134</t>
  </si>
  <si>
    <t>samanthadynamite296@gmail.com</t>
  </si>
  <si>
    <t>Gias uddin</t>
  </si>
  <si>
    <t>?kw=eu%20golden%20visa&amp;cpn=23802531542&amp;utm_source=google&amp;utm_medium=cpc&amp;utm_campaign=LV-RBI-RE2-TOP&amp;network=s&amp;utm_term=eu%20golden%20visa&amp;gad_source=5&amp;gad_campaignid=23802531542&amp;gclid=EAIaIQobChMInvGo4eKUlAMVP5xQBh2GpC4SEAAYASAAEgL6QvD_BwE</t>
  </si>
  <si>
    <t>184910022.1777524505</t>
  </si>
  <si>
    <t>giasuddinbd1888@gmail.com</t>
  </si>
  <si>
    <t>Ильина Марианна Сергеевна</t>
  </si>
  <si>
    <t>1522167910.1777528034</t>
  </si>
  <si>
    <t>mariannaili@mail.ru</t>
  </si>
  <si>
    <t>Algas Stasens</t>
  </si>
  <si>
    <t>?kw=%D0%B3%D1%80%D0%B0%D0%B6%D0%B4%D0%B0%D0%BD%D1%81%D1%82%D0%B2%D0%BE%20%D0%BB%D0%B8%D1%82%D0%B2%D1%8B%20%D0%BF%D0%BE%20%D0%BA%D0%BE%D1%80%D0%BD%D1%8F%D0%BC&amp;cpn=23681560526&amp;utm_source=google&amp;utm_medium=cpc&amp;utm_campaign=LT-ru-lang-conversions&amp;network=g&amp;ut</t>
  </si>
  <si>
    <t>733736062.1777542618</t>
  </si>
  <si>
    <t>algis.Stasens2@inbox.LV</t>
  </si>
  <si>
    <t>B M Mehadi Hasan</t>
  </si>
  <si>
    <t>ork_mak@yahoo.com</t>
  </si>
  <si>
    <t>Luccas Belini Lacevicius</t>
  </si>
  <si>
    <t>?kw=%27cidadania%20lituania%27&amp;cpn=14712129487&amp;utm_source=google&amp;utm_medium=cpc&amp;utm_campaign=LT-BR&amp;network=g&amp;utm_term=%27cidadania%20lituania%27&amp;gad_source=1&amp;gad_campaignid=14712129487&amp;gbraid=0AAAAADisZv-heJvaD9hOcN2dEXG-qbEQk&amp;gclid=CjwKCAjw-8vPBhBbEiwAoA</t>
  </si>
  <si>
    <t>1940933625.1777554103</t>
  </si>
  <si>
    <t>luccaslacevicius@gmail.com</t>
  </si>
  <si>
    <t>Gabriel Chiode</t>
  </si>
  <si>
    <t>gabrielchioode@gmail.com</t>
  </si>
  <si>
    <t>Marcos Tedesco</t>
  </si>
  <si>
    <t>439503826.1777537492</t>
  </si>
  <si>
    <t>marcostedesco@live.com.ar</t>
  </si>
  <si>
    <t>Лукашов</t>
  </si>
  <si>
    <t>FIRST FFUP SENT</t>
  </si>
  <si>
    <t>?kw=%D0%BB%D0%B8%D1%82%D0%BE%D0%B2%D1%81%D0%BA%D0%BE%D0%B5%20%D0%B3%D1%80%D0%B0%D0%B6%D0%B4%D0%B0%D0%BD%D1%81%D1%82%D0%B2%D0%BE%20%D0%BA%D0%B0%D0%BA%20%D0%BF%D0%BE%D0%BB%D1%83%D1%87%D0%B8%D1%82%D1%8C&amp;cpn=23681560526&amp;utm_source=google&amp;utm_medium=cpc&amp;utm_ca</t>
  </si>
  <si>
    <t>1877055137.1777566436</t>
  </si>
  <si>
    <t>d366388@gmail.com</t>
  </si>
  <si>
    <t>Amanda Cavanagh</t>
  </si>
  <si>
    <t>https://latviancitizenship.eu/benefits/travel-to-181-countries-without-a-prior-visa/</t>
  </si>
  <si>
    <t>936599400.1777567635</t>
  </si>
  <si>
    <t>amkent0109@gmail.com</t>
  </si>
  <si>
    <t>Sergio Denenberg</t>
  </si>
  <si>
    <t>?kw=ciudadan%C3%ADa%20lituana&amp;cpn=14731585806&amp;utm_source=google&amp;utm_medium=cpc&amp;utm_campaign=LT-AR-CO-MX-UR&amp;network=g&amp;utm_term=ciudadan%C3%ADa%20lituana&amp;gad_source=1&amp;gad_campaignid=14731585806&amp;gclid=CjwKCAjw-8vPBhBbEiwAoA39Wl6lKjTWXECHJhGSxlZ-Bhf0Yy0f_k2Pc</t>
  </si>
  <si>
    <t>640828551.1777570184</t>
  </si>
  <si>
    <t>sgdenenberg@gmail.com</t>
  </si>
  <si>
    <t>CAROLINE KLAVA</t>
  </si>
  <si>
    <t>https://www.lithuaniancitizenship.com/pt-pt/contact-pt/</t>
  </si>
  <si>
    <t>908976553.1777570175</t>
  </si>
  <si>
    <t>carolineklava@gmail.com</t>
  </si>
  <si>
    <t>Dana Snyder</t>
  </si>
  <si>
    <t>Calendly: Dana Snyder</t>
  </si>
  <si>
    <t>danadalia2025@gmail.com</t>
  </si>
  <si>
    <t>Marcqelondaniel segatta</t>
  </si>
  <si>
    <t>Marcelo Daniel Segatta</t>
  </si>
  <si>
    <t>?kw=ciudadania%20lituania&amp;cpn=14731585806&amp;utm_source=google&amp;utm_medium=cpc&amp;utm_campaign=LT-AR-CO-MX-UR&amp;network=s&amp;utm_term=ciudadania%20lituania&amp;gad_campaignid=14731585806&amp;wbraid=ClQKCQjw2MbPBhDAARJDAFqjJkR4GFSbIPZJ5uRVZT1jYcJceXo5znqQVvYE5LgAFL5-eXmkVUZ6u</t>
  </si>
  <si>
    <t>unken@live.com.ar</t>
  </si>
  <si>
    <t>Profit after marketing expenditure</t>
  </si>
  <si>
    <t>Act. result month</t>
  </si>
  <si>
    <t>Plan month</t>
  </si>
  <si>
    <t>Act. result 3 months average</t>
  </si>
  <si>
    <t>Plan 3 months av.</t>
  </si>
  <si>
    <t>Revenue</t>
  </si>
  <si>
    <t>Sales</t>
  </si>
  <si>
    <t>Marketing cost</t>
  </si>
  <si>
    <t>Paid traffic</t>
  </si>
  <si>
    <t>Paid traffic 3 months average</t>
  </si>
  <si>
    <t>Signed contracts</t>
  </si>
  <si>
    <t>LT contracts</t>
  </si>
  <si>
    <t>LV contracts</t>
  </si>
  <si>
    <t># of leads</t>
  </si>
  <si>
    <t># of clicks</t>
  </si>
  <si>
    <t>Total (including Bridgewest &amp; Calendly)</t>
  </si>
  <si>
    <t>LT</t>
  </si>
  <si>
    <t>Others</t>
  </si>
  <si>
    <t>LV</t>
  </si>
  <si>
    <t>LV RBI</t>
  </si>
  <si>
    <t>Company formation</t>
  </si>
  <si>
    <t>Total LT&amp;LV leads from paid traffic</t>
  </si>
  <si>
    <t>Total LT&amp;LV leads from other sources</t>
  </si>
  <si>
    <t>Conversion Lead / Contract</t>
  </si>
  <si>
    <t>LT 3 months</t>
  </si>
  <si>
    <t>LV 3 months</t>
  </si>
  <si>
    <t>Marketing expense</t>
  </si>
  <si>
    <t>LT Comp.</t>
  </si>
  <si>
    <t>Google</t>
  </si>
  <si>
    <t>Bing</t>
  </si>
  <si>
    <t>Total spent</t>
  </si>
  <si>
    <t>Total leads</t>
  </si>
  <si>
    <t>Spent per contract</t>
  </si>
  <si>
    <t>Conversion Lead/Contract</t>
  </si>
  <si>
    <t>Traffic</t>
  </si>
  <si>
    <t>Website conversion</t>
  </si>
  <si>
    <t>FB leads</t>
  </si>
  <si>
    <t>Inst leads</t>
  </si>
  <si>
    <t>Google leads</t>
  </si>
  <si>
    <t>Bing leads</t>
  </si>
  <si>
    <t>Other leads</t>
  </si>
  <si>
    <t>Conversion Lead/Contract (cit)</t>
  </si>
  <si>
    <t>Total</t>
  </si>
  <si>
    <t>CPL FB</t>
  </si>
  <si>
    <t>CPL Inst</t>
  </si>
  <si>
    <t>CPL Google</t>
  </si>
  <si>
    <t>CPL Bing</t>
  </si>
  <si>
    <t>CPL total leads</t>
  </si>
  <si>
    <t>Contracts by source</t>
  </si>
  <si>
    <t>Organic search</t>
  </si>
  <si>
    <t>others</t>
  </si>
  <si>
    <t>Source not defined (website form)</t>
  </si>
  <si>
    <t>Кампанії по країнах</t>
  </si>
  <si>
    <t>April 1, 2026 - April 30, 2026</t>
  </si>
  <si>
    <t>Campaign</t>
  </si>
  <si>
    <t>Campaign state</t>
  </si>
  <si>
    <t>Campaign type</t>
  </si>
  <si>
    <t>Country/Territory (Matched)</t>
  </si>
  <si>
    <t>Ad group</t>
  </si>
  <si>
    <t>Clicks</t>
  </si>
  <si>
    <t>Impr.</t>
  </si>
  <si>
    <t>CTR</t>
  </si>
  <si>
    <t>Currency code</t>
  </si>
  <si>
    <t>Avg. CPC</t>
  </si>
  <si>
    <t>Cost</t>
  </si>
  <si>
    <t>Conversions</t>
  </si>
  <si>
    <t>View-through conv.</t>
  </si>
  <si>
    <t>Cost / conv.</t>
  </si>
  <si>
    <t>Conv. rate</t>
  </si>
  <si>
    <t>HTTP | Search | Lithuania (LT) | Illinois, Chicago, Pennsylvania, New York, Massachusetts, California</t>
  </si>
  <si>
    <t>Enabled</t>
  </si>
  <si>
    <t>Search</t>
  </si>
  <si>
    <t>SKAG 1</t>
  </si>
  <si>
    <t>EUR</t>
  </si>
  <si>
    <t>HTTP | Search | Lithuania (LT) | Sao Paulo</t>
  </si>
  <si>
    <t>Citizenship-pt</t>
  </si>
  <si>
    <t>Ancestry</t>
  </si>
  <si>
    <t>Citizenship</t>
  </si>
  <si>
    <t>SKAG 2</t>
  </si>
  <si>
    <t>Passport #2</t>
  </si>
  <si>
    <t>HTTP | Search | Lithuania (LT) | Ontario, Toronto, Quebec. Montreal</t>
  </si>
  <si>
    <t>HTTP | Search | Lithuania (LT) | Melbourne, Sydney, Adelaide</t>
  </si>
  <si>
    <t>LV-Leads-Search-RBI-RE (copy) TOP countries</t>
  </si>
  <si>
    <t>LV RBI Business</t>
  </si>
  <si>
    <t>Passport</t>
  </si>
  <si>
    <t>Lithuania-Leads-Search-EU</t>
  </si>
  <si>
    <t>Netherlands</t>
  </si>
  <si>
    <t>Qatar</t>
  </si>
  <si>
    <t>Passport #3</t>
  </si>
  <si>
    <t>Belgium</t>
  </si>
  <si>
    <t>Bulgaria</t>
  </si>
  <si>
    <t>Cyprus</t>
  </si>
  <si>
    <t>Malta</t>
  </si>
  <si>
    <t>Estonia</t>
  </si>
  <si>
    <t>Citizenship - March 25</t>
  </si>
  <si>
    <t>Denmark</t>
  </si>
  <si>
    <t>Greece</t>
  </si>
  <si>
    <t>Hungary</t>
  </si>
  <si>
    <t>Portugal</t>
  </si>
  <si>
    <t>Romania</t>
  </si>
  <si>
    <t>Bahrain</t>
  </si>
  <si>
    <t>Hong Kong</t>
  </si>
  <si>
    <t>Croatia</t>
  </si>
  <si>
    <t>Czechia</t>
  </si>
  <si>
    <t>Luxembourg</t>
  </si>
  <si>
    <t>Slovenia</t>
  </si>
  <si>
    <t>Slovakia</t>
  </si>
  <si>
    <t>LV RBI only Real Estate</t>
  </si>
  <si>
    <t>Taiwan</t>
  </si>
  <si>
    <t>Report Name: Geographic by campaigns</t>
  </si>
  <si>
    <t>Report Time: 4/1/2026,4/30/2026</t>
  </si>
  <si>
    <t>Time Zone: (GMT-08:00) Pacific Time (US &amp; Canada); Tijuana</t>
  </si>
  <si>
    <t>Last Completed Available Day: 5/08/2026 10:55:00 AM (GMT)</t>
  </si>
  <si>
    <t>Last Completed Available Hour: 5/08/2026 10:55:00 AM (GMT)</t>
  </si>
  <si>
    <t>Account name</t>
  </si>
  <si>
    <t>Campaign name</t>
  </si>
  <si>
    <t>Country/region (physical location)</t>
  </si>
  <si>
    <t>State/province (physical location)</t>
  </si>
  <si>
    <t>Metro area (physical location)</t>
  </si>
  <si>
    <t>Impressions</t>
  </si>
  <si>
    <t>Spend</t>
  </si>
  <si>
    <t>Top impression rate</t>
  </si>
  <si>
    <t>Absolute top impression rate</t>
  </si>
  <si>
    <t>Account 2 - DC</t>
  </si>
  <si>
    <t>Lithuania-Leads-Search-USA</t>
  </si>
  <si>
    <t>California</t>
  </si>
  <si>
    <t>Marina del Rey</t>
  </si>
  <si>
    <t>Physical location</t>
  </si>
  <si>
    <t>Chico-Redding, CA</t>
  </si>
  <si>
    <t>Chico</t>
  </si>
  <si>
    <t>Cottonwood</t>
  </si>
  <si>
    <t>96022</t>
  </si>
  <si>
    <t>Redding</t>
  </si>
  <si>
    <t>96002</t>
  </si>
  <si>
    <t>Los Angeles, CA</t>
  </si>
  <si>
    <t>90292</t>
  </si>
  <si>
    <t>Camarillo</t>
  </si>
  <si>
    <t>93010</t>
  </si>
  <si>
    <t>Costa Mesa</t>
  </si>
  <si>
    <t>92627</t>
  </si>
  <si>
    <t>Culver City</t>
  </si>
  <si>
    <t>Fontana</t>
  </si>
  <si>
    <t>92337</t>
  </si>
  <si>
    <t>Garden Grove</t>
  </si>
  <si>
    <t>92840</t>
  </si>
  <si>
    <t>92845</t>
  </si>
  <si>
    <t>Idyllwild</t>
  </si>
  <si>
    <t>92549</t>
  </si>
  <si>
    <t>Inglewood</t>
  </si>
  <si>
    <t>Irvine</t>
  </si>
  <si>
    <t>92606</t>
  </si>
  <si>
    <t>Lake Elsinore</t>
  </si>
  <si>
    <t>Long Beach</t>
  </si>
  <si>
    <t>90805</t>
  </si>
  <si>
    <t>Los Angeles</t>
  </si>
  <si>
    <t>90006</t>
  </si>
  <si>
    <t>90007</t>
  </si>
  <si>
    <t>90011</t>
  </si>
  <si>
    <t>90012</t>
  </si>
  <si>
    <t>90013</t>
  </si>
  <si>
    <t>90026</t>
  </si>
  <si>
    <t>90038</t>
  </si>
  <si>
    <t>90044</t>
  </si>
  <si>
    <t>90045</t>
  </si>
  <si>
    <t>90047</t>
  </si>
  <si>
    <t>90060</t>
  </si>
  <si>
    <t>Montebello</t>
  </si>
  <si>
    <t>90640</t>
  </si>
  <si>
    <t>Ontario</t>
  </si>
  <si>
    <t>Pasadena</t>
  </si>
  <si>
    <t>91104</t>
  </si>
  <si>
    <t>91107</t>
  </si>
  <si>
    <t>Torrance</t>
  </si>
  <si>
    <t>90503</t>
  </si>
  <si>
    <t>Ventura</t>
  </si>
  <si>
    <t>93001</t>
  </si>
  <si>
    <t>Monterey-Salinas, CA</t>
  </si>
  <si>
    <t>Seaside</t>
  </si>
  <si>
    <t>Palm Springs, CA</t>
  </si>
  <si>
    <t>Indian Wells</t>
  </si>
  <si>
    <t>92210</t>
  </si>
  <si>
    <t>Sacramento-Stockton-Modesto, CA</t>
  </si>
  <si>
    <t>Woodland</t>
  </si>
  <si>
    <t>95695</t>
  </si>
  <si>
    <t>San Diego, CA</t>
  </si>
  <si>
    <t>Chula Vista</t>
  </si>
  <si>
    <t>El Cajon</t>
  </si>
  <si>
    <t>92020</t>
  </si>
  <si>
    <t>Escondido</t>
  </si>
  <si>
    <t>92025</t>
  </si>
  <si>
    <t>Lakeside</t>
  </si>
  <si>
    <t>San Diego</t>
  </si>
  <si>
    <t>92101</t>
  </si>
  <si>
    <t>92114</t>
  </si>
  <si>
    <t>92124</t>
  </si>
  <si>
    <t>92128</t>
  </si>
  <si>
    <t>San Francisco-Oakland-San Jose, CA</t>
  </si>
  <si>
    <t>Antioch</t>
  </si>
  <si>
    <t>94531</t>
  </si>
  <si>
    <t>Belmont</t>
  </si>
  <si>
    <t>94002</t>
  </si>
  <si>
    <t>Berkeley</t>
  </si>
  <si>
    <t>94703</t>
  </si>
  <si>
    <t>94707</t>
  </si>
  <si>
    <t>Burlingame</t>
  </si>
  <si>
    <t>94010</t>
  </si>
  <si>
    <t>Concord</t>
  </si>
  <si>
    <t>94518</t>
  </si>
  <si>
    <t>Danville</t>
  </si>
  <si>
    <t>El Cerrito</t>
  </si>
  <si>
    <t>94530</t>
  </si>
  <si>
    <t>El Sobrante</t>
  </si>
  <si>
    <t>Fremont</t>
  </si>
  <si>
    <t>94538</t>
  </si>
  <si>
    <t>Hayward</t>
  </si>
  <si>
    <t>94541</t>
  </si>
  <si>
    <t>94544</t>
  </si>
  <si>
    <t>Los Altos</t>
  </si>
  <si>
    <t>94022</t>
  </si>
  <si>
    <t>Occidental</t>
  </si>
  <si>
    <t>Palo Alto</t>
  </si>
  <si>
    <t>94304</t>
  </si>
  <si>
    <t>San Francisco</t>
  </si>
  <si>
    <t>94112</t>
  </si>
  <si>
    <t>94142</t>
  </si>
  <si>
    <t>San Jose</t>
  </si>
  <si>
    <t>95122</t>
  </si>
  <si>
    <t>San Pablo</t>
  </si>
  <si>
    <t>94806</t>
  </si>
  <si>
    <t>Santa Clara</t>
  </si>
  <si>
    <t>95051</t>
  </si>
  <si>
    <t>Sunnyvale</t>
  </si>
  <si>
    <t>94086</t>
  </si>
  <si>
    <t>Vallejo</t>
  </si>
  <si>
    <t>94591</t>
  </si>
  <si>
    <t>Santa Barbara-Santa Maria-San Luis Obispo, CA</t>
  </si>
  <si>
    <t>Arroyo Grande</t>
  </si>
  <si>
    <t>93420</t>
  </si>
  <si>
    <t>Grover Beach</t>
  </si>
  <si>
    <t>93433</t>
  </si>
  <si>
    <t>Solvang</t>
  </si>
  <si>
    <t>93463</t>
  </si>
  <si>
    <t>Connecticut</t>
  </si>
  <si>
    <t>Hartford &amp; New Haven, CT</t>
  </si>
  <si>
    <t>East Hartford</t>
  </si>
  <si>
    <t>06108</t>
  </si>
  <si>
    <t>Manchester</t>
  </si>
  <si>
    <t>06040</t>
  </si>
  <si>
    <t>New Haven</t>
  </si>
  <si>
    <t>06511</t>
  </si>
  <si>
    <t>Rocky Hill</t>
  </si>
  <si>
    <t>06067</t>
  </si>
  <si>
    <t>West Hartford</t>
  </si>
  <si>
    <t>Wolcott</t>
  </si>
  <si>
    <t>06716</t>
  </si>
  <si>
    <t>New York, NY</t>
  </si>
  <si>
    <t>Bridgeport</t>
  </si>
  <si>
    <t>06608</t>
  </si>
  <si>
    <t>Stamford</t>
  </si>
  <si>
    <t>Stratford</t>
  </si>
  <si>
    <t>06615</t>
  </si>
  <si>
    <t>District of Columbia</t>
  </si>
  <si>
    <t>Washington, DC (Hagerstown, MD)</t>
  </si>
  <si>
    <t>Washington</t>
  </si>
  <si>
    <t>20001</t>
  </si>
  <si>
    <t>20002</t>
  </si>
  <si>
    <t>20004</t>
  </si>
  <si>
    <t>20006</t>
  </si>
  <si>
    <t>20007</t>
  </si>
  <si>
    <t>20009</t>
  </si>
  <si>
    <t>20024</t>
  </si>
  <si>
    <t>20032</t>
  </si>
  <si>
    <t>20037</t>
  </si>
  <si>
    <t>Florida</t>
  </si>
  <si>
    <t>Miami-Dade County</t>
  </si>
  <si>
    <t>Ft. Myers-Naples, FL</t>
  </si>
  <si>
    <t>Cape Coral</t>
  </si>
  <si>
    <t>33993</t>
  </si>
  <si>
    <t>Naples</t>
  </si>
  <si>
    <t>34108</t>
  </si>
  <si>
    <t>34109</t>
  </si>
  <si>
    <t>Jacksonville, FL</t>
  </si>
  <si>
    <t>Jacksonville</t>
  </si>
  <si>
    <t>32207</t>
  </si>
  <si>
    <t>32210</t>
  </si>
  <si>
    <t>32256</t>
  </si>
  <si>
    <t>St Augustine</t>
  </si>
  <si>
    <t>32092</t>
  </si>
  <si>
    <t>Miami-Ft. Lauderdale, FL</t>
  </si>
  <si>
    <t>Fort Lauderdale</t>
  </si>
  <si>
    <t>33328</t>
  </si>
  <si>
    <t>Miami</t>
  </si>
  <si>
    <t>33125</t>
  </si>
  <si>
    <t>33130</t>
  </si>
  <si>
    <t>33131</t>
  </si>
  <si>
    <t>33184</t>
  </si>
  <si>
    <t>33192</t>
  </si>
  <si>
    <t>Miami Beach</t>
  </si>
  <si>
    <t>33139</t>
  </si>
  <si>
    <t>North Miami Beach</t>
  </si>
  <si>
    <t>33160</t>
  </si>
  <si>
    <t>Pompano Beach</t>
  </si>
  <si>
    <t>33063</t>
  </si>
  <si>
    <t>33066</t>
  </si>
  <si>
    <t>Orlando-Daytona Beach-Melbourne, FL</t>
  </si>
  <si>
    <t>Cocoa Beach</t>
  </si>
  <si>
    <t>32931</t>
  </si>
  <si>
    <t>DeLand</t>
  </si>
  <si>
    <t>32724</t>
  </si>
  <si>
    <t>Malabar</t>
  </si>
  <si>
    <t>32950</t>
  </si>
  <si>
    <t>Melbourne</t>
  </si>
  <si>
    <t>32901</t>
  </si>
  <si>
    <t>32904</t>
  </si>
  <si>
    <t>32934</t>
  </si>
  <si>
    <t>Orlando</t>
  </si>
  <si>
    <t>32810</t>
  </si>
  <si>
    <t>32819</t>
  </si>
  <si>
    <t>32824</t>
  </si>
  <si>
    <t>32830</t>
  </si>
  <si>
    <t>Palm Coast</t>
  </si>
  <si>
    <t>32137</t>
  </si>
  <si>
    <t>The Villages</t>
  </si>
  <si>
    <t>32163</t>
  </si>
  <si>
    <t>Tallahassee, FL-Thomasville, GA</t>
  </si>
  <si>
    <t>Tallahassee</t>
  </si>
  <si>
    <t>32304</t>
  </si>
  <si>
    <t>Tampa-St. Petersburg (Sarasota), FL</t>
  </si>
  <si>
    <t>Auburndale</t>
  </si>
  <si>
    <t>33823</t>
  </si>
  <si>
    <t>Brandon</t>
  </si>
  <si>
    <t>33511</t>
  </si>
  <si>
    <t>Hudson</t>
  </si>
  <si>
    <t>Lakeland</t>
  </si>
  <si>
    <t>33803</t>
  </si>
  <si>
    <t>Largo</t>
  </si>
  <si>
    <t>33771</t>
  </si>
  <si>
    <t>Sebring</t>
  </si>
  <si>
    <t>33872</t>
  </si>
  <si>
    <t>Spring Hill</t>
  </si>
  <si>
    <t>34606</t>
  </si>
  <si>
    <t>Tampa</t>
  </si>
  <si>
    <t>33615</t>
  </si>
  <si>
    <t>33647</t>
  </si>
  <si>
    <t>Venice</t>
  </si>
  <si>
    <t>34293</t>
  </si>
  <si>
    <t>West Palm Beach-Ft. Pierce, FL</t>
  </si>
  <si>
    <t>Boca Raton</t>
  </si>
  <si>
    <t>33487</t>
  </si>
  <si>
    <t>Illinois</t>
  </si>
  <si>
    <t>Champaign &amp; Springfield-Decatur, IL</t>
  </si>
  <si>
    <t>Chatham</t>
  </si>
  <si>
    <t>62629</t>
  </si>
  <si>
    <t>Chicago, IL</t>
  </si>
  <si>
    <t>60002</t>
  </si>
  <si>
    <t>Aurora</t>
  </si>
  <si>
    <t>60504</t>
  </si>
  <si>
    <t>Bartlett</t>
  </si>
  <si>
    <t>Cary</t>
  </si>
  <si>
    <t>60013</t>
  </si>
  <si>
    <t>Chicago</t>
  </si>
  <si>
    <t>60602</t>
  </si>
  <si>
    <t>60606</t>
  </si>
  <si>
    <t>60607</t>
  </si>
  <si>
    <t>60608</t>
  </si>
  <si>
    <t>60609</t>
  </si>
  <si>
    <t>60611</t>
  </si>
  <si>
    <t>60616</t>
  </si>
  <si>
    <t>60618</t>
  </si>
  <si>
    <t>60626</t>
  </si>
  <si>
    <t>60629</t>
  </si>
  <si>
    <t>60632</t>
  </si>
  <si>
    <t>60634</t>
  </si>
  <si>
    <t>60642</t>
  </si>
  <si>
    <t>60643</t>
  </si>
  <si>
    <t>60644</t>
  </si>
  <si>
    <t>60647</t>
  </si>
  <si>
    <t>60651</t>
  </si>
  <si>
    <t>60652</t>
  </si>
  <si>
    <t>60653</t>
  </si>
  <si>
    <t>60654</t>
  </si>
  <si>
    <t>Chicago Heights</t>
  </si>
  <si>
    <t>Cicero</t>
  </si>
  <si>
    <t>60804</t>
  </si>
  <si>
    <t>Des Plaines</t>
  </si>
  <si>
    <t>Evanston</t>
  </si>
  <si>
    <t>60202</t>
  </si>
  <si>
    <t>Genoa</t>
  </si>
  <si>
    <t>Highland Park</t>
  </si>
  <si>
    <t>60035</t>
  </si>
  <si>
    <t>Joliet</t>
  </si>
  <si>
    <t>60432</t>
  </si>
  <si>
    <t>La Grange</t>
  </si>
  <si>
    <t>Morton Grove</t>
  </si>
  <si>
    <t>60053</t>
  </si>
  <si>
    <t>Naperville</t>
  </si>
  <si>
    <t>Peru</t>
  </si>
  <si>
    <t>61354</t>
  </si>
  <si>
    <t>Plainfield</t>
  </si>
  <si>
    <t>60586</t>
  </si>
  <si>
    <t>Roselle</t>
  </si>
  <si>
    <t>60172</t>
  </si>
  <si>
    <t>St Charles</t>
  </si>
  <si>
    <t>60174</t>
  </si>
  <si>
    <t>West Chicago</t>
  </si>
  <si>
    <t>60185</t>
  </si>
  <si>
    <t>Wheaton</t>
  </si>
  <si>
    <t>60187</t>
  </si>
  <si>
    <t>Peoria-Bloomington, IL</t>
  </si>
  <si>
    <t>Rockford, IL</t>
  </si>
  <si>
    <t>Freeport</t>
  </si>
  <si>
    <t>61032</t>
  </si>
  <si>
    <t>Rockford</t>
  </si>
  <si>
    <t>61114</t>
  </si>
  <si>
    <t>St. Louis, MO</t>
  </si>
  <si>
    <t>Highland</t>
  </si>
  <si>
    <t>62249</t>
  </si>
  <si>
    <t>Indiana</t>
  </si>
  <si>
    <t>46340</t>
  </si>
  <si>
    <t>Crown Point</t>
  </si>
  <si>
    <t>46307</t>
  </si>
  <si>
    <t>Hebron</t>
  </si>
  <si>
    <t>46341</t>
  </si>
  <si>
    <t>Ft. Wayne, IN</t>
  </si>
  <si>
    <t>Columbia City</t>
  </si>
  <si>
    <t>46725</t>
  </si>
  <si>
    <t>Huntington</t>
  </si>
  <si>
    <t>46750</t>
  </si>
  <si>
    <t>Indianapolis, IN</t>
  </si>
  <si>
    <t>Franklin</t>
  </si>
  <si>
    <t>46131</t>
  </si>
  <si>
    <t>Indianapolis</t>
  </si>
  <si>
    <t>46204</t>
  </si>
  <si>
    <t>46226</t>
  </si>
  <si>
    <t>Martinsville</t>
  </si>
  <si>
    <t>46151</t>
  </si>
  <si>
    <t>Louisville, KY</t>
  </si>
  <si>
    <t>47264</t>
  </si>
  <si>
    <t>South Bend-Elkhart, IN</t>
  </si>
  <si>
    <t>Culver</t>
  </si>
  <si>
    <t>46511</t>
  </si>
  <si>
    <t>Winamac</t>
  </si>
  <si>
    <t>46996</t>
  </si>
  <si>
    <t>Iowa</t>
  </si>
  <si>
    <t>Cedar Rapids-Waterloo-Iowa City &amp; Dubuque, IA</t>
  </si>
  <si>
    <t>Cedar Rapids</t>
  </si>
  <si>
    <t>52411</t>
  </si>
  <si>
    <t>Davenport, IA-Rock Island-Moline, IL</t>
  </si>
  <si>
    <t>Davenport</t>
  </si>
  <si>
    <t>52806</t>
  </si>
  <si>
    <t>Des Moines-Ames, IA</t>
  </si>
  <si>
    <t>Des Moines</t>
  </si>
  <si>
    <t>50309</t>
  </si>
  <si>
    <t>50310</t>
  </si>
  <si>
    <t>Sioux City, IA</t>
  </si>
  <si>
    <t>Lake View</t>
  </si>
  <si>
    <t>51450</t>
  </si>
  <si>
    <t>Kansas</t>
  </si>
  <si>
    <t>Reno County</t>
  </si>
  <si>
    <t>Kansas City, MO</t>
  </si>
  <si>
    <t>Lenexa</t>
  </si>
  <si>
    <t>Olathe</t>
  </si>
  <si>
    <t>66061</t>
  </si>
  <si>
    <t>Topeka, KS</t>
  </si>
  <si>
    <t>Fort Riley</t>
  </si>
  <si>
    <t>66442</t>
  </si>
  <si>
    <t>Wichita-Hutchinson Plus, KS</t>
  </si>
  <si>
    <t>Pretty Prairie</t>
  </si>
  <si>
    <t>67570</t>
  </si>
  <si>
    <t>Maine</t>
  </si>
  <si>
    <t>Bangor, ME</t>
  </si>
  <si>
    <t>Bar Harbor</t>
  </si>
  <si>
    <t>04609</t>
  </si>
  <si>
    <t>Portland-Auburn, ME</t>
  </si>
  <si>
    <t>04022</t>
  </si>
  <si>
    <t>Farmington</t>
  </si>
  <si>
    <t>Portland</t>
  </si>
  <si>
    <t>Sanford</t>
  </si>
  <si>
    <t>04073</t>
  </si>
  <si>
    <t>West Baldwin</t>
  </si>
  <si>
    <t>04091</t>
  </si>
  <si>
    <t>Maryland</t>
  </si>
  <si>
    <t>Baltimore, MD</t>
  </si>
  <si>
    <t>Baltimore</t>
  </si>
  <si>
    <t>21211</t>
  </si>
  <si>
    <t>21215</t>
  </si>
  <si>
    <t>Catonsville</t>
  </si>
  <si>
    <t>21228</t>
  </si>
  <si>
    <t>Gwynn Oak</t>
  </si>
  <si>
    <t>21207</t>
  </si>
  <si>
    <t>Havre de Grace</t>
  </si>
  <si>
    <t>21078</t>
  </si>
  <si>
    <t>North East</t>
  </si>
  <si>
    <t>21901</t>
  </si>
  <si>
    <t>Bethesda</t>
  </si>
  <si>
    <t>20817</t>
  </si>
  <si>
    <t>College Park</t>
  </si>
  <si>
    <t>20740</t>
  </si>
  <si>
    <t>Frederick</t>
  </si>
  <si>
    <t>21703</t>
  </si>
  <si>
    <t>Germantown</t>
  </si>
  <si>
    <t>20874</t>
  </si>
  <si>
    <t>Hyattsville</t>
  </si>
  <si>
    <t>20783</t>
  </si>
  <si>
    <t>Olney</t>
  </si>
  <si>
    <t>20832</t>
  </si>
  <si>
    <t>Potomac</t>
  </si>
  <si>
    <t>20854</t>
  </si>
  <si>
    <t>Rockville</t>
  </si>
  <si>
    <t>20852</t>
  </si>
  <si>
    <t>Silver Spring</t>
  </si>
  <si>
    <t>20901</t>
  </si>
  <si>
    <t>20902</t>
  </si>
  <si>
    <t>20906</t>
  </si>
  <si>
    <t>20910</t>
  </si>
  <si>
    <t>Massachusetts</t>
  </si>
  <si>
    <t>Boston, MA (Manchester, NH)</t>
  </si>
  <si>
    <t>02189</t>
  </si>
  <si>
    <t>Arlington</t>
  </si>
  <si>
    <t>02474</t>
  </si>
  <si>
    <t>02476</t>
  </si>
  <si>
    <t>Boston</t>
  </si>
  <si>
    <t>02111</t>
  </si>
  <si>
    <t>02118</t>
  </si>
  <si>
    <t>02119</t>
  </si>
  <si>
    <t>Brockton</t>
  </si>
  <si>
    <t>02301</t>
  </si>
  <si>
    <t>Brookline</t>
  </si>
  <si>
    <t>Cambridge</t>
  </si>
  <si>
    <t>02138</t>
  </si>
  <si>
    <t>Centerville</t>
  </si>
  <si>
    <t>02632</t>
  </si>
  <si>
    <t>Douglas</t>
  </si>
  <si>
    <t>01516</t>
  </si>
  <si>
    <t>Framingham</t>
  </si>
  <si>
    <t>01701</t>
  </si>
  <si>
    <t>Gardner</t>
  </si>
  <si>
    <t>01440</t>
  </si>
  <si>
    <t>Grafton</t>
  </si>
  <si>
    <t>01560</t>
  </si>
  <si>
    <t>Hopkinton</t>
  </si>
  <si>
    <t>01748</t>
  </si>
  <si>
    <t>Lawrence</t>
  </si>
  <si>
    <t>Littleton</t>
  </si>
  <si>
    <t>01460</t>
  </si>
  <si>
    <t>Natick</t>
  </si>
  <si>
    <t>01760</t>
  </si>
  <si>
    <t>Newton Centre</t>
  </si>
  <si>
    <t>02459</t>
  </si>
  <si>
    <t>Plymouth</t>
  </si>
  <si>
    <t>02360</t>
  </si>
  <si>
    <t>Pocasset</t>
  </si>
  <si>
    <t>02559</t>
  </si>
  <si>
    <t>Quincy</t>
  </si>
  <si>
    <t>Reading</t>
  </si>
  <si>
    <t>Revere</t>
  </si>
  <si>
    <t>02151</t>
  </si>
  <si>
    <t>Sharon</t>
  </si>
  <si>
    <t>02067</t>
  </si>
  <si>
    <t>South Dennis</t>
  </si>
  <si>
    <t>02641</t>
  </si>
  <si>
    <t>Southborough</t>
  </si>
  <si>
    <t>01772</t>
  </si>
  <si>
    <t>Vineyard Haven</t>
  </si>
  <si>
    <t>Waltham</t>
  </si>
  <si>
    <t>02451</t>
  </si>
  <si>
    <t>Wareham</t>
  </si>
  <si>
    <t>02571</t>
  </si>
  <si>
    <t>Westborough</t>
  </si>
  <si>
    <t>01581</t>
  </si>
  <si>
    <t>Providence, RI-New Bedford, MA</t>
  </si>
  <si>
    <t>South Easton</t>
  </si>
  <si>
    <t>02375</t>
  </si>
  <si>
    <t>Springfield-Holyoke, MA</t>
  </si>
  <si>
    <t>Holyoke</t>
  </si>
  <si>
    <t>01040</t>
  </si>
  <si>
    <t>Northampton</t>
  </si>
  <si>
    <t>01063</t>
  </si>
  <si>
    <t>Michigan</t>
  </si>
  <si>
    <t>Detroit, MI</t>
  </si>
  <si>
    <t>48324</t>
  </si>
  <si>
    <t>Ann Arbor</t>
  </si>
  <si>
    <t>48105</t>
  </si>
  <si>
    <t>Canton</t>
  </si>
  <si>
    <t>48188</t>
  </si>
  <si>
    <t>Clinton Township</t>
  </si>
  <si>
    <t>48038</t>
  </si>
  <si>
    <t>Dearborn</t>
  </si>
  <si>
    <t>48121</t>
  </si>
  <si>
    <t>Detroit</t>
  </si>
  <si>
    <t>48226</t>
  </si>
  <si>
    <t>48228</t>
  </si>
  <si>
    <t>East China</t>
  </si>
  <si>
    <t>48054</t>
  </si>
  <si>
    <t>48331</t>
  </si>
  <si>
    <t>48357</t>
  </si>
  <si>
    <t>Howell</t>
  </si>
  <si>
    <t>48843</t>
  </si>
  <si>
    <t>Lake Orion</t>
  </si>
  <si>
    <t>St Clair Shores</t>
  </si>
  <si>
    <t>48081</t>
  </si>
  <si>
    <t>Waterford</t>
  </si>
  <si>
    <t>Flint-Saginaw-Bay City, MI</t>
  </si>
  <si>
    <t>Bay City</t>
  </si>
  <si>
    <t>48708</t>
  </si>
  <si>
    <t>Grand Rapids-Kalamazoo-Battle Creek, MI</t>
  </si>
  <si>
    <t>Hudsonville</t>
  </si>
  <si>
    <t>49426</t>
  </si>
  <si>
    <t>Toledo, OH</t>
  </si>
  <si>
    <t>Adrian</t>
  </si>
  <si>
    <t>49221</t>
  </si>
  <si>
    <t>Traverse City-Cadillac, MI</t>
  </si>
  <si>
    <t>Traverse City</t>
  </si>
  <si>
    <t>49686</t>
  </si>
  <si>
    <t>Minnesota</t>
  </si>
  <si>
    <t>Fargo-Valley City, ND</t>
  </si>
  <si>
    <t>Moorhead</t>
  </si>
  <si>
    <t>56560</t>
  </si>
  <si>
    <t>Minneapolis-St. Paul, MN</t>
  </si>
  <si>
    <t>Brooten</t>
  </si>
  <si>
    <t>56316</t>
  </si>
  <si>
    <t>Cottage Grove</t>
  </si>
  <si>
    <t>55016</t>
  </si>
  <si>
    <t>Maple Grove</t>
  </si>
  <si>
    <t>55311</t>
  </si>
  <si>
    <t>Milaca</t>
  </si>
  <si>
    <t>56353</t>
  </si>
  <si>
    <t>Minneapolis</t>
  </si>
  <si>
    <t>55401</t>
  </si>
  <si>
    <t>55403</t>
  </si>
  <si>
    <t>55406</t>
  </si>
  <si>
    <t>55413</t>
  </si>
  <si>
    <t>55414</t>
  </si>
  <si>
    <t>55416</t>
  </si>
  <si>
    <t>55418</t>
  </si>
  <si>
    <t>55421</t>
  </si>
  <si>
    <t>55474</t>
  </si>
  <si>
    <t>St Paul</t>
  </si>
  <si>
    <t>55113</t>
  </si>
  <si>
    <t>55116</t>
  </si>
  <si>
    <t>Starbuck</t>
  </si>
  <si>
    <t>56381</t>
  </si>
  <si>
    <t>Rochester, MN-Mason City, IA-Austin, MN</t>
  </si>
  <si>
    <t>Rochester</t>
  </si>
  <si>
    <t>55901</t>
  </si>
  <si>
    <t>Missouri</t>
  </si>
  <si>
    <t>Springfield, MO</t>
  </si>
  <si>
    <t>Springfield</t>
  </si>
  <si>
    <t>65807</t>
  </si>
  <si>
    <t>St Louis</t>
  </si>
  <si>
    <t>63114</t>
  </si>
  <si>
    <t>63130</t>
  </si>
  <si>
    <t>63131</t>
  </si>
  <si>
    <t>63146</t>
  </si>
  <si>
    <t>Nebraska</t>
  </si>
  <si>
    <t>Lincoln &amp; Hastings-Kearney, NE</t>
  </si>
  <si>
    <t>Lincoln</t>
  </si>
  <si>
    <t>68502</t>
  </si>
  <si>
    <t>68521</t>
  </si>
  <si>
    <t>68522</t>
  </si>
  <si>
    <t>Omaha, NE</t>
  </si>
  <si>
    <t>Omaha</t>
  </si>
  <si>
    <t>68112</t>
  </si>
  <si>
    <t>68164</t>
  </si>
  <si>
    <t>New Hampshire</t>
  </si>
  <si>
    <t>Durham</t>
  </si>
  <si>
    <t>03824</t>
  </si>
  <si>
    <t>Hooksett</t>
  </si>
  <si>
    <t>03106</t>
  </si>
  <si>
    <t>Keene</t>
  </si>
  <si>
    <t>03431</t>
  </si>
  <si>
    <t>03104</t>
  </si>
  <si>
    <t>New Jersey</t>
  </si>
  <si>
    <t>West Orange</t>
  </si>
  <si>
    <t>08854</t>
  </si>
  <si>
    <t>Chester</t>
  </si>
  <si>
    <t>07930</t>
  </si>
  <si>
    <t>East Brunswick</t>
  </si>
  <si>
    <t>08816</t>
  </si>
  <si>
    <t>Edison</t>
  </si>
  <si>
    <t>08820</t>
  </si>
  <si>
    <t>Flanders</t>
  </si>
  <si>
    <t>07836</t>
  </si>
  <si>
    <t>Madison</t>
  </si>
  <si>
    <t>07940</t>
  </si>
  <si>
    <t>Middletown</t>
  </si>
  <si>
    <t>Newark</t>
  </si>
  <si>
    <t>07102</t>
  </si>
  <si>
    <t>Red Bank</t>
  </si>
  <si>
    <t>07701</t>
  </si>
  <si>
    <t>Ridgewood</t>
  </si>
  <si>
    <t>Summit</t>
  </si>
  <si>
    <t>07901</t>
  </si>
  <si>
    <t>Wayne</t>
  </si>
  <si>
    <t>07470</t>
  </si>
  <si>
    <t>Philadelphia, PA</t>
  </si>
  <si>
    <t>Sicklerville</t>
  </si>
  <si>
    <t>08081</t>
  </si>
  <si>
    <t>Trenton</t>
  </si>
  <si>
    <t>08690</t>
  </si>
  <si>
    <t>Villas</t>
  </si>
  <si>
    <t>New York</t>
  </si>
  <si>
    <t>Albany-Schenectady-Troy, NY</t>
  </si>
  <si>
    <t>Albany</t>
  </si>
  <si>
    <t>12211</t>
  </si>
  <si>
    <t>Rensselaer</t>
  </si>
  <si>
    <t>12144</t>
  </si>
  <si>
    <t>Schenectady</t>
  </si>
  <si>
    <t>12308</t>
  </si>
  <si>
    <t>Binghamton, NY</t>
  </si>
  <si>
    <t>Vestal</t>
  </si>
  <si>
    <t>13850</t>
  </si>
  <si>
    <t>Buffalo, NY</t>
  </si>
  <si>
    <t>Buffalo</t>
  </si>
  <si>
    <t>14205</t>
  </si>
  <si>
    <t>11103</t>
  </si>
  <si>
    <t>11377</t>
  </si>
  <si>
    <t>12601</t>
  </si>
  <si>
    <t>12603</t>
  </si>
  <si>
    <t>12780</t>
  </si>
  <si>
    <t>Bronx</t>
  </si>
  <si>
    <t>10451</t>
  </si>
  <si>
    <t>10459</t>
  </si>
  <si>
    <t>10462</t>
  </si>
  <si>
    <t>Brooklyn</t>
  </si>
  <si>
    <t>11201</t>
  </si>
  <si>
    <t>11211</t>
  </si>
  <si>
    <t>11221</t>
  </si>
  <si>
    <t>11222</t>
  </si>
  <si>
    <t>11225</t>
  </si>
  <si>
    <t>11226</t>
  </si>
  <si>
    <t>Kingston</t>
  </si>
  <si>
    <t>12401</t>
  </si>
  <si>
    <t>Mastic Beach</t>
  </si>
  <si>
    <t>11951</t>
  </si>
  <si>
    <t>Mount Kisco</t>
  </si>
  <si>
    <t>10549</t>
  </si>
  <si>
    <t>10001</t>
  </si>
  <si>
    <t>10003</t>
  </si>
  <si>
    <t>10007</t>
  </si>
  <si>
    <t>10010</t>
  </si>
  <si>
    <t>10013</t>
  </si>
  <si>
    <t>10018</t>
  </si>
  <si>
    <t>10021</t>
  </si>
  <si>
    <t>10023</t>
  </si>
  <si>
    <t>10024</t>
  </si>
  <si>
    <t>10036</t>
  </si>
  <si>
    <t>10038</t>
  </si>
  <si>
    <t>10118</t>
  </si>
  <si>
    <t>10128</t>
  </si>
  <si>
    <t>11361</t>
  </si>
  <si>
    <t>11385</t>
  </si>
  <si>
    <t>St James</t>
  </si>
  <si>
    <t>11780</t>
  </si>
  <si>
    <t>Staten Island</t>
  </si>
  <si>
    <t>10312</t>
  </si>
  <si>
    <t>Rochester, NY</t>
  </si>
  <si>
    <t>Fairport</t>
  </si>
  <si>
    <t>14450</t>
  </si>
  <si>
    <t>14623</t>
  </si>
  <si>
    <t>Syracuse, NY</t>
  </si>
  <si>
    <t>14853</t>
  </si>
  <si>
    <t>Rome</t>
  </si>
  <si>
    <t>13441</t>
  </si>
  <si>
    <t>Syracuse</t>
  </si>
  <si>
    <t>13204</t>
  </si>
  <si>
    <t>Utica, NY</t>
  </si>
  <si>
    <t>New Hartford</t>
  </si>
  <si>
    <t>13413</t>
  </si>
  <si>
    <t>Pennsylvania</t>
  </si>
  <si>
    <t>Erie, PA</t>
  </si>
  <si>
    <t>Meadville</t>
  </si>
  <si>
    <t>Harrisburg-Lancaster-Lebanon-York, PA</t>
  </si>
  <si>
    <t>Dillsburg</t>
  </si>
  <si>
    <t>17019</t>
  </si>
  <si>
    <t>Hershey</t>
  </si>
  <si>
    <t>17033</t>
  </si>
  <si>
    <t>Hummelstown</t>
  </si>
  <si>
    <t>17036</t>
  </si>
  <si>
    <t>Lancaster</t>
  </si>
  <si>
    <t>17601</t>
  </si>
  <si>
    <t>Lewistown</t>
  </si>
  <si>
    <t>Manheim</t>
  </si>
  <si>
    <t>17545</t>
  </si>
  <si>
    <t>Palmyra</t>
  </si>
  <si>
    <t>17078</t>
  </si>
  <si>
    <t>JOHNSTOWN-ALTOONA-STATE COLLEGE, PA</t>
  </si>
  <si>
    <t>Bellefonte</t>
  </si>
  <si>
    <t>16823</t>
  </si>
  <si>
    <t>Ebensburg</t>
  </si>
  <si>
    <t>15931</t>
  </si>
  <si>
    <t>Spring Mills</t>
  </si>
  <si>
    <t>16875</t>
  </si>
  <si>
    <t>Warriors Mark</t>
  </si>
  <si>
    <t>16877</t>
  </si>
  <si>
    <t>Abington</t>
  </si>
  <si>
    <t>19001</t>
  </si>
  <si>
    <t>Bala-Cynwyd</t>
  </si>
  <si>
    <t>19004</t>
  </si>
  <si>
    <t>Bensalem</t>
  </si>
  <si>
    <t>19020</t>
  </si>
  <si>
    <t>Malvern</t>
  </si>
  <si>
    <t>19355</t>
  </si>
  <si>
    <t>Philadelphia</t>
  </si>
  <si>
    <t>19107</t>
  </si>
  <si>
    <t>19120</t>
  </si>
  <si>
    <t>19124</t>
  </si>
  <si>
    <t>19142</t>
  </si>
  <si>
    <t>19145</t>
  </si>
  <si>
    <t>Phoenixville</t>
  </si>
  <si>
    <t>19460</t>
  </si>
  <si>
    <t>19601</t>
  </si>
  <si>
    <t>Pittsburgh, PA</t>
  </si>
  <si>
    <t>McKees Rocks</t>
  </si>
  <si>
    <t>15136</t>
  </si>
  <si>
    <t>Pittsburgh</t>
  </si>
  <si>
    <t>15224</t>
  </si>
  <si>
    <t>15238</t>
  </si>
  <si>
    <t>15243</t>
  </si>
  <si>
    <t>Wilmerding</t>
  </si>
  <si>
    <t>15148</t>
  </si>
  <si>
    <t>WILKES BARRE-SCRANTON-HAZLETON, PA</t>
  </si>
  <si>
    <t>Auburn</t>
  </si>
  <si>
    <t>17922</t>
  </si>
  <si>
    <t>Palmerton</t>
  </si>
  <si>
    <t>18071</t>
  </si>
  <si>
    <t>Swiftwater</t>
  </si>
  <si>
    <t>18370</t>
  </si>
  <si>
    <t>Williamsport</t>
  </si>
  <si>
    <t>17701</t>
  </si>
  <si>
    <t>Youngstown, OH</t>
  </si>
  <si>
    <t>Hermitage</t>
  </si>
  <si>
    <t>16148</t>
  </si>
  <si>
    <t>16146</t>
  </si>
  <si>
    <t>Rhode Island</t>
  </si>
  <si>
    <t>Pawtucket</t>
  </si>
  <si>
    <t>Providence</t>
  </si>
  <si>
    <t>02907</t>
  </si>
  <si>
    <t>Texas</t>
  </si>
  <si>
    <t>Austin, TX</t>
  </si>
  <si>
    <t>Austin</t>
  </si>
  <si>
    <t>78704</t>
  </si>
  <si>
    <t>78748</t>
  </si>
  <si>
    <t>Manor</t>
  </si>
  <si>
    <t>78653</t>
  </si>
  <si>
    <t>Dallas-Ft. Worth, TX</t>
  </si>
  <si>
    <t>Dallas</t>
  </si>
  <si>
    <t>75201</t>
  </si>
  <si>
    <t>75207</t>
  </si>
  <si>
    <t>75230</t>
  </si>
  <si>
    <t>75243</t>
  </si>
  <si>
    <t>Duncanville</t>
  </si>
  <si>
    <t>Forney</t>
  </si>
  <si>
    <t>75126</t>
  </si>
  <si>
    <t>Fort Worth</t>
  </si>
  <si>
    <t>76106</t>
  </si>
  <si>
    <t>76137</t>
  </si>
  <si>
    <t>76179</t>
  </si>
  <si>
    <t>Frisco</t>
  </si>
  <si>
    <t>75034</t>
  </si>
  <si>
    <t>Garland</t>
  </si>
  <si>
    <t>Keller</t>
  </si>
  <si>
    <t>76244</t>
  </si>
  <si>
    <t>Sachse</t>
  </si>
  <si>
    <t>75048</t>
  </si>
  <si>
    <t>Harlingen-Weslaco-Brownsville-McAllen, TX</t>
  </si>
  <si>
    <t>McAllen</t>
  </si>
  <si>
    <t>78501</t>
  </si>
  <si>
    <t>Houston, TX</t>
  </si>
  <si>
    <t>Houston</t>
  </si>
  <si>
    <t>77047</t>
  </si>
  <si>
    <t>77056</t>
  </si>
  <si>
    <t>77063</t>
  </si>
  <si>
    <t>77066</t>
  </si>
  <si>
    <t>77079</t>
  </si>
  <si>
    <t>77080</t>
  </si>
  <si>
    <t>77082</t>
  </si>
  <si>
    <t>Katy</t>
  </si>
  <si>
    <t>77494</t>
  </si>
  <si>
    <t>Pearland</t>
  </si>
  <si>
    <t>77584</t>
  </si>
  <si>
    <t>Spring</t>
  </si>
  <si>
    <t>77380</t>
  </si>
  <si>
    <t>Lubbock, TX</t>
  </si>
  <si>
    <t>Seminole</t>
  </si>
  <si>
    <t>79360</t>
  </si>
  <si>
    <t>San Antonio, TX</t>
  </si>
  <si>
    <t>Center Point</t>
  </si>
  <si>
    <t>New Braunfels</t>
  </si>
  <si>
    <t>78130</t>
  </si>
  <si>
    <t>San Antonio</t>
  </si>
  <si>
    <t>78205</t>
  </si>
  <si>
    <t>78218</t>
  </si>
  <si>
    <t>78222</t>
  </si>
  <si>
    <t>78227</t>
  </si>
  <si>
    <t>78229</t>
  </si>
  <si>
    <t>Tyler-Longview(Lufkin &amp; Nacogdoches), TX</t>
  </si>
  <si>
    <t>Nacogdoches</t>
  </si>
  <si>
    <t>Vermont</t>
  </si>
  <si>
    <t>Wilmington</t>
  </si>
  <si>
    <t>05363</t>
  </si>
  <si>
    <t>Burlington, VT-Plattsburgh, NY</t>
  </si>
  <si>
    <t>Colchester</t>
  </si>
  <si>
    <t>05446</t>
  </si>
  <si>
    <t>South Burlington</t>
  </si>
  <si>
    <t>05403</t>
  </si>
  <si>
    <t>Virginia</t>
  </si>
  <si>
    <t>Harrisonburg, VA</t>
  </si>
  <si>
    <t>Harrisonburg</t>
  </si>
  <si>
    <t>22802</t>
  </si>
  <si>
    <t>Norfolk-Portsmouth-Newport News, VA</t>
  </si>
  <si>
    <t>Norfolk</t>
  </si>
  <si>
    <t>23503</t>
  </si>
  <si>
    <t>23508</t>
  </si>
  <si>
    <t>Raleigh-Durham (Fayetteville), NC</t>
  </si>
  <si>
    <t>Boydton</t>
  </si>
  <si>
    <t>23917</t>
  </si>
  <si>
    <t>Richmond-Petersburg, VA</t>
  </si>
  <si>
    <t>Richmond</t>
  </si>
  <si>
    <t>23219</t>
  </si>
  <si>
    <t>23221</t>
  </si>
  <si>
    <t>22003</t>
  </si>
  <si>
    <t>22554</t>
  </si>
  <si>
    <t>22201</t>
  </si>
  <si>
    <t>Ashburn</t>
  </si>
  <si>
    <t>20147</t>
  </si>
  <si>
    <t>20149</t>
  </si>
  <si>
    <t>Burke</t>
  </si>
  <si>
    <t>22015</t>
  </si>
  <si>
    <t>Falls Church</t>
  </si>
  <si>
    <t>Fredericksburg</t>
  </si>
  <si>
    <t>22408</t>
  </si>
  <si>
    <t>Reston</t>
  </si>
  <si>
    <t>20191</t>
  </si>
  <si>
    <t>Shenandoah</t>
  </si>
  <si>
    <t>22849</t>
  </si>
  <si>
    <t>22153</t>
  </si>
  <si>
    <t>Vienna</t>
  </si>
  <si>
    <t>22180</t>
  </si>
  <si>
    <t>Winchester</t>
  </si>
  <si>
    <t>22601</t>
  </si>
  <si>
    <t>West Virginia</t>
  </si>
  <si>
    <t>Charleston-Huntington, WV</t>
  </si>
  <si>
    <t>South Charleston</t>
  </si>
  <si>
    <t>25309</t>
  </si>
  <si>
    <t>Clarksburg-Weston, WV</t>
  </si>
  <si>
    <t>Fairmont</t>
  </si>
  <si>
    <t>26554</t>
  </si>
  <si>
    <t>Shepherdstown</t>
  </si>
  <si>
    <t>25443</t>
  </si>
  <si>
    <t>Lithuania-Leads-Search-Australia</t>
  </si>
  <si>
    <t>Australian Capital Territory</t>
  </si>
  <si>
    <t>2607</t>
  </si>
  <si>
    <t>2903</t>
  </si>
  <si>
    <t>2914</t>
  </si>
  <si>
    <t>New South Wales</t>
  </si>
  <si>
    <t>2000</t>
  </si>
  <si>
    <t>2010</t>
  </si>
  <si>
    <t>2036</t>
  </si>
  <si>
    <t>2037</t>
  </si>
  <si>
    <t>2065</t>
  </si>
  <si>
    <t>2193</t>
  </si>
  <si>
    <t>2570</t>
  </si>
  <si>
    <t>Sydney</t>
  </si>
  <si>
    <t>Queensland</t>
  </si>
  <si>
    <t>4000</t>
  </si>
  <si>
    <t>4008</t>
  </si>
  <si>
    <t>4034</t>
  </si>
  <si>
    <t>4102</t>
  </si>
  <si>
    <t>4104</t>
  </si>
  <si>
    <t>4114</t>
  </si>
  <si>
    <t>4122</t>
  </si>
  <si>
    <t>4152</t>
  </si>
  <si>
    <t>4300</t>
  </si>
  <si>
    <t>4500</t>
  </si>
  <si>
    <t>4503</t>
  </si>
  <si>
    <t>Victoria</t>
  </si>
  <si>
    <t>3000</t>
  </si>
  <si>
    <t>3020</t>
  </si>
  <si>
    <t>3037</t>
  </si>
  <si>
    <t>3047</t>
  </si>
  <si>
    <t>3140</t>
  </si>
  <si>
    <t>3152</t>
  </si>
  <si>
    <t>3156</t>
  </si>
  <si>
    <t>3181</t>
  </si>
  <si>
    <t>3336</t>
  </si>
  <si>
    <t>3750</t>
  </si>
  <si>
    <t>Western Australia</t>
  </si>
  <si>
    <t>6000</t>
  </si>
  <si>
    <t>6018</t>
  </si>
  <si>
    <t>6036</t>
  </si>
  <si>
    <t>6058</t>
  </si>
  <si>
    <t>6155</t>
  </si>
  <si>
    <t>Lithuania-Leads-Search-Canada</t>
  </si>
  <si>
    <t>Alberta</t>
  </si>
  <si>
    <t>T0K</t>
  </si>
  <si>
    <t>Bonnyville</t>
  </si>
  <si>
    <t>T9N</t>
  </si>
  <si>
    <t>Calgary</t>
  </si>
  <si>
    <t>T2A</t>
  </si>
  <si>
    <t>T2G</t>
  </si>
  <si>
    <t>T2P</t>
  </si>
  <si>
    <t>T2Y</t>
  </si>
  <si>
    <t>T3L</t>
  </si>
  <si>
    <t>Edmonton</t>
  </si>
  <si>
    <t>T5N</t>
  </si>
  <si>
    <t>T5Z</t>
  </si>
  <si>
    <t>Stony Plain</t>
  </si>
  <si>
    <t>T7Z</t>
  </si>
  <si>
    <t>British Columbia</t>
  </si>
  <si>
    <t>Capital</t>
  </si>
  <si>
    <t>Esquimalt</t>
  </si>
  <si>
    <t>V9A</t>
  </si>
  <si>
    <t>V8P</t>
  </si>
  <si>
    <t>V8T</t>
  </si>
  <si>
    <t>View Royal</t>
  </si>
  <si>
    <t>Columbia-Shuswap</t>
  </si>
  <si>
    <t>V0E</t>
  </si>
  <si>
    <t>Cowichan Valley</t>
  </si>
  <si>
    <t>Ladysmith</t>
  </si>
  <si>
    <t>V9G</t>
  </si>
  <si>
    <t>East Kootenay</t>
  </si>
  <si>
    <t>Elkford</t>
  </si>
  <si>
    <t>Greater Vancouver</t>
  </si>
  <si>
    <t>Burnaby</t>
  </si>
  <si>
    <t>V5C</t>
  </si>
  <si>
    <t>V5G</t>
  </si>
  <si>
    <t>New Westminster</t>
  </si>
  <si>
    <t>V3L</t>
  </si>
  <si>
    <t>V6X</t>
  </si>
  <si>
    <t>Vancouver</t>
  </si>
  <si>
    <t>V5M</t>
  </si>
  <si>
    <t>V5Z</t>
  </si>
  <si>
    <t>V6B</t>
  </si>
  <si>
    <t>West Vancouver</t>
  </si>
  <si>
    <t>Nanaimo</t>
  </si>
  <si>
    <t>Lantzville</t>
  </si>
  <si>
    <t>V0R</t>
  </si>
  <si>
    <t>Okanagan-Similkameen</t>
  </si>
  <si>
    <t>V0H</t>
  </si>
  <si>
    <t>Manitoba</t>
  </si>
  <si>
    <t>Stonewall</t>
  </si>
  <si>
    <t>R0C</t>
  </si>
  <si>
    <t>Winnipeg</t>
  </si>
  <si>
    <t>R2K</t>
  </si>
  <si>
    <t>R2V</t>
  </si>
  <si>
    <t>R3R</t>
  </si>
  <si>
    <t>New Brunswick</t>
  </si>
  <si>
    <t>Gloucester</t>
  </si>
  <si>
    <t>Bathurst</t>
  </si>
  <si>
    <t>E2A</t>
  </si>
  <si>
    <t>Madawaska</t>
  </si>
  <si>
    <t>Edmundston</t>
  </si>
  <si>
    <t>E3V</t>
  </si>
  <si>
    <t>Westmorland</t>
  </si>
  <si>
    <t>Moncton</t>
  </si>
  <si>
    <t>Nova Scotia</t>
  </si>
  <si>
    <t>Enfield</t>
  </si>
  <si>
    <t>B2T</t>
  </si>
  <si>
    <t>Halifax</t>
  </si>
  <si>
    <t>B3N</t>
  </si>
  <si>
    <t>Whitby</t>
  </si>
  <si>
    <t>L1R</t>
  </si>
  <si>
    <t>Haldimand-Norfolk</t>
  </si>
  <si>
    <t>Haldimand County</t>
  </si>
  <si>
    <t>N0A</t>
  </si>
  <si>
    <t>Halton</t>
  </si>
  <si>
    <t>Burlington</t>
  </si>
  <si>
    <t>L7P</t>
  </si>
  <si>
    <t>Oakville</t>
  </si>
  <si>
    <t>L6H</t>
  </si>
  <si>
    <t>Hamilton</t>
  </si>
  <si>
    <t>L9C</t>
  </si>
  <si>
    <t>Huron</t>
  </si>
  <si>
    <t>Exeter</t>
  </si>
  <si>
    <t>N0M</t>
  </si>
  <si>
    <t>Lambton</t>
  </si>
  <si>
    <t>Sarnia</t>
  </si>
  <si>
    <t>N7T</t>
  </si>
  <si>
    <t>Middlesex</t>
  </si>
  <si>
    <t>London</t>
  </si>
  <si>
    <t>Niagara</t>
  </si>
  <si>
    <t>Fort Erie</t>
  </si>
  <si>
    <t>L2A</t>
  </si>
  <si>
    <t>Ottawa</t>
  </si>
  <si>
    <t>Nepean</t>
  </si>
  <si>
    <t>K2J</t>
  </si>
  <si>
    <t>K2R</t>
  </si>
  <si>
    <t>Orleans</t>
  </si>
  <si>
    <t>K1C</t>
  </si>
  <si>
    <t>Parry Sound</t>
  </si>
  <si>
    <t>Seguin</t>
  </si>
  <si>
    <t>P2A</t>
  </si>
  <si>
    <t>Peterborough</t>
  </si>
  <si>
    <t>Apsley</t>
  </si>
  <si>
    <t>K0L</t>
  </si>
  <si>
    <t>Prescott and Russell</t>
  </si>
  <si>
    <t>Rockland</t>
  </si>
  <si>
    <t>K4K</t>
  </si>
  <si>
    <t>Renfrew</t>
  </si>
  <si>
    <t>K0J</t>
  </si>
  <si>
    <t>Toronto</t>
  </si>
  <si>
    <t>Etobicoke</t>
  </si>
  <si>
    <t>M8Y</t>
  </si>
  <si>
    <t>M9B</t>
  </si>
  <si>
    <t>North York</t>
  </si>
  <si>
    <t>M3H</t>
  </si>
  <si>
    <t>M3K</t>
  </si>
  <si>
    <t>M4R</t>
  </si>
  <si>
    <t>M4V</t>
  </si>
  <si>
    <t>M5A</t>
  </si>
  <si>
    <t>M5J</t>
  </si>
  <si>
    <t>M5R</t>
  </si>
  <si>
    <t>M5V</t>
  </si>
  <si>
    <t>M6G</t>
  </si>
  <si>
    <t>Waterloo</t>
  </si>
  <si>
    <t>Kitchener</t>
  </si>
  <si>
    <t>N2A</t>
  </si>
  <si>
    <t>Quebec</t>
  </si>
  <si>
    <t>Trois-Rivières</t>
  </si>
  <si>
    <t>G8Z</t>
  </si>
  <si>
    <t>Gatineau</t>
  </si>
  <si>
    <t>J8P</t>
  </si>
  <si>
    <t>La Jacques-Cartier Regional County Municipality</t>
  </si>
  <si>
    <t>G0A</t>
  </si>
  <si>
    <t>Longueuil</t>
  </si>
  <si>
    <t>J4H</t>
  </si>
  <si>
    <t>J4M</t>
  </si>
  <si>
    <t>St-Lambert</t>
  </si>
  <si>
    <t>J4S</t>
  </si>
  <si>
    <t>Montreal</t>
  </si>
  <si>
    <t>Dorval</t>
  </si>
  <si>
    <t>H9S</t>
  </si>
  <si>
    <t>H1G</t>
  </si>
  <si>
    <t>H1T</t>
  </si>
  <si>
    <t>H2A</t>
  </si>
  <si>
    <t>H2K</t>
  </si>
  <si>
    <t>H2S</t>
  </si>
  <si>
    <t>Rivière-du-Loup Regional County Municipality</t>
  </si>
  <si>
    <t>Saint-Hubert-de-Rivière-du-Loup</t>
  </si>
  <si>
    <t>G0L</t>
  </si>
  <si>
    <t>Roussillon Regional County Municipality</t>
  </si>
  <si>
    <t>Laprairie</t>
  </si>
  <si>
    <t>J5R</t>
  </si>
  <si>
    <t>Vaudreuil-Soulanges Regional County Municipality</t>
  </si>
  <si>
    <t>St Lazare-de-Vaudreuil</t>
  </si>
  <si>
    <t>J7T</t>
  </si>
  <si>
    <t>Lithuania-Leads-Search-RSA</t>
  </si>
  <si>
    <t>Gauteng</t>
  </si>
  <si>
    <t>City of Johannesburg</t>
  </si>
  <si>
    <t>Johannesburg</t>
  </si>
  <si>
    <t>Hyde Park</t>
  </si>
  <si>
    <t>Western Cape</t>
  </si>
  <si>
    <t>City of Cape Town</t>
  </si>
  <si>
    <t>Cape Town</t>
  </si>
  <si>
    <t>Newlands</t>
  </si>
  <si>
    <t>Lithuania-Leads-Search-Israel</t>
  </si>
  <si>
    <t>Center District</t>
  </si>
  <si>
    <t>Latvia-Leads-Search-USA</t>
  </si>
  <si>
    <t>Alabama</t>
  </si>
  <si>
    <t>Birmingham (Anniston and Tuscaloosa), AL</t>
  </si>
  <si>
    <t>Birmingham</t>
  </si>
  <si>
    <t>35233</t>
  </si>
  <si>
    <t>Huntsville-Decatur (Florence), AL</t>
  </si>
  <si>
    <t>Huntsville</t>
  </si>
  <si>
    <t>35802</t>
  </si>
  <si>
    <t>Montgomery-Selma, AL</t>
  </si>
  <si>
    <t>Prattville</t>
  </si>
  <si>
    <t>36067</t>
  </si>
  <si>
    <t>Alaska</t>
  </si>
  <si>
    <t>Juneau, AK</t>
  </si>
  <si>
    <t>Juneau</t>
  </si>
  <si>
    <t>99801</t>
  </si>
  <si>
    <t>Arizona</t>
  </si>
  <si>
    <t>Phoenix (Prescott), AZ</t>
  </si>
  <si>
    <t>Mesa</t>
  </si>
  <si>
    <t>85212</t>
  </si>
  <si>
    <t>Peoria</t>
  </si>
  <si>
    <t>85382</t>
  </si>
  <si>
    <t>Phoenix</t>
  </si>
  <si>
    <t>85003</t>
  </si>
  <si>
    <t>85012</t>
  </si>
  <si>
    <t>85015</t>
  </si>
  <si>
    <t>85029</t>
  </si>
  <si>
    <t>Scottsdale</t>
  </si>
  <si>
    <t>85254</t>
  </si>
  <si>
    <t>Tempe</t>
  </si>
  <si>
    <t>85282</t>
  </si>
  <si>
    <t>Tucson (Sierra Vista), AZ</t>
  </si>
  <si>
    <t>Sahuarita</t>
  </si>
  <si>
    <t>85629</t>
  </si>
  <si>
    <t>Tucson</t>
  </si>
  <si>
    <t>85745</t>
  </si>
  <si>
    <t>Arkansas</t>
  </si>
  <si>
    <t>Little Rock-Pine Bluff, AR</t>
  </si>
  <si>
    <t>Little Rock</t>
  </si>
  <si>
    <t>95973</t>
  </si>
  <si>
    <t>Acton</t>
  </si>
  <si>
    <t>93510</t>
  </si>
  <si>
    <t>Anaheim</t>
  </si>
  <si>
    <t>92806</t>
  </si>
  <si>
    <t>Arcadia</t>
  </si>
  <si>
    <t>91006</t>
  </si>
  <si>
    <t>Cypress</t>
  </si>
  <si>
    <t>90630</t>
  </si>
  <si>
    <t>Laguna Niguel</t>
  </si>
  <si>
    <t>92677</t>
  </si>
  <si>
    <t>92530</t>
  </si>
  <si>
    <t>90016</t>
  </si>
  <si>
    <t>90022</t>
  </si>
  <si>
    <t>90034</t>
  </si>
  <si>
    <t>90039</t>
  </si>
  <si>
    <t>Monrovia</t>
  </si>
  <si>
    <t>Orange</t>
  </si>
  <si>
    <t>92869</t>
  </si>
  <si>
    <t>Redondo Beach</t>
  </si>
  <si>
    <t>90277</t>
  </si>
  <si>
    <t>San Pedro</t>
  </si>
  <si>
    <t>90731</t>
  </si>
  <si>
    <t>Roseville</t>
  </si>
  <si>
    <t>Stockton</t>
  </si>
  <si>
    <t>95202</t>
  </si>
  <si>
    <t>Suisun City</t>
  </si>
  <si>
    <t>94585</t>
  </si>
  <si>
    <t>Turlock</t>
  </si>
  <si>
    <t>95382</t>
  </si>
  <si>
    <t>92129</t>
  </si>
  <si>
    <t>94509</t>
  </si>
  <si>
    <t>Napa</t>
  </si>
  <si>
    <t>94559</t>
  </si>
  <si>
    <t>94110</t>
  </si>
  <si>
    <t>94132</t>
  </si>
  <si>
    <t>95112</t>
  </si>
  <si>
    <t>San Mateo</t>
  </si>
  <si>
    <t>94402</t>
  </si>
  <si>
    <t>Colorado</t>
  </si>
  <si>
    <t>Colorado Springs-Pueblo, CO</t>
  </si>
  <si>
    <t>Air Force Academy</t>
  </si>
  <si>
    <t>80840</t>
  </si>
  <si>
    <t>Denver, CO</t>
  </si>
  <si>
    <t>80045</t>
  </si>
  <si>
    <t>Breckenridge</t>
  </si>
  <si>
    <t>Denver</t>
  </si>
  <si>
    <t>80203</t>
  </si>
  <si>
    <t>80215</t>
  </si>
  <si>
    <t>80218</t>
  </si>
  <si>
    <t>80221</t>
  </si>
  <si>
    <t>Greeley</t>
  </si>
  <si>
    <t>80631</t>
  </si>
  <si>
    <t>Longmont</t>
  </si>
  <si>
    <t>80501</t>
  </si>
  <si>
    <t>Loveland</t>
  </si>
  <si>
    <t>80538</t>
  </si>
  <si>
    <t>Grand Junction-Montrose, CO</t>
  </si>
  <si>
    <t>Montrose</t>
  </si>
  <si>
    <t>81401</t>
  </si>
  <si>
    <t>06118</t>
  </si>
  <si>
    <t>06082</t>
  </si>
  <si>
    <t>Glastonbury</t>
  </si>
  <si>
    <t>06033</t>
  </si>
  <si>
    <t>Storrs Mansfield</t>
  </si>
  <si>
    <t>06268</t>
  </si>
  <si>
    <t>06606</t>
  </si>
  <si>
    <t>06607</t>
  </si>
  <si>
    <t>Norwalk</t>
  </si>
  <si>
    <t>06858</t>
  </si>
  <si>
    <t>Delaware</t>
  </si>
  <si>
    <t>19702</t>
  </si>
  <si>
    <t>32216</t>
  </si>
  <si>
    <t>32217</t>
  </si>
  <si>
    <t>Ponte Vedra Beach</t>
  </si>
  <si>
    <t>32082</t>
  </si>
  <si>
    <t>Hialeah</t>
  </si>
  <si>
    <t>33018</t>
  </si>
  <si>
    <t>Homestead</t>
  </si>
  <si>
    <t>33033</t>
  </si>
  <si>
    <t>Altamonte Springs</t>
  </si>
  <si>
    <t>32714</t>
  </si>
  <si>
    <t>Ocala</t>
  </si>
  <si>
    <t>34471</t>
  </si>
  <si>
    <t>32801</t>
  </si>
  <si>
    <t>Bradenton</t>
  </si>
  <si>
    <t>34208</t>
  </si>
  <si>
    <t>Floral City</t>
  </si>
  <si>
    <t>34436</t>
  </si>
  <si>
    <t>Parrish</t>
  </si>
  <si>
    <t>34219</t>
  </si>
  <si>
    <t>34607</t>
  </si>
  <si>
    <t>33603</t>
  </si>
  <si>
    <t>33611</t>
  </si>
  <si>
    <t>Delray Beach</t>
  </si>
  <si>
    <t>33446</t>
  </si>
  <si>
    <t>Georgia</t>
  </si>
  <si>
    <t>Atlanta, GA</t>
  </si>
  <si>
    <t>Atlanta</t>
  </si>
  <si>
    <t>30301</t>
  </si>
  <si>
    <t>30303</t>
  </si>
  <si>
    <t>30329</t>
  </si>
  <si>
    <t>Marietta</t>
  </si>
  <si>
    <t>30062</t>
  </si>
  <si>
    <t>Monticello</t>
  </si>
  <si>
    <t>31064</t>
  </si>
  <si>
    <t>Stone Mountain</t>
  </si>
  <si>
    <t>30083</t>
  </si>
  <si>
    <t>Idaho</t>
  </si>
  <si>
    <t>Boise, ID</t>
  </si>
  <si>
    <t>Boise</t>
  </si>
  <si>
    <t>83706</t>
  </si>
  <si>
    <t>83716</t>
  </si>
  <si>
    <t>Cook County</t>
  </si>
  <si>
    <t>Berwyn</t>
  </si>
  <si>
    <t>60402</t>
  </si>
  <si>
    <t>60622</t>
  </si>
  <si>
    <t>Country Club Hills</t>
  </si>
  <si>
    <t>60016</t>
  </si>
  <si>
    <t>Glencoe</t>
  </si>
  <si>
    <t>60022</t>
  </si>
  <si>
    <t>Oak Lawn</t>
  </si>
  <si>
    <t>60453</t>
  </si>
  <si>
    <t>Oak Park</t>
  </si>
  <si>
    <t>60301</t>
  </si>
  <si>
    <t>Wilmette</t>
  </si>
  <si>
    <t>60091</t>
  </si>
  <si>
    <t>Quincy, IL-Hannibal, MO-Keokuk, IA</t>
  </si>
  <si>
    <t>Bluffs</t>
  </si>
  <si>
    <t>62621</t>
  </si>
  <si>
    <t>47374</t>
  </si>
  <si>
    <t>Wichita</t>
  </si>
  <si>
    <t>67214</t>
  </si>
  <si>
    <t>Kentucky</t>
  </si>
  <si>
    <t>Bowling Green, KY</t>
  </si>
  <si>
    <t>Bowling Green</t>
  </si>
  <si>
    <t>Cincinnati, OH</t>
  </si>
  <si>
    <t>Florence</t>
  </si>
  <si>
    <t>41042</t>
  </si>
  <si>
    <t>Knoxville, TN</t>
  </si>
  <si>
    <t>Pineville</t>
  </si>
  <si>
    <t>40977</t>
  </si>
  <si>
    <t>Lexington, KY</t>
  </si>
  <si>
    <t>Georgetown</t>
  </si>
  <si>
    <t>40324</t>
  </si>
  <si>
    <t>40202</t>
  </si>
  <si>
    <t>Louisiana</t>
  </si>
  <si>
    <t>Lake Charles, LA</t>
  </si>
  <si>
    <t>Lake Charles</t>
  </si>
  <si>
    <t>70611</t>
  </si>
  <si>
    <t>East Deering</t>
  </si>
  <si>
    <t>21202</t>
  </si>
  <si>
    <t>Glen Burnie</t>
  </si>
  <si>
    <t>21060</t>
  </si>
  <si>
    <t>Gaithersburg</t>
  </si>
  <si>
    <t>20877</t>
  </si>
  <si>
    <t>Owings</t>
  </si>
  <si>
    <t>20736</t>
  </si>
  <si>
    <t>20851</t>
  </si>
  <si>
    <t>20853</t>
  </si>
  <si>
    <t>Takoma Park</t>
  </si>
  <si>
    <t>20912</t>
  </si>
  <si>
    <t>Waldorf</t>
  </si>
  <si>
    <t>20602</t>
  </si>
  <si>
    <t>Beverly</t>
  </si>
  <si>
    <t>02238</t>
  </si>
  <si>
    <t>Milton</t>
  </si>
  <si>
    <t>02186</t>
  </si>
  <si>
    <t>Shrewsbury</t>
  </si>
  <si>
    <t>01545</t>
  </si>
  <si>
    <t>Walpole</t>
  </si>
  <si>
    <t>02081</t>
  </si>
  <si>
    <t>Worcester</t>
  </si>
  <si>
    <t>Attleboro</t>
  </si>
  <si>
    <t>02703</t>
  </si>
  <si>
    <t>48238</t>
  </si>
  <si>
    <t>Livonia</t>
  </si>
  <si>
    <t>Walled Lake</t>
  </si>
  <si>
    <t>48390</t>
  </si>
  <si>
    <t>48094</t>
  </si>
  <si>
    <t>Lansing, MI</t>
  </si>
  <si>
    <t>Lansing</t>
  </si>
  <si>
    <t>48910</t>
  </si>
  <si>
    <t>Marquette, MI</t>
  </si>
  <si>
    <t>49950</t>
  </si>
  <si>
    <t>Roscommon</t>
  </si>
  <si>
    <t>48653</t>
  </si>
  <si>
    <t>Thief River Falls</t>
  </si>
  <si>
    <t>56701</t>
  </si>
  <si>
    <t>55313</t>
  </si>
  <si>
    <t>Rosemount</t>
  </si>
  <si>
    <t>55102</t>
  </si>
  <si>
    <t>55110</t>
  </si>
  <si>
    <t>55123</t>
  </si>
  <si>
    <t>Mississippi</t>
  </si>
  <si>
    <t>Hattiesburg-Laurel, MS</t>
  </si>
  <si>
    <t>Petal</t>
  </si>
  <si>
    <t>39465</t>
  </si>
  <si>
    <t>65803</t>
  </si>
  <si>
    <t>Montana</t>
  </si>
  <si>
    <t>Butte-Bozeman, MT</t>
  </si>
  <si>
    <t>Bozeman</t>
  </si>
  <si>
    <t>59718</t>
  </si>
  <si>
    <t>Helena, MT</t>
  </si>
  <si>
    <t>East Helena</t>
  </si>
  <si>
    <t>Helena</t>
  </si>
  <si>
    <t>59601</t>
  </si>
  <si>
    <t>68130</t>
  </si>
  <si>
    <t>Nevada</t>
  </si>
  <si>
    <t>Las Vegas, NV</t>
  </si>
  <si>
    <t>Las Vegas</t>
  </si>
  <si>
    <t>89120</t>
  </si>
  <si>
    <t>89122</t>
  </si>
  <si>
    <t>Portsmouth</t>
  </si>
  <si>
    <t>03801</t>
  </si>
  <si>
    <t>08527</t>
  </si>
  <si>
    <t>07104</t>
  </si>
  <si>
    <t>Old Bridge</t>
  </si>
  <si>
    <t>07721</t>
  </si>
  <si>
    <t>07450</t>
  </si>
  <si>
    <t>Atco</t>
  </si>
  <si>
    <t>08004</t>
  </si>
  <si>
    <t>Marlton</t>
  </si>
  <si>
    <t>New Mexico</t>
  </si>
  <si>
    <t>Albuquerque-Santa Fe, NM</t>
  </si>
  <si>
    <t>Taos</t>
  </si>
  <si>
    <t>87571</t>
  </si>
  <si>
    <t>Adams</t>
  </si>
  <si>
    <t>14202</t>
  </si>
  <si>
    <t>14225</t>
  </si>
  <si>
    <t>Elmont</t>
  </si>
  <si>
    <t>11429</t>
  </si>
  <si>
    <t>10009</t>
  </si>
  <si>
    <t>Sayville</t>
  </si>
  <si>
    <t>11782</t>
  </si>
  <si>
    <t>14428</t>
  </si>
  <si>
    <t>Brockport</t>
  </si>
  <si>
    <t>14420</t>
  </si>
  <si>
    <t>Holley</t>
  </si>
  <si>
    <t>14470</t>
  </si>
  <si>
    <t>14609</t>
  </si>
  <si>
    <t>14624</t>
  </si>
  <si>
    <t>North Carolina</t>
  </si>
  <si>
    <t>Greensboro-High Point-Winston Salem, NC</t>
  </si>
  <si>
    <t>Lexington</t>
  </si>
  <si>
    <t>27292</t>
  </si>
  <si>
    <t>Apex</t>
  </si>
  <si>
    <t>27539</t>
  </si>
  <si>
    <t>Chapel Hill</t>
  </si>
  <si>
    <t>27514</t>
  </si>
  <si>
    <t>Raleigh</t>
  </si>
  <si>
    <t>27603</t>
  </si>
  <si>
    <t>Wake Forest</t>
  </si>
  <si>
    <t>Wilson</t>
  </si>
  <si>
    <t>27893</t>
  </si>
  <si>
    <t>Wilmington, NC</t>
  </si>
  <si>
    <t>28408</t>
  </si>
  <si>
    <t>Ohio</t>
  </si>
  <si>
    <t>Delaware County</t>
  </si>
  <si>
    <t>45044</t>
  </si>
  <si>
    <t>Cleveland-Akron (Canton), OH</t>
  </si>
  <si>
    <t>Avon</t>
  </si>
  <si>
    <t>Columbus, OH</t>
  </si>
  <si>
    <t>Columbus</t>
  </si>
  <si>
    <t>43212</t>
  </si>
  <si>
    <t>43218</t>
  </si>
  <si>
    <t>43232</t>
  </si>
  <si>
    <t>Piketon</t>
  </si>
  <si>
    <t>45661</t>
  </si>
  <si>
    <t>Dayton, OH</t>
  </si>
  <si>
    <t>Fairborn</t>
  </si>
  <si>
    <t>45324</t>
  </si>
  <si>
    <t>Urbana</t>
  </si>
  <si>
    <t>43078</t>
  </si>
  <si>
    <t>Oklahoma</t>
  </si>
  <si>
    <t>Oklahoma City, OK</t>
  </si>
  <si>
    <t>Enid</t>
  </si>
  <si>
    <t>73703</t>
  </si>
  <si>
    <t>Oklahoma City</t>
  </si>
  <si>
    <t>73131</t>
  </si>
  <si>
    <t>Tulsa, OK</t>
  </si>
  <si>
    <t>Claremore</t>
  </si>
  <si>
    <t>74019</t>
  </si>
  <si>
    <t>Tulsa</t>
  </si>
  <si>
    <t>74135</t>
  </si>
  <si>
    <t>Oregon</t>
  </si>
  <si>
    <t>Eugene, OR</t>
  </si>
  <si>
    <t>Eugene</t>
  </si>
  <si>
    <t>97403</t>
  </si>
  <si>
    <t>Portland, OR</t>
  </si>
  <si>
    <t>Beaverton</t>
  </si>
  <si>
    <t>97007</t>
  </si>
  <si>
    <t>Depoe Bay</t>
  </si>
  <si>
    <t>97341</t>
  </si>
  <si>
    <t>97201</t>
  </si>
  <si>
    <t>97202</t>
  </si>
  <si>
    <t>97209</t>
  </si>
  <si>
    <t>97220</t>
  </si>
  <si>
    <t>97230</t>
  </si>
  <si>
    <t>97232</t>
  </si>
  <si>
    <t>Powell Butte</t>
  </si>
  <si>
    <t>97753</t>
  </si>
  <si>
    <t>Troutdale</t>
  </si>
  <si>
    <t>97060</t>
  </si>
  <si>
    <t>Littlestown</t>
  </si>
  <si>
    <t>17340</t>
  </si>
  <si>
    <t>15026</t>
  </si>
  <si>
    <t>Imperial</t>
  </si>
  <si>
    <t>15126</t>
  </si>
  <si>
    <t>15201</t>
  </si>
  <si>
    <t>15234</t>
  </si>
  <si>
    <t>Dalton</t>
  </si>
  <si>
    <t>18414</t>
  </si>
  <si>
    <t>02857</t>
  </si>
  <si>
    <t>North Kingstown</t>
  </si>
  <si>
    <t>02852</t>
  </si>
  <si>
    <t>South Carolina</t>
  </si>
  <si>
    <t>Charleston, SC</t>
  </si>
  <si>
    <t>Charleston</t>
  </si>
  <si>
    <t>29412</t>
  </si>
  <si>
    <t>29492</t>
  </si>
  <si>
    <t>Columbia, SC</t>
  </si>
  <si>
    <t>Columbia</t>
  </si>
  <si>
    <t>29201</t>
  </si>
  <si>
    <t>Orangeburg</t>
  </si>
  <si>
    <t>29118</t>
  </si>
  <si>
    <t>Greenville-Spartanburg, SC-Asheville, NC-Anderson, SC</t>
  </si>
  <si>
    <t>Seneca</t>
  </si>
  <si>
    <t>29672</t>
  </si>
  <si>
    <t>South Dakota</t>
  </si>
  <si>
    <t>Sioux Falls(Mitchell), SD</t>
  </si>
  <si>
    <t>Brookings</t>
  </si>
  <si>
    <t>57006</t>
  </si>
  <si>
    <t>Sioux Falls</t>
  </si>
  <si>
    <t>57108</t>
  </si>
  <si>
    <t>Tennessee</t>
  </si>
  <si>
    <t>Sevierville</t>
  </si>
  <si>
    <t>37876</t>
  </si>
  <si>
    <t>Memphis, TN</t>
  </si>
  <si>
    <t>Memphis</t>
  </si>
  <si>
    <t>38134</t>
  </si>
  <si>
    <t>Nashville, TN</t>
  </si>
  <si>
    <t>Clarksville</t>
  </si>
  <si>
    <t>37040</t>
  </si>
  <si>
    <t>78705</t>
  </si>
  <si>
    <t>78726</t>
  </si>
  <si>
    <t>78744</t>
  </si>
  <si>
    <t>78745</t>
  </si>
  <si>
    <t>Bedford</t>
  </si>
  <si>
    <t>76021</t>
  </si>
  <si>
    <t>75215</t>
  </si>
  <si>
    <t>Plano</t>
  </si>
  <si>
    <t>75074</t>
  </si>
  <si>
    <t>75093</t>
  </si>
  <si>
    <t>Waco-Temple-Bryan, TX</t>
  </si>
  <si>
    <t>Temple</t>
  </si>
  <si>
    <t>76504</t>
  </si>
  <si>
    <t>Utah</t>
  </si>
  <si>
    <t>Salt Lake City, UT</t>
  </si>
  <si>
    <t>Herriman</t>
  </si>
  <si>
    <t>Salt Lake City</t>
  </si>
  <si>
    <t>84116</t>
  </si>
  <si>
    <t>Tremonton</t>
  </si>
  <si>
    <t>84337</t>
  </si>
  <si>
    <t>05701</t>
  </si>
  <si>
    <t>Shelburne</t>
  </si>
  <si>
    <t>05482</t>
  </si>
  <si>
    <t>23511</t>
  </si>
  <si>
    <t>23551</t>
  </si>
  <si>
    <t>Roanoke-Lynchburg, VA</t>
  </si>
  <si>
    <t>Lynchburg</t>
  </si>
  <si>
    <t>24501</t>
  </si>
  <si>
    <t>24502</t>
  </si>
  <si>
    <t>24503</t>
  </si>
  <si>
    <t>24505</t>
  </si>
  <si>
    <t>22042</t>
  </si>
  <si>
    <t>Herndon</t>
  </si>
  <si>
    <t>20171</t>
  </si>
  <si>
    <t>Sterling</t>
  </si>
  <si>
    <t>20164</t>
  </si>
  <si>
    <t>Woodbridge</t>
  </si>
  <si>
    <t>22192</t>
  </si>
  <si>
    <t>Seattle</t>
  </si>
  <si>
    <t>Downtown Seattle</t>
  </si>
  <si>
    <t>98661</t>
  </si>
  <si>
    <t>Seattle-Tacoma, WA</t>
  </si>
  <si>
    <t>Camano</t>
  </si>
  <si>
    <t>98282</t>
  </si>
  <si>
    <t>Duvall</t>
  </si>
  <si>
    <t>98019</t>
  </si>
  <si>
    <t>Everett</t>
  </si>
  <si>
    <t>98203</t>
  </si>
  <si>
    <t>Kent</t>
  </si>
  <si>
    <t>98042</t>
  </si>
  <si>
    <t>98631</t>
  </si>
  <si>
    <t>Monroe</t>
  </si>
  <si>
    <t>98272</t>
  </si>
  <si>
    <t>Port Orchard</t>
  </si>
  <si>
    <t>98367</t>
  </si>
  <si>
    <t>98101</t>
  </si>
  <si>
    <t>98102</t>
  </si>
  <si>
    <t>98104</t>
  </si>
  <si>
    <t>98117</t>
  </si>
  <si>
    <t>98144</t>
  </si>
  <si>
    <t>98160</t>
  </si>
  <si>
    <t>Silverdale</t>
  </si>
  <si>
    <t>Yakima-Pasco-Richland-Kennewick, WA</t>
  </si>
  <si>
    <t>Yakima</t>
  </si>
  <si>
    <t>98901</t>
  </si>
  <si>
    <t>Wheeling, WV-Steubenville, OH</t>
  </si>
  <si>
    <t>Weirton</t>
  </si>
  <si>
    <t>26062</t>
  </si>
  <si>
    <t>Wisconsin</t>
  </si>
  <si>
    <t>Green Bay-Appleton, WI</t>
  </si>
  <si>
    <t>Green Bay</t>
  </si>
  <si>
    <t>54313</t>
  </si>
  <si>
    <t>Milwaukee, WI</t>
  </si>
  <si>
    <t>Menomonee Falls</t>
  </si>
  <si>
    <t>53051</t>
  </si>
  <si>
    <t>Milwaukee</t>
  </si>
  <si>
    <t>53204</t>
  </si>
  <si>
    <t>53208</t>
  </si>
  <si>
    <t>Oak Creek</t>
  </si>
  <si>
    <t>53154</t>
  </si>
  <si>
    <t>Lithuania-Leads-Search-Brazil</t>
  </si>
  <si>
    <t>Minas Gerais</t>
  </si>
  <si>
    <t>Sete Lagoas</t>
  </si>
  <si>
    <t>35701</t>
  </si>
  <si>
    <t>Paraná</t>
  </si>
  <si>
    <t>Curitiba</t>
  </si>
  <si>
    <t>Rio Grande do Sul</t>
  </si>
  <si>
    <t>Porto Alegre</t>
  </si>
  <si>
    <t>São Paulo</t>
  </si>
  <si>
    <t>Guarulhos</t>
  </si>
  <si>
    <t>Cidade Ademar</t>
  </si>
  <si>
    <t>Penha</t>
  </si>
  <si>
    <t>Latvia-Leads-Search-Australia</t>
  </si>
  <si>
    <t>New Zealand</t>
  </si>
  <si>
    <t>Auckland</t>
  </si>
  <si>
    <t>0610</t>
  </si>
  <si>
    <t>1010</t>
  </si>
  <si>
    <t>Canterbury</t>
  </si>
  <si>
    <t>Christchurch City</t>
  </si>
  <si>
    <t>Christchurch</t>
  </si>
  <si>
    <t>8011</t>
  </si>
  <si>
    <t>Otago</t>
  </si>
  <si>
    <t>Dunedin City</t>
  </si>
  <si>
    <t>Dunedin</t>
  </si>
  <si>
    <t>Waitaki District</t>
  </si>
  <si>
    <t>Shag Point</t>
  </si>
  <si>
    <t>9482</t>
  </si>
  <si>
    <t>Waikato</t>
  </si>
  <si>
    <t>3216</t>
  </si>
  <si>
    <t>Waikato District</t>
  </si>
  <si>
    <t>Pokeno</t>
  </si>
  <si>
    <t>2472</t>
  </si>
  <si>
    <t>Wellington</t>
  </si>
  <si>
    <t>Wellington City</t>
  </si>
  <si>
    <t>6012</t>
  </si>
  <si>
    <t>LT-Leads-Search-RBI</t>
  </si>
  <si>
    <t>China</t>
  </si>
  <si>
    <t>HONG KONG SAR</t>
  </si>
  <si>
    <t>Hong Kong SAR</t>
  </si>
  <si>
    <t>Kowloon City</t>
  </si>
  <si>
    <t>New Territories</t>
  </si>
  <si>
    <t>Delhi</t>
  </si>
  <si>
    <t>New Delhi</t>
  </si>
  <si>
    <t>110001</t>
  </si>
  <si>
    <t>Karnataka</t>
  </si>
  <si>
    <t>Bengaluru</t>
  </si>
  <si>
    <t>560065</t>
  </si>
  <si>
    <t>560092</t>
  </si>
  <si>
    <t>562130</t>
  </si>
  <si>
    <t>Maharashtra</t>
  </si>
  <si>
    <t>Mumbai</t>
  </si>
  <si>
    <t>400005</t>
  </si>
  <si>
    <t>400011</t>
  </si>
  <si>
    <t>400013</t>
  </si>
  <si>
    <t>400017</t>
  </si>
  <si>
    <t>400025</t>
  </si>
  <si>
    <t>400034</t>
  </si>
  <si>
    <t>400051</t>
  </si>
  <si>
    <t>400053</t>
  </si>
  <si>
    <t>400057</t>
  </si>
  <si>
    <t>400061</t>
  </si>
  <si>
    <t>400098</t>
  </si>
  <si>
    <t>400099</t>
  </si>
  <si>
    <t>Thane</t>
  </si>
  <si>
    <t>400701</t>
  </si>
  <si>
    <t>Lebanon</t>
  </si>
  <si>
    <t>Beirut Governorate</t>
  </si>
  <si>
    <t>Beirut</t>
  </si>
  <si>
    <t>Mount Lebanon Governorate</t>
  </si>
  <si>
    <t>Baabda District</t>
  </si>
  <si>
    <t>Federal Territory of Kuala Lumpur</t>
  </si>
  <si>
    <t>Kuala Lumpur</t>
  </si>
  <si>
    <t>50480</t>
  </si>
  <si>
    <t>55200</t>
  </si>
  <si>
    <t>59200</t>
  </si>
  <si>
    <t>Pinang</t>
  </si>
  <si>
    <t>South-West</t>
  </si>
  <si>
    <t>Bayan Lepas</t>
  </si>
  <si>
    <t>11960</t>
  </si>
  <si>
    <t>Sarawak</t>
  </si>
  <si>
    <t>Kuching Division</t>
  </si>
  <si>
    <t>Kuching</t>
  </si>
  <si>
    <t>93000</t>
  </si>
  <si>
    <t>Selangor</t>
  </si>
  <si>
    <t>Cyberjaya</t>
  </si>
  <si>
    <t>63000</t>
  </si>
  <si>
    <t>Petaling Jaya</t>
  </si>
  <si>
    <t>46100</t>
  </si>
  <si>
    <t>47301</t>
  </si>
  <si>
    <t>47820</t>
  </si>
  <si>
    <t>Hulu Langat</t>
  </si>
  <si>
    <t>Kajang</t>
  </si>
  <si>
    <t>43000</t>
  </si>
  <si>
    <t>Petaling</t>
  </si>
  <si>
    <t>Sepang</t>
  </si>
  <si>
    <t>Dengkil</t>
  </si>
  <si>
    <t>Philippines</t>
  </si>
  <si>
    <t>Negros Oriental</t>
  </si>
  <si>
    <t>Calabarzon</t>
  </si>
  <si>
    <t>Batangas</t>
  </si>
  <si>
    <t>Lipa</t>
  </si>
  <si>
    <t>Cavite</t>
  </si>
  <si>
    <t>Bacoor</t>
  </si>
  <si>
    <t>Laguna</t>
  </si>
  <si>
    <t>Binãn</t>
  </si>
  <si>
    <t>Calamba</t>
  </si>
  <si>
    <t>Quezon</t>
  </si>
  <si>
    <t>Lucena</t>
  </si>
  <si>
    <t>Caraga</t>
  </si>
  <si>
    <t>Agusan del Norte</t>
  </si>
  <si>
    <t>Butuan</t>
  </si>
  <si>
    <t>Central Luzon</t>
  </si>
  <si>
    <t>Nueva Ecija</t>
  </si>
  <si>
    <t>Cabanatuan</t>
  </si>
  <si>
    <t>Tarlac</t>
  </si>
  <si>
    <t>Tarlac City</t>
  </si>
  <si>
    <t>Zambales</t>
  </si>
  <si>
    <t>Olongapo</t>
  </si>
  <si>
    <t>Barretto</t>
  </si>
  <si>
    <t>Central Visayas</t>
  </si>
  <si>
    <t>Cebu</t>
  </si>
  <si>
    <t>Apas</t>
  </si>
  <si>
    <t>Cordillera Administrative Region</t>
  </si>
  <si>
    <t>Baguio City</t>
  </si>
  <si>
    <t>Davao Region</t>
  </si>
  <si>
    <t>Davao del Sur</t>
  </si>
  <si>
    <t>Davao</t>
  </si>
  <si>
    <t>Ilocos Region</t>
  </si>
  <si>
    <t>Metro Manila</t>
  </si>
  <si>
    <t>Makati</t>
  </si>
  <si>
    <t>San Lorenzo</t>
  </si>
  <si>
    <t>Mandaluyong</t>
  </si>
  <si>
    <t>Wack-Wack Greenhills</t>
  </si>
  <si>
    <t>Manila</t>
  </si>
  <si>
    <t>Parañaque</t>
  </si>
  <si>
    <t>Merville</t>
  </si>
  <si>
    <t>Quezon City</t>
  </si>
  <si>
    <t>Pasong Tamo Tandang Sora</t>
  </si>
  <si>
    <t>San Juan</t>
  </si>
  <si>
    <t>Mimaropa</t>
  </si>
  <si>
    <t>Thailand</t>
  </si>
  <si>
    <t>Bangkok</t>
  </si>
  <si>
    <t>10100</t>
  </si>
  <si>
    <t>10110</t>
  </si>
  <si>
    <t>10160</t>
  </si>
  <si>
    <t>10330</t>
  </si>
  <si>
    <t>10400</t>
  </si>
  <si>
    <t>Bangsu</t>
  </si>
  <si>
    <t>Chiang Mai Province</t>
  </si>
  <si>
    <t>Chiang Mai</t>
  </si>
  <si>
    <t>Mueang Chiang Mai</t>
  </si>
  <si>
    <t>Suthep</t>
  </si>
  <si>
    <t>San Sai</t>
  </si>
  <si>
    <t>Chon Buri Province</t>
  </si>
  <si>
    <t>Bang Lamung</t>
  </si>
  <si>
    <t>Si Racha</t>
  </si>
  <si>
    <t>Thung Sukhla</t>
  </si>
  <si>
    <t>Khon Kaen Province</t>
  </si>
  <si>
    <t>Mueang Khon Kaen</t>
  </si>
  <si>
    <t>Krabi Province</t>
  </si>
  <si>
    <t>Ao Nang</t>
  </si>
  <si>
    <t>Mae Hong Son Province</t>
  </si>
  <si>
    <t>Nonthaburi Province</t>
  </si>
  <si>
    <t>Mueang Nonthaburi</t>
  </si>
  <si>
    <t>Sai Ma</t>
  </si>
  <si>
    <t>Pathum Thani Province</t>
  </si>
  <si>
    <t>Mueang Pathum Thani</t>
  </si>
  <si>
    <t>Lak Hok</t>
  </si>
  <si>
    <t>Phuket Province</t>
  </si>
  <si>
    <t>Kathu</t>
  </si>
  <si>
    <t>Pa Tong</t>
  </si>
  <si>
    <t>Udon Thani Province</t>
  </si>
  <si>
    <t>Mueang Udon Thani</t>
  </si>
  <si>
    <t>Udon Thani</t>
  </si>
  <si>
    <t>Turkey</t>
  </si>
  <si>
    <t>Türkiye</t>
  </si>
  <si>
    <t>Balıkesir</t>
  </si>
  <si>
    <t>Istanbul</t>
  </si>
  <si>
    <t>Bahçelievler</t>
  </si>
  <si>
    <t>Sisli</t>
  </si>
  <si>
    <t>Üsküdar</t>
  </si>
  <si>
    <t>Esenyurt</t>
  </si>
  <si>
    <t>Muğla</t>
  </si>
  <si>
    <t>Marmaris</t>
  </si>
  <si>
    <t>Zonguldak</t>
  </si>
  <si>
    <t>Çaycuma</t>
  </si>
  <si>
    <t>İzmir</t>
  </si>
  <si>
    <t>35520</t>
  </si>
  <si>
    <t>Latvia-Leads-Search-Canada</t>
  </si>
  <si>
    <t>T3Z</t>
  </si>
  <si>
    <t>Canmore</t>
  </si>
  <si>
    <t>T1W</t>
  </si>
  <si>
    <t>V1M</t>
  </si>
  <si>
    <t>Port Moody</t>
  </si>
  <si>
    <t>V3H</t>
  </si>
  <si>
    <t>V7C</t>
  </si>
  <si>
    <t>Surrey</t>
  </si>
  <si>
    <t>V4N</t>
  </si>
  <si>
    <t>R2W</t>
  </si>
  <si>
    <t>R3C</t>
  </si>
  <si>
    <t>York</t>
  </si>
  <si>
    <t>Fredericton</t>
  </si>
  <si>
    <t>E3B</t>
  </si>
  <si>
    <t>Northwest Territories</t>
  </si>
  <si>
    <t>Hay River</t>
  </si>
  <si>
    <t>X0E</t>
  </si>
  <si>
    <t>Cape Breton</t>
  </si>
  <si>
    <t>B1R</t>
  </si>
  <si>
    <t>Guysborough</t>
  </si>
  <si>
    <t>Frontenac</t>
  </si>
  <si>
    <t>K7K</t>
  </si>
  <si>
    <t>Northumberland</t>
  </si>
  <si>
    <t>Cobourg</t>
  </si>
  <si>
    <t>Manotick</t>
  </si>
  <si>
    <t>K1X</t>
  </si>
  <si>
    <t>K2H</t>
  </si>
  <si>
    <t>Peel</t>
  </si>
  <si>
    <t>Caledon</t>
  </si>
  <si>
    <t>L7G</t>
  </si>
  <si>
    <t>Mississauga</t>
  </si>
  <si>
    <t>L5H</t>
  </si>
  <si>
    <t>L5R</t>
  </si>
  <si>
    <t>M2J</t>
  </si>
  <si>
    <t>M4M</t>
  </si>
  <si>
    <t>M4P</t>
  </si>
  <si>
    <t>M5P</t>
  </si>
  <si>
    <t>M6R</t>
  </si>
  <si>
    <t>M6S</t>
  </si>
  <si>
    <t>Guelph</t>
  </si>
  <si>
    <t>N1G</t>
  </si>
  <si>
    <t>Richmond Hill</t>
  </si>
  <si>
    <t>L4C</t>
  </si>
  <si>
    <t>Le Haut-Saint-François Regional County Municipality</t>
  </si>
  <si>
    <t>Cookshire-Eaton</t>
  </si>
  <si>
    <t>J0B</t>
  </si>
  <si>
    <t>H3H</t>
  </si>
  <si>
    <t>H3S</t>
  </si>
  <si>
    <t>H4L</t>
  </si>
  <si>
    <t>Lithuania-Leads-Search-Argentina/Colombia/Uruguay/Mexico</t>
  </si>
  <si>
    <t>Chaco</t>
  </si>
  <si>
    <t>Resistencia</t>
  </si>
  <si>
    <t>Mexico City</t>
  </si>
  <si>
    <t>Lower Austria</t>
  </si>
  <si>
    <t>Tulln An Der Donau</t>
  </si>
  <si>
    <t>Klosterneuburg</t>
  </si>
  <si>
    <t>1020</t>
  </si>
  <si>
    <t>Sofia-City</t>
  </si>
  <si>
    <t>Sofia City</t>
  </si>
  <si>
    <t>Sofia</t>
  </si>
  <si>
    <t>Veliko Tarnovo</t>
  </si>
  <si>
    <t>Basel-Country</t>
  </si>
  <si>
    <t>Arlesheim</t>
  </si>
  <si>
    <t>Therwil</t>
  </si>
  <si>
    <t>4106</t>
  </si>
  <si>
    <t>Schwyz</t>
  </si>
  <si>
    <t>Ingenbohl</t>
  </si>
  <si>
    <t>6440</t>
  </si>
  <si>
    <t>Prague</t>
  </si>
  <si>
    <t>120 00</t>
  </si>
  <si>
    <t>130 00</t>
  </si>
  <si>
    <t>162 00</t>
  </si>
  <si>
    <t>180 00</t>
  </si>
  <si>
    <t>South Moravian Region</t>
  </si>
  <si>
    <t>Brno</t>
  </si>
  <si>
    <t>618 00</t>
  </si>
  <si>
    <t>Baden-Württemberg</t>
  </si>
  <si>
    <t>Biberach</t>
  </si>
  <si>
    <t>Biberach an der Riß</t>
  </si>
  <si>
    <t>88400</t>
  </si>
  <si>
    <t>Bavaria</t>
  </si>
  <si>
    <t>Munich (District)</t>
  </si>
  <si>
    <t>Munich</t>
  </si>
  <si>
    <t>80639</t>
  </si>
  <si>
    <t>Neustadt an der Waldnaab</t>
  </si>
  <si>
    <t>Grafenwöhr</t>
  </si>
  <si>
    <t>92655</t>
  </si>
  <si>
    <t>Oberallgäu</t>
  </si>
  <si>
    <t>Blaichach</t>
  </si>
  <si>
    <t>Berlin</t>
  </si>
  <si>
    <t>Stadt Berlin</t>
  </si>
  <si>
    <t>13088</t>
  </si>
  <si>
    <t>Brandenburg</t>
  </si>
  <si>
    <t>Cottbus</t>
  </si>
  <si>
    <t>Spree-Neiße</t>
  </si>
  <si>
    <t>Forst</t>
  </si>
  <si>
    <t>03149</t>
  </si>
  <si>
    <t>North Rhine-Westphalia</t>
  </si>
  <si>
    <t>Cologne</t>
  </si>
  <si>
    <t>51067</t>
  </si>
  <si>
    <t>Saxony</t>
  </si>
  <si>
    <t>Leipzig</t>
  </si>
  <si>
    <t>04109</t>
  </si>
  <si>
    <t>Vogtlandkreis</t>
  </si>
  <si>
    <t>Capital Region of Denmark</t>
  </si>
  <si>
    <t>Copenhagen Municipality</t>
  </si>
  <si>
    <t>Copenhagen</t>
  </si>
  <si>
    <t>Lyngby-Taarbæk Municipality</t>
  </si>
  <si>
    <t>Central Denmark Region</t>
  </si>
  <si>
    <t>Auning</t>
  </si>
  <si>
    <t>Region Zealand</t>
  </si>
  <si>
    <t>Solrød Municipality</t>
  </si>
  <si>
    <t>Havdrup</t>
  </si>
  <si>
    <t>Harju County</t>
  </si>
  <si>
    <t>Tallinn</t>
  </si>
  <si>
    <t>Lilleküla</t>
  </si>
  <si>
    <t>Andalusia</t>
  </si>
  <si>
    <t>Seville</t>
  </si>
  <si>
    <t>41014</t>
  </si>
  <si>
    <t>Castile-La Mancha</t>
  </si>
  <si>
    <t>Cuenca</t>
  </si>
  <si>
    <t>Catalonia</t>
  </si>
  <si>
    <t>Barcelona</t>
  </si>
  <si>
    <t>Community of Madrid</t>
  </si>
  <si>
    <t>Madrid</t>
  </si>
  <si>
    <t>28051</t>
  </si>
  <si>
    <t>Satakunta</t>
  </si>
  <si>
    <t>Eura</t>
  </si>
  <si>
    <t>Eurajoki</t>
  </si>
  <si>
    <t>Uusimaa</t>
  </si>
  <si>
    <t>Vantaa</t>
  </si>
  <si>
    <t>Grand Est</t>
  </si>
  <si>
    <t>Bas-Rhin</t>
  </si>
  <si>
    <t>Schiltigheim</t>
  </si>
  <si>
    <t>67300</t>
  </si>
  <si>
    <t>Île-de-France</t>
  </si>
  <si>
    <t>Paris</t>
  </si>
  <si>
    <t>75004</t>
  </si>
  <si>
    <t>75009</t>
  </si>
  <si>
    <t>Attica</t>
  </si>
  <si>
    <t>Chalandri</t>
  </si>
  <si>
    <t>City of Zagreb</t>
  </si>
  <si>
    <t>Zagreb</t>
  </si>
  <si>
    <t>Baranya</t>
  </si>
  <si>
    <t>Pécsi járás</t>
  </si>
  <si>
    <t>Pécs</t>
  </si>
  <si>
    <t>7624</t>
  </si>
  <si>
    <t>County Dublin</t>
  </si>
  <si>
    <t>Roebuck</t>
  </si>
  <si>
    <t>Dublin</t>
  </si>
  <si>
    <t>County Limerick</t>
  </si>
  <si>
    <t>Limerick</t>
  </si>
  <si>
    <t>Campania</t>
  </si>
  <si>
    <t>Emilia-Romagna</t>
  </si>
  <si>
    <t>Bologna</t>
  </si>
  <si>
    <t>40138</t>
  </si>
  <si>
    <t>Ferrara</t>
  </si>
  <si>
    <t>44122</t>
  </si>
  <si>
    <t>Latium</t>
  </si>
  <si>
    <t>00185</t>
  </si>
  <si>
    <t>Lombardy</t>
  </si>
  <si>
    <t>Milan</t>
  </si>
  <si>
    <t>Assago</t>
  </si>
  <si>
    <t>Umbria</t>
  </si>
  <si>
    <t>Perugia</t>
  </si>
  <si>
    <t>Magione</t>
  </si>
  <si>
    <t>Riga</t>
  </si>
  <si>
    <t>Limburg</t>
  </si>
  <si>
    <t>Gemeente Venray</t>
  </si>
  <si>
    <t>Oostrum</t>
  </si>
  <si>
    <t>5807</t>
  </si>
  <si>
    <t>North Holland</t>
  </si>
  <si>
    <t>Amsterdam</t>
  </si>
  <si>
    <t>1012</t>
  </si>
  <si>
    <t>1031</t>
  </si>
  <si>
    <t>Lesser Poland Voivodeship</t>
  </si>
  <si>
    <t>Krakow</t>
  </si>
  <si>
    <t>Royal Capital City of Krakow</t>
  </si>
  <si>
    <t>Masovian Voivodeship</t>
  </si>
  <si>
    <t>Warsaw</t>
  </si>
  <si>
    <t>Madeira Island</t>
  </si>
  <si>
    <t>Funchal</t>
  </si>
  <si>
    <t>9000</t>
  </si>
  <si>
    <t>Brașov</t>
  </si>
  <si>
    <t>Brasov</t>
  </si>
  <si>
    <t>Bucharest</t>
  </si>
  <si>
    <t>Titan</t>
  </si>
  <si>
    <t>Cluj</t>
  </si>
  <si>
    <t>Cluj-Napoca</t>
  </si>
  <si>
    <t>Gheorgheni</t>
  </si>
  <si>
    <t>Dolj</t>
  </si>
  <si>
    <t>Craiova</t>
  </si>
  <si>
    <t>Ilfov</t>
  </si>
  <si>
    <t>Bragadiru</t>
  </si>
  <si>
    <t>Teleorman</t>
  </si>
  <si>
    <t>Stockholm County</t>
  </si>
  <si>
    <t>Stockholm Municipality</t>
  </si>
  <si>
    <t>Stockholm</t>
  </si>
  <si>
    <t>Västerbotten County</t>
  </si>
  <si>
    <t>Lycksele</t>
  </si>
  <si>
    <t>Velenje</t>
  </si>
  <si>
    <t>Region of Bratislava</t>
  </si>
  <si>
    <t>Bratislava</t>
  </si>
  <si>
    <t>831 04</t>
  </si>
  <si>
    <t>-</t>
  </si>
  <si>
    <t>©2026 Microsoft Corporation. All rights reserved.</t>
  </si>
  <si>
    <t>Paused</t>
  </si>
  <si>
    <t>Ciudadanía</t>
  </si>
  <si>
    <t>Lithuania-Leads-Search-UK</t>
  </si>
  <si>
    <t>Latvia-Leads-Search-UK</t>
  </si>
  <si>
    <t>LV-Leads-Search-RBI</t>
  </si>
  <si>
    <t>Antigua and Barbuda</t>
  </si>
  <si>
    <t>Armenia</t>
  </si>
  <si>
    <t>Azerbaijan</t>
  </si>
  <si>
    <t>Barbados</t>
  </si>
  <si>
    <t>Bermuda</t>
  </si>
  <si>
    <t>Bhutan</t>
  </si>
  <si>
    <t>Bosnia and Herzegovina</t>
  </si>
  <si>
    <t>Cayman Islands</t>
  </si>
  <si>
    <t>Cote d'Ivoire</t>
  </si>
  <si>
    <t>Fiji</t>
  </si>
  <si>
    <t>Gabon</t>
  </si>
  <si>
    <t>Guernsey</t>
  </si>
  <si>
    <t>Iceland</t>
  </si>
  <si>
    <t>Iran</t>
  </si>
  <si>
    <t>Japan</t>
  </si>
  <si>
    <t>Jersey</t>
  </si>
  <si>
    <t>Jordan</t>
  </si>
  <si>
    <t>Kazakhstan</t>
  </si>
  <si>
    <t>Kosovo</t>
  </si>
  <si>
    <t>Kuwait</t>
  </si>
  <si>
    <t>Libya</t>
  </si>
  <si>
    <t>Maldives</t>
  </si>
  <si>
    <t>Montenegro</t>
  </si>
  <si>
    <t>North Macedonia</t>
  </si>
  <si>
    <t>Norway</t>
  </si>
  <si>
    <t>Oman</t>
  </si>
  <si>
    <t>Palestine</t>
  </si>
  <si>
    <t>Panama</t>
  </si>
  <si>
    <t>Papua New Guinea</t>
  </si>
  <si>
    <t>Saudi Arabia</t>
  </si>
  <si>
    <t>Seychelles</t>
  </si>
  <si>
    <t>South Korea</t>
  </si>
  <si>
    <t>Suriname</t>
  </si>
  <si>
    <t>Syria</t>
  </si>
  <si>
    <t>Trinidad and Tobago</t>
  </si>
  <si>
    <t>Turkiye</t>
  </si>
  <si>
    <t>Vanuatu</t>
  </si>
  <si>
    <t>Venezuela</t>
  </si>
  <si>
    <t>Vietnam</t>
  </si>
  <si>
    <t>LV-Leads-Search-RBI TOP countries</t>
  </si>
  <si>
    <t>Lithuania Discovery</t>
  </si>
  <si>
    <t>Demand Gen</t>
  </si>
  <si>
    <t>Ad group 1</t>
  </si>
  <si>
    <t>Lithuania Discovery-US</t>
  </si>
  <si>
    <t>Lithuania Discovery-CA</t>
  </si>
  <si>
    <t>LV-Leads-Search-RBI-RE</t>
  </si>
  <si>
    <t>Guam</t>
  </si>
  <si>
    <t>Monaco</t>
  </si>
  <si>
    <t>Nicaragua</t>
  </si>
  <si>
    <t>LV-Leads-Search-RBI-RE TOP countries</t>
  </si>
  <si>
    <t>Lithuania--Search-Conversions-ru-lang</t>
  </si>
  <si>
    <t>Литовское гражданство</t>
  </si>
  <si>
    <t>Egypt</t>
  </si>
  <si>
    <t>Indonesia</t>
  </si>
  <si>
    <t>Turkmenistan</t>
  </si>
  <si>
    <t>Zimbabwe</t>
  </si>
  <si>
    <t>MARCH</t>
  </si>
  <si>
    <t>APRIL vs MARCH, %</t>
  </si>
  <si>
    <t>APRIL vs MARCH (leads)</t>
  </si>
  <si>
    <t>APRIL vs MARCH (leads, %)</t>
  </si>
  <si>
    <t>APRIL vs MARCH</t>
  </si>
  <si>
    <t>Names</t>
  </si>
  <si>
    <t>PHONE NUMBER</t>
  </si>
  <si>
    <t>EMAIL</t>
  </si>
  <si>
    <t>COMMUNICATING</t>
  </si>
  <si>
    <t>FROM</t>
  </si>
  <si>
    <t>DATE RETAINER WAS SENT</t>
  </si>
  <si>
    <t>COUNTRY</t>
  </si>
  <si>
    <t>LV/LT</t>
  </si>
  <si>
    <t>Oleh</t>
  </si>
  <si>
    <t>adw</t>
  </si>
  <si>
    <t>USA</t>
  </si>
  <si>
    <t>Paid</t>
  </si>
  <si>
    <t>Mariana</t>
  </si>
  <si>
    <t>Waiting for payment</t>
  </si>
  <si>
    <t>Oleksandr</t>
  </si>
  <si>
    <t>organic</t>
  </si>
  <si>
    <t>others (direct email phone call referral etc )</t>
  </si>
  <si>
    <t>website form</t>
  </si>
  <si>
    <t>office@bridgewest.eu</t>
  </si>
  <si>
    <t>Sheila</t>
  </si>
  <si>
    <t>Alexey Vaizman</t>
  </si>
  <si>
    <t>a.vaizman@mail.com</t>
  </si>
  <si>
    <t>1 Apr 2026</t>
  </si>
  <si>
    <t>Monique Hutchinson</t>
  </si>
  <si>
    <t>hutchinson.moniquen@gmail.com</t>
  </si>
  <si>
    <t>2 Apr 2026</t>
  </si>
  <si>
    <t>Said Jack Bo Sauder Segundo</t>
  </si>
  <si>
    <t>Saidsauder@gmail.com</t>
  </si>
  <si>
    <t>9 Apr 2026</t>
  </si>
  <si>
    <t>?direct</t>
  </si>
  <si>
    <t>13 Apr 2026</t>
  </si>
  <si>
    <t>Elena Belik</t>
  </si>
  <si>
    <t>Dawn Odins</t>
  </si>
  <si>
    <t>dawn_odins@hotmail.com</t>
  </si>
  <si>
    <t>20 Apr 2026</t>
  </si>
  <si>
    <t>UK</t>
  </si>
  <si>
    <t>Fernando Francisco Stanchese</t>
  </si>
  <si>
    <t>fstanchese@gmail.com</t>
  </si>
  <si>
    <t>16 Apr 2026</t>
  </si>
  <si>
    <t>Alexander Viktorov</t>
  </si>
  <si>
    <t>21 Apr 2026</t>
  </si>
  <si>
    <t>24 Apr 2026</t>
  </si>
  <si>
    <t>Jacob Burman</t>
  </si>
  <si>
    <t>burman.jacob@gmail.com</t>
  </si>
  <si>
    <t>?Lithuania--Search-Conversions-USA</t>
  </si>
  <si>
    <t>30 Apr 2026</t>
  </si>
  <si>
    <t>1 (954) 205-6273</t>
  </si>
  <si>
    <t>28 Apr 2026</t>
  </si>
  <si>
    <t>US</t>
  </si>
  <si>
    <t>Sinkiavichius Denis</t>
  </si>
  <si>
    <t>Mashinda Tshibangu</t>
  </si>
  <si>
    <t>otem1@proton.me</t>
  </si>
  <si>
    <t>Bank account</t>
  </si>
  <si>
    <t>Leads</t>
  </si>
  <si>
    <t>Conversion lead / contract</t>
  </si>
  <si>
    <t>Difference, %</t>
  </si>
  <si>
    <t>Organic</t>
  </si>
  <si>
    <t>Others (wrote by email)</t>
  </si>
  <si>
    <t>Facebook &amp; Instagram</t>
  </si>
  <si>
    <t>Website (source not identified)</t>
  </si>
  <si>
    <t>CR</t>
  </si>
  <si>
    <t>Spent</t>
  </si>
  <si>
    <t>CPC</t>
  </si>
  <si>
    <t>CPL</t>
  </si>
  <si>
    <t>ru-leads</t>
  </si>
  <si>
    <t>Europe</t>
  </si>
  <si>
    <t>Conclusions</t>
  </si>
  <si>
    <t>Australia + New Zeland</t>
  </si>
  <si>
    <t>LV RBI property</t>
  </si>
  <si>
    <t>Month</t>
  </si>
  <si>
    <t>Non-relevant</t>
  </si>
  <si>
    <t>February</t>
  </si>
  <si>
    <t>March</t>
  </si>
  <si>
    <t>April</t>
  </si>
  <si>
    <t>May</t>
  </si>
  <si>
    <t>June</t>
  </si>
  <si>
    <t>July</t>
  </si>
  <si>
    <t>August</t>
  </si>
  <si>
    <t>No data</t>
  </si>
  <si>
    <t>December</t>
  </si>
  <si>
    <t>January</t>
  </si>
  <si>
    <t>The ru campaign works well, leads are of good-quality</t>
  </si>
  <si>
    <t>We don't see in this table Calendly leads. For these leads countries and sources are not determined. It's about 10% of total leads</t>
  </si>
  <si>
    <t>All Discovery campaigns were stopped due to the low quality of leads, they didn't justify themselves. Also, the Discovery leads could have influenced the increase in the cost per lead.</t>
  </si>
  <si>
    <t>Leads MARCH</t>
  </si>
  <si>
    <t>Google Ads MARCH</t>
  </si>
  <si>
    <t xml:space="preserve">The number of clicks from Discovery in March and April was virtually the same. The total number of clicks from Google Ads also remained at the same level. At the same time, we saw a 30% drop in the number of leads. I cannot rule out the possibility that this is a result of changes made to the website in connection with the implementation of Calendly.  </t>
  </si>
  <si>
    <t>The increase in organic leads (others, website form) was mainly driven by ru-leads. I think this is a result of the ad campaign launch.</t>
  </si>
  <si>
    <t>Calendly: Wellington Panta</t>
  </si>
  <si>
    <t>Calendly: Agnese Jurevica</t>
  </si>
  <si>
    <t>Calendly: Renat</t>
  </si>
  <si>
    <t>Calendly: Андрей Валеръевичь Глущенко</t>
  </si>
  <si>
    <t>It's hard to draw any conclusions here. The numbers are small. There were no changes to the Google Ads settings. We added a feature to the site that allows users to schedule a call via Calendly.</t>
  </si>
  <si>
    <t>The Latvian RBI for real estate investments is a much more complex product. I'm not sure it's the right product to promote through Google Ads. We have two potential clients, but it took us over a year of work on the RBI to get there.</t>
  </si>
  <si>
    <t>Changes to Google Ads itself were made in May, so the decline cannot be attributed to that.</t>
  </si>
  <si>
    <t>As for our overall SEO performance, we continue to make steady progress. We’ve already touched the top 10 for the search term “Lithuanian citizenship” in the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</si>
</sst>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5">
    <font>
      <sz val="11"/>
      <color theme="1"/>
      <name val="Calibri"/>
      <family val="2"/>
      <scheme val="minor"/>
    </font>
    <font>
      <sz val="11"/>
      <color theme="1"/>
      <name val="Calibri"/>
      <family val="2"/>
      <scheme val="minor"/>
    </font>
    <font>
      <b/>
      <sz val="11"/>
      <color theme="1"/>
      <name val="Calibri"/>
      <family val="2"/>
      <scheme val="minor"/>
    </font>
    <font>
      <b/>
      <sz val="11"/>
      <color theme="6" tint="-0.499984740745262"/>
      <name val="Calibri"/>
      <family val="2"/>
      <charset val="204"/>
      <scheme val="minor"/>
    </font>
    <font>
      <b/>
      <sz val="11"/>
      <color rgb="FFC00000"/>
      <name val="Calibri"/>
      <family val="2"/>
      <charset val="204"/>
      <scheme val="minor"/>
    </font>
    <font>
      <sz val="9"/>
      <color indexed="81"/>
      <name val="Tahoma"/>
      <family val="2"/>
      <charset val="204"/>
    </font>
    <font>
      <b/>
      <sz val="9"/>
      <color indexed="81"/>
      <name val="Tahoma"/>
      <family val="2"/>
      <charset val="204"/>
    </font>
    <font>
      <b/>
      <sz val="10"/>
      <color rgb="FF000000"/>
      <name val="Arial"/>
      <family val="2"/>
      <charset val="204"/>
    </font>
    <font>
      <sz val="10"/>
      <color rgb="FF000000"/>
      <name val="Arial"/>
      <family val="2"/>
      <charset val="204"/>
    </font>
    <font>
      <sz val="10"/>
      <name val="Arial"/>
      <family val="2"/>
      <charset val="204"/>
    </font>
    <font>
      <sz val="10"/>
      <color theme="1"/>
      <name val="Calibri"/>
      <family val="2"/>
      <charset val="204"/>
      <scheme val="minor"/>
    </font>
    <font>
      <b/>
      <sz val="11"/>
      <color rgb="FFFFFFFF"/>
      <name val="Calibri"/>
      <family val="2"/>
      <charset val="204"/>
    </font>
    <font>
      <b/>
      <sz val="11"/>
      <color rgb="FF1F497D"/>
      <name val="Calibri"/>
      <family val="2"/>
      <charset val="204"/>
    </font>
    <font>
      <b/>
      <sz val="11"/>
      <name val="Calibri"/>
      <family val="2"/>
      <charset val="204"/>
    </font>
    <font>
      <sz val="11"/>
      <name val="Calibri"/>
      <family val="2"/>
      <charset val="204"/>
    </font>
    <font>
      <b/>
      <sz val="10"/>
      <color theme="1"/>
      <name val="Arial"/>
      <family val="2"/>
      <charset val="204"/>
    </font>
    <font>
      <sz val="10"/>
      <color theme="1"/>
      <name val="Arial"/>
      <family val="2"/>
      <charset val="204"/>
    </font>
    <font>
      <sz val="11"/>
      <color rgb="FF000000"/>
      <name val="Lato 2"/>
    </font>
    <font>
      <sz val="11"/>
      <color rgb="FF000000"/>
      <name val="Arial"/>
      <family val="2"/>
      <charset val="204"/>
    </font>
    <font>
      <sz val="12"/>
      <color rgb="FF000000"/>
      <name val="Aptos"/>
    </font>
    <font>
      <b/>
      <sz val="16"/>
      <color theme="6" tint="-0.249977111117893"/>
      <name val="Arial"/>
      <family val="2"/>
      <charset val="204"/>
    </font>
    <font>
      <b/>
      <sz val="10"/>
      <color rgb="FFC00000"/>
      <name val="Arial"/>
      <family val="2"/>
      <charset val="204"/>
    </font>
    <font>
      <b/>
      <sz val="16"/>
      <color rgb="FFC00000"/>
      <name val="Arial"/>
      <family val="2"/>
      <charset val="204"/>
    </font>
    <font>
      <b/>
      <sz val="14"/>
      <color rgb="FF000000"/>
      <name val="Arial"/>
      <family val="2"/>
      <charset val="204"/>
    </font>
    <font>
      <b/>
      <sz val="14"/>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6AA84F"/>
        <bgColor indexed="64"/>
      </patternFill>
    </fill>
    <fill>
      <patternFill patternType="solid">
        <fgColor rgb="FFFFFFFF"/>
        <bgColor indexed="64"/>
      </patternFill>
    </fill>
    <fill>
      <patternFill patternType="solid">
        <fgColor rgb="FFF4E288"/>
        <bgColor indexed="64"/>
      </patternFill>
    </fill>
    <fill>
      <patternFill patternType="solid">
        <fgColor rgb="FFFFFF99"/>
        <bgColor indexed="64"/>
      </patternFill>
    </fill>
    <fill>
      <patternFill patternType="solid">
        <fgColor theme="7" tint="0.59999389629810485"/>
        <bgColor indexed="64"/>
      </patternFill>
    </fill>
  </fills>
  <borders count="51">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right style="medium">
        <color indexed="64"/>
      </right>
      <top/>
      <bottom/>
      <diagonal/>
    </border>
    <border>
      <left style="medium">
        <color indexed="64"/>
      </left>
      <right style="medium">
        <color indexed="64"/>
      </right>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style="thin">
        <color indexed="64"/>
      </left>
      <right/>
      <top/>
      <bottom/>
      <diagonal/>
    </border>
    <border>
      <left style="medium">
        <color indexed="64"/>
      </left>
      <right style="medium">
        <color indexed="64"/>
      </right>
      <top style="medium">
        <color indexed="64"/>
      </top>
      <bottom/>
      <diagonal/>
    </border>
    <border>
      <left/>
      <right style="thin">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263">
    <xf numFmtId="0" fontId="1" fillId="0" borderId="0" xfId="0" applyFont="1" applyAlignment="1">
      <alignment wrapText="1"/>
    </xf>
    <xf numFmtId="0" fontId="2" fillId="0" borderId="0" xfId="0" applyFont="1"/>
    <xf numFmtId="0" fontId="1" fillId="0" borderId="0" xfId="0" applyFont="1"/>
    <xf numFmtId="22" fontId="1" fillId="0" borderId="0" xfId="0" applyNumberFormat="1" applyFont="1"/>
    <xf numFmtId="14" fontId="1" fillId="0" borderId="0" xfId="0" applyNumberFormat="1" applyFont="1"/>
    <xf numFmtId="17" fontId="0" fillId="0" borderId="0" xfId="0" applyNumberFormat="1"/>
    <xf numFmtId="0" fontId="0" fillId="0" borderId="0" xfId="0"/>
    <xf numFmtId="1" fontId="0" fillId="0" borderId="0" xfId="0" applyNumberFormat="1"/>
    <xf numFmtId="0" fontId="0" fillId="2" borderId="0" xfId="0" applyFill="1"/>
    <xf numFmtId="0" fontId="3" fillId="0" borderId="0" xfId="0" applyFont="1"/>
    <xf numFmtId="0" fontId="4" fillId="0" borderId="0" xfId="0" applyFont="1"/>
    <xf numFmtId="164" fontId="0" fillId="0" borderId="0" xfId="1" applyNumberFormat="1" applyFont="1"/>
    <xf numFmtId="0" fontId="7" fillId="0" borderId="1" xfId="0" applyFont="1" applyBorder="1" applyAlignment="1">
      <alignment wrapText="1"/>
    </xf>
    <xf numFmtId="0" fontId="7" fillId="0" borderId="1" xfId="0" applyFont="1" applyBorder="1" applyAlignment="1">
      <alignment horizontal="center" wrapText="1"/>
    </xf>
    <xf numFmtId="0" fontId="7" fillId="0" borderId="2" xfId="0" applyFont="1" applyBorder="1" applyAlignment="1">
      <alignment horizontal="center" wrapText="1"/>
    </xf>
    <xf numFmtId="9" fontId="0" fillId="0" borderId="0" xfId="1" applyFont="1"/>
    <xf numFmtId="0" fontId="7" fillId="0" borderId="0" xfId="0" applyFont="1"/>
    <xf numFmtId="2" fontId="7" fillId="0" borderId="0" xfId="0" applyNumberFormat="1" applyFont="1"/>
    <xf numFmtId="164" fontId="7" fillId="0" borderId="0" xfId="1" applyNumberFormat="1" applyFont="1"/>
    <xf numFmtId="1" fontId="7" fillId="0" borderId="0" xfId="1" applyNumberFormat="1" applyFont="1" applyFill="1"/>
    <xf numFmtId="0" fontId="8" fillId="2" borderId="0" xfId="0" applyFont="1" applyFill="1"/>
    <xf numFmtId="1" fontId="8" fillId="0" borderId="0" xfId="1" applyNumberFormat="1" applyFont="1" applyFill="1"/>
    <xf numFmtId="164" fontId="0" fillId="0" borderId="0" xfId="0" applyNumberFormat="1"/>
    <xf numFmtId="9" fontId="7" fillId="0" borderId="0" xfId="1" applyFont="1"/>
    <xf numFmtId="2" fontId="0" fillId="0" borderId="0" xfId="0" applyNumberFormat="1"/>
    <xf numFmtId="2" fontId="9" fillId="0" borderId="0" xfId="0" applyNumberFormat="1" applyFont="1"/>
    <xf numFmtId="1" fontId="7" fillId="0" borderId="0" xfId="1" applyNumberFormat="1" applyFont="1"/>
    <xf numFmtId="1" fontId="0" fillId="0" borderId="0" xfId="1" applyNumberFormat="1" applyFont="1"/>
    <xf numFmtId="0" fontId="7" fillId="0" borderId="0" xfId="1" applyNumberFormat="1" applyFont="1"/>
    <xf numFmtId="0" fontId="0" fillId="0" borderId="0" xfId="1" applyNumberFormat="1" applyFont="1"/>
    <xf numFmtId="0" fontId="8" fillId="0" borderId="0" xfId="0" applyFont="1"/>
    <xf numFmtId="0" fontId="10" fillId="0" borderId="0" xfId="0" applyFont="1"/>
    <xf numFmtId="10" fontId="10" fillId="0" borderId="0" xfId="0" applyNumberFormat="1" applyFont="1"/>
    <xf numFmtId="0" fontId="11" fillId="0" borderId="0" xfId="0" applyFont="1"/>
    <xf numFmtId="0" fontId="12" fillId="0" borderId="0" xfId="0" applyFont="1"/>
    <xf numFmtId="0" fontId="13" fillId="0" borderId="0" xfId="0" applyFont="1"/>
    <xf numFmtId="0" fontId="14" fillId="0" borderId="0" xfId="0" applyFont="1"/>
    <xf numFmtId="0" fontId="7" fillId="3" borderId="3" xfId="0" applyFont="1" applyFill="1" applyBorder="1" applyAlignment="1">
      <alignment vertical="top"/>
    </xf>
    <xf numFmtId="0" fontId="7" fillId="3" borderId="4" xfId="0" applyFont="1" applyFill="1" applyBorder="1" applyAlignment="1">
      <alignment vertical="top"/>
    </xf>
    <xf numFmtId="0" fontId="15" fillId="3" borderId="4" xfId="0" applyFont="1" applyFill="1" applyBorder="1" applyAlignment="1">
      <alignment vertical="top"/>
    </xf>
    <xf numFmtId="0" fontId="16" fillId="0" borderId="3" xfId="0" applyFont="1" applyBorder="1" applyAlignment="1">
      <alignment vertical="top"/>
    </xf>
    <xf numFmtId="0" fontId="16" fillId="0" borderId="4" xfId="0" applyFont="1" applyBorder="1" applyAlignment="1">
      <alignment vertical="top"/>
    </xf>
    <xf numFmtId="0" fontId="16" fillId="0" borderId="5" xfId="0" applyFont="1" applyBorder="1" applyAlignment="1">
      <alignment vertical="top"/>
    </xf>
    <xf numFmtId="0" fontId="16" fillId="4" borderId="5" xfId="0" applyFont="1" applyFill="1" applyBorder="1" applyAlignment="1">
      <alignment vertical="top"/>
    </xf>
    <xf numFmtId="0" fontId="16" fillId="0" borderId="6" xfId="0" applyFont="1" applyBorder="1" applyAlignment="1">
      <alignment vertical="top"/>
    </xf>
    <xf numFmtId="0" fontId="16" fillId="4" borderId="6" xfId="0" applyFont="1" applyFill="1" applyBorder="1" applyAlignment="1">
      <alignment vertical="top"/>
    </xf>
    <xf numFmtId="0" fontId="16" fillId="4" borderId="3" xfId="0" applyFont="1" applyFill="1" applyBorder="1" applyAlignment="1">
      <alignment vertical="top"/>
    </xf>
    <xf numFmtId="0" fontId="16" fillId="4" borderId="4" xfId="0" applyFont="1" applyFill="1" applyBorder="1" applyAlignment="1">
      <alignment vertical="top"/>
    </xf>
    <xf numFmtId="0" fontId="8" fillId="4" borderId="5" xfId="0" applyFont="1" applyFill="1" applyBorder="1" applyAlignment="1">
      <alignment vertical="top"/>
    </xf>
    <xf numFmtId="0" fontId="8" fillId="4" borderId="5" xfId="0" applyFont="1" applyFill="1" applyBorder="1" applyAlignment="1"/>
    <xf numFmtId="0" fontId="16" fillId="0" borderId="5" xfId="0" applyFont="1" applyBorder="1" applyAlignment="1"/>
    <xf numFmtId="0" fontId="17" fillId="4" borderId="5" xfId="0" applyFont="1" applyFill="1" applyBorder="1" applyAlignment="1"/>
    <xf numFmtId="0" fontId="18" fillId="4" borderId="6" xfId="0" applyFont="1" applyFill="1" applyBorder="1" applyAlignment="1"/>
    <xf numFmtId="3" fontId="19" fillId="4" borderId="5" xfId="0" applyNumberFormat="1" applyFont="1" applyFill="1" applyBorder="1" applyAlignment="1"/>
    <xf numFmtId="0" fontId="20" fillId="0" borderId="7" xfId="0" applyFont="1" applyBorder="1" applyAlignment="1">
      <alignment horizontal="center"/>
    </xf>
    <xf numFmtId="0" fontId="8" fillId="0" borderId="8" xfId="0" applyFon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5" xfId="0" applyBorder="1" applyAlignment="1">
      <alignment horizontal="center" vertical="center" wrapText="1"/>
    </xf>
    <xf numFmtId="0" fontId="8" fillId="0" borderId="14" xfId="0" applyFont="1" applyBorder="1" applyAlignment="1">
      <alignment horizontal="center" vertical="center" wrapText="1"/>
    </xf>
    <xf numFmtId="0" fontId="8" fillId="5" borderId="8" xfId="0" applyFont="1" applyFill="1" applyBorder="1" applyAlignment="1">
      <alignment horizontal="center" vertical="center"/>
    </xf>
    <xf numFmtId="0" fontId="0" fillId="5" borderId="9" xfId="0" applyFill="1" applyBorder="1" applyAlignment="1">
      <alignment horizontal="center" vertical="center"/>
    </xf>
    <xf numFmtId="0" fontId="0" fillId="5" borderId="10" xfId="0" applyFill="1" applyBorder="1" applyAlignment="1">
      <alignment horizontal="center" vertical="center"/>
    </xf>
    <xf numFmtId="0" fontId="8" fillId="5" borderId="8" xfId="0" applyFont="1" applyFill="1" applyBorder="1" applyAlignment="1">
      <alignment horizontal="center" vertical="center" wrapText="1"/>
    </xf>
    <xf numFmtId="0" fontId="8" fillId="5" borderId="9" xfId="0" applyFont="1" applyFill="1" applyBorder="1" applyAlignment="1">
      <alignment horizontal="center" vertical="center" wrapText="1"/>
    </xf>
    <xf numFmtId="0" fontId="8" fillId="5" borderId="10" xfId="0" applyFont="1" applyFill="1" applyBorder="1" applyAlignment="1">
      <alignment horizontal="center" vertical="center" wrapText="1"/>
    </xf>
    <xf numFmtId="0" fontId="8" fillId="6" borderId="11" xfId="0" applyFont="1" applyFill="1" applyBorder="1" applyAlignment="1">
      <alignment horizontal="center" vertical="center" wrapText="1"/>
    </xf>
    <xf numFmtId="0" fontId="0" fillId="6" borderId="12" xfId="0" applyFill="1" applyBorder="1" applyAlignment="1">
      <alignment horizontal="center" vertical="center" wrapText="1"/>
    </xf>
    <xf numFmtId="0" fontId="0" fillId="6" borderId="13" xfId="0" applyFill="1" applyBorder="1" applyAlignment="1">
      <alignment horizontal="center" vertical="center" wrapText="1"/>
    </xf>
    <xf numFmtId="0" fontId="0" fillId="6" borderId="14" xfId="0" applyFill="1" applyBorder="1" applyAlignment="1">
      <alignment horizontal="center" vertical="center" wrapText="1"/>
    </xf>
    <xf numFmtId="0" fontId="0" fillId="6" borderId="11" xfId="0" applyFill="1" applyBorder="1" applyAlignment="1">
      <alignment horizontal="center" vertical="center" wrapText="1"/>
    </xf>
    <xf numFmtId="0" fontId="0" fillId="0" borderId="16" xfId="0" applyBorder="1" applyAlignment="1">
      <alignment horizontal="center" vertical="center"/>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xf>
    <xf numFmtId="0" fontId="0" fillId="0" borderId="19" xfId="0" applyBorder="1" applyAlignment="1">
      <alignment horizontal="center" vertical="center" wrapText="1"/>
    </xf>
    <xf numFmtId="0" fontId="8" fillId="0" borderId="20" xfId="0" applyFont="1" applyBorder="1" applyAlignment="1">
      <alignment horizontal="center" vertical="center" wrapText="1"/>
    </xf>
    <xf numFmtId="0" fontId="8" fillId="0" borderId="21" xfId="0" applyFont="1"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24" xfId="0" applyBorder="1" applyAlignment="1">
      <alignment horizontal="center" vertical="center" wrapText="1"/>
    </xf>
    <xf numFmtId="0" fontId="0" fillId="5" borderId="17" xfId="0" applyFill="1" applyBorder="1" applyAlignment="1">
      <alignment horizontal="center" vertical="center" wrapText="1"/>
    </xf>
    <xf numFmtId="0" fontId="0" fillId="5" borderId="18" xfId="0" applyFill="1" applyBorder="1" applyAlignment="1">
      <alignment horizontal="center" vertical="center" wrapText="1"/>
    </xf>
    <xf numFmtId="0" fontId="0" fillId="5" borderId="19" xfId="0" applyFill="1" applyBorder="1" applyAlignment="1">
      <alignment horizontal="center" vertical="center"/>
    </xf>
    <xf numFmtId="0" fontId="0" fillId="5" borderId="19" xfId="0" applyFill="1" applyBorder="1" applyAlignment="1">
      <alignment horizontal="center" vertical="center" wrapText="1"/>
    </xf>
    <xf numFmtId="0" fontId="0" fillId="5" borderId="24" xfId="0" applyFill="1" applyBorder="1" applyAlignment="1">
      <alignment horizontal="center" vertical="center"/>
    </xf>
    <xf numFmtId="0" fontId="0" fillId="5" borderId="25" xfId="0" applyFill="1" applyBorder="1" applyAlignment="1">
      <alignment horizontal="center" vertical="center" wrapText="1"/>
    </xf>
    <xf numFmtId="0" fontId="0" fillId="5" borderId="26" xfId="0" applyFill="1" applyBorder="1" applyAlignment="1">
      <alignment horizontal="center" vertical="center"/>
    </xf>
    <xf numFmtId="0" fontId="0" fillId="5" borderId="26" xfId="0" applyFill="1" applyBorder="1" applyAlignment="1">
      <alignment horizontal="center" vertical="center" wrapText="1"/>
    </xf>
    <xf numFmtId="0" fontId="0" fillId="5" borderId="27" xfId="0" applyFill="1" applyBorder="1" applyAlignment="1">
      <alignment horizontal="center" vertical="center"/>
    </xf>
    <xf numFmtId="0" fontId="8" fillId="6" borderId="20" xfId="0" applyFont="1" applyFill="1" applyBorder="1" applyAlignment="1">
      <alignment horizontal="center" vertical="center" wrapText="1"/>
    </xf>
    <xf numFmtId="0" fontId="8" fillId="6" borderId="21" xfId="0" applyFont="1" applyFill="1" applyBorder="1" applyAlignment="1">
      <alignment horizontal="center" vertical="center" wrapText="1"/>
    </xf>
    <xf numFmtId="0" fontId="0" fillId="6" borderId="22" xfId="0" applyFill="1" applyBorder="1" applyAlignment="1">
      <alignment horizontal="center" vertical="center" wrapText="1"/>
    </xf>
    <xf numFmtId="0" fontId="0" fillId="6" borderId="23" xfId="0" applyFill="1" applyBorder="1" applyAlignment="1">
      <alignment horizontal="center" vertical="center" wrapText="1"/>
    </xf>
    <xf numFmtId="0" fontId="8" fillId="6" borderId="28" xfId="0" applyFont="1" applyFill="1" applyBorder="1" applyAlignment="1">
      <alignment horizontal="center" vertical="center" wrapText="1"/>
    </xf>
    <xf numFmtId="0" fontId="8" fillId="6" borderId="29" xfId="0" applyFont="1" applyFill="1" applyBorder="1" applyAlignment="1">
      <alignment horizontal="center" vertical="center" wrapText="1"/>
    </xf>
    <xf numFmtId="0" fontId="0" fillId="6" borderId="30" xfId="0" applyFill="1" applyBorder="1" applyAlignment="1">
      <alignment horizontal="center" vertical="center" wrapText="1"/>
    </xf>
    <xf numFmtId="0" fontId="0" fillId="6" borderId="31" xfId="0" applyFill="1" applyBorder="1" applyAlignment="1">
      <alignment horizontal="center" vertical="center" wrapText="1"/>
    </xf>
    <xf numFmtId="0" fontId="8" fillId="0" borderId="32" xfId="0" applyFont="1" applyBorder="1"/>
    <xf numFmtId="0" fontId="0" fillId="0" borderId="33" xfId="0" applyBorder="1"/>
    <xf numFmtId="0" fontId="0" fillId="0" borderId="34" xfId="0" applyBorder="1"/>
    <xf numFmtId="0" fontId="0" fillId="0" borderId="35" xfId="0" applyBorder="1"/>
    <xf numFmtId="1" fontId="0" fillId="0" borderId="32" xfId="1" applyNumberFormat="1" applyFont="1" applyFill="1" applyBorder="1"/>
    <xf numFmtId="9" fontId="0" fillId="0" borderId="36" xfId="1" applyFont="1" applyFill="1" applyBorder="1"/>
    <xf numFmtId="0" fontId="8" fillId="0" borderId="35" xfId="0" applyFont="1" applyBorder="1" applyAlignment="1">
      <alignment vertical="center"/>
    </xf>
    <xf numFmtId="2" fontId="0" fillId="0" borderId="36" xfId="0" applyNumberFormat="1" applyBorder="1" applyAlignment="1">
      <alignment vertical="center"/>
    </xf>
    <xf numFmtId="2" fontId="0" fillId="0" borderId="37" xfId="0" applyNumberFormat="1" applyBorder="1"/>
    <xf numFmtId="0" fontId="0" fillId="0" borderId="35" xfId="0" applyBorder="1" applyAlignment="1">
      <alignment vertical="center"/>
    </xf>
    <xf numFmtId="2" fontId="0" fillId="0" borderId="35" xfId="0" applyNumberFormat="1" applyBorder="1"/>
    <xf numFmtId="164" fontId="0" fillId="0" borderId="37" xfId="1" applyNumberFormat="1" applyFont="1" applyBorder="1"/>
    <xf numFmtId="0" fontId="0" fillId="5" borderId="33" xfId="0" applyFill="1" applyBorder="1"/>
    <xf numFmtId="0" fontId="0" fillId="5" borderId="34" xfId="0" applyFill="1" applyBorder="1"/>
    <xf numFmtId="0" fontId="0" fillId="5" borderId="35" xfId="0" applyFill="1" applyBorder="1"/>
    <xf numFmtId="0" fontId="0" fillId="5" borderId="36" xfId="0" applyFill="1" applyBorder="1"/>
    <xf numFmtId="164" fontId="0" fillId="0" borderId="11" xfId="1" applyNumberFormat="1" applyFont="1" applyBorder="1"/>
    <xf numFmtId="164" fontId="0" fillId="0" borderId="12" xfId="1" applyNumberFormat="1" applyFont="1" applyBorder="1"/>
    <xf numFmtId="164" fontId="0" fillId="0" borderId="14" xfId="1" applyNumberFormat="1" applyFont="1" applyBorder="1"/>
    <xf numFmtId="1" fontId="0" fillId="6" borderId="38" xfId="1" applyNumberFormat="1" applyFont="1" applyFill="1" applyBorder="1"/>
    <xf numFmtId="9" fontId="0" fillId="6" borderId="36" xfId="1" applyFont="1" applyFill="1" applyBorder="1"/>
    <xf numFmtId="0" fontId="0" fillId="6" borderId="35" xfId="0" applyFill="1" applyBorder="1" applyAlignment="1">
      <alignment vertical="center"/>
    </xf>
    <xf numFmtId="2" fontId="0" fillId="6" borderId="36" xfId="0" applyNumberFormat="1" applyFill="1" applyBorder="1" applyAlignment="1">
      <alignment vertical="center"/>
    </xf>
    <xf numFmtId="2" fontId="0" fillId="6" borderId="36" xfId="0" applyNumberFormat="1" applyFill="1" applyBorder="1"/>
    <xf numFmtId="9" fontId="0" fillId="6" borderId="11" xfId="1" applyFont="1" applyFill="1" applyBorder="1"/>
    <xf numFmtId="9" fontId="0" fillId="6" borderId="12" xfId="0" applyNumberFormat="1" applyFill="1" applyBorder="1"/>
    <xf numFmtId="9" fontId="0" fillId="6" borderId="12" xfId="1" applyFont="1" applyFill="1" applyBorder="1"/>
    <xf numFmtId="9" fontId="0" fillId="6" borderId="14" xfId="1" applyFont="1" applyFill="1"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2" xfId="0" applyBorder="1" applyAlignment="1">
      <alignment vertical="center"/>
    </xf>
    <xf numFmtId="2" fontId="0" fillId="0" borderId="43" xfId="0" applyNumberFormat="1" applyBorder="1"/>
    <xf numFmtId="2" fontId="0" fillId="0" borderId="42" xfId="0" applyNumberFormat="1" applyBorder="1"/>
    <xf numFmtId="164" fontId="0" fillId="0" borderId="43" xfId="1" applyNumberFormat="1" applyFont="1" applyBorder="1"/>
    <xf numFmtId="0" fontId="0" fillId="5" borderId="40" xfId="0" applyFill="1" applyBorder="1"/>
    <xf numFmtId="0" fontId="0" fillId="5" borderId="41" xfId="0" applyFill="1" applyBorder="1"/>
    <xf numFmtId="0" fontId="0" fillId="5" borderId="42" xfId="0" applyFill="1" applyBorder="1"/>
    <xf numFmtId="0" fontId="0" fillId="5" borderId="44" xfId="0" applyFill="1" applyBorder="1"/>
    <xf numFmtId="164" fontId="0" fillId="0" borderId="40" xfId="1" applyNumberFormat="1" applyFont="1" applyBorder="1"/>
    <xf numFmtId="164" fontId="0" fillId="0" borderId="42" xfId="1" applyNumberFormat="1" applyFont="1" applyBorder="1"/>
    <xf numFmtId="0" fontId="0" fillId="6" borderId="42" xfId="0" applyFill="1" applyBorder="1" applyAlignment="1">
      <alignment vertical="center"/>
    </xf>
    <xf numFmtId="2" fontId="0" fillId="6" borderId="44" xfId="0" applyNumberFormat="1" applyFill="1" applyBorder="1"/>
    <xf numFmtId="9" fontId="0" fillId="6" borderId="40" xfId="1" applyFont="1" applyFill="1" applyBorder="1"/>
    <xf numFmtId="9" fontId="0" fillId="6" borderId="42" xfId="0" applyNumberFormat="1" applyFill="1" applyBorder="1"/>
    <xf numFmtId="9" fontId="0" fillId="6" borderId="42" xfId="1" applyFont="1" applyFill="1" applyBorder="1"/>
    <xf numFmtId="9" fontId="0" fillId="6" borderId="43" xfId="1" applyFont="1" applyFill="1" applyBorder="1"/>
    <xf numFmtId="0" fontId="0" fillId="6" borderId="42" xfId="0" applyFill="1" applyBorder="1"/>
    <xf numFmtId="0" fontId="8" fillId="0" borderId="39" xfId="0" applyFont="1" applyBorder="1"/>
    <xf numFmtId="0" fontId="8" fillId="0" borderId="16" xfId="0" applyFont="1" applyBorder="1"/>
    <xf numFmtId="0" fontId="0" fillId="0" borderId="17" xfId="0" applyBorder="1"/>
    <xf numFmtId="0" fontId="0" fillId="0" borderId="18" xfId="0" applyBorder="1"/>
    <xf numFmtId="0" fontId="0" fillId="0" borderId="19" xfId="0" applyBorder="1"/>
    <xf numFmtId="1" fontId="0" fillId="0" borderId="45" xfId="1" applyNumberFormat="1" applyFont="1" applyFill="1" applyBorder="1"/>
    <xf numFmtId="9" fontId="0" fillId="0" borderId="46" xfId="1" applyFont="1" applyFill="1" applyBorder="1"/>
    <xf numFmtId="2" fontId="0" fillId="0" borderId="47" xfId="0" applyNumberFormat="1" applyBorder="1"/>
    <xf numFmtId="2" fontId="0" fillId="0" borderId="24" xfId="0" applyNumberFormat="1" applyBorder="1"/>
    <xf numFmtId="2" fontId="0" fillId="0" borderId="19" xfId="0" applyNumberFormat="1" applyBorder="1"/>
    <xf numFmtId="164" fontId="0" fillId="0" borderId="24" xfId="1" applyNumberFormat="1" applyFont="1" applyBorder="1"/>
    <xf numFmtId="0" fontId="0" fillId="5" borderId="17" xfId="0" applyFill="1" applyBorder="1"/>
    <xf numFmtId="0" fontId="0" fillId="5" borderId="18" xfId="0" applyFill="1" applyBorder="1"/>
    <xf numFmtId="0" fontId="0" fillId="5" borderId="19" xfId="0" applyFill="1" applyBorder="1"/>
    <xf numFmtId="0" fontId="0" fillId="5" borderId="47" xfId="0" applyFill="1" applyBorder="1"/>
    <xf numFmtId="164" fontId="0" fillId="0" borderId="17" xfId="1" applyNumberFormat="1" applyFont="1" applyBorder="1"/>
    <xf numFmtId="164" fontId="0" fillId="0" borderId="19" xfId="1" applyNumberFormat="1" applyFont="1" applyBorder="1"/>
    <xf numFmtId="1" fontId="0" fillId="6" borderId="7" xfId="1" applyNumberFormat="1" applyFont="1" applyFill="1" applyBorder="1"/>
    <xf numFmtId="9" fontId="0" fillId="6" borderId="46" xfId="1" applyFont="1" applyFill="1" applyBorder="1"/>
    <xf numFmtId="0" fontId="0" fillId="6" borderId="19" xfId="0" applyFill="1" applyBorder="1"/>
    <xf numFmtId="2" fontId="0" fillId="6" borderId="47" xfId="0" applyNumberFormat="1" applyFill="1" applyBorder="1"/>
    <xf numFmtId="9" fontId="0" fillId="6" borderId="17" xfId="1" applyFont="1" applyFill="1" applyBorder="1"/>
    <xf numFmtId="9" fontId="0" fillId="6" borderId="19" xfId="0" applyNumberFormat="1" applyFill="1" applyBorder="1"/>
    <xf numFmtId="9" fontId="0" fillId="6" borderId="19" xfId="1" applyFont="1" applyFill="1" applyBorder="1"/>
    <xf numFmtId="9" fontId="0" fillId="6" borderId="24" xfId="1" applyFont="1" applyFill="1" applyBorder="1"/>
    <xf numFmtId="1" fontId="0" fillId="0" borderId="0" xfId="1" applyNumberFormat="1" applyFont="1" applyFill="1" applyBorder="1"/>
    <xf numFmtId="164" fontId="0" fillId="0" borderId="0" xfId="1" applyNumberFormat="1" applyFont="1" applyFill="1" applyBorder="1"/>
    <xf numFmtId="9" fontId="0" fillId="0" borderId="0" xfId="1" applyFont="1" applyFill="1" applyBorder="1"/>
    <xf numFmtId="2" fontId="0" fillId="0" borderId="29" xfId="0" applyNumberFormat="1" applyBorder="1"/>
    <xf numFmtId="0" fontId="0" fillId="5" borderId="0" xfId="0" applyFill="1"/>
    <xf numFmtId="164" fontId="0" fillId="0" borderId="0" xfId="1" applyNumberFormat="1" applyFont="1" applyBorder="1"/>
    <xf numFmtId="1" fontId="0" fillId="6" borderId="0" xfId="1" applyNumberFormat="1" applyFont="1" applyFill="1" applyBorder="1"/>
    <xf numFmtId="9" fontId="0" fillId="6" borderId="0" xfId="1" applyFont="1" applyFill="1" applyBorder="1"/>
    <xf numFmtId="0" fontId="0" fillId="6" borderId="0" xfId="0" applyFill="1"/>
    <xf numFmtId="2" fontId="0" fillId="6" borderId="0" xfId="0" applyNumberFormat="1" applyFill="1"/>
    <xf numFmtId="9" fontId="0" fillId="6" borderId="0" xfId="1" applyFont="1" applyFill="1"/>
    <xf numFmtId="9" fontId="0" fillId="6" borderId="0" xfId="0" applyNumberFormat="1" applyFill="1"/>
    <xf numFmtId="0" fontId="21" fillId="0" borderId="0" xfId="0" applyFont="1"/>
    <xf numFmtId="0" fontId="22" fillId="0" borderId="0" xfId="0" applyFont="1" applyAlignment="1">
      <alignment horizontal="center"/>
    </xf>
    <xf numFmtId="0" fontId="22" fillId="0" borderId="0" xfId="0" applyFont="1"/>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8" fillId="5" borderId="11" xfId="0" applyFont="1" applyFill="1" applyBorder="1" applyAlignment="1">
      <alignment horizontal="center" vertical="center" wrapText="1"/>
    </xf>
    <xf numFmtId="0" fontId="8" fillId="5" borderId="12" xfId="0" applyFont="1" applyFill="1" applyBorder="1" applyAlignment="1">
      <alignment horizontal="center" vertical="center" wrapText="1"/>
    </xf>
    <xf numFmtId="0" fontId="8" fillId="5" borderId="14" xfId="0" applyFont="1" applyFill="1" applyBorder="1" applyAlignment="1">
      <alignment horizontal="center" vertical="center" wrapText="1"/>
    </xf>
    <xf numFmtId="0" fontId="0" fillId="0" borderId="24" xfId="0" applyBorder="1" applyAlignment="1">
      <alignment horizontal="center" vertical="center"/>
    </xf>
    <xf numFmtId="0" fontId="0" fillId="0" borderId="17" xfId="0" applyBorder="1" applyAlignment="1">
      <alignment horizontal="center" vertical="center" wrapText="1"/>
    </xf>
    <xf numFmtId="0" fontId="0" fillId="7" borderId="17" xfId="0" applyFill="1" applyBorder="1" applyAlignment="1">
      <alignment horizontal="center" vertical="center" wrapText="1"/>
    </xf>
    <xf numFmtId="0" fontId="0" fillId="7" borderId="18" xfId="0" applyFill="1" applyBorder="1" applyAlignment="1">
      <alignment horizontal="center" vertical="center" wrapText="1"/>
    </xf>
    <xf numFmtId="0" fontId="0" fillId="7" borderId="19" xfId="0" applyFill="1" applyBorder="1" applyAlignment="1">
      <alignment horizontal="center" vertical="center" wrapText="1"/>
    </xf>
    <xf numFmtId="0" fontId="0" fillId="7" borderId="47" xfId="0" applyFill="1" applyBorder="1" applyAlignment="1">
      <alignment horizontal="center" vertical="center"/>
    </xf>
    <xf numFmtId="0" fontId="0" fillId="6" borderId="45" xfId="0" applyFill="1" applyBorder="1" applyAlignment="1">
      <alignment horizontal="center" vertical="center" wrapText="1"/>
    </xf>
    <xf numFmtId="0" fontId="8" fillId="6" borderId="17" xfId="0" applyFont="1" applyFill="1" applyBorder="1" applyAlignment="1">
      <alignment horizontal="center" vertical="center" wrapText="1"/>
    </xf>
    <xf numFmtId="0" fontId="8" fillId="6" borderId="19" xfId="0" applyFont="1" applyFill="1" applyBorder="1" applyAlignment="1">
      <alignment horizontal="center" vertical="center" wrapText="1"/>
    </xf>
    <xf numFmtId="0" fontId="0" fillId="6" borderId="19" xfId="0" applyFill="1" applyBorder="1" applyAlignment="1">
      <alignment horizontal="center" vertical="center" wrapText="1"/>
    </xf>
    <xf numFmtId="0" fontId="0" fillId="6" borderId="24" xfId="0" applyFill="1" applyBorder="1" applyAlignment="1">
      <alignment horizontal="center" vertical="center" wrapText="1"/>
    </xf>
    <xf numFmtId="0" fontId="0" fillId="0" borderId="32" xfId="0" applyBorder="1"/>
    <xf numFmtId="1" fontId="0" fillId="0" borderId="32" xfId="1" applyNumberFormat="1" applyFont="1" applyBorder="1"/>
    <xf numFmtId="9" fontId="0" fillId="0" borderId="36" xfId="1" applyFont="1" applyBorder="1"/>
    <xf numFmtId="1" fontId="0" fillId="7" borderId="33" xfId="0" applyNumberFormat="1" applyFill="1" applyBorder="1"/>
    <xf numFmtId="1" fontId="0" fillId="7" borderId="35" xfId="0" applyNumberFormat="1" applyFill="1" applyBorder="1"/>
    <xf numFmtId="0" fontId="0" fillId="7" borderId="36" xfId="0" applyFill="1" applyBorder="1"/>
    <xf numFmtId="164" fontId="0" fillId="0" borderId="33" xfId="1" applyNumberFormat="1" applyFont="1" applyBorder="1"/>
    <xf numFmtId="164" fontId="0" fillId="0" borderId="35" xfId="1" applyNumberFormat="1" applyFont="1" applyBorder="1"/>
    <xf numFmtId="1" fontId="0" fillId="6" borderId="32" xfId="1" applyNumberFormat="1" applyFont="1" applyFill="1" applyBorder="1"/>
    <xf numFmtId="9" fontId="0" fillId="6" borderId="33" xfId="1" applyFont="1" applyFill="1" applyBorder="1"/>
    <xf numFmtId="9" fontId="0" fillId="6" borderId="35" xfId="0" applyNumberFormat="1" applyFill="1" applyBorder="1"/>
    <xf numFmtId="9" fontId="0" fillId="6" borderId="35" xfId="1" applyFont="1" applyFill="1" applyBorder="1"/>
    <xf numFmtId="9" fontId="0" fillId="6" borderId="37" xfId="1" applyFont="1" applyFill="1" applyBorder="1"/>
    <xf numFmtId="1" fontId="0" fillId="7" borderId="40" xfId="0" applyNumberFormat="1" applyFill="1" applyBorder="1"/>
    <xf numFmtId="1" fontId="0" fillId="7" borderId="42" xfId="0" applyNumberFormat="1" applyFill="1" applyBorder="1"/>
    <xf numFmtId="0" fontId="0" fillId="7" borderId="44" xfId="0" applyFill="1" applyBorder="1"/>
    <xf numFmtId="1" fontId="0" fillId="0" borderId="45" xfId="1" applyNumberFormat="1" applyFont="1" applyBorder="1"/>
    <xf numFmtId="9" fontId="0" fillId="0" borderId="46" xfId="1" applyFont="1" applyBorder="1"/>
    <xf numFmtId="1" fontId="0" fillId="7" borderId="17" xfId="0" applyNumberFormat="1" applyFill="1" applyBorder="1"/>
    <xf numFmtId="1" fontId="0" fillId="7" borderId="19" xfId="0" applyNumberFormat="1" applyFill="1" applyBorder="1"/>
    <xf numFmtId="0" fontId="0" fillId="7" borderId="47" xfId="0" applyFill="1" applyBorder="1"/>
    <xf numFmtId="1" fontId="0" fillId="6" borderId="45" xfId="1" applyNumberFormat="1" applyFont="1" applyFill="1" applyBorder="1"/>
    <xf numFmtId="0" fontId="0" fillId="0" borderId="29" xfId="0" applyBorder="1"/>
    <xf numFmtId="10" fontId="0" fillId="0" borderId="0" xfId="0" applyNumberFormat="1"/>
    <xf numFmtId="1" fontId="0" fillId="7" borderId="0" xfId="0" applyNumberFormat="1" applyFill="1"/>
    <xf numFmtId="0" fontId="0" fillId="7" borderId="48" xfId="0" applyFill="1" applyBorder="1"/>
    <xf numFmtId="1" fontId="0" fillId="6" borderId="0" xfId="0" applyNumberFormat="1" applyFill="1"/>
    <xf numFmtId="0" fontId="23" fillId="0" borderId="0" xfId="0" applyFont="1"/>
    <xf numFmtId="0" fontId="8" fillId="0" borderId="49" xfId="0" applyFont="1" applyBorder="1" applyAlignment="1">
      <alignment horizontal="center" vertical="center"/>
    </xf>
    <xf numFmtId="0" fontId="8" fillId="0" borderId="23" xfId="0" applyFont="1" applyBorder="1" applyAlignment="1">
      <alignment horizontal="center" vertical="center"/>
    </xf>
    <xf numFmtId="0" fontId="0" fillId="0" borderId="47" xfId="0" applyBorder="1" applyAlignment="1">
      <alignment horizontal="center" vertical="center" wrapText="1"/>
    </xf>
    <xf numFmtId="0" fontId="0" fillId="0" borderId="24" xfId="0" applyBorder="1" applyAlignment="1">
      <alignment horizontal="center" vertical="center" wrapText="1"/>
    </xf>
    <xf numFmtId="0" fontId="8" fillId="0" borderId="50" xfId="0" applyFont="1" applyBorder="1" applyAlignment="1">
      <alignment horizontal="center" vertical="center" wrapText="1"/>
    </xf>
    <xf numFmtId="0" fontId="0" fillId="0" borderId="0" xfId="0" applyAlignment="1">
      <alignment horizontal="center"/>
    </xf>
    <xf numFmtId="0" fontId="0" fillId="0" borderId="0" xfId="0" applyAlignment="1">
      <alignment horizontal="center"/>
    </xf>
    <xf numFmtId="0" fontId="0" fillId="0" borderId="0" xfId="0" applyAlignment="1">
      <alignment horizontal="right"/>
    </xf>
    <xf numFmtId="9" fontId="0" fillId="0" borderId="0" xfId="1" applyFont="1" applyFill="1" applyBorder="1" applyAlignment="1">
      <alignment horizontal="right"/>
    </xf>
    <xf numFmtId="0" fontId="0" fillId="0" borderId="40" xfId="0" applyFill="1" applyBorder="1"/>
    <xf numFmtId="0" fontId="0" fillId="0" borderId="41" xfId="0" applyFill="1" applyBorder="1"/>
    <xf numFmtId="0" fontId="0" fillId="0" borderId="42" xfId="0" applyFill="1" applyBorder="1"/>
    <xf numFmtId="0" fontId="1" fillId="2" borderId="0" xfId="0" applyFont="1" applyFill="1"/>
    <xf numFmtId="0" fontId="0" fillId="0" borderId="0" xfId="0" applyFont="1"/>
    <xf numFmtId="0" fontId="2" fillId="0" borderId="0" xfId="0" applyFont="1" applyAlignment="1"/>
    <xf numFmtId="0" fontId="1" fillId="0" borderId="0" xfId="0" applyFont="1" applyAlignment="1"/>
    <xf numFmtId="22" fontId="1" fillId="0" borderId="0" xfId="0" applyNumberFormat="1" applyFont="1" applyAlignment="1"/>
    <xf numFmtId="0" fontId="24" fillId="0" borderId="0" xfId="0" applyFont="1" applyAlignment="1"/>
    <xf numFmtId="1" fontId="0" fillId="7" borderId="34" xfId="0" applyNumberFormat="1" applyFill="1" applyBorder="1"/>
    <xf numFmtId="1" fontId="0" fillId="7" borderId="41" xfId="0" applyNumberFormat="1" applyFill="1" applyBorder="1"/>
    <xf numFmtId="1" fontId="0" fillId="7" borderId="18" xfId="0" applyNumberFormat="1" applyFill="1" applyBorder="1"/>
    <xf numFmtId="0" fontId="0" fillId="0" borderId="0" xfId="0" applyFont="1" applyAlignment="1"/>
  </cellXfs>
  <cellStyles count="2">
    <cellStyle name="Обычный" xfId="0" builtinId="0"/>
    <cellStyle name="Процентный" xfId="1" builtinId="5"/>
  </cellStyles>
  <dxfs count="191">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patternType="solid">
          <fgColor rgb="FFFF0000"/>
          <bgColor rgb="FFFF0000"/>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endParaRPr lang="ru-R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UA"/>
        </a:p>
      </c:txPr>
    </c:title>
    <c:autoTitleDeleted val="0"/>
    <c:plotArea>
      <c:layout/>
      <c:lineChart>
        <c:grouping val="standard"/>
        <c:varyColors val="0"/>
        <c:ser>
          <c:idx val="0"/>
          <c:order val="0"/>
          <c:tx>
            <c:strRef>
              <c:f>'main numbers'!$A$25</c:f>
              <c:strCache>
                <c:ptCount val="1"/>
                <c:pt idx="0">
                  <c:v>Act. result month</c:v>
                </c:pt>
              </c:strCache>
            </c:strRef>
          </c:tx>
          <c:spPr>
            <a:ln w="28575" cap="rnd">
              <a:solidFill>
                <a:schemeClr val="accent1"/>
              </a:solidFill>
              <a:round/>
            </a:ln>
            <a:effectLst/>
          </c:spPr>
          <c:marker>
            <c:symbol val="none"/>
          </c:marker>
          <c:cat>
            <c:numRef>
              <c:f>'main numbers'!$B$24:$Y$24</c:f>
              <c:numCache>
                <c:formatCode>mmm\-yy</c:formatCode>
                <c:ptCount val="24"/>
                <c:pt idx="0">
                  <c:v>46113</c:v>
                </c:pt>
                <c:pt idx="1">
                  <c:v>46082</c:v>
                </c:pt>
                <c:pt idx="2">
                  <c:v>46054</c:v>
                </c:pt>
                <c:pt idx="3">
                  <c:v>46023</c:v>
                </c:pt>
                <c:pt idx="4">
                  <c:v>45992</c:v>
                </c:pt>
                <c:pt idx="5">
                  <c:v>45962</c:v>
                </c:pt>
                <c:pt idx="6">
                  <c:v>45931</c:v>
                </c:pt>
                <c:pt idx="7">
                  <c:v>45901</c:v>
                </c:pt>
                <c:pt idx="8">
                  <c:v>45870</c:v>
                </c:pt>
                <c:pt idx="9">
                  <c:v>45839</c:v>
                </c:pt>
                <c:pt idx="10">
                  <c:v>45809</c:v>
                </c:pt>
                <c:pt idx="11">
                  <c:v>45778</c:v>
                </c:pt>
                <c:pt idx="12">
                  <c:v>45748</c:v>
                </c:pt>
                <c:pt idx="13">
                  <c:v>45717</c:v>
                </c:pt>
                <c:pt idx="14">
                  <c:v>45689</c:v>
                </c:pt>
                <c:pt idx="15">
                  <c:v>45658</c:v>
                </c:pt>
                <c:pt idx="16">
                  <c:v>45627</c:v>
                </c:pt>
                <c:pt idx="17">
                  <c:v>45597</c:v>
                </c:pt>
                <c:pt idx="18">
                  <c:v>45566</c:v>
                </c:pt>
                <c:pt idx="19">
                  <c:v>45536</c:v>
                </c:pt>
                <c:pt idx="20">
                  <c:v>45505</c:v>
                </c:pt>
                <c:pt idx="21">
                  <c:v>45474</c:v>
                </c:pt>
                <c:pt idx="22">
                  <c:v>45444</c:v>
                </c:pt>
                <c:pt idx="23">
                  <c:v>45413</c:v>
                </c:pt>
              </c:numCache>
            </c:numRef>
          </c:cat>
          <c:val>
            <c:numRef>
              <c:f>'main numbers'!$B$25:$Y$25</c:f>
              <c:numCache>
                <c:formatCode>General</c:formatCode>
                <c:ptCount val="24"/>
                <c:pt idx="0">
                  <c:v>27713</c:v>
                </c:pt>
                <c:pt idx="1">
                  <c:v>72930</c:v>
                </c:pt>
                <c:pt idx="2">
                  <c:v>56670</c:v>
                </c:pt>
                <c:pt idx="3">
                  <c:v>39667</c:v>
                </c:pt>
                <c:pt idx="4">
                  <c:v>43130</c:v>
                </c:pt>
                <c:pt idx="5">
                  <c:v>65123</c:v>
                </c:pt>
                <c:pt idx="6">
                  <c:v>60249</c:v>
                </c:pt>
                <c:pt idx="7">
                  <c:v>47823</c:v>
                </c:pt>
                <c:pt idx="8">
                  <c:v>47943</c:v>
                </c:pt>
                <c:pt idx="9">
                  <c:v>43785</c:v>
                </c:pt>
                <c:pt idx="10">
                  <c:v>38550</c:v>
                </c:pt>
                <c:pt idx="11">
                  <c:v>69986</c:v>
                </c:pt>
                <c:pt idx="12">
                  <c:v>50099</c:v>
                </c:pt>
                <c:pt idx="13">
                  <c:v>75054</c:v>
                </c:pt>
                <c:pt idx="14">
                  <c:v>62626</c:v>
                </c:pt>
                <c:pt idx="15">
                  <c:v>57743</c:v>
                </c:pt>
                <c:pt idx="16">
                  <c:v>73294</c:v>
                </c:pt>
                <c:pt idx="17">
                  <c:v>61758</c:v>
                </c:pt>
                <c:pt idx="18">
                  <c:v>41510</c:v>
                </c:pt>
                <c:pt idx="19">
                  <c:v>65447</c:v>
                </c:pt>
                <c:pt idx="20">
                  <c:v>49940</c:v>
                </c:pt>
                <c:pt idx="21">
                  <c:v>32653</c:v>
                </c:pt>
                <c:pt idx="22">
                  <c:v>23780</c:v>
                </c:pt>
                <c:pt idx="23">
                  <c:v>47009</c:v>
                </c:pt>
              </c:numCache>
            </c:numRef>
          </c:val>
          <c:smooth val="0"/>
          <c:extLst>
            <c:ext xmlns:c16="http://schemas.microsoft.com/office/drawing/2014/chart" uri="{C3380CC4-5D6E-409C-BE32-E72D297353CC}">
              <c16:uniqueId val="{00000000-BBF8-479C-8CE0-4998D1F55FE4}"/>
            </c:ext>
          </c:extLst>
        </c:ser>
        <c:ser>
          <c:idx val="1"/>
          <c:order val="1"/>
          <c:tx>
            <c:strRef>
              <c:f>'main numbers'!$A$26</c:f>
              <c:strCache>
                <c:ptCount val="1"/>
                <c:pt idx="0">
                  <c:v>Act. result 3 months average</c:v>
                </c:pt>
              </c:strCache>
            </c:strRef>
          </c:tx>
          <c:spPr>
            <a:ln w="28575" cap="rnd">
              <a:solidFill>
                <a:schemeClr val="accent2"/>
              </a:solidFill>
              <a:round/>
            </a:ln>
            <a:effectLst/>
          </c:spPr>
          <c:marker>
            <c:symbol val="none"/>
          </c:marker>
          <c:cat>
            <c:numRef>
              <c:f>'main numbers'!$B$24:$Y$24</c:f>
              <c:numCache>
                <c:formatCode>mmm\-yy</c:formatCode>
                <c:ptCount val="24"/>
                <c:pt idx="0">
                  <c:v>46113</c:v>
                </c:pt>
                <c:pt idx="1">
                  <c:v>46082</c:v>
                </c:pt>
                <c:pt idx="2">
                  <c:v>46054</c:v>
                </c:pt>
                <c:pt idx="3">
                  <c:v>46023</c:v>
                </c:pt>
                <c:pt idx="4">
                  <c:v>45992</c:v>
                </c:pt>
                <c:pt idx="5">
                  <c:v>45962</c:v>
                </c:pt>
                <c:pt idx="6">
                  <c:v>45931</c:v>
                </c:pt>
                <c:pt idx="7">
                  <c:v>45901</c:v>
                </c:pt>
                <c:pt idx="8">
                  <c:v>45870</c:v>
                </c:pt>
                <c:pt idx="9">
                  <c:v>45839</c:v>
                </c:pt>
                <c:pt idx="10">
                  <c:v>45809</c:v>
                </c:pt>
                <c:pt idx="11">
                  <c:v>45778</c:v>
                </c:pt>
                <c:pt idx="12">
                  <c:v>45748</c:v>
                </c:pt>
                <c:pt idx="13">
                  <c:v>45717</c:v>
                </c:pt>
                <c:pt idx="14">
                  <c:v>45689</c:v>
                </c:pt>
                <c:pt idx="15">
                  <c:v>45658</c:v>
                </c:pt>
                <c:pt idx="16">
                  <c:v>45627</c:v>
                </c:pt>
                <c:pt idx="17">
                  <c:v>45597</c:v>
                </c:pt>
                <c:pt idx="18">
                  <c:v>45566</c:v>
                </c:pt>
                <c:pt idx="19">
                  <c:v>45536</c:v>
                </c:pt>
                <c:pt idx="20">
                  <c:v>45505</c:v>
                </c:pt>
                <c:pt idx="21">
                  <c:v>45474</c:v>
                </c:pt>
                <c:pt idx="22">
                  <c:v>45444</c:v>
                </c:pt>
                <c:pt idx="23">
                  <c:v>45413</c:v>
                </c:pt>
              </c:numCache>
            </c:numRef>
          </c:cat>
          <c:val>
            <c:numRef>
              <c:f>'main numbers'!$B$26:$Y$26</c:f>
              <c:numCache>
                <c:formatCode>0</c:formatCode>
                <c:ptCount val="24"/>
                <c:pt idx="0">
                  <c:v>52437.666666666664</c:v>
                </c:pt>
                <c:pt idx="1">
                  <c:v>56422.333333333336</c:v>
                </c:pt>
                <c:pt idx="2">
                  <c:v>46489</c:v>
                </c:pt>
                <c:pt idx="3">
                  <c:v>49306.666666666664</c:v>
                </c:pt>
                <c:pt idx="4">
                  <c:v>56167.333333333336</c:v>
                </c:pt>
                <c:pt idx="5">
                  <c:v>57731.666666666664</c:v>
                </c:pt>
                <c:pt idx="6">
                  <c:v>52005</c:v>
                </c:pt>
                <c:pt idx="7">
                  <c:v>46517</c:v>
                </c:pt>
                <c:pt idx="8">
                  <c:v>43426</c:v>
                </c:pt>
                <c:pt idx="9">
                  <c:v>50773.666666666664</c:v>
                </c:pt>
                <c:pt idx="10">
                  <c:v>52878.333333333336</c:v>
                </c:pt>
                <c:pt idx="11">
                  <c:v>65046.333333333336</c:v>
                </c:pt>
                <c:pt idx="12" formatCode="General">
                  <c:v>62593</c:v>
                </c:pt>
                <c:pt idx="13" formatCode="General">
                  <c:v>65141</c:v>
                </c:pt>
                <c:pt idx="14" formatCode="General">
                  <c:v>64554.333333333336</c:v>
                </c:pt>
                <c:pt idx="15" formatCode="General">
                  <c:v>64265</c:v>
                </c:pt>
                <c:pt idx="16" formatCode="General">
                  <c:v>58854</c:v>
                </c:pt>
                <c:pt idx="17" formatCode="General">
                  <c:v>56238.333333333336</c:v>
                </c:pt>
                <c:pt idx="18" formatCode="General">
                  <c:v>52299</c:v>
                </c:pt>
                <c:pt idx="19" formatCode="General">
                  <c:v>49346.666666666664</c:v>
                </c:pt>
                <c:pt idx="20" formatCode="General">
                  <c:v>35457.666666666664</c:v>
                </c:pt>
                <c:pt idx="21" formatCode="General">
                  <c:v>34480.666666666664</c:v>
                </c:pt>
              </c:numCache>
            </c:numRef>
          </c:val>
          <c:smooth val="0"/>
          <c:extLst>
            <c:ext xmlns:c16="http://schemas.microsoft.com/office/drawing/2014/chart" uri="{C3380CC4-5D6E-409C-BE32-E72D297353CC}">
              <c16:uniqueId val="{00000001-BBF8-479C-8CE0-4998D1F55FE4}"/>
            </c:ext>
          </c:extLst>
        </c:ser>
        <c:dLbls>
          <c:showLegendKey val="0"/>
          <c:showVal val="0"/>
          <c:showCatName val="0"/>
          <c:showSerName val="0"/>
          <c:showPercent val="0"/>
          <c:showBubbleSize val="0"/>
        </c:dLbls>
        <c:smooth val="0"/>
        <c:axId val="1973425424"/>
        <c:axId val="1973429584"/>
      </c:lineChart>
      <c:dateAx>
        <c:axId val="197342542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1973429584"/>
        <c:crosses val="autoZero"/>
        <c:auto val="1"/>
        <c:lblOffset val="100"/>
        <c:baseTimeUnit val="months"/>
      </c:dateAx>
      <c:valAx>
        <c:axId val="197342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1973425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UA"/>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endParaRPr lang="ru-R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UA"/>
        </a:p>
      </c:txPr>
    </c:title>
    <c:autoTitleDeleted val="0"/>
    <c:plotArea>
      <c:layout/>
      <c:lineChart>
        <c:grouping val="standard"/>
        <c:varyColors val="0"/>
        <c:ser>
          <c:idx val="0"/>
          <c:order val="0"/>
          <c:tx>
            <c:strRef>
              <c:f>'main numbers'!$A$46</c:f>
              <c:strCache>
                <c:ptCount val="1"/>
                <c:pt idx="0">
                  <c:v>Act. result month</c:v>
                </c:pt>
              </c:strCache>
            </c:strRef>
          </c:tx>
          <c:spPr>
            <a:ln w="28575" cap="rnd">
              <a:solidFill>
                <a:schemeClr val="accent1"/>
              </a:solidFill>
              <a:round/>
            </a:ln>
            <a:effectLst/>
          </c:spPr>
          <c:marker>
            <c:symbol val="none"/>
          </c:marker>
          <c:cat>
            <c:numRef>
              <c:f>'main numbers'!$B$45:$Y$45</c:f>
              <c:numCache>
                <c:formatCode>mmm\-yy</c:formatCode>
                <c:ptCount val="24"/>
                <c:pt idx="0">
                  <c:v>46113</c:v>
                </c:pt>
                <c:pt idx="1">
                  <c:v>46082</c:v>
                </c:pt>
                <c:pt idx="2">
                  <c:v>46054</c:v>
                </c:pt>
                <c:pt idx="3">
                  <c:v>46023</c:v>
                </c:pt>
                <c:pt idx="4">
                  <c:v>45992</c:v>
                </c:pt>
                <c:pt idx="5">
                  <c:v>45962</c:v>
                </c:pt>
                <c:pt idx="6">
                  <c:v>45931</c:v>
                </c:pt>
                <c:pt idx="7">
                  <c:v>45901</c:v>
                </c:pt>
                <c:pt idx="8">
                  <c:v>45870</c:v>
                </c:pt>
                <c:pt idx="9">
                  <c:v>45839</c:v>
                </c:pt>
                <c:pt idx="10">
                  <c:v>45809</c:v>
                </c:pt>
                <c:pt idx="11">
                  <c:v>45778</c:v>
                </c:pt>
                <c:pt idx="12">
                  <c:v>45748</c:v>
                </c:pt>
                <c:pt idx="13">
                  <c:v>45717</c:v>
                </c:pt>
                <c:pt idx="14">
                  <c:v>45689</c:v>
                </c:pt>
                <c:pt idx="15">
                  <c:v>45658</c:v>
                </c:pt>
                <c:pt idx="16">
                  <c:v>45627</c:v>
                </c:pt>
                <c:pt idx="17">
                  <c:v>45597</c:v>
                </c:pt>
                <c:pt idx="18">
                  <c:v>45566</c:v>
                </c:pt>
                <c:pt idx="19">
                  <c:v>45536</c:v>
                </c:pt>
                <c:pt idx="20">
                  <c:v>45505</c:v>
                </c:pt>
                <c:pt idx="21">
                  <c:v>45474</c:v>
                </c:pt>
                <c:pt idx="22">
                  <c:v>45444</c:v>
                </c:pt>
                <c:pt idx="23">
                  <c:v>45413</c:v>
                </c:pt>
              </c:numCache>
            </c:numRef>
          </c:cat>
          <c:val>
            <c:numRef>
              <c:f>'main numbers'!$B$46:$Y$46</c:f>
              <c:numCache>
                <c:formatCode>General</c:formatCode>
                <c:ptCount val="24"/>
                <c:pt idx="0">
                  <c:v>44300</c:v>
                </c:pt>
                <c:pt idx="1">
                  <c:v>73410</c:v>
                </c:pt>
                <c:pt idx="2">
                  <c:v>97400</c:v>
                </c:pt>
                <c:pt idx="3">
                  <c:v>76850</c:v>
                </c:pt>
                <c:pt idx="4">
                  <c:v>42850</c:v>
                </c:pt>
                <c:pt idx="5">
                  <c:v>58500</c:v>
                </c:pt>
                <c:pt idx="6">
                  <c:v>88650</c:v>
                </c:pt>
                <c:pt idx="7">
                  <c:v>95050</c:v>
                </c:pt>
                <c:pt idx="8">
                  <c:v>68300</c:v>
                </c:pt>
                <c:pt idx="9">
                  <c:v>120450</c:v>
                </c:pt>
                <c:pt idx="10">
                  <c:v>85850</c:v>
                </c:pt>
                <c:pt idx="11">
                  <c:v>107750</c:v>
                </c:pt>
                <c:pt idx="12">
                  <c:v>63200</c:v>
                </c:pt>
                <c:pt idx="13">
                  <c:v>46570</c:v>
                </c:pt>
                <c:pt idx="14">
                  <c:v>124700</c:v>
                </c:pt>
                <c:pt idx="15">
                  <c:v>56150</c:v>
                </c:pt>
                <c:pt idx="16">
                  <c:v>54270</c:v>
                </c:pt>
                <c:pt idx="17">
                  <c:v>60790</c:v>
                </c:pt>
                <c:pt idx="18">
                  <c:v>60200</c:v>
                </c:pt>
                <c:pt idx="19">
                  <c:v>63850</c:v>
                </c:pt>
                <c:pt idx="20">
                  <c:v>112310</c:v>
                </c:pt>
                <c:pt idx="21">
                  <c:v>64050</c:v>
                </c:pt>
                <c:pt idx="22">
                  <c:v>71972</c:v>
                </c:pt>
                <c:pt idx="23">
                  <c:v>40250</c:v>
                </c:pt>
              </c:numCache>
            </c:numRef>
          </c:val>
          <c:smooth val="0"/>
          <c:extLst>
            <c:ext xmlns:c16="http://schemas.microsoft.com/office/drawing/2014/chart" uri="{C3380CC4-5D6E-409C-BE32-E72D297353CC}">
              <c16:uniqueId val="{00000000-232B-4A4C-A1DB-47DD6277DE6F}"/>
            </c:ext>
          </c:extLst>
        </c:ser>
        <c:ser>
          <c:idx val="1"/>
          <c:order val="1"/>
          <c:tx>
            <c:strRef>
              <c:f>'main numbers'!$A$47</c:f>
              <c:strCache>
                <c:ptCount val="1"/>
                <c:pt idx="0">
                  <c:v>Act. result 3 months average</c:v>
                </c:pt>
              </c:strCache>
            </c:strRef>
          </c:tx>
          <c:spPr>
            <a:ln w="28575" cap="rnd">
              <a:solidFill>
                <a:schemeClr val="accent2"/>
              </a:solidFill>
              <a:round/>
            </a:ln>
            <a:effectLst/>
          </c:spPr>
          <c:marker>
            <c:symbol val="none"/>
          </c:marker>
          <c:cat>
            <c:numRef>
              <c:f>'main numbers'!$B$45:$Y$45</c:f>
              <c:numCache>
                <c:formatCode>mmm\-yy</c:formatCode>
                <c:ptCount val="24"/>
                <c:pt idx="0">
                  <c:v>46113</c:v>
                </c:pt>
                <c:pt idx="1">
                  <c:v>46082</c:v>
                </c:pt>
                <c:pt idx="2">
                  <c:v>46054</c:v>
                </c:pt>
                <c:pt idx="3">
                  <c:v>46023</c:v>
                </c:pt>
                <c:pt idx="4">
                  <c:v>45992</c:v>
                </c:pt>
                <c:pt idx="5">
                  <c:v>45962</c:v>
                </c:pt>
                <c:pt idx="6">
                  <c:v>45931</c:v>
                </c:pt>
                <c:pt idx="7">
                  <c:v>45901</c:v>
                </c:pt>
                <c:pt idx="8">
                  <c:v>45870</c:v>
                </c:pt>
                <c:pt idx="9">
                  <c:v>45839</c:v>
                </c:pt>
                <c:pt idx="10">
                  <c:v>45809</c:v>
                </c:pt>
                <c:pt idx="11">
                  <c:v>45778</c:v>
                </c:pt>
                <c:pt idx="12">
                  <c:v>45748</c:v>
                </c:pt>
                <c:pt idx="13">
                  <c:v>45717</c:v>
                </c:pt>
                <c:pt idx="14">
                  <c:v>45689</c:v>
                </c:pt>
                <c:pt idx="15">
                  <c:v>45658</c:v>
                </c:pt>
                <c:pt idx="16">
                  <c:v>45627</c:v>
                </c:pt>
                <c:pt idx="17">
                  <c:v>45597</c:v>
                </c:pt>
                <c:pt idx="18">
                  <c:v>45566</c:v>
                </c:pt>
                <c:pt idx="19">
                  <c:v>45536</c:v>
                </c:pt>
                <c:pt idx="20">
                  <c:v>45505</c:v>
                </c:pt>
                <c:pt idx="21">
                  <c:v>45474</c:v>
                </c:pt>
                <c:pt idx="22">
                  <c:v>45444</c:v>
                </c:pt>
                <c:pt idx="23">
                  <c:v>45413</c:v>
                </c:pt>
              </c:numCache>
            </c:numRef>
          </c:cat>
          <c:val>
            <c:numRef>
              <c:f>'main numbers'!$B$47:$Y$47</c:f>
              <c:numCache>
                <c:formatCode>0</c:formatCode>
                <c:ptCount val="24"/>
                <c:pt idx="0">
                  <c:v>71703.333333333328</c:v>
                </c:pt>
                <c:pt idx="1">
                  <c:v>82553.333333333328</c:v>
                </c:pt>
                <c:pt idx="2">
                  <c:v>72366.666666666672</c:v>
                </c:pt>
                <c:pt idx="3">
                  <c:v>59400</c:v>
                </c:pt>
                <c:pt idx="4">
                  <c:v>63333.333333333336</c:v>
                </c:pt>
                <c:pt idx="5">
                  <c:v>80733.333333333328</c:v>
                </c:pt>
                <c:pt idx="6">
                  <c:v>84000</c:v>
                </c:pt>
                <c:pt idx="7">
                  <c:v>94600</c:v>
                </c:pt>
                <c:pt idx="8">
                  <c:v>91533.333333333328</c:v>
                </c:pt>
                <c:pt idx="9">
                  <c:v>104683.33333333333</c:v>
                </c:pt>
                <c:pt idx="10">
                  <c:v>85600</c:v>
                </c:pt>
                <c:pt idx="11">
                  <c:v>72506.666666666672</c:v>
                </c:pt>
                <c:pt idx="12">
                  <c:v>78156.666666666672</c:v>
                </c:pt>
                <c:pt idx="13">
                  <c:v>75806.666666666672</c:v>
                </c:pt>
                <c:pt idx="14">
                  <c:v>78373.333333333328</c:v>
                </c:pt>
                <c:pt idx="15">
                  <c:v>57070</c:v>
                </c:pt>
                <c:pt idx="16">
                  <c:v>58420</c:v>
                </c:pt>
                <c:pt idx="17">
                  <c:v>61613.333333333336</c:v>
                </c:pt>
                <c:pt idx="18">
                  <c:v>78786.666666666672</c:v>
                </c:pt>
                <c:pt idx="19">
                  <c:v>80070</c:v>
                </c:pt>
                <c:pt idx="20">
                  <c:v>82777.333333333328</c:v>
                </c:pt>
                <c:pt idx="21">
                  <c:v>58757.333333333336</c:v>
                </c:pt>
              </c:numCache>
            </c:numRef>
          </c:val>
          <c:smooth val="0"/>
          <c:extLst>
            <c:ext xmlns:c16="http://schemas.microsoft.com/office/drawing/2014/chart" uri="{C3380CC4-5D6E-409C-BE32-E72D297353CC}">
              <c16:uniqueId val="{00000001-232B-4A4C-A1DB-47DD6277DE6F}"/>
            </c:ext>
          </c:extLst>
        </c:ser>
        <c:dLbls>
          <c:showLegendKey val="0"/>
          <c:showVal val="0"/>
          <c:showCatName val="0"/>
          <c:showSerName val="0"/>
          <c:showPercent val="0"/>
          <c:showBubbleSize val="0"/>
        </c:dLbls>
        <c:smooth val="0"/>
        <c:axId val="42798336"/>
        <c:axId val="42797920"/>
      </c:lineChart>
      <c:dateAx>
        <c:axId val="42798336"/>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42797920"/>
        <c:crosses val="autoZero"/>
        <c:auto val="1"/>
        <c:lblOffset val="100"/>
        <c:baseTimeUnit val="months"/>
      </c:dateAx>
      <c:valAx>
        <c:axId val="4279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42798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UA"/>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Signed contracts</a:t>
            </a:r>
            <a:endParaRPr lang="ru-R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UA"/>
        </a:p>
      </c:txPr>
    </c:title>
    <c:autoTitleDeleted val="0"/>
    <c:plotArea>
      <c:layout/>
      <c:lineChart>
        <c:grouping val="standard"/>
        <c:varyColors val="0"/>
        <c:ser>
          <c:idx val="0"/>
          <c:order val="0"/>
          <c:tx>
            <c:strRef>
              <c:f>'main numbers'!$A$91</c:f>
              <c:strCache>
                <c:ptCount val="1"/>
                <c:pt idx="0">
                  <c:v>Act. result month</c:v>
                </c:pt>
              </c:strCache>
            </c:strRef>
          </c:tx>
          <c:spPr>
            <a:ln w="28575" cap="rnd">
              <a:solidFill>
                <a:schemeClr val="accent1"/>
              </a:solidFill>
              <a:round/>
            </a:ln>
            <a:effectLst/>
          </c:spPr>
          <c:marker>
            <c:symbol val="none"/>
          </c:marker>
          <c:cat>
            <c:numRef>
              <c:f>'main numbers'!$B$90:$Y$90</c:f>
              <c:numCache>
                <c:formatCode>mmm\-yy</c:formatCode>
                <c:ptCount val="24"/>
                <c:pt idx="0">
                  <c:v>46113</c:v>
                </c:pt>
                <c:pt idx="1">
                  <c:v>46082</c:v>
                </c:pt>
                <c:pt idx="2">
                  <c:v>46054</c:v>
                </c:pt>
                <c:pt idx="3">
                  <c:v>46023</c:v>
                </c:pt>
                <c:pt idx="4">
                  <c:v>45992</c:v>
                </c:pt>
                <c:pt idx="5">
                  <c:v>45962</c:v>
                </c:pt>
                <c:pt idx="6">
                  <c:v>45931</c:v>
                </c:pt>
                <c:pt idx="7">
                  <c:v>45901</c:v>
                </c:pt>
                <c:pt idx="8">
                  <c:v>45870</c:v>
                </c:pt>
                <c:pt idx="9">
                  <c:v>45839</c:v>
                </c:pt>
                <c:pt idx="10">
                  <c:v>45809</c:v>
                </c:pt>
                <c:pt idx="11">
                  <c:v>45778</c:v>
                </c:pt>
                <c:pt idx="12">
                  <c:v>45748</c:v>
                </c:pt>
                <c:pt idx="13">
                  <c:v>45717</c:v>
                </c:pt>
                <c:pt idx="14">
                  <c:v>45689</c:v>
                </c:pt>
                <c:pt idx="15">
                  <c:v>45658</c:v>
                </c:pt>
                <c:pt idx="16">
                  <c:v>45627</c:v>
                </c:pt>
                <c:pt idx="17">
                  <c:v>45597</c:v>
                </c:pt>
                <c:pt idx="18">
                  <c:v>45566</c:v>
                </c:pt>
                <c:pt idx="19">
                  <c:v>45536</c:v>
                </c:pt>
                <c:pt idx="20">
                  <c:v>45505</c:v>
                </c:pt>
                <c:pt idx="21">
                  <c:v>45474</c:v>
                </c:pt>
                <c:pt idx="22">
                  <c:v>45444</c:v>
                </c:pt>
                <c:pt idx="23">
                  <c:v>45413</c:v>
                </c:pt>
              </c:numCache>
            </c:numRef>
          </c:cat>
          <c:val>
            <c:numRef>
              <c:f>'main numbers'!$B$91:$Y$91</c:f>
              <c:numCache>
                <c:formatCode>General</c:formatCode>
                <c:ptCount val="24"/>
                <c:pt idx="0">
                  <c:v>16</c:v>
                </c:pt>
                <c:pt idx="1">
                  <c:v>23</c:v>
                </c:pt>
                <c:pt idx="2">
                  <c:v>17</c:v>
                </c:pt>
                <c:pt idx="3">
                  <c:v>26</c:v>
                </c:pt>
                <c:pt idx="4">
                  <c:v>13</c:v>
                </c:pt>
                <c:pt idx="5">
                  <c:v>18</c:v>
                </c:pt>
                <c:pt idx="6">
                  <c:v>22</c:v>
                </c:pt>
                <c:pt idx="7">
                  <c:v>30</c:v>
                </c:pt>
                <c:pt idx="8">
                  <c:v>25</c:v>
                </c:pt>
                <c:pt idx="9">
                  <c:v>42</c:v>
                </c:pt>
                <c:pt idx="10">
                  <c:v>30</c:v>
                </c:pt>
                <c:pt idx="11">
                  <c:v>42</c:v>
                </c:pt>
                <c:pt idx="12">
                  <c:v>29</c:v>
                </c:pt>
                <c:pt idx="13">
                  <c:v>22</c:v>
                </c:pt>
                <c:pt idx="14">
                  <c:v>33</c:v>
                </c:pt>
                <c:pt idx="15">
                  <c:v>23</c:v>
                </c:pt>
                <c:pt idx="16">
                  <c:v>16</c:v>
                </c:pt>
                <c:pt idx="17">
                  <c:v>34</c:v>
                </c:pt>
                <c:pt idx="18">
                  <c:v>28</c:v>
                </c:pt>
                <c:pt idx="19">
                  <c:v>29</c:v>
                </c:pt>
                <c:pt idx="20">
                  <c:v>39</c:v>
                </c:pt>
                <c:pt idx="21">
                  <c:v>34</c:v>
                </c:pt>
                <c:pt idx="22">
                  <c:v>18</c:v>
                </c:pt>
                <c:pt idx="23">
                  <c:v>24</c:v>
                </c:pt>
              </c:numCache>
            </c:numRef>
          </c:val>
          <c:smooth val="0"/>
          <c:extLst>
            <c:ext xmlns:c16="http://schemas.microsoft.com/office/drawing/2014/chart" uri="{C3380CC4-5D6E-409C-BE32-E72D297353CC}">
              <c16:uniqueId val="{00000000-9996-4D25-81FF-C3497C47D6E2}"/>
            </c:ext>
          </c:extLst>
        </c:ser>
        <c:ser>
          <c:idx val="1"/>
          <c:order val="1"/>
          <c:tx>
            <c:strRef>
              <c:f>'main numbers'!$A$92</c:f>
              <c:strCache>
                <c:ptCount val="1"/>
                <c:pt idx="0">
                  <c:v>Act. result 3 months average</c:v>
                </c:pt>
              </c:strCache>
            </c:strRef>
          </c:tx>
          <c:spPr>
            <a:ln w="28575" cap="rnd">
              <a:solidFill>
                <a:schemeClr val="accent2"/>
              </a:solidFill>
              <a:round/>
            </a:ln>
            <a:effectLst/>
          </c:spPr>
          <c:marker>
            <c:symbol val="none"/>
          </c:marker>
          <c:cat>
            <c:numRef>
              <c:f>'main numbers'!$B$90:$Y$90</c:f>
              <c:numCache>
                <c:formatCode>mmm\-yy</c:formatCode>
                <c:ptCount val="24"/>
                <c:pt idx="0">
                  <c:v>46113</c:v>
                </c:pt>
                <c:pt idx="1">
                  <c:v>46082</c:v>
                </c:pt>
                <c:pt idx="2">
                  <c:v>46054</c:v>
                </c:pt>
                <c:pt idx="3">
                  <c:v>46023</c:v>
                </c:pt>
                <c:pt idx="4">
                  <c:v>45992</c:v>
                </c:pt>
                <c:pt idx="5">
                  <c:v>45962</c:v>
                </c:pt>
                <c:pt idx="6">
                  <c:v>45931</c:v>
                </c:pt>
                <c:pt idx="7">
                  <c:v>45901</c:v>
                </c:pt>
                <c:pt idx="8">
                  <c:v>45870</c:v>
                </c:pt>
                <c:pt idx="9">
                  <c:v>45839</c:v>
                </c:pt>
                <c:pt idx="10">
                  <c:v>45809</c:v>
                </c:pt>
                <c:pt idx="11">
                  <c:v>45778</c:v>
                </c:pt>
                <c:pt idx="12">
                  <c:v>45748</c:v>
                </c:pt>
                <c:pt idx="13">
                  <c:v>45717</c:v>
                </c:pt>
                <c:pt idx="14">
                  <c:v>45689</c:v>
                </c:pt>
                <c:pt idx="15">
                  <c:v>45658</c:v>
                </c:pt>
                <c:pt idx="16">
                  <c:v>45627</c:v>
                </c:pt>
                <c:pt idx="17">
                  <c:v>45597</c:v>
                </c:pt>
                <c:pt idx="18">
                  <c:v>45566</c:v>
                </c:pt>
                <c:pt idx="19">
                  <c:v>45536</c:v>
                </c:pt>
                <c:pt idx="20">
                  <c:v>45505</c:v>
                </c:pt>
                <c:pt idx="21">
                  <c:v>45474</c:v>
                </c:pt>
                <c:pt idx="22">
                  <c:v>45444</c:v>
                </c:pt>
                <c:pt idx="23">
                  <c:v>45413</c:v>
                </c:pt>
              </c:numCache>
            </c:numRef>
          </c:cat>
          <c:val>
            <c:numRef>
              <c:f>'main numbers'!$B$92:$Y$92</c:f>
              <c:numCache>
                <c:formatCode>0</c:formatCode>
                <c:ptCount val="24"/>
                <c:pt idx="0">
                  <c:v>18.666666666666668</c:v>
                </c:pt>
                <c:pt idx="1">
                  <c:v>22</c:v>
                </c:pt>
                <c:pt idx="2">
                  <c:v>18.666666666666668</c:v>
                </c:pt>
                <c:pt idx="3">
                  <c:v>19</c:v>
                </c:pt>
                <c:pt idx="4">
                  <c:v>17.666666666666668</c:v>
                </c:pt>
                <c:pt idx="5">
                  <c:v>23.333333333333332</c:v>
                </c:pt>
                <c:pt idx="6">
                  <c:v>25.666666666666668</c:v>
                </c:pt>
                <c:pt idx="7">
                  <c:v>32.333333333333336</c:v>
                </c:pt>
                <c:pt idx="8">
                  <c:v>32.333333333333336</c:v>
                </c:pt>
                <c:pt idx="9">
                  <c:v>38</c:v>
                </c:pt>
                <c:pt idx="10">
                  <c:v>33.666666666666664</c:v>
                </c:pt>
                <c:pt idx="11">
                  <c:v>31</c:v>
                </c:pt>
                <c:pt idx="12">
                  <c:v>28</c:v>
                </c:pt>
                <c:pt idx="13">
                  <c:v>26</c:v>
                </c:pt>
                <c:pt idx="14">
                  <c:v>24</c:v>
                </c:pt>
                <c:pt idx="15">
                  <c:v>24.333333333333332</c:v>
                </c:pt>
                <c:pt idx="16">
                  <c:v>26</c:v>
                </c:pt>
                <c:pt idx="17">
                  <c:v>30.333333333333332</c:v>
                </c:pt>
                <c:pt idx="18">
                  <c:v>32</c:v>
                </c:pt>
                <c:pt idx="19">
                  <c:v>34</c:v>
                </c:pt>
                <c:pt idx="20">
                  <c:v>30.333333333333332</c:v>
                </c:pt>
                <c:pt idx="21">
                  <c:v>25.333333333333332</c:v>
                </c:pt>
              </c:numCache>
            </c:numRef>
          </c:val>
          <c:smooth val="0"/>
          <c:extLst>
            <c:ext xmlns:c16="http://schemas.microsoft.com/office/drawing/2014/chart" uri="{C3380CC4-5D6E-409C-BE32-E72D297353CC}">
              <c16:uniqueId val="{00000001-9996-4D25-81FF-C3497C47D6E2}"/>
            </c:ext>
          </c:extLst>
        </c:ser>
        <c:dLbls>
          <c:showLegendKey val="0"/>
          <c:showVal val="0"/>
          <c:showCatName val="0"/>
          <c:showSerName val="0"/>
          <c:showPercent val="0"/>
          <c:showBubbleSize val="0"/>
        </c:dLbls>
        <c:smooth val="0"/>
        <c:axId val="42768384"/>
        <c:axId val="42791264"/>
      </c:lineChart>
      <c:dateAx>
        <c:axId val="4276838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42791264"/>
        <c:crosses val="autoZero"/>
        <c:auto val="1"/>
        <c:lblOffset val="100"/>
        <c:baseTimeUnit val="months"/>
      </c:dateAx>
      <c:valAx>
        <c:axId val="42791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42768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UA"/>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leads</a:t>
            </a:r>
            <a:endParaRPr lang="ru-R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UA"/>
        </a:p>
      </c:txPr>
    </c:title>
    <c:autoTitleDeleted val="0"/>
    <c:plotArea>
      <c:layout/>
      <c:lineChart>
        <c:grouping val="standard"/>
        <c:varyColors val="0"/>
        <c:ser>
          <c:idx val="0"/>
          <c:order val="0"/>
          <c:tx>
            <c:strRef>
              <c:f>'main numbers'!$A$114</c:f>
              <c:strCache>
                <c:ptCount val="1"/>
                <c:pt idx="0">
                  <c:v>Act. result month</c:v>
                </c:pt>
              </c:strCache>
            </c:strRef>
          </c:tx>
          <c:spPr>
            <a:ln w="28575" cap="rnd">
              <a:solidFill>
                <a:schemeClr val="accent1"/>
              </a:solidFill>
              <a:round/>
            </a:ln>
            <a:effectLst/>
          </c:spPr>
          <c:marker>
            <c:symbol val="none"/>
          </c:marker>
          <c:cat>
            <c:numRef>
              <c:f>'main numbers'!$B$113:$Y$113</c:f>
              <c:numCache>
                <c:formatCode>mmm\-yy</c:formatCode>
                <c:ptCount val="24"/>
                <c:pt idx="0">
                  <c:v>46113</c:v>
                </c:pt>
                <c:pt idx="1">
                  <c:v>46082</c:v>
                </c:pt>
                <c:pt idx="2">
                  <c:v>46054</c:v>
                </c:pt>
                <c:pt idx="3">
                  <c:v>46023</c:v>
                </c:pt>
                <c:pt idx="4">
                  <c:v>45992</c:v>
                </c:pt>
                <c:pt idx="5">
                  <c:v>45962</c:v>
                </c:pt>
                <c:pt idx="6">
                  <c:v>45931</c:v>
                </c:pt>
                <c:pt idx="7">
                  <c:v>45901</c:v>
                </c:pt>
                <c:pt idx="8">
                  <c:v>45870</c:v>
                </c:pt>
                <c:pt idx="9">
                  <c:v>45839</c:v>
                </c:pt>
                <c:pt idx="10">
                  <c:v>45809</c:v>
                </c:pt>
                <c:pt idx="11">
                  <c:v>45778</c:v>
                </c:pt>
                <c:pt idx="12">
                  <c:v>45748</c:v>
                </c:pt>
                <c:pt idx="13">
                  <c:v>45717</c:v>
                </c:pt>
                <c:pt idx="14">
                  <c:v>45689</c:v>
                </c:pt>
                <c:pt idx="15">
                  <c:v>45658</c:v>
                </c:pt>
                <c:pt idx="16">
                  <c:v>45627</c:v>
                </c:pt>
                <c:pt idx="17">
                  <c:v>45597</c:v>
                </c:pt>
                <c:pt idx="18">
                  <c:v>45566</c:v>
                </c:pt>
                <c:pt idx="19">
                  <c:v>45536</c:v>
                </c:pt>
                <c:pt idx="20">
                  <c:v>45505</c:v>
                </c:pt>
                <c:pt idx="21">
                  <c:v>45474</c:v>
                </c:pt>
                <c:pt idx="22">
                  <c:v>45444</c:v>
                </c:pt>
                <c:pt idx="23">
                  <c:v>45413</c:v>
                </c:pt>
              </c:numCache>
            </c:numRef>
          </c:cat>
          <c:val>
            <c:numRef>
              <c:f>'main numbers'!$B$114:$Y$114</c:f>
              <c:numCache>
                <c:formatCode>General</c:formatCode>
                <c:ptCount val="24"/>
                <c:pt idx="0">
                  <c:v>417</c:v>
                </c:pt>
                <c:pt idx="1">
                  <c:v>461</c:v>
                </c:pt>
                <c:pt idx="2">
                  <c:v>461</c:v>
                </c:pt>
                <c:pt idx="3">
                  <c:v>807</c:v>
                </c:pt>
                <c:pt idx="4">
                  <c:v>746</c:v>
                </c:pt>
                <c:pt idx="5">
                  <c:v>666</c:v>
                </c:pt>
                <c:pt idx="6">
                  <c:v>678</c:v>
                </c:pt>
                <c:pt idx="7">
                  <c:v>758</c:v>
                </c:pt>
                <c:pt idx="8">
                  <c:v>775</c:v>
                </c:pt>
                <c:pt idx="9">
                  <c:v>762</c:v>
                </c:pt>
                <c:pt idx="10">
                  <c:v>755</c:v>
                </c:pt>
                <c:pt idx="11">
                  <c:v>670</c:v>
                </c:pt>
                <c:pt idx="12">
                  <c:v>669</c:v>
                </c:pt>
                <c:pt idx="13">
                  <c:v>683</c:v>
                </c:pt>
                <c:pt idx="14">
                  <c:v>599</c:v>
                </c:pt>
                <c:pt idx="15">
                  <c:v>546</c:v>
                </c:pt>
                <c:pt idx="16">
                  <c:v>451</c:v>
                </c:pt>
                <c:pt idx="17">
                  <c:v>825</c:v>
                </c:pt>
                <c:pt idx="18">
                  <c:v>640</c:v>
                </c:pt>
                <c:pt idx="19">
                  <c:v>579</c:v>
                </c:pt>
                <c:pt idx="20">
                  <c:v>562</c:v>
                </c:pt>
                <c:pt idx="21">
                  <c:v>707</c:v>
                </c:pt>
                <c:pt idx="22">
                  <c:v>530</c:v>
                </c:pt>
                <c:pt idx="23">
                  <c:v>514</c:v>
                </c:pt>
              </c:numCache>
            </c:numRef>
          </c:val>
          <c:smooth val="0"/>
          <c:extLst>
            <c:ext xmlns:c16="http://schemas.microsoft.com/office/drawing/2014/chart" uri="{C3380CC4-5D6E-409C-BE32-E72D297353CC}">
              <c16:uniqueId val="{00000000-8561-4AA7-B952-23E32A50CC0A}"/>
            </c:ext>
          </c:extLst>
        </c:ser>
        <c:ser>
          <c:idx val="1"/>
          <c:order val="1"/>
          <c:tx>
            <c:strRef>
              <c:f>'main numbers'!$A$115</c:f>
              <c:strCache>
                <c:ptCount val="1"/>
                <c:pt idx="0">
                  <c:v>Act. result 3 months average</c:v>
                </c:pt>
              </c:strCache>
            </c:strRef>
          </c:tx>
          <c:spPr>
            <a:ln w="28575" cap="rnd">
              <a:solidFill>
                <a:schemeClr val="accent2"/>
              </a:solidFill>
              <a:round/>
            </a:ln>
            <a:effectLst/>
          </c:spPr>
          <c:marker>
            <c:symbol val="none"/>
          </c:marker>
          <c:cat>
            <c:numRef>
              <c:f>'main numbers'!$B$113:$Y$113</c:f>
              <c:numCache>
                <c:formatCode>mmm\-yy</c:formatCode>
                <c:ptCount val="24"/>
                <c:pt idx="0">
                  <c:v>46113</c:v>
                </c:pt>
                <c:pt idx="1">
                  <c:v>46082</c:v>
                </c:pt>
                <c:pt idx="2">
                  <c:v>46054</c:v>
                </c:pt>
                <c:pt idx="3">
                  <c:v>46023</c:v>
                </c:pt>
                <c:pt idx="4">
                  <c:v>45992</c:v>
                </c:pt>
                <c:pt idx="5">
                  <c:v>45962</c:v>
                </c:pt>
                <c:pt idx="6">
                  <c:v>45931</c:v>
                </c:pt>
                <c:pt idx="7">
                  <c:v>45901</c:v>
                </c:pt>
                <c:pt idx="8">
                  <c:v>45870</c:v>
                </c:pt>
                <c:pt idx="9">
                  <c:v>45839</c:v>
                </c:pt>
                <c:pt idx="10">
                  <c:v>45809</c:v>
                </c:pt>
                <c:pt idx="11">
                  <c:v>45778</c:v>
                </c:pt>
                <c:pt idx="12">
                  <c:v>45748</c:v>
                </c:pt>
                <c:pt idx="13">
                  <c:v>45717</c:v>
                </c:pt>
                <c:pt idx="14">
                  <c:v>45689</c:v>
                </c:pt>
                <c:pt idx="15">
                  <c:v>45658</c:v>
                </c:pt>
                <c:pt idx="16">
                  <c:v>45627</c:v>
                </c:pt>
                <c:pt idx="17">
                  <c:v>45597</c:v>
                </c:pt>
                <c:pt idx="18">
                  <c:v>45566</c:v>
                </c:pt>
                <c:pt idx="19">
                  <c:v>45536</c:v>
                </c:pt>
                <c:pt idx="20">
                  <c:v>45505</c:v>
                </c:pt>
                <c:pt idx="21">
                  <c:v>45474</c:v>
                </c:pt>
                <c:pt idx="22">
                  <c:v>45444</c:v>
                </c:pt>
                <c:pt idx="23">
                  <c:v>45413</c:v>
                </c:pt>
              </c:numCache>
            </c:numRef>
          </c:cat>
          <c:val>
            <c:numRef>
              <c:f>'main numbers'!$B$115:$Y$115</c:f>
              <c:numCache>
                <c:formatCode>0</c:formatCode>
                <c:ptCount val="24"/>
                <c:pt idx="0">
                  <c:v>446.33333333333331</c:v>
                </c:pt>
                <c:pt idx="1">
                  <c:v>576.33333333333337</c:v>
                </c:pt>
                <c:pt idx="2">
                  <c:v>671.33333333333337</c:v>
                </c:pt>
                <c:pt idx="3">
                  <c:v>739.66666666666663</c:v>
                </c:pt>
                <c:pt idx="4">
                  <c:v>696.66666666666663</c:v>
                </c:pt>
                <c:pt idx="5">
                  <c:v>700.66666666666663</c:v>
                </c:pt>
                <c:pt idx="6">
                  <c:v>737</c:v>
                </c:pt>
                <c:pt idx="7">
                  <c:v>765</c:v>
                </c:pt>
                <c:pt idx="8">
                  <c:v>764</c:v>
                </c:pt>
                <c:pt idx="9">
                  <c:v>729</c:v>
                </c:pt>
                <c:pt idx="10">
                  <c:v>698</c:v>
                </c:pt>
                <c:pt idx="11">
                  <c:v>674</c:v>
                </c:pt>
                <c:pt idx="12">
                  <c:v>650.33333333333337</c:v>
                </c:pt>
                <c:pt idx="13">
                  <c:v>609.33333333333337</c:v>
                </c:pt>
                <c:pt idx="14">
                  <c:v>532</c:v>
                </c:pt>
                <c:pt idx="15">
                  <c:v>607.33333333333337</c:v>
                </c:pt>
                <c:pt idx="16">
                  <c:v>638.66666666666663</c:v>
                </c:pt>
                <c:pt idx="17">
                  <c:v>681.33333333333337</c:v>
                </c:pt>
                <c:pt idx="18">
                  <c:v>593.66666666666663</c:v>
                </c:pt>
                <c:pt idx="19">
                  <c:v>616</c:v>
                </c:pt>
                <c:pt idx="20">
                  <c:v>599.66666666666663</c:v>
                </c:pt>
                <c:pt idx="21">
                  <c:v>583.66666666666663</c:v>
                </c:pt>
              </c:numCache>
            </c:numRef>
          </c:val>
          <c:smooth val="0"/>
          <c:extLst>
            <c:ext xmlns:c16="http://schemas.microsoft.com/office/drawing/2014/chart" uri="{C3380CC4-5D6E-409C-BE32-E72D297353CC}">
              <c16:uniqueId val="{00000001-8561-4AA7-B952-23E32A50CC0A}"/>
            </c:ext>
          </c:extLst>
        </c:ser>
        <c:dLbls>
          <c:showLegendKey val="0"/>
          <c:showVal val="0"/>
          <c:showCatName val="0"/>
          <c:showSerName val="0"/>
          <c:showPercent val="0"/>
          <c:showBubbleSize val="0"/>
        </c:dLbls>
        <c:smooth val="0"/>
        <c:axId val="47950528"/>
        <c:axId val="47956768"/>
      </c:lineChart>
      <c:dateAx>
        <c:axId val="4795052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47956768"/>
        <c:crosses val="autoZero"/>
        <c:auto val="1"/>
        <c:lblOffset val="100"/>
        <c:baseTimeUnit val="months"/>
      </c:dateAx>
      <c:valAx>
        <c:axId val="47956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47950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UA"/>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clicks</a:t>
            </a:r>
            <a:endParaRPr lang="ru-R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UA"/>
        </a:p>
      </c:txPr>
    </c:title>
    <c:autoTitleDeleted val="0"/>
    <c:plotArea>
      <c:layout/>
      <c:lineChart>
        <c:grouping val="standard"/>
        <c:varyColors val="0"/>
        <c:ser>
          <c:idx val="0"/>
          <c:order val="0"/>
          <c:tx>
            <c:strRef>
              <c:f>'main numbers'!$A$134</c:f>
              <c:strCache>
                <c:ptCount val="1"/>
                <c:pt idx="0">
                  <c:v>Act. result month</c:v>
                </c:pt>
              </c:strCache>
            </c:strRef>
          </c:tx>
          <c:spPr>
            <a:ln w="28575" cap="rnd">
              <a:solidFill>
                <a:schemeClr val="accent1"/>
              </a:solidFill>
              <a:round/>
            </a:ln>
            <a:effectLst/>
          </c:spPr>
          <c:marker>
            <c:symbol val="none"/>
          </c:marker>
          <c:cat>
            <c:numRef>
              <c:f>'main numbers'!$B$133:$Y$133</c:f>
              <c:numCache>
                <c:formatCode>mmm\-yy</c:formatCode>
                <c:ptCount val="24"/>
                <c:pt idx="0">
                  <c:v>46113</c:v>
                </c:pt>
                <c:pt idx="1">
                  <c:v>46082</c:v>
                </c:pt>
                <c:pt idx="2">
                  <c:v>46054</c:v>
                </c:pt>
                <c:pt idx="3">
                  <c:v>46023</c:v>
                </c:pt>
                <c:pt idx="4">
                  <c:v>45992</c:v>
                </c:pt>
                <c:pt idx="5">
                  <c:v>45962</c:v>
                </c:pt>
                <c:pt idx="6">
                  <c:v>45931</c:v>
                </c:pt>
                <c:pt idx="7">
                  <c:v>45901</c:v>
                </c:pt>
                <c:pt idx="8">
                  <c:v>45870</c:v>
                </c:pt>
                <c:pt idx="9">
                  <c:v>45839</c:v>
                </c:pt>
                <c:pt idx="10">
                  <c:v>45809</c:v>
                </c:pt>
                <c:pt idx="11">
                  <c:v>45778</c:v>
                </c:pt>
                <c:pt idx="12">
                  <c:v>45748</c:v>
                </c:pt>
                <c:pt idx="13">
                  <c:v>45717</c:v>
                </c:pt>
                <c:pt idx="14">
                  <c:v>45689</c:v>
                </c:pt>
                <c:pt idx="15">
                  <c:v>45658</c:v>
                </c:pt>
                <c:pt idx="16">
                  <c:v>45627</c:v>
                </c:pt>
                <c:pt idx="17">
                  <c:v>45597</c:v>
                </c:pt>
                <c:pt idx="18">
                  <c:v>45566</c:v>
                </c:pt>
                <c:pt idx="19">
                  <c:v>45536</c:v>
                </c:pt>
                <c:pt idx="20">
                  <c:v>45505</c:v>
                </c:pt>
                <c:pt idx="21">
                  <c:v>45474</c:v>
                </c:pt>
                <c:pt idx="22">
                  <c:v>45444</c:v>
                </c:pt>
                <c:pt idx="23">
                  <c:v>45413</c:v>
                </c:pt>
              </c:numCache>
            </c:numRef>
          </c:cat>
          <c:val>
            <c:numRef>
              <c:f>'main numbers'!$B$134:$Y$134</c:f>
              <c:numCache>
                <c:formatCode>0</c:formatCode>
                <c:ptCount val="24"/>
                <c:pt idx="0">
                  <c:v>5002</c:v>
                </c:pt>
                <c:pt idx="1">
                  <c:v>5344</c:v>
                </c:pt>
                <c:pt idx="2">
                  <c:v>5302</c:v>
                </c:pt>
                <c:pt idx="3">
                  <c:v>10646</c:v>
                </c:pt>
                <c:pt idx="4">
                  <c:v>10309</c:v>
                </c:pt>
                <c:pt idx="5">
                  <c:v>10618</c:v>
                </c:pt>
                <c:pt idx="6">
                  <c:v>11397</c:v>
                </c:pt>
                <c:pt idx="7">
                  <c:v>9252</c:v>
                </c:pt>
                <c:pt idx="8">
                  <c:v>10473</c:v>
                </c:pt>
                <c:pt idx="9">
                  <c:v>11192</c:v>
                </c:pt>
                <c:pt idx="10" formatCode="General">
                  <c:v>10770</c:v>
                </c:pt>
                <c:pt idx="11" formatCode="General">
                  <c:v>10487</c:v>
                </c:pt>
                <c:pt idx="12" formatCode="General">
                  <c:v>9512</c:v>
                </c:pt>
                <c:pt idx="13" formatCode="General">
                  <c:v>8128</c:v>
                </c:pt>
                <c:pt idx="14" formatCode="General">
                  <c:v>6864</c:v>
                </c:pt>
                <c:pt idx="15" formatCode="General">
                  <c:v>7250</c:v>
                </c:pt>
                <c:pt idx="16" formatCode="General">
                  <c:v>6354</c:v>
                </c:pt>
                <c:pt idx="17" formatCode="General">
                  <c:v>9676</c:v>
                </c:pt>
                <c:pt idx="18" formatCode="General">
                  <c:v>9213</c:v>
                </c:pt>
                <c:pt idx="19" formatCode="General">
                  <c:v>9685</c:v>
                </c:pt>
                <c:pt idx="20" formatCode="General">
                  <c:v>9485</c:v>
                </c:pt>
                <c:pt idx="21" formatCode="General">
                  <c:v>10661</c:v>
                </c:pt>
                <c:pt idx="22" formatCode="General">
                  <c:v>9205</c:v>
                </c:pt>
                <c:pt idx="23" formatCode="General">
                  <c:v>9672</c:v>
                </c:pt>
              </c:numCache>
            </c:numRef>
          </c:val>
          <c:smooth val="0"/>
          <c:extLst>
            <c:ext xmlns:c16="http://schemas.microsoft.com/office/drawing/2014/chart" uri="{C3380CC4-5D6E-409C-BE32-E72D297353CC}">
              <c16:uniqueId val="{00000000-5423-481B-88D0-CA703F51B9F7}"/>
            </c:ext>
          </c:extLst>
        </c:ser>
        <c:ser>
          <c:idx val="1"/>
          <c:order val="1"/>
          <c:tx>
            <c:strRef>
              <c:f>'main numbers'!$A$135</c:f>
              <c:strCache>
                <c:ptCount val="1"/>
                <c:pt idx="0">
                  <c:v>Act. result 3 months average</c:v>
                </c:pt>
              </c:strCache>
            </c:strRef>
          </c:tx>
          <c:spPr>
            <a:ln w="28575" cap="rnd">
              <a:solidFill>
                <a:schemeClr val="accent2"/>
              </a:solidFill>
              <a:round/>
            </a:ln>
            <a:effectLst/>
          </c:spPr>
          <c:marker>
            <c:symbol val="none"/>
          </c:marker>
          <c:cat>
            <c:numRef>
              <c:f>'main numbers'!$B$133:$Y$133</c:f>
              <c:numCache>
                <c:formatCode>mmm\-yy</c:formatCode>
                <c:ptCount val="24"/>
                <c:pt idx="0">
                  <c:v>46113</c:v>
                </c:pt>
                <c:pt idx="1">
                  <c:v>46082</c:v>
                </c:pt>
                <c:pt idx="2">
                  <c:v>46054</c:v>
                </c:pt>
                <c:pt idx="3">
                  <c:v>46023</c:v>
                </c:pt>
                <c:pt idx="4">
                  <c:v>45992</c:v>
                </c:pt>
                <c:pt idx="5">
                  <c:v>45962</c:v>
                </c:pt>
                <c:pt idx="6">
                  <c:v>45931</c:v>
                </c:pt>
                <c:pt idx="7">
                  <c:v>45901</c:v>
                </c:pt>
                <c:pt idx="8">
                  <c:v>45870</c:v>
                </c:pt>
                <c:pt idx="9">
                  <c:v>45839</c:v>
                </c:pt>
                <c:pt idx="10">
                  <c:v>45809</c:v>
                </c:pt>
                <c:pt idx="11">
                  <c:v>45778</c:v>
                </c:pt>
                <c:pt idx="12">
                  <c:v>45748</c:v>
                </c:pt>
                <c:pt idx="13">
                  <c:v>45717</c:v>
                </c:pt>
                <c:pt idx="14">
                  <c:v>45689</c:v>
                </c:pt>
                <c:pt idx="15">
                  <c:v>45658</c:v>
                </c:pt>
                <c:pt idx="16">
                  <c:v>45627</c:v>
                </c:pt>
                <c:pt idx="17">
                  <c:v>45597</c:v>
                </c:pt>
                <c:pt idx="18">
                  <c:v>45566</c:v>
                </c:pt>
                <c:pt idx="19">
                  <c:v>45536</c:v>
                </c:pt>
                <c:pt idx="20">
                  <c:v>45505</c:v>
                </c:pt>
                <c:pt idx="21">
                  <c:v>45474</c:v>
                </c:pt>
                <c:pt idx="22">
                  <c:v>45444</c:v>
                </c:pt>
                <c:pt idx="23">
                  <c:v>45413</c:v>
                </c:pt>
              </c:numCache>
            </c:numRef>
          </c:cat>
          <c:val>
            <c:numRef>
              <c:f>'main numbers'!$B$135:$Y$135</c:f>
              <c:numCache>
                <c:formatCode>0</c:formatCode>
                <c:ptCount val="24"/>
                <c:pt idx="0">
                  <c:v>5216</c:v>
                </c:pt>
                <c:pt idx="1">
                  <c:v>7097.333333333333</c:v>
                </c:pt>
                <c:pt idx="2">
                  <c:v>8752.3333333333339</c:v>
                </c:pt>
                <c:pt idx="3">
                  <c:v>10524.333333333334</c:v>
                </c:pt>
                <c:pt idx="4">
                  <c:v>10774.666666666666</c:v>
                </c:pt>
                <c:pt idx="5">
                  <c:v>10422.333333333334</c:v>
                </c:pt>
                <c:pt idx="6">
                  <c:v>10374</c:v>
                </c:pt>
                <c:pt idx="7">
                  <c:v>10305.666666666666</c:v>
                </c:pt>
                <c:pt idx="8">
                  <c:v>10811.666666666666</c:v>
                </c:pt>
                <c:pt idx="9">
                  <c:v>10816.333333333334</c:v>
                </c:pt>
                <c:pt idx="10">
                  <c:v>10256.333333333334</c:v>
                </c:pt>
                <c:pt idx="11">
                  <c:v>9375.6666666666661</c:v>
                </c:pt>
                <c:pt idx="12">
                  <c:v>8168</c:v>
                </c:pt>
                <c:pt idx="13">
                  <c:v>7414</c:v>
                </c:pt>
                <c:pt idx="14">
                  <c:v>6822.666666666667</c:v>
                </c:pt>
                <c:pt idx="15">
                  <c:v>7760</c:v>
                </c:pt>
                <c:pt idx="16">
                  <c:v>8414.3333333333339</c:v>
                </c:pt>
                <c:pt idx="17">
                  <c:v>9524.6666666666661</c:v>
                </c:pt>
                <c:pt idx="18">
                  <c:v>9461</c:v>
                </c:pt>
                <c:pt idx="19">
                  <c:v>9943.6666666666661</c:v>
                </c:pt>
                <c:pt idx="20">
                  <c:v>9783.6666666666661</c:v>
                </c:pt>
                <c:pt idx="21">
                  <c:v>9846</c:v>
                </c:pt>
              </c:numCache>
            </c:numRef>
          </c:val>
          <c:smooth val="0"/>
          <c:extLst>
            <c:ext xmlns:c16="http://schemas.microsoft.com/office/drawing/2014/chart" uri="{C3380CC4-5D6E-409C-BE32-E72D297353CC}">
              <c16:uniqueId val="{00000001-5423-481B-88D0-CA703F51B9F7}"/>
            </c:ext>
          </c:extLst>
        </c:ser>
        <c:dLbls>
          <c:showLegendKey val="0"/>
          <c:showVal val="0"/>
          <c:showCatName val="0"/>
          <c:showSerName val="0"/>
          <c:showPercent val="0"/>
          <c:showBubbleSize val="0"/>
        </c:dLbls>
        <c:smooth val="0"/>
        <c:axId val="418185648"/>
        <c:axId val="418173168"/>
      </c:lineChart>
      <c:dateAx>
        <c:axId val="41818564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418173168"/>
        <c:crosses val="autoZero"/>
        <c:auto val="1"/>
        <c:lblOffset val="100"/>
        <c:baseTimeUnit val="months"/>
      </c:dateAx>
      <c:valAx>
        <c:axId val="4181731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4181856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UA"/>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after marketing expenditure, actual, montly</a:t>
            </a:r>
            <a:endParaRPr lang="ru-R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UA"/>
        </a:p>
      </c:txPr>
    </c:title>
    <c:autoTitleDeleted val="0"/>
    <c:plotArea>
      <c:layout/>
      <c:lineChart>
        <c:grouping val="standard"/>
        <c:varyColors val="0"/>
        <c:ser>
          <c:idx val="0"/>
          <c:order val="0"/>
          <c:tx>
            <c:strRef>
              <c:f>'main numbers'!$A$2</c:f>
              <c:strCache>
                <c:ptCount val="1"/>
                <c:pt idx="0">
                  <c:v>Act. result month</c:v>
                </c:pt>
              </c:strCache>
            </c:strRef>
          </c:tx>
          <c:spPr>
            <a:ln w="28575" cap="rnd">
              <a:solidFill>
                <a:schemeClr val="accent1"/>
              </a:solidFill>
              <a:round/>
            </a:ln>
            <a:effectLst/>
          </c:spPr>
          <c:marker>
            <c:symbol val="none"/>
          </c:marker>
          <c:cat>
            <c:numRef>
              <c:f>'main numbers'!$B$1:$X$1</c:f>
              <c:numCache>
                <c:formatCode>mmm\-yy</c:formatCode>
                <c:ptCount val="23"/>
                <c:pt idx="0">
                  <c:v>46113</c:v>
                </c:pt>
                <c:pt idx="1">
                  <c:v>46082</c:v>
                </c:pt>
                <c:pt idx="2">
                  <c:v>46054</c:v>
                </c:pt>
                <c:pt idx="3">
                  <c:v>46023</c:v>
                </c:pt>
                <c:pt idx="4">
                  <c:v>45992</c:v>
                </c:pt>
                <c:pt idx="5">
                  <c:v>45962</c:v>
                </c:pt>
                <c:pt idx="6">
                  <c:v>45931</c:v>
                </c:pt>
                <c:pt idx="7">
                  <c:v>45901</c:v>
                </c:pt>
                <c:pt idx="8">
                  <c:v>45870</c:v>
                </c:pt>
                <c:pt idx="9">
                  <c:v>45839</c:v>
                </c:pt>
                <c:pt idx="10">
                  <c:v>45809</c:v>
                </c:pt>
                <c:pt idx="11">
                  <c:v>45778</c:v>
                </c:pt>
                <c:pt idx="12">
                  <c:v>45748</c:v>
                </c:pt>
                <c:pt idx="13">
                  <c:v>45717</c:v>
                </c:pt>
                <c:pt idx="14">
                  <c:v>45689</c:v>
                </c:pt>
                <c:pt idx="15">
                  <c:v>45658</c:v>
                </c:pt>
                <c:pt idx="16">
                  <c:v>45627</c:v>
                </c:pt>
                <c:pt idx="17">
                  <c:v>45597</c:v>
                </c:pt>
                <c:pt idx="18">
                  <c:v>45566</c:v>
                </c:pt>
                <c:pt idx="19">
                  <c:v>45536</c:v>
                </c:pt>
                <c:pt idx="20">
                  <c:v>45505</c:v>
                </c:pt>
                <c:pt idx="21">
                  <c:v>45474</c:v>
                </c:pt>
                <c:pt idx="22">
                  <c:v>45444</c:v>
                </c:pt>
              </c:numCache>
            </c:numRef>
          </c:cat>
          <c:val>
            <c:numRef>
              <c:f>'main numbers'!$B$2:$X$2</c:f>
              <c:numCache>
                <c:formatCode>0</c:formatCode>
                <c:ptCount val="23"/>
                <c:pt idx="0">
                  <c:v>19847</c:v>
                </c:pt>
                <c:pt idx="1">
                  <c:v>64146.75</c:v>
                </c:pt>
                <c:pt idx="2">
                  <c:v>48192.89</c:v>
                </c:pt>
                <c:pt idx="3">
                  <c:v>28361.75</c:v>
                </c:pt>
                <c:pt idx="4">
                  <c:v>31849.97</c:v>
                </c:pt>
                <c:pt idx="5">
                  <c:v>52342.559999999998</c:v>
                </c:pt>
                <c:pt idx="6">
                  <c:v>47679.199999999997</c:v>
                </c:pt>
                <c:pt idx="7">
                  <c:v>34974</c:v>
                </c:pt>
                <c:pt idx="8">
                  <c:v>35109.82</c:v>
                </c:pt>
                <c:pt idx="9">
                  <c:v>30578</c:v>
                </c:pt>
                <c:pt idx="10">
                  <c:v>25655.24</c:v>
                </c:pt>
                <c:pt idx="11">
                  <c:v>58549.47</c:v>
                </c:pt>
                <c:pt idx="12">
                  <c:v>41655.96</c:v>
                </c:pt>
                <c:pt idx="13">
                  <c:v>69418.399999999994</c:v>
                </c:pt>
                <c:pt idx="14">
                  <c:v>56175.63</c:v>
                </c:pt>
                <c:pt idx="15">
                  <c:v>50521.86</c:v>
                </c:pt>
                <c:pt idx="16">
                  <c:v>66444.17</c:v>
                </c:pt>
                <c:pt idx="17">
                  <c:v>54294.15</c:v>
                </c:pt>
                <c:pt idx="18">
                  <c:v>33313.18</c:v>
                </c:pt>
                <c:pt idx="19">
                  <c:v>57415.15</c:v>
                </c:pt>
                <c:pt idx="20">
                  <c:v>42929.46</c:v>
                </c:pt>
                <c:pt idx="21">
                  <c:v>24112.03</c:v>
                </c:pt>
                <c:pt idx="22">
                  <c:v>15511.38</c:v>
                </c:pt>
              </c:numCache>
            </c:numRef>
          </c:val>
          <c:smooth val="0"/>
          <c:extLst>
            <c:ext xmlns:c16="http://schemas.microsoft.com/office/drawing/2014/chart" uri="{C3380CC4-5D6E-409C-BE32-E72D297353CC}">
              <c16:uniqueId val="{00000000-E57C-4588-9EE2-EDF7D10272E4}"/>
            </c:ext>
          </c:extLst>
        </c:ser>
        <c:ser>
          <c:idx val="1"/>
          <c:order val="1"/>
          <c:tx>
            <c:strRef>
              <c:f>'main numbers'!$A$3</c:f>
              <c:strCache>
                <c:ptCount val="1"/>
                <c:pt idx="0">
                  <c:v>Plan month</c:v>
                </c:pt>
              </c:strCache>
            </c:strRef>
          </c:tx>
          <c:spPr>
            <a:ln w="28575" cap="rnd">
              <a:solidFill>
                <a:schemeClr val="accent2"/>
              </a:solidFill>
              <a:round/>
            </a:ln>
            <a:effectLst/>
          </c:spPr>
          <c:marker>
            <c:symbol val="none"/>
          </c:marker>
          <c:cat>
            <c:numRef>
              <c:f>'main numbers'!$B$1:$X$1</c:f>
              <c:numCache>
                <c:formatCode>mmm\-yy</c:formatCode>
                <c:ptCount val="23"/>
                <c:pt idx="0">
                  <c:v>46113</c:v>
                </c:pt>
                <c:pt idx="1">
                  <c:v>46082</c:v>
                </c:pt>
                <c:pt idx="2">
                  <c:v>46054</c:v>
                </c:pt>
                <c:pt idx="3">
                  <c:v>46023</c:v>
                </c:pt>
                <c:pt idx="4">
                  <c:v>45992</c:v>
                </c:pt>
                <c:pt idx="5">
                  <c:v>45962</c:v>
                </c:pt>
                <c:pt idx="6">
                  <c:v>45931</c:v>
                </c:pt>
                <c:pt idx="7">
                  <c:v>45901</c:v>
                </c:pt>
                <c:pt idx="8">
                  <c:v>45870</c:v>
                </c:pt>
                <c:pt idx="9">
                  <c:v>45839</c:v>
                </c:pt>
                <c:pt idx="10">
                  <c:v>45809</c:v>
                </c:pt>
                <c:pt idx="11">
                  <c:v>45778</c:v>
                </c:pt>
                <c:pt idx="12">
                  <c:v>45748</c:v>
                </c:pt>
                <c:pt idx="13">
                  <c:v>45717</c:v>
                </c:pt>
                <c:pt idx="14">
                  <c:v>45689</c:v>
                </c:pt>
                <c:pt idx="15">
                  <c:v>45658</c:v>
                </c:pt>
                <c:pt idx="16">
                  <c:v>45627</c:v>
                </c:pt>
                <c:pt idx="17">
                  <c:v>45597</c:v>
                </c:pt>
                <c:pt idx="18">
                  <c:v>45566</c:v>
                </c:pt>
                <c:pt idx="19">
                  <c:v>45536</c:v>
                </c:pt>
                <c:pt idx="20">
                  <c:v>45505</c:v>
                </c:pt>
                <c:pt idx="21">
                  <c:v>45474</c:v>
                </c:pt>
                <c:pt idx="22">
                  <c:v>45444</c:v>
                </c:pt>
              </c:numCache>
            </c:numRef>
          </c:cat>
          <c:val>
            <c:numRef>
              <c:f>'main numbers'!$B$3:$X$3</c:f>
              <c:numCache>
                <c:formatCode>General</c:formatCode>
                <c:ptCount val="23"/>
                <c:pt idx="0">
                  <c:v>77285</c:v>
                </c:pt>
                <c:pt idx="1">
                  <c:v>74394</c:v>
                </c:pt>
                <c:pt idx="2">
                  <c:v>71503</c:v>
                </c:pt>
                <c:pt idx="3">
                  <c:v>68612</c:v>
                </c:pt>
                <c:pt idx="4">
                  <c:v>65721</c:v>
                </c:pt>
                <c:pt idx="5">
                  <c:v>62830</c:v>
                </c:pt>
                <c:pt idx="6">
                  <c:v>59939</c:v>
                </c:pt>
                <c:pt idx="7">
                  <c:v>57048</c:v>
                </c:pt>
                <c:pt idx="8">
                  <c:v>55305</c:v>
                </c:pt>
                <c:pt idx="9">
                  <c:v>51840</c:v>
                </c:pt>
                <c:pt idx="10">
                  <c:v>66243</c:v>
                </c:pt>
                <c:pt idx="11">
                  <c:v>63628</c:v>
                </c:pt>
                <c:pt idx="12">
                  <c:v>60293</c:v>
                </c:pt>
                <c:pt idx="13">
                  <c:v>57318</c:v>
                </c:pt>
                <c:pt idx="14">
                  <c:v>54343</c:v>
                </c:pt>
                <c:pt idx="15">
                  <c:v>51368</c:v>
                </c:pt>
                <c:pt idx="16">
                  <c:v>48393</c:v>
                </c:pt>
                <c:pt idx="17">
                  <c:v>45418</c:v>
                </c:pt>
                <c:pt idx="18">
                  <c:v>42443</c:v>
                </c:pt>
                <c:pt idx="19">
                  <c:v>39468</c:v>
                </c:pt>
                <c:pt idx="20">
                  <c:v>36493</c:v>
                </c:pt>
                <c:pt idx="21">
                  <c:v>33518</c:v>
                </c:pt>
                <c:pt idx="22">
                  <c:v>30543</c:v>
                </c:pt>
              </c:numCache>
            </c:numRef>
          </c:val>
          <c:smooth val="0"/>
          <c:extLst>
            <c:ext xmlns:c16="http://schemas.microsoft.com/office/drawing/2014/chart" uri="{C3380CC4-5D6E-409C-BE32-E72D297353CC}">
              <c16:uniqueId val="{00000001-E57C-4588-9EE2-EDF7D10272E4}"/>
            </c:ext>
          </c:extLst>
        </c:ser>
        <c:dLbls>
          <c:showLegendKey val="0"/>
          <c:showVal val="0"/>
          <c:showCatName val="0"/>
          <c:showSerName val="0"/>
          <c:showPercent val="0"/>
          <c:showBubbleSize val="0"/>
        </c:dLbls>
        <c:smooth val="0"/>
        <c:axId val="164918832"/>
        <c:axId val="164908432"/>
      </c:lineChart>
      <c:dateAx>
        <c:axId val="16491883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164908432"/>
        <c:crosses val="autoZero"/>
        <c:auto val="1"/>
        <c:lblOffset val="100"/>
        <c:baseTimeUnit val="months"/>
      </c:dateAx>
      <c:valAx>
        <c:axId val="1649084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164918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UA"/>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Profit after marketing expenditure, plan, 3 months average</a:t>
            </a:r>
            <a:endParaRPr lang="ru-UA">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UA"/>
        </a:p>
      </c:txPr>
    </c:title>
    <c:autoTitleDeleted val="0"/>
    <c:plotArea>
      <c:layout/>
      <c:lineChart>
        <c:grouping val="standard"/>
        <c:varyColors val="0"/>
        <c:ser>
          <c:idx val="0"/>
          <c:order val="0"/>
          <c:tx>
            <c:strRef>
              <c:f>'main numbers'!$A$4</c:f>
              <c:strCache>
                <c:ptCount val="1"/>
                <c:pt idx="0">
                  <c:v>Act. result 3 months average</c:v>
                </c:pt>
              </c:strCache>
            </c:strRef>
          </c:tx>
          <c:spPr>
            <a:ln w="28575" cap="rnd">
              <a:solidFill>
                <a:schemeClr val="accent1"/>
              </a:solidFill>
              <a:round/>
            </a:ln>
            <a:effectLst/>
          </c:spPr>
          <c:marker>
            <c:symbol val="none"/>
          </c:marker>
          <c:cat>
            <c:numRef>
              <c:f>'main numbers'!$B$1:$W$1</c:f>
              <c:numCache>
                <c:formatCode>mmm\-yy</c:formatCode>
                <c:ptCount val="22"/>
                <c:pt idx="0">
                  <c:v>46113</c:v>
                </c:pt>
                <c:pt idx="1">
                  <c:v>46082</c:v>
                </c:pt>
                <c:pt idx="2">
                  <c:v>46054</c:v>
                </c:pt>
                <c:pt idx="3">
                  <c:v>46023</c:v>
                </c:pt>
                <c:pt idx="4">
                  <c:v>45992</c:v>
                </c:pt>
                <c:pt idx="5">
                  <c:v>45962</c:v>
                </c:pt>
                <c:pt idx="6">
                  <c:v>45931</c:v>
                </c:pt>
                <c:pt idx="7">
                  <c:v>45901</c:v>
                </c:pt>
                <c:pt idx="8">
                  <c:v>45870</c:v>
                </c:pt>
                <c:pt idx="9">
                  <c:v>45839</c:v>
                </c:pt>
                <c:pt idx="10">
                  <c:v>45809</c:v>
                </c:pt>
                <c:pt idx="11">
                  <c:v>45778</c:v>
                </c:pt>
                <c:pt idx="12">
                  <c:v>45748</c:v>
                </c:pt>
                <c:pt idx="13">
                  <c:v>45717</c:v>
                </c:pt>
                <c:pt idx="14">
                  <c:v>45689</c:v>
                </c:pt>
                <c:pt idx="15">
                  <c:v>45658</c:v>
                </c:pt>
                <c:pt idx="16">
                  <c:v>45627</c:v>
                </c:pt>
                <c:pt idx="17">
                  <c:v>45597</c:v>
                </c:pt>
                <c:pt idx="18">
                  <c:v>45566</c:v>
                </c:pt>
                <c:pt idx="19">
                  <c:v>45536</c:v>
                </c:pt>
                <c:pt idx="20">
                  <c:v>45505</c:v>
                </c:pt>
                <c:pt idx="21">
                  <c:v>45474</c:v>
                </c:pt>
              </c:numCache>
            </c:numRef>
          </c:cat>
          <c:val>
            <c:numRef>
              <c:f>'main numbers'!$B$4:$W$4</c:f>
              <c:numCache>
                <c:formatCode>0</c:formatCode>
                <c:ptCount val="22"/>
                <c:pt idx="0">
                  <c:v>44062.21333333334</c:v>
                </c:pt>
                <c:pt idx="1">
                  <c:v>46900.46333333334</c:v>
                </c:pt>
                <c:pt idx="2">
                  <c:v>36134.870000000003</c:v>
                </c:pt>
                <c:pt idx="3">
                  <c:v>37518.093333333331</c:v>
                </c:pt>
                <c:pt idx="4">
                  <c:v>43957.243333333325</c:v>
                </c:pt>
                <c:pt idx="5">
                  <c:v>44998.58666666667</c:v>
                </c:pt>
                <c:pt idx="6">
                  <c:v>39254.339999999997</c:v>
                </c:pt>
                <c:pt idx="7">
                  <c:v>33553.94</c:v>
                </c:pt>
                <c:pt idx="8">
                  <c:v>30447.686666666672</c:v>
                </c:pt>
                <c:pt idx="9">
                  <c:v>38260.903333333335</c:v>
                </c:pt>
                <c:pt idx="10">
                  <c:v>41953.556666666671</c:v>
                </c:pt>
                <c:pt idx="11">
                  <c:v>56541.276666666665</c:v>
                </c:pt>
                <c:pt idx="12">
                  <c:v>55749.996666666666</c:v>
                </c:pt>
                <c:pt idx="13">
                  <c:v>58705.296666666669</c:v>
                </c:pt>
                <c:pt idx="14">
                  <c:v>57713.886666666658</c:v>
                </c:pt>
                <c:pt idx="15">
                  <c:v>57086.726666666662</c:v>
                </c:pt>
                <c:pt idx="16">
                  <c:v>51350.5</c:v>
                </c:pt>
                <c:pt idx="17">
                  <c:v>48340.826666666668</c:v>
                </c:pt>
                <c:pt idx="18">
                  <c:v>44552.596666666672</c:v>
                </c:pt>
                <c:pt idx="19">
                  <c:v>41485.546666666669</c:v>
                </c:pt>
                <c:pt idx="20">
                  <c:v>27517.623333333333</c:v>
                </c:pt>
                <c:pt idx="21">
                  <c:v>26506.89333333333</c:v>
                </c:pt>
              </c:numCache>
            </c:numRef>
          </c:val>
          <c:smooth val="0"/>
          <c:extLst>
            <c:ext xmlns:c16="http://schemas.microsoft.com/office/drawing/2014/chart" uri="{C3380CC4-5D6E-409C-BE32-E72D297353CC}">
              <c16:uniqueId val="{00000000-CBF9-4308-BF41-28DAC3D61400}"/>
            </c:ext>
          </c:extLst>
        </c:ser>
        <c:ser>
          <c:idx val="1"/>
          <c:order val="1"/>
          <c:tx>
            <c:strRef>
              <c:f>'main numbers'!$A$5</c:f>
              <c:strCache>
                <c:ptCount val="1"/>
                <c:pt idx="0">
                  <c:v>Plan 3 months av.</c:v>
                </c:pt>
              </c:strCache>
            </c:strRef>
          </c:tx>
          <c:spPr>
            <a:ln w="28575" cap="rnd">
              <a:solidFill>
                <a:schemeClr val="accent2"/>
              </a:solidFill>
              <a:round/>
            </a:ln>
            <a:effectLst/>
          </c:spPr>
          <c:marker>
            <c:symbol val="none"/>
          </c:marker>
          <c:cat>
            <c:numRef>
              <c:f>'main numbers'!$B$1:$W$1</c:f>
              <c:numCache>
                <c:formatCode>mmm\-yy</c:formatCode>
                <c:ptCount val="22"/>
                <c:pt idx="0">
                  <c:v>46113</c:v>
                </c:pt>
                <c:pt idx="1">
                  <c:v>46082</c:v>
                </c:pt>
                <c:pt idx="2">
                  <c:v>46054</c:v>
                </c:pt>
                <c:pt idx="3">
                  <c:v>46023</c:v>
                </c:pt>
                <c:pt idx="4">
                  <c:v>45992</c:v>
                </c:pt>
                <c:pt idx="5">
                  <c:v>45962</c:v>
                </c:pt>
                <c:pt idx="6">
                  <c:v>45931</c:v>
                </c:pt>
                <c:pt idx="7">
                  <c:v>45901</c:v>
                </c:pt>
                <c:pt idx="8">
                  <c:v>45870</c:v>
                </c:pt>
                <c:pt idx="9">
                  <c:v>45839</c:v>
                </c:pt>
                <c:pt idx="10">
                  <c:v>45809</c:v>
                </c:pt>
                <c:pt idx="11">
                  <c:v>45778</c:v>
                </c:pt>
                <c:pt idx="12">
                  <c:v>45748</c:v>
                </c:pt>
                <c:pt idx="13">
                  <c:v>45717</c:v>
                </c:pt>
                <c:pt idx="14">
                  <c:v>45689</c:v>
                </c:pt>
                <c:pt idx="15">
                  <c:v>45658</c:v>
                </c:pt>
                <c:pt idx="16">
                  <c:v>45627</c:v>
                </c:pt>
                <c:pt idx="17">
                  <c:v>45597</c:v>
                </c:pt>
                <c:pt idx="18">
                  <c:v>45566</c:v>
                </c:pt>
                <c:pt idx="19">
                  <c:v>45536</c:v>
                </c:pt>
                <c:pt idx="20">
                  <c:v>45505</c:v>
                </c:pt>
                <c:pt idx="21">
                  <c:v>45474</c:v>
                </c:pt>
              </c:numCache>
            </c:numRef>
          </c:cat>
          <c:val>
            <c:numRef>
              <c:f>'main numbers'!$B$5:$W$5</c:f>
              <c:numCache>
                <c:formatCode>0</c:formatCode>
                <c:ptCount val="22"/>
                <c:pt idx="0">
                  <c:v>74394</c:v>
                </c:pt>
                <c:pt idx="1">
                  <c:v>71503</c:v>
                </c:pt>
                <c:pt idx="2">
                  <c:v>68612</c:v>
                </c:pt>
                <c:pt idx="3">
                  <c:v>65721</c:v>
                </c:pt>
                <c:pt idx="4">
                  <c:v>62830</c:v>
                </c:pt>
                <c:pt idx="5">
                  <c:v>59939</c:v>
                </c:pt>
                <c:pt idx="6">
                  <c:v>57430.666666666664</c:v>
                </c:pt>
                <c:pt idx="7">
                  <c:v>54731</c:v>
                </c:pt>
                <c:pt idx="8">
                  <c:v>57796</c:v>
                </c:pt>
                <c:pt idx="9">
                  <c:v>60570.333333333336</c:v>
                </c:pt>
                <c:pt idx="10">
                  <c:v>63388</c:v>
                </c:pt>
                <c:pt idx="11">
                  <c:v>60413</c:v>
                </c:pt>
                <c:pt idx="12">
                  <c:v>57318</c:v>
                </c:pt>
                <c:pt idx="13">
                  <c:v>54343</c:v>
                </c:pt>
                <c:pt idx="14">
                  <c:v>51368</c:v>
                </c:pt>
                <c:pt idx="15">
                  <c:v>48393</c:v>
                </c:pt>
                <c:pt idx="16">
                  <c:v>45418</c:v>
                </c:pt>
                <c:pt idx="17">
                  <c:v>42443</c:v>
                </c:pt>
                <c:pt idx="18">
                  <c:v>39468</c:v>
                </c:pt>
                <c:pt idx="19">
                  <c:v>36493</c:v>
                </c:pt>
                <c:pt idx="20">
                  <c:v>33518</c:v>
                </c:pt>
                <c:pt idx="21">
                  <c:v>43735.666666666664</c:v>
                </c:pt>
              </c:numCache>
            </c:numRef>
          </c:val>
          <c:smooth val="0"/>
          <c:extLst>
            <c:ext xmlns:c16="http://schemas.microsoft.com/office/drawing/2014/chart" uri="{C3380CC4-5D6E-409C-BE32-E72D297353CC}">
              <c16:uniqueId val="{00000003-CBF9-4308-BF41-28DAC3D61400}"/>
            </c:ext>
          </c:extLst>
        </c:ser>
        <c:dLbls>
          <c:showLegendKey val="0"/>
          <c:showVal val="0"/>
          <c:showCatName val="0"/>
          <c:showSerName val="0"/>
          <c:showPercent val="0"/>
          <c:showBubbleSize val="0"/>
        </c:dLbls>
        <c:smooth val="0"/>
        <c:axId val="1973401712"/>
        <c:axId val="1973388400"/>
      </c:lineChart>
      <c:dateAx>
        <c:axId val="197340171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1973388400"/>
        <c:crosses val="autoZero"/>
        <c:auto val="1"/>
        <c:lblOffset val="100"/>
        <c:baseTimeUnit val="months"/>
      </c:dateAx>
      <c:valAx>
        <c:axId val="19733884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1973401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UA"/>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LT &amp; LV leads</a:t>
            </a:r>
            <a:endParaRPr lang="ru-R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UA"/>
        </a:p>
      </c:txPr>
    </c:title>
    <c:autoTitleDeleted val="0"/>
    <c:plotArea>
      <c:layout/>
      <c:lineChart>
        <c:grouping val="standard"/>
        <c:varyColors val="0"/>
        <c:ser>
          <c:idx val="0"/>
          <c:order val="0"/>
          <c:tx>
            <c:strRef>
              <c:f>'main numbers'!$A$156</c:f>
              <c:strCache>
                <c:ptCount val="1"/>
                <c:pt idx="0">
                  <c:v>LT</c:v>
                </c:pt>
              </c:strCache>
            </c:strRef>
          </c:tx>
          <c:spPr>
            <a:ln w="28575" cap="rnd">
              <a:solidFill>
                <a:schemeClr val="accent1"/>
              </a:solidFill>
              <a:round/>
            </a:ln>
            <a:effectLst/>
          </c:spPr>
          <c:marker>
            <c:symbol val="none"/>
          </c:marker>
          <c:cat>
            <c:numRef>
              <c:f>'main numbers'!$B$154:$Y$154</c:f>
              <c:numCache>
                <c:formatCode>mmm\-yy</c:formatCode>
                <c:ptCount val="24"/>
                <c:pt idx="0">
                  <c:v>46113</c:v>
                </c:pt>
                <c:pt idx="1">
                  <c:v>46082</c:v>
                </c:pt>
                <c:pt idx="2">
                  <c:v>46054</c:v>
                </c:pt>
                <c:pt idx="3">
                  <c:v>46023</c:v>
                </c:pt>
                <c:pt idx="4">
                  <c:v>45992</c:v>
                </c:pt>
                <c:pt idx="5">
                  <c:v>45962</c:v>
                </c:pt>
                <c:pt idx="6">
                  <c:v>45931</c:v>
                </c:pt>
                <c:pt idx="7">
                  <c:v>45901</c:v>
                </c:pt>
                <c:pt idx="8">
                  <c:v>45870</c:v>
                </c:pt>
                <c:pt idx="9">
                  <c:v>45839</c:v>
                </c:pt>
                <c:pt idx="10">
                  <c:v>45809</c:v>
                </c:pt>
                <c:pt idx="11">
                  <c:v>45778</c:v>
                </c:pt>
                <c:pt idx="12">
                  <c:v>45748</c:v>
                </c:pt>
                <c:pt idx="13">
                  <c:v>45717</c:v>
                </c:pt>
                <c:pt idx="14">
                  <c:v>45689</c:v>
                </c:pt>
                <c:pt idx="15">
                  <c:v>45658</c:v>
                </c:pt>
                <c:pt idx="16">
                  <c:v>45627</c:v>
                </c:pt>
                <c:pt idx="17">
                  <c:v>45597</c:v>
                </c:pt>
                <c:pt idx="18">
                  <c:v>45566</c:v>
                </c:pt>
                <c:pt idx="19">
                  <c:v>45536</c:v>
                </c:pt>
                <c:pt idx="20">
                  <c:v>45505</c:v>
                </c:pt>
                <c:pt idx="21">
                  <c:v>45474</c:v>
                </c:pt>
                <c:pt idx="22">
                  <c:v>45444</c:v>
                </c:pt>
                <c:pt idx="23">
                  <c:v>45413</c:v>
                </c:pt>
              </c:numCache>
            </c:numRef>
          </c:cat>
          <c:val>
            <c:numRef>
              <c:f>'main numbers'!$B$156:$Y$156</c:f>
              <c:numCache>
                <c:formatCode>General</c:formatCode>
                <c:ptCount val="24"/>
                <c:pt idx="0">
                  <c:v>237</c:v>
                </c:pt>
                <c:pt idx="1">
                  <c:v>254</c:v>
                </c:pt>
                <c:pt idx="2">
                  <c:v>255</c:v>
                </c:pt>
                <c:pt idx="3">
                  <c:v>380</c:v>
                </c:pt>
                <c:pt idx="4">
                  <c:v>265</c:v>
                </c:pt>
                <c:pt idx="5">
                  <c:v>279</c:v>
                </c:pt>
                <c:pt idx="6">
                  <c:v>211</c:v>
                </c:pt>
                <c:pt idx="7">
                  <c:v>342</c:v>
                </c:pt>
                <c:pt idx="8">
                  <c:v>370</c:v>
                </c:pt>
                <c:pt idx="9">
                  <c:v>382</c:v>
                </c:pt>
                <c:pt idx="10">
                  <c:v>329</c:v>
                </c:pt>
                <c:pt idx="11">
                  <c:v>341</c:v>
                </c:pt>
                <c:pt idx="12">
                  <c:v>380</c:v>
                </c:pt>
                <c:pt idx="13">
                  <c:v>358</c:v>
                </c:pt>
                <c:pt idx="14">
                  <c:v>351</c:v>
                </c:pt>
                <c:pt idx="15">
                  <c:v>369</c:v>
                </c:pt>
                <c:pt idx="16">
                  <c:v>298</c:v>
                </c:pt>
                <c:pt idx="17">
                  <c:v>604</c:v>
                </c:pt>
                <c:pt idx="18">
                  <c:v>446</c:v>
                </c:pt>
                <c:pt idx="19">
                  <c:v>380</c:v>
                </c:pt>
                <c:pt idx="20">
                  <c:v>443</c:v>
                </c:pt>
                <c:pt idx="21">
                  <c:v>560</c:v>
                </c:pt>
                <c:pt idx="22">
                  <c:v>409</c:v>
                </c:pt>
                <c:pt idx="23">
                  <c:v>410</c:v>
                </c:pt>
              </c:numCache>
            </c:numRef>
          </c:val>
          <c:smooth val="0"/>
          <c:extLst>
            <c:ext xmlns:c16="http://schemas.microsoft.com/office/drawing/2014/chart" uri="{C3380CC4-5D6E-409C-BE32-E72D297353CC}">
              <c16:uniqueId val="{00000000-4FBE-4AC8-83C4-FED2F2180ACA}"/>
            </c:ext>
          </c:extLst>
        </c:ser>
        <c:ser>
          <c:idx val="1"/>
          <c:order val="1"/>
          <c:tx>
            <c:strRef>
              <c:f>'main numbers'!$A$160</c:f>
              <c:strCache>
                <c:ptCount val="1"/>
                <c:pt idx="0">
                  <c:v>LV</c:v>
                </c:pt>
              </c:strCache>
            </c:strRef>
          </c:tx>
          <c:spPr>
            <a:ln w="28575" cap="rnd">
              <a:solidFill>
                <a:schemeClr val="accent2"/>
              </a:solidFill>
              <a:round/>
            </a:ln>
            <a:effectLst/>
          </c:spPr>
          <c:marker>
            <c:symbol val="none"/>
          </c:marker>
          <c:cat>
            <c:numRef>
              <c:f>'main numbers'!$B$154:$Y$154</c:f>
              <c:numCache>
                <c:formatCode>mmm\-yy</c:formatCode>
                <c:ptCount val="24"/>
                <c:pt idx="0">
                  <c:v>46113</c:v>
                </c:pt>
                <c:pt idx="1">
                  <c:v>46082</c:v>
                </c:pt>
                <c:pt idx="2">
                  <c:v>46054</c:v>
                </c:pt>
                <c:pt idx="3">
                  <c:v>46023</c:v>
                </c:pt>
                <c:pt idx="4">
                  <c:v>45992</c:v>
                </c:pt>
                <c:pt idx="5">
                  <c:v>45962</c:v>
                </c:pt>
                <c:pt idx="6">
                  <c:v>45931</c:v>
                </c:pt>
                <c:pt idx="7">
                  <c:v>45901</c:v>
                </c:pt>
                <c:pt idx="8">
                  <c:v>45870</c:v>
                </c:pt>
                <c:pt idx="9">
                  <c:v>45839</c:v>
                </c:pt>
                <c:pt idx="10">
                  <c:v>45809</c:v>
                </c:pt>
                <c:pt idx="11">
                  <c:v>45778</c:v>
                </c:pt>
                <c:pt idx="12">
                  <c:v>45748</c:v>
                </c:pt>
                <c:pt idx="13">
                  <c:v>45717</c:v>
                </c:pt>
                <c:pt idx="14">
                  <c:v>45689</c:v>
                </c:pt>
                <c:pt idx="15">
                  <c:v>45658</c:v>
                </c:pt>
                <c:pt idx="16">
                  <c:v>45627</c:v>
                </c:pt>
                <c:pt idx="17">
                  <c:v>45597</c:v>
                </c:pt>
                <c:pt idx="18">
                  <c:v>45566</c:v>
                </c:pt>
                <c:pt idx="19">
                  <c:v>45536</c:v>
                </c:pt>
                <c:pt idx="20">
                  <c:v>45505</c:v>
                </c:pt>
                <c:pt idx="21">
                  <c:v>45474</c:v>
                </c:pt>
                <c:pt idx="22">
                  <c:v>45444</c:v>
                </c:pt>
                <c:pt idx="23">
                  <c:v>45413</c:v>
                </c:pt>
              </c:numCache>
            </c:numRef>
          </c:cat>
          <c:val>
            <c:numRef>
              <c:f>'main numbers'!$B$160:$Y$160</c:f>
              <c:numCache>
                <c:formatCode>General</c:formatCode>
                <c:ptCount val="24"/>
                <c:pt idx="0">
                  <c:v>27</c:v>
                </c:pt>
                <c:pt idx="1">
                  <c:v>19</c:v>
                </c:pt>
                <c:pt idx="2">
                  <c:v>31</c:v>
                </c:pt>
                <c:pt idx="3">
                  <c:v>78</c:v>
                </c:pt>
                <c:pt idx="4">
                  <c:v>44</c:v>
                </c:pt>
                <c:pt idx="5">
                  <c:v>12</c:v>
                </c:pt>
                <c:pt idx="6">
                  <c:v>35</c:v>
                </c:pt>
                <c:pt idx="7">
                  <c:v>63</c:v>
                </c:pt>
                <c:pt idx="8">
                  <c:v>61</c:v>
                </c:pt>
                <c:pt idx="9">
                  <c:v>71</c:v>
                </c:pt>
                <c:pt idx="10">
                  <c:v>56</c:v>
                </c:pt>
                <c:pt idx="11">
                  <c:v>80</c:v>
                </c:pt>
                <c:pt idx="12">
                  <c:v>66</c:v>
                </c:pt>
                <c:pt idx="13">
                  <c:v>89</c:v>
                </c:pt>
                <c:pt idx="14">
                  <c:v>73</c:v>
                </c:pt>
                <c:pt idx="15">
                  <c:v>80</c:v>
                </c:pt>
                <c:pt idx="16">
                  <c:v>38</c:v>
                </c:pt>
                <c:pt idx="17">
                  <c:v>74</c:v>
                </c:pt>
                <c:pt idx="18">
                  <c:v>54</c:v>
                </c:pt>
                <c:pt idx="19">
                  <c:v>73</c:v>
                </c:pt>
                <c:pt idx="20">
                  <c:v>88</c:v>
                </c:pt>
                <c:pt idx="21">
                  <c:v>104</c:v>
                </c:pt>
                <c:pt idx="22">
                  <c:v>85</c:v>
                </c:pt>
                <c:pt idx="23">
                  <c:v>76</c:v>
                </c:pt>
              </c:numCache>
            </c:numRef>
          </c:val>
          <c:smooth val="0"/>
          <c:extLst>
            <c:ext xmlns:c16="http://schemas.microsoft.com/office/drawing/2014/chart" uri="{C3380CC4-5D6E-409C-BE32-E72D297353CC}">
              <c16:uniqueId val="{00000005-4FBE-4AC8-83C4-FED2F2180ACA}"/>
            </c:ext>
          </c:extLst>
        </c:ser>
        <c:dLbls>
          <c:showLegendKey val="0"/>
          <c:showVal val="0"/>
          <c:showCatName val="0"/>
          <c:showSerName val="0"/>
          <c:showPercent val="0"/>
          <c:showBubbleSize val="0"/>
        </c:dLbls>
        <c:smooth val="0"/>
        <c:axId val="185979216"/>
        <c:axId val="185976304"/>
      </c:lineChart>
      <c:dateAx>
        <c:axId val="185979216"/>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185976304"/>
        <c:crosses val="autoZero"/>
        <c:auto val="1"/>
        <c:lblOffset val="100"/>
        <c:baseTimeUnit val="months"/>
      </c:dateAx>
      <c:valAx>
        <c:axId val="185976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185979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UA"/>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Marketing cost</a:t>
            </a:r>
            <a:endParaRPr lang="ru-R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UA"/>
        </a:p>
      </c:txPr>
    </c:title>
    <c:autoTitleDeleted val="0"/>
    <c:plotArea>
      <c:layout/>
      <c:lineChart>
        <c:grouping val="standard"/>
        <c:varyColors val="0"/>
        <c:ser>
          <c:idx val="0"/>
          <c:order val="0"/>
          <c:tx>
            <c:strRef>
              <c:f>'main numbers'!$A$68</c:f>
              <c:strCache>
                <c:ptCount val="1"/>
                <c:pt idx="0">
                  <c:v>Act. result month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'main numbers'!$B$67:$Y$67</c:f>
              <c:numCache>
                <c:formatCode>mmm\-yy</c:formatCode>
                <c:ptCount val="24"/>
                <c:pt idx="0">
                  <c:v>46113</c:v>
                </c:pt>
                <c:pt idx="1">
                  <c:v>46082</c:v>
                </c:pt>
                <c:pt idx="2">
                  <c:v>46054</c:v>
                </c:pt>
                <c:pt idx="3">
                  <c:v>46023</c:v>
                </c:pt>
                <c:pt idx="4">
                  <c:v>45992</c:v>
                </c:pt>
                <c:pt idx="5">
                  <c:v>45962</c:v>
                </c:pt>
                <c:pt idx="6">
                  <c:v>45931</c:v>
                </c:pt>
                <c:pt idx="7">
                  <c:v>45901</c:v>
                </c:pt>
                <c:pt idx="8">
                  <c:v>45870</c:v>
                </c:pt>
                <c:pt idx="9">
                  <c:v>45839</c:v>
                </c:pt>
                <c:pt idx="10">
                  <c:v>45809</c:v>
                </c:pt>
                <c:pt idx="11">
                  <c:v>45778</c:v>
                </c:pt>
                <c:pt idx="12">
                  <c:v>45748</c:v>
                </c:pt>
                <c:pt idx="13">
                  <c:v>45717</c:v>
                </c:pt>
                <c:pt idx="14">
                  <c:v>45689</c:v>
                </c:pt>
                <c:pt idx="15">
                  <c:v>45658</c:v>
                </c:pt>
                <c:pt idx="16">
                  <c:v>45627</c:v>
                </c:pt>
                <c:pt idx="17">
                  <c:v>45597</c:v>
                </c:pt>
                <c:pt idx="18">
                  <c:v>45566</c:v>
                </c:pt>
                <c:pt idx="19">
                  <c:v>45536</c:v>
                </c:pt>
                <c:pt idx="20">
                  <c:v>45505</c:v>
                </c:pt>
                <c:pt idx="21">
                  <c:v>45474</c:v>
                </c:pt>
                <c:pt idx="22">
                  <c:v>45444</c:v>
                </c:pt>
                <c:pt idx="23">
                  <c:v>45413</c:v>
                </c:pt>
              </c:numCache>
            </c:numRef>
          </c:cat>
          <c:val>
            <c:numRef>
              <c:f>'main numbers'!$B$68:$Y$68</c:f>
              <c:numCache>
                <c:formatCode>0</c:formatCode>
                <c:ptCount val="24"/>
                <c:pt idx="0">
                  <c:v>7866</c:v>
                </c:pt>
                <c:pt idx="1">
                  <c:v>8783.25</c:v>
                </c:pt>
                <c:pt idx="2">
                  <c:v>8477.11</c:v>
                </c:pt>
                <c:pt idx="3">
                  <c:v>11305.25</c:v>
                </c:pt>
                <c:pt idx="4">
                  <c:v>11280.03</c:v>
                </c:pt>
                <c:pt idx="5">
                  <c:v>12780.44</c:v>
                </c:pt>
                <c:pt idx="6">
                  <c:v>12569.8</c:v>
                </c:pt>
                <c:pt idx="7">
                  <c:v>12849.01</c:v>
                </c:pt>
                <c:pt idx="8">
                  <c:v>12833.18</c:v>
                </c:pt>
                <c:pt idx="9">
                  <c:v>13206.93</c:v>
                </c:pt>
                <c:pt idx="10">
                  <c:v>12894.76</c:v>
                </c:pt>
                <c:pt idx="11">
                  <c:v>11436.53</c:v>
                </c:pt>
                <c:pt idx="12">
                  <c:v>8443.0400000000009</c:v>
                </c:pt>
                <c:pt idx="13">
                  <c:v>5635.6</c:v>
                </c:pt>
                <c:pt idx="14">
                  <c:v>6450.37</c:v>
                </c:pt>
                <c:pt idx="15">
                  <c:v>7221.14</c:v>
                </c:pt>
                <c:pt idx="16">
                  <c:v>6849.83</c:v>
                </c:pt>
                <c:pt idx="17">
                  <c:v>7463.85</c:v>
                </c:pt>
                <c:pt idx="18">
                  <c:v>8196.82</c:v>
                </c:pt>
                <c:pt idx="19">
                  <c:v>8031.85</c:v>
                </c:pt>
                <c:pt idx="20">
                  <c:v>7010.54</c:v>
                </c:pt>
                <c:pt idx="21">
                  <c:v>8540.9699999999993</c:v>
                </c:pt>
                <c:pt idx="22">
                  <c:v>8268.6200000000008</c:v>
                </c:pt>
                <c:pt idx="23">
                  <c:v>7111.73</c:v>
                </c:pt>
              </c:numCache>
            </c:numRef>
          </c:val>
          <c:smooth val="0"/>
          <c:extLst>
            <c:ext xmlns:c16="http://schemas.microsoft.com/office/drawing/2014/chart" uri="{C3380CC4-5D6E-409C-BE32-E72D297353CC}">
              <c16:uniqueId val="{00000000-FFF0-41CC-9142-26367DB89A63}"/>
            </c:ext>
          </c:extLst>
        </c:ser>
        <c:ser>
          <c:idx val="1"/>
          <c:order val="1"/>
          <c:tx>
            <c:strRef>
              <c:f>'main numbers'!$A$69</c:f>
              <c:strCache>
                <c:ptCount val="1"/>
                <c:pt idx="0">
                  <c:v>Act. result 3 months average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'main numbers'!$B$67:$Y$67</c:f>
              <c:numCache>
                <c:formatCode>mmm\-yy</c:formatCode>
                <c:ptCount val="24"/>
                <c:pt idx="0">
                  <c:v>46113</c:v>
                </c:pt>
                <c:pt idx="1">
                  <c:v>46082</c:v>
                </c:pt>
                <c:pt idx="2">
                  <c:v>46054</c:v>
                </c:pt>
                <c:pt idx="3">
                  <c:v>46023</c:v>
                </c:pt>
                <c:pt idx="4">
                  <c:v>45992</c:v>
                </c:pt>
                <c:pt idx="5">
                  <c:v>45962</c:v>
                </c:pt>
                <c:pt idx="6">
                  <c:v>45931</c:v>
                </c:pt>
                <c:pt idx="7">
                  <c:v>45901</c:v>
                </c:pt>
                <c:pt idx="8">
                  <c:v>45870</c:v>
                </c:pt>
                <c:pt idx="9">
                  <c:v>45839</c:v>
                </c:pt>
                <c:pt idx="10">
                  <c:v>45809</c:v>
                </c:pt>
                <c:pt idx="11">
                  <c:v>45778</c:v>
                </c:pt>
                <c:pt idx="12">
                  <c:v>45748</c:v>
                </c:pt>
                <c:pt idx="13">
                  <c:v>45717</c:v>
                </c:pt>
                <c:pt idx="14">
                  <c:v>45689</c:v>
                </c:pt>
                <c:pt idx="15">
                  <c:v>45658</c:v>
                </c:pt>
                <c:pt idx="16">
                  <c:v>45627</c:v>
                </c:pt>
                <c:pt idx="17">
                  <c:v>45597</c:v>
                </c:pt>
                <c:pt idx="18">
                  <c:v>45566</c:v>
                </c:pt>
                <c:pt idx="19">
                  <c:v>45536</c:v>
                </c:pt>
                <c:pt idx="20">
                  <c:v>45505</c:v>
                </c:pt>
                <c:pt idx="21">
                  <c:v>45474</c:v>
                </c:pt>
                <c:pt idx="22">
                  <c:v>45444</c:v>
                </c:pt>
                <c:pt idx="23">
                  <c:v>45413</c:v>
                </c:pt>
              </c:numCache>
            </c:numRef>
          </c:cat>
          <c:val>
            <c:numRef>
              <c:f>'main numbers'!$B$69:$Y$69</c:f>
              <c:numCache>
                <c:formatCode>0</c:formatCode>
                <c:ptCount val="24"/>
                <c:pt idx="0">
                  <c:v>8375.4533333333329</c:v>
                </c:pt>
                <c:pt idx="1">
                  <c:v>9521.8700000000008</c:v>
                </c:pt>
                <c:pt idx="2">
                  <c:v>10354.129999999999</c:v>
                </c:pt>
                <c:pt idx="3">
                  <c:v>11788.573333333334</c:v>
                </c:pt>
                <c:pt idx="4">
                  <c:v>12210.090000000002</c:v>
                </c:pt>
                <c:pt idx="5">
                  <c:v>12733.083333333334</c:v>
                </c:pt>
                <c:pt idx="6">
                  <c:v>12750.663333333332</c:v>
                </c:pt>
                <c:pt idx="7">
                  <c:v>12963.04</c:v>
                </c:pt>
                <c:pt idx="8">
                  <c:v>12978.29</c:v>
                </c:pt>
                <c:pt idx="9">
                  <c:v>12512.74</c:v>
                </c:pt>
                <c:pt idx="10">
                  <c:v>10924.776666666667</c:v>
                </c:pt>
                <c:pt idx="11">
                  <c:v>8505.0566666666655</c:v>
                </c:pt>
                <c:pt idx="12">
                  <c:v>6843.003333333334</c:v>
                </c:pt>
                <c:pt idx="13">
                  <c:v>6435.7033333333338</c:v>
                </c:pt>
                <c:pt idx="14">
                  <c:v>6840.4466666666667</c:v>
                </c:pt>
                <c:pt idx="15">
                  <c:v>7178.2733333333335</c:v>
                </c:pt>
                <c:pt idx="16">
                  <c:v>7503.5</c:v>
                </c:pt>
                <c:pt idx="17">
                  <c:v>7897.5066666666671</c:v>
                </c:pt>
                <c:pt idx="18">
                  <c:v>7746.4033333333327</c:v>
                </c:pt>
                <c:pt idx="19">
                  <c:v>7861.12</c:v>
                </c:pt>
                <c:pt idx="20">
                  <c:v>7940.0433333333322</c:v>
                </c:pt>
                <c:pt idx="21">
                  <c:v>7973.7733333333335</c:v>
                </c:pt>
              </c:numCache>
            </c:numRef>
          </c:val>
          <c:smooth val="0"/>
          <c:extLst>
            <c:ext xmlns:c16="http://schemas.microsoft.com/office/drawing/2014/chart" uri="{C3380CC4-5D6E-409C-BE32-E72D297353CC}">
              <c16:uniqueId val="{00000001-FFF0-41CC-9142-26367DB89A63}"/>
            </c:ext>
          </c:extLst>
        </c:ser>
        <c:dLbls>
          <c:showLegendKey val="0"/>
          <c:showVal val="0"/>
          <c:showCatName val="0"/>
          <c:showSerName val="0"/>
          <c:showPercent val="0"/>
          <c:showBubbleSize val="0"/>
        </c:dLbls>
        <c:marker val="1"/>
        <c:smooth val="0"/>
        <c:axId val="790768928"/>
        <c:axId val="790748960"/>
      </c:lineChart>
      <c:dateAx>
        <c:axId val="79076892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790748960"/>
        <c:crosses val="autoZero"/>
        <c:auto val="1"/>
        <c:lblOffset val="100"/>
        <c:baseTimeUnit val="months"/>
      </c:dateAx>
      <c:valAx>
        <c:axId val="790748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790768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UA"/>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Paid traffic cost</a:t>
            </a:r>
            <a:endParaRPr lang="ru-R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UA"/>
        </a:p>
      </c:txPr>
    </c:title>
    <c:autoTitleDeleted val="0"/>
    <c:plotArea>
      <c:layout/>
      <c:lineChart>
        <c:grouping val="standard"/>
        <c:varyColors val="0"/>
        <c:ser>
          <c:idx val="0"/>
          <c:order val="0"/>
          <c:tx>
            <c:strRef>
              <c:f>'main numbers'!$A$70</c:f>
              <c:strCache>
                <c:ptCount val="1"/>
                <c:pt idx="0">
                  <c:v>Paid traffic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'main numbers'!$B$67:$Y$67</c:f>
              <c:numCache>
                <c:formatCode>mmm\-yy</c:formatCode>
                <c:ptCount val="24"/>
                <c:pt idx="0">
                  <c:v>46113</c:v>
                </c:pt>
                <c:pt idx="1">
                  <c:v>46082</c:v>
                </c:pt>
                <c:pt idx="2">
                  <c:v>46054</c:v>
                </c:pt>
                <c:pt idx="3">
                  <c:v>46023</c:v>
                </c:pt>
                <c:pt idx="4">
                  <c:v>45992</c:v>
                </c:pt>
                <c:pt idx="5">
                  <c:v>45962</c:v>
                </c:pt>
                <c:pt idx="6">
                  <c:v>45931</c:v>
                </c:pt>
                <c:pt idx="7">
                  <c:v>45901</c:v>
                </c:pt>
                <c:pt idx="8">
                  <c:v>45870</c:v>
                </c:pt>
                <c:pt idx="9">
                  <c:v>45839</c:v>
                </c:pt>
                <c:pt idx="10">
                  <c:v>45809</c:v>
                </c:pt>
                <c:pt idx="11">
                  <c:v>45778</c:v>
                </c:pt>
                <c:pt idx="12">
                  <c:v>45748</c:v>
                </c:pt>
                <c:pt idx="13">
                  <c:v>45717</c:v>
                </c:pt>
                <c:pt idx="14">
                  <c:v>45689</c:v>
                </c:pt>
                <c:pt idx="15">
                  <c:v>45658</c:v>
                </c:pt>
                <c:pt idx="16">
                  <c:v>45627</c:v>
                </c:pt>
                <c:pt idx="17">
                  <c:v>45597</c:v>
                </c:pt>
                <c:pt idx="18">
                  <c:v>45566</c:v>
                </c:pt>
                <c:pt idx="19">
                  <c:v>45536</c:v>
                </c:pt>
                <c:pt idx="20">
                  <c:v>45505</c:v>
                </c:pt>
                <c:pt idx="21">
                  <c:v>45474</c:v>
                </c:pt>
                <c:pt idx="22">
                  <c:v>45444</c:v>
                </c:pt>
                <c:pt idx="23">
                  <c:v>45413</c:v>
                </c:pt>
              </c:numCache>
            </c:numRef>
          </c:cat>
          <c:val>
            <c:numRef>
              <c:f>'main numbers'!$B$70:$Y$70</c:f>
              <c:numCache>
                <c:formatCode>0</c:formatCode>
                <c:ptCount val="24"/>
                <c:pt idx="0">
                  <c:v>5098.29</c:v>
                </c:pt>
                <c:pt idx="1">
                  <c:v>6024</c:v>
                </c:pt>
                <c:pt idx="2">
                  <c:v>5255.21</c:v>
                </c:pt>
                <c:pt idx="3">
                  <c:v>7474</c:v>
                </c:pt>
                <c:pt idx="4">
                  <c:v>7304</c:v>
                </c:pt>
                <c:pt idx="5">
                  <c:v>8234</c:v>
                </c:pt>
                <c:pt idx="6">
                  <c:v>8412</c:v>
                </c:pt>
                <c:pt idx="7">
                  <c:v>8673</c:v>
                </c:pt>
                <c:pt idx="8">
                  <c:v>9231</c:v>
                </c:pt>
                <c:pt idx="9">
                  <c:v>9557</c:v>
                </c:pt>
                <c:pt idx="10">
                  <c:v>9385</c:v>
                </c:pt>
                <c:pt idx="11">
                  <c:v>8185</c:v>
                </c:pt>
                <c:pt idx="12">
                  <c:v>5235</c:v>
                </c:pt>
                <c:pt idx="13">
                  <c:v>3285</c:v>
                </c:pt>
                <c:pt idx="14">
                  <c:v>2876</c:v>
                </c:pt>
                <c:pt idx="15">
                  <c:v>4501</c:v>
                </c:pt>
                <c:pt idx="16">
                  <c:v>4830.83</c:v>
                </c:pt>
                <c:pt idx="17">
                  <c:v>6021.85</c:v>
                </c:pt>
                <c:pt idx="18">
                  <c:v>5323.38</c:v>
                </c:pt>
                <c:pt idx="19">
                  <c:v>5529.4</c:v>
                </c:pt>
                <c:pt idx="20">
                  <c:v>5789.54</c:v>
                </c:pt>
                <c:pt idx="21">
                  <c:v>7164.97</c:v>
                </c:pt>
                <c:pt idx="22">
                  <c:v>6500.62</c:v>
                </c:pt>
                <c:pt idx="23">
                  <c:v>5929.73</c:v>
                </c:pt>
              </c:numCache>
            </c:numRef>
          </c:val>
          <c:smooth val="0"/>
          <c:extLst>
            <c:ext xmlns:c16="http://schemas.microsoft.com/office/drawing/2014/chart" uri="{C3380CC4-5D6E-409C-BE32-E72D297353CC}">
              <c16:uniqueId val="{00000000-5D04-45FB-9EC0-3702D2D671FB}"/>
            </c:ext>
          </c:extLst>
        </c:ser>
        <c:ser>
          <c:idx val="1"/>
          <c:order val="1"/>
          <c:tx>
            <c:strRef>
              <c:f>'main numbers'!$A$71</c:f>
              <c:strCache>
                <c:ptCount val="1"/>
                <c:pt idx="0">
                  <c:v>Paid traffic 3 months average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'main numbers'!$B$67:$Y$67</c:f>
              <c:numCache>
                <c:formatCode>mmm\-yy</c:formatCode>
                <c:ptCount val="24"/>
                <c:pt idx="0">
                  <c:v>46113</c:v>
                </c:pt>
                <c:pt idx="1">
                  <c:v>46082</c:v>
                </c:pt>
                <c:pt idx="2">
                  <c:v>46054</c:v>
                </c:pt>
                <c:pt idx="3">
                  <c:v>46023</c:v>
                </c:pt>
                <c:pt idx="4">
                  <c:v>45992</c:v>
                </c:pt>
                <c:pt idx="5">
                  <c:v>45962</c:v>
                </c:pt>
                <c:pt idx="6">
                  <c:v>45931</c:v>
                </c:pt>
                <c:pt idx="7">
                  <c:v>45901</c:v>
                </c:pt>
                <c:pt idx="8">
                  <c:v>45870</c:v>
                </c:pt>
                <c:pt idx="9">
                  <c:v>45839</c:v>
                </c:pt>
                <c:pt idx="10">
                  <c:v>45809</c:v>
                </c:pt>
                <c:pt idx="11">
                  <c:v>45778</c:v>
                </c:pt>
                <c:pt idx="12">
                  <c:v>45748</c:v>
                </c:pt>
                <c:pt idx="13">
                  <c:v>45717</c:v>
                </c:pt>
                <c:pt idx="14">
                  <c:v>45689</c:v>
                </c:pt>
                <c:pt idx="15">
                  <c:v>45658</c:v>
                </c:pt>
                <c:pt idx="16">
                  <c:v>45627</c:v>
                </c:pt>
                <c:pt idx="17">
                  <c:v>45597</c:v>
                </c:pt>
                <c:pt idx="18">
                  <c:v>45566</c:v>
                </c:pt>
                <c:pt idx="19">
                  <c:v>45536</c:v>
                </c:pt>
                <c:pt idx="20">
                  <c:v>45505</c:v>
                </c:pt>
                <c:pt idx="21">
                  <c:v>45474</c:v>
                </c:pt>
                <c:pt idx="22">
                  <c:v>45444</c:v>
                </c:pt>
                <c:pt idx="23">
                  <c:v>45413</c:v>
                </c:pt>
              </c:numCache>
            </c:numRef>
          </c:cat>
          <c:val>
            <c:numRef>
              <c:f>'main numbers'!$B$71:$Y$71</c:f>
              <c:numCache>
                <c:formatCode>0</c:formatCode>
                <c:ptCount val="24"/>
                <c:pt idx="0">
                  <c:v>5459.166666666667</c:v>
                </c:pt>
                <c:pt idx="1">
                  <c:v>6251.07</c:v>
                </c:pt>
                <c:pt idx="2">
                  <c:v>6677.7366666666667</c:v>
                </c:pt>
                <c:pt idx="3">
                  <c:v>7670.666666666667</c:v>
                </c:pt>
                <c:pt idx="4">
                  <c:v>7983.333333333333</c:v>
                </c:pt>
                <c:pt idx="5">
                  <c:v>8439.6666666666661</c:v>
                </c:pt>
                <c:pt idx="6">
                  <c:v>8772</c:v>
                </c:pt>
                <c:pt idx="7">
                  <c:v>9153.6666666666661</c:v>
                </c:pt>
                <c:pt idx="8">
                  <c:v>9391</c:v>
                </c:pt>
                <c:pt idx="9">
                  <c:v>9042.3333333333339</c:v>
                </c:pt>
                <c:pt idx="10">
                  <c:v>7601.666666666667</c:v>
                </c:pt>
                <c:pt idx="11">
                  <c:v>5568.333333333333</c:v>
                </c:pt>
                <c:pt idx="12">
                  <c:v>3798.6666666666665</c:v>
                </c:pt>
                <c:pt idx="13">
                  <c:v>3554</c:v>
                </c:pt>
                <c:pt idx="14">
                  <c:v>4069.2766666666666</c:v>
                </c:pt>
                <c:pt idx="15">
                  <c:v>5117.8933333333334</c:v>
                </c:pt>
                <c:pt idx="16">
                  <c:v>5392.02</c:v>
                </c:pt>
                <c:pt idx="17">
                  <c:v>5624.8766666666661</c:v>
                </c:pt>
                <c:pt idx="18">
                  <c:v>5547.44</c:v>
                </c:pt>
                <c:pt idx="19">
                  <c:v>6161.3033333333333</c:v>
                </c:pt>
                <c:pt idx="20">
                  <c:v>6485.043333333334</c:v>
                </c:pt>
                <c:pt idx="21">
                  <c:v>6531.7733333333335</c:v>
                </c:pt>
              </c:numCache>
            </c:numRef>
          </c:val>
          <c:smooth val="0"/>
          <c:extLst>
            <c:ext xmlns:c16="http://schemas.microsoft.com/office/drawing/2014/chart" uri="{C3380CC4-5D6E-409C-BE32-E72D297353CC}">
              <c16:uniqueId val="{00000003-5D04-45FB-9EC0-3702D2D671FB}"/>
            </c:ext>
          </c:extLst>
        </c:ser>
        <c:dLbls>
          <c:showLegendKey val="0"/>
          <c:showVal val="0"/>
          <c:showCatName val="0"/>
          <c:showSerName val="0"/>
          <c:showPercent val="0"/>
          <c:showBubbleSize val="0"/>
        </c:dLbls>
        <c:marker val="1"/>
        <c:smooth val="0"/>
        <c:axId val="873628608"/>
        <c:axId val="873629440"/>
      </c:lineChart>
      <c:dateAx>
        <c:axId val="87362860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873629440"/>
        <c:crosses val="autoZero"/>
        <c:auto val="1"/>
        <c:lblOffset val="100"/>
        <c:baseTimeUnit val="months"/>
      </c:dateAx>
      <c:valAx>
        <c:axId val="8736294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8736286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UA"/>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Paid and other LT&amp;LV lead sources</a:t>
            </a:r>
            <a:endParaRPr lang="ru-R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UA"/>
        </a:p>
      </c:txPr>
    </c:title>
    <c:autoTitleDeleted val="0"/>
    <c:plotArea>
      <c:layout/>
      <c:lineChart>
        <c:grouping val="standard"/>
        <c:varyColors val="0"/>
        <c:ser>
          <c:idx val="0"/>
          <c:order val="0"/>
          <c:tx>
            <c:strRef>
              <c:f>'main numbers'!$A$168</c:f>
              <c:strCache>
                <c:ptCount val="1"/>
                <c:pt idx="0">
                  <c:v>Total LT&amp;LV leads from paid traffic</c:v>
                </c:pt>
              </c:strCache>
            </c:strRef>
          </c:tx>
          <c:spPr>
            <a:ln w="28575" cap="rnd">
              <a:solidFill>
                <a:schemeClr val="accent1"/>
              </a:solidFill>
              <a:round/>
            </a:ln>
            <a:effectLst/>
          </c:spPr>
          <c:marker>
            <c:symbol val="none"/>
          </c:marker>
          <c:cat>
            <c:numRef>
              <c:f>'main numbers'!$B$154:$Y$154</c:f>
              <c:numCache>
                <c:formatCode>mmm\-yy</c:formatCode>
                <c:ptCount val="24"/>
                <c:pt idx="0">
                  <c:v>46113</c:v>
                </c:pt>
                <c:pt idx="1">
                  <c:v>46082</c:v>
                </c:pt>
                <c:pt idx="2">
                  <c:v>46054</c:v>
                </c:pt>
                <c:pt idx="3">
                  <c:v>46023</c:v>
                </c:pt>
                <c:pt idx="4">
                  <c:v>45992</c:v>
                </c:pt>
                <c:pt idx="5">
                  <c:v>45962</c:v>
                </c:pt>
                <c:pt idx="6">
                  <c:v>45931</c:v>
                </c:pt>
                <c:pt idx="7">
                  <c:v>45901</c:v>
                </c:pt>
                <c:pt idx="8">
                  <c:v>45870</c:v>
                </c:pt>
                <c:pt idx="9">
                  <c:v>45839</c:v>
                </c:pt>
                <c:pt idx="10">
                  <c:v>45809</c:v>
                </c:pt>
                <c:pt idx="11">
                  <c:v>45778</c:v>
                </c:pt>
                <c:pt idx="12">
                  <c:v>45748</c:v>
                </c:pt>
                <c:pt idx="13">
                  <c:v>45717</c:v>
                </c:pt>
                <c:pt idx="14">
                  <c:v>45689</c:v>
                </c:pt>
                <c:pt idx="15">
                  <c:v>45658</c:v>
                </c:pt>
                <c:pt idx="16">
                  <c:v>45627</c:v>
                </c:pt>
                <c:pt idx="17">
                  <c:v>45597</c:v>
                </c:pt>
                <c:pt idx="18">
                  <c:v>45566</c:v>
                </c:pt>
                <c:pt idx="19">
                  <c:v>45536</c:v>
                </c:pt>
                <c:pt idx="20">
                  <c:v>45505</c:v>
                </c:pt>
                <c:pt idx="21">
                  <c:v>45474</c:v>
                </c:pt>
                <c:pt idx="22">
                  <c:v>45444</c:v>
                </c:pt>
                <c:pt idx="23">
                  <c:v>45413</c:v>
                </c:pt>
              </c:numCache>
            </c:numRef>
          </c:cat>
          <c:val>
            <c:numRef>
              <c:f>'main numbers'!$B$168:$Y$168</c:f>
              <c:numCache>
                <c:formatCode>General</c:formatCode>
                <c:ptCount val="24"/>
                <c:pt idx="0">
                  <c:v>144</c:v>
                </c:pt>
                <c:pt idx="1">
                  <c:v>196</c:v>
                </c:pt>
                <c:pt idx="2">
                  <c:v>170</c:v>
                </c:pt>
                <c:pt idx="3">
                  <c:v>303</c:v>
                </c:pt>
                <c:pt idx="4">
                  <c:v>205</c:v>
                </c:pt>
                <c:pt idx="5">
                  <c:v>166</c:v>
                </c:pt>
                <c:pt idx="6">
                  <c:v>122</c:v>
                </c:pt>
                <c:pt idx="7">
                  <c:v>194</c:v>
                </c:pt>
                <c:pt idx="8">
                  <c:v>255</c:v>
                </c:pt>
                <c:pt idx="9">
                  <c:v>275</c:v>
                </c:pt>
                <c:pt idx="10">
                  <c:v>243</c:v>
                </c:pt>
                <c:pt idx="11">
                  <c:v>244</c:v>
                </c:pt>
                <c:pt idx="12">
                  <c:v>265</c:v>
                </c:pt>
                <c:pt idx="13">
                  <c:v>242</c:v>
                </c:pt>
                <c:pt idx="14">
                  <c:v>193</c:v>
                </c:pt>
                <c:pt idx="15">
                  <c:v>243</c:v>
                </c:pt>
                <c:pt idx="16">
                  <c:v>189</c:v>
                </c:pt>
                <c:pt idx="17">
                  <c:v>351</c:v>
                </c:pt>
                <c:pt idx="18">
                  <c:v>299</c:v>
                </c:pt>
                <c:pt idx="19">
                  <c:v>291</c:v>
                </c:pt>
                <c:pt idx="20">
                  <c:v>273</c:v>
                </c:pt>
                <c:pt idx="21">
                  <c:v>278</c:v>
                </c:pt>
                <c:pt idx="22">
                  <c:v>293</c:v>
                </c:pt>
                <c:pt idx="23">
                  <c:v>278</c:v>
                </c:pt>
              </c:numCache>
            </c:numRef>
          </c:val>
          <c:smooth val="0"/>
          <c:extLst>
            <c:ext xmlns:c16="http://schemas.microsoft.com/office/drawing/2014/chart" uri="{C3380CC4-5D6E-409C-BE32-E72D297353CC}">
              <c16:uniqueId val="{00000000-8A27-4FF5-BAD9-5D8E79206023}"/>
            </c:ext>
          </c:extLst>
        </c:ser>
        <c:ser>
          <c:idx val="1"/>
          <c:order val="1"/>
          <c:tx>
            <c:strRef>
              <c:f>'main numbers'!$A$169</c:f>
              <c:strCache>
                <c:ptCount val="1"/>
                <c:pt idx="0">
                  <c:v>Total LT&amp;LV leads from other sources</c:v>
                </c:pt>
              </c:strCache>
            </c:strRef>
          </c:tx>
          <c:spPr>
            <a:ln w="28575" cap="rnd">
              <a:solidFill>
                <a:schemeClr val="accent2"/>
              </a:solidFill>
              <a:round/>
            </a:ln>
            <a:effectLst/>
          </c:spPr>
          <c:marker>
            <c:symbol val="none"/>
          </c:marker>
          <c:cat>
            <c:numRef>
              <c:f>'main numbers'!$B$154:$Y$154</c:f>
              <c:numCache>
                <c:formatCode>mmm\-yy</c:formatCode>
                <c:ptCount val="24"/>
                <c:pt idx="0">
                  <c:v>46113</c:v>
                </c:pt>
                <c:pt idx="1">
                  <c:v>46082</c:v>
                </c:pt>
                <c:pt idx="2">
                  <c:v>46054</c:v>
                </c:pt>
                <c:pt idx="3">
                  <c:v>46023</c:v>
                </c:pt>
                <c:pt idx="4">
                  <c:v>45992</c:v>
                </c:pt>
                <c:pt idx="5">
                  <c:v>45962</c:v>
                </c:pt>
                <c:pt idx="6">
                  <c:v>45931</c:v>
                </c:pt>
                <c:pt idx="7">
                  <c:v>45901</c:v>
                </c:pt>
                <c:pt idx="8">
                  <c:v>45870</c:v>
                </c:pt>
                <c:pt idx="9">
                  <c:v>45839</c:v>
                </c:pt>
                <c:pt idx="10">
                  <c:v>45809</c:v>
                </c:pt>
                <c:pt idx="11">
                  <c:v>45778</c:v>
                </c:pt>
                <c:pt idx="12">
                  <c:v>45748</c:v>
                </c:pt>
                <c:pt idx="13">
                  <c:v>45717</c:v>
                </c:pt>
                <c:pt idx="14">
                  <c:v>45689</c:v>
                </c:pt>
                <c:pt idx="15">
                  <c:v>45658</c:v>
                </c:pt>
                <c:pt idx="16">
                  <c:v>45627</c:v>
                </c:pt>
                <c:pt idx="17">
                  <c:v>45597</c:v>
                </c:pt>
                <c:pt idx="18">
                  <c:v>45566</c:v>
                </c:pt>
                <c:pt idx="19">
                  <c:v>45536</c:v>
                </c:pt>
                <c:pt idx="20">
                  <c:v>45505</c:v>
                </c:pt>
                <c:pt idx="21">
                  <c:v>45474</c:v>
                </c:pt>
                <c:pt idx="22">
                  <c:v>45444</c:v>
                </c:pt>
                <c:pt idx="23">
                  <c:v>45413</c:v>
                </c:pt>
              </c:numCache>
            </c:numRef>
          </c:cat>
          <c:val>
            <c:numRef>
              <c:f>'main numbers'!$B$169:$Y$169</c:f>
              <c:numCache>
                <c:formatCode>General</c:formatCode>
                <c:ptCount val="24"/>
                <c:pt idx="0">
                  <c:v>120</c:v>
                </c:pt>
                <c:pt idx="1">
                  <c:v>77</c:v>
                </c:pt>
                <c:pt idx="2">
                  <c:v>116</c:v>
                </c:pt>
                <c:pt idx="3">
                  <c:v>155</c:v>
                </c:pt>
                <c:pt idx="4">
                  <c:v>104</c:v>
                </c:pt>
                <c:pt idx="5">
                  <c:v>125</c:v>
                </c:pt>
                <c:pt idx="6">
                  <c:v>124</c:v>
                </c:pt>
                <c:pt idx="7">
                  <c:v>211</c:v>
                </c:pt>
                <c:pt idx="8">
                  <c:v>176</c:v>
                </c:pt>
                <c:pt idx="9">
                  <c:v>178</c:v>
                </c:pt>
                <c:pt idx="10">
                  <c:v>142</c:v>
                </c:pt>
                <c:pt idx="11">
                  <c:v>177</c:v>
                </c:pt>
                <c:pt idx="12">
                  <c:v>181</c:v>
                </c:pt>
                <c:pt idx="13">
                  <c:v>205</c:v>
                </c:pt>
                <c:pt idx="14">
                  <c:v>231</c:v>
                </c:pt>
                <c:pt idx="15">
                  <c:v>206</c:v>
                </c:pt>
                <c:pt idx="16">
                  <c:v>147</c:v>
                </c:pt>
                <c:pt idx="17">
                  <c:v>327</c:v>
                </c:pt>
                <c:pt idx="18">
                  <c:v>201</c:v>
                </c:pt>
                <c:pt idx="19">
                  <c:v>162</c:v>
                </c:pt>
                <c:pt idx="20">
                  <c:v>258</c:v>
                </c:pt>
                <c:pt idx="21">
                  <c:v>386</c:v>
                </c:pt>
                <c:pt idx="22">
                  <c:v>201</c:v>
                </c:pt>
                <c:pt idx="23">
                  <c:v>208</c:v>
                </c:pt>
              </c:numCache>
            </c:numRef>
          </c:val>
          <c:smooth val="0"/>
          <c:extLst>
            <c:ext xmlns:c16="http://schemas.microsoft.com/office/drawing/2014/chart" uri="{C3380CC4-5D6E-409C-BE32-E72D297353CC}">
              <c16:uniqueId val="{00000003-8A27-4FF5-BAD9-5D8E79206023}"/>
            </c:ext>
          </c:extLst>
        </c:ser>
        <c:dLbls>
          <c:showLegendKey val="0"/>
          <c:showVal val="0"/>
          <c:showCatName val="0"/>
          <c:showSerName val="0"/>
          <c:showPercent val="0"/>
          <c:showBubbleSize val="0"/>
        </c:dLbls>
        <c:smooth val="0"/>
        <c:axId val="407367824"/>
        <c:axId val="407369904"/>
      </c:lineChart>
      <c:dateAx>
        <c:axId val="40736782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407369904"/>
        <c:crosses val="autoZero"/>
        <c:auto val="1"/>
        <c:lblOffset val="100"/>
        <c:baseTimeUnit val="months"/>
      </c:dateAx>
      <c:valAx>
        <c:axId val="407369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407367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UA"/>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LT &amp; LV contracts</a:t>
            </a:r>
            <a:endParaRPr lang="ru-R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UA"/>
        </a:p>
      </c:txPr>
    </c:title>
    <c:autoTitleDeleted val="0"/>
    <c:plotArea>
      <c:layout/>
      <c:lineChart>
        <c:grouping val="standard"/>
        <c:varyColors val="0"/>
        <c:ser>
          <c:idx val="0"/>
          <c:order val="0"/>
          <c:tx>
            <c:strRef>
              <c:f>'main numbers'!$A$93</c:f>
              <c:strCache>
                <c:ptCount val="1"/>
                <c:pt idx="0">
                  <c:v>LT contracts</c:v>
                </c:pt>
              </c:strCache>
            </c:strRef>
          </c:tx>
          <c:spPr>
            <a:ln w="28575" cap="rnd">
              <a:solidFill>
                <a:schemeClr val="accent1"/>
              </a:solidFill>
              <a:round/>
            </a:ln>
            <a:effectLst/>
          </c:spPr>
          <c:marker>
            <c:symbol val="none"/>
          </c:marker>
          <c:cat>
            <c:numRef>
              <c:f>'main numbers'!$B$90:$Y$90</c:f>
              <c:numCache>
                <c:formatCode>mmm\-yy</c:formatCode>
                <c:ptCount val="24"/>
                <c:pt idx="0">
                  <c:v>46113</c:v>
                </c:pt>
                <c:pt idx="1">
                  <c:v>46082</c:v>
                </c:pt>
                <c:pt idx="2">
                  <c:v>46054</c:v>
                </c:pt>
                <c:pt idx="3">
                  <c:v>46023</c:v>
                </c:pt>
                <c:pt idx="4">
                  <c:v>45992</c:v>
                </c:pt>
                <c:pt idx="5">
                  <c:v>45962</c:v>
                </c:pt>
                <c:pt idx="6">
                  <c:v>45931</c:v>
                </c:pt>
                <c:pt idx="7">
                  <c:v>45901</c:v>
                </c:pt>
                <c:pt idx="8">
                  <c:v>45870</c:v>
                </c:pt>
                <c:pt idx="9">
                  <c:v>45839</c:v>
                </c:pt>
                <c:pt idx="10">
                  <c:v>45809</c:v>
                </c:pt>
                <c:pt idx="11">
                  <c:v>45778</c:v>
                </c:pt>
                <c:pt idx="12">
                  <c:v>45748</c:v>
                </c:pt>
                <c:pt idx="13">
                  <c:v>45717</c:v>
                </c:pt>
                <c:pt idx="14">
                  <c:v>45689</c:v>
                </c:pt>
                <c:pt idx="15">
                  <c:v>45658</c:v>
                </c:pt>
                <c:pt idx="16">
                  <c:v>45627</c:v>
                </c:pt>
                <c:pt idx="17">
                  <c:v>45597</c:v>
                </c:pt>
                <c:pt idx="18">
                  <c:v>45566</c:v>
                </c:pt>
                <c:pt idx="19">
                  <c:v>45536</c:v>
                </c:pt>
                <c:pt idx="20">
                  <c:v>45505</c:v>
                </c:pt>
                <c:pt idx="21">
                  <c:v>45474</c:v>
                </c:pt>
                <c:pt idx="22">
                  <c:v>45444</c:v>
                </c:pt>
                <c:pt idx="23">
                  <c:v>45413</c:v>
                </c:pt>
              </c:numCache>
            </c:numRef>
          </c:cat>
          <c:val>
            <c:numRef>
              <c:f>'main numbers'!$B$93:$Y$93</c:f>
              <c:numCache>
                <c:formatCode>0</c:formatCode>
                <c:ptCount val="24"/>
                <c:pt idx="0">
                  <c:v>13</c:v>
                </c:pt>
                <c:pt idx="1">
                  <c:v>18</c:v>
                </c:pt>
                <c:pt idx="2">
                  <c:v>11</c:v>
                </c:pt>
                <c:pt idx="3">
                  <c:v>17</c:v>
                </c:pt>
                <c:pt idx="4">
                  <c:v>10</c:v>
                </c:pt>
                <c:pt idx="5">
                  <c:v>14</c:v>
                </c:pt>
                <c:pt idx="6">
                  <c:v>19</c:v>
                </c:pt>
                <c:pt idx="7">
                  <c:v>21</c:v>
                </c:pt>
                <c:pt idx="8">
                  <c:v>20</c:v>
                </c:pt>
                <c:pt idx="9">
                  <c:v>33</c:v>
                </c:pt>
                <c:pt idx="10">
                  <c:v>20</c:v>
                </c:pt>
                <c:pt idx="11">
                  <c:v>27</c:v>
                </c:pt>
                <c:pt idx="12">
                  <c:v>22</c:v>
                </c:pt>
                <c:pt idx="13">
                  <c:v>17</c:v>
                </c:pt>
                <c:pt idx="14">
                  <c:v>28</c:v>
                </c:pt>
                <c:pt idx="15">
                  <c:v>22</c:v>
                </c:pt>
                <c:pt idx="16">
                  <c:v>14</c:v>
                </c:pt>
                <c:pt idx="17">
                  <c:v>26</c:v>
                </c:pt>
                <c:pt idx="18">
                  <c:v>24</c:v>
                </c:pt>
                <c:pt idx="19">
                  <c:v>24</c:v>
                </c:pt>
                <c:pt idx="20">
                  <c:v>32</c:v>
                </c:pt>
                <c:pt idx="21">
                  <c:v>30</c:v>
                </c:pt>
                <c:pt idx="22">
                  <c:v>16</c:v>
                </c:pt>
                <c:pt idx="23">
                  <c:v>20</c:v>
                </c:pt>
              </c:numCache>
            </c:numRef>
          </c:val>
          <c:smooth val="0"/>
          <c:extLst>
            <c:ext xmlns:c16="http://schemas.microsoft.com/office/drawing/2014/chart" uri="{C3380CC4-5D6E-409C-BE32-E72D297353CC}">
              <c16:uniqueId val="{00000000-75D4-4351-A358-043590087B63}"/>
            </c:ext>
          </c:extLst>
        </c:ser>
        <c:ser>
          <c:idx val="1"/>
          <c:order val="1"/>
          <c:tx>
            <c:strRef>
              <c:f>'main numbers'!$A$94</c:f>
              <c:strCache>
                <c:ptCount val="1"/>
                <c:pt idx="0">
                  <c:v>LV contracts</c:v>
                </c:pt>
              </c:strCache>
            </c:strRef>
          </c:tx>
          <c:spPr>
            <a:ln w="28575" cap="rnd">
              <a:solidFill>
                <a:schemeClr val="accent2"/>
              </a:solidFill>
              <a:round/>
            </a:ln>
            <a:effectLst/>
          </c:spPr>
          <c:marker>
            <c:symbol val="none"/>
          </c:marker>
          <c:cat>
            <c:numRef>
              <c:f>'main numbers'!$B$90:$Y$90</c:f>
              <c:numCache>
                <c:formatCode>mmm\-yy</c:formatCode>
                <c:ptCount val="24"/>
                <c:pt idx="0">
                  <c:v>46113</c:v>
                </c:pt>
                <c:pt idx="1">
                  <c:v>46082</c:v>
                </c:pt>
                <c:pt idx="2">
                  <c:v>46054</c:v>
                </c:pt>
                <c:pt idx="3">
                  <c:v>46023</c:v>
                </c:pt>
                <c:pt idx="4">
                  <c:v>45992</c:v>
                </c:pt>
                <c:pt idx="5">
                  <c:v>45962</c:v>
                </c:pt>
                <c:pt idx="6">
                  <c:v>45931</c:v>
                </c:pt>
                <c:pt idx="7">
                  <c:v>45901</c:v>
                </c:pt>
                <c:pt idx="8">
                  <c:v>45870</c:v>
                </c:pt>
                <c:pt idx="9">
                  <c:v>45839</c:v>
                </c:pt>
                <c:pt idx="10">
                  <c:v>45809</c:v>
                </c:pt>
                <c:pt idx="11">
                  <c:v>45778</c:v>
                </c:pt>
                <c:pt idx="12">
                  <c:v>45748</c:v>
                </c:pt>
                <c:pt idx="13">
                  <c:v>45717</c:v>
                </c:pt>
                <c:pt idx="14">
                  <c:v>45689</c:v>
                </c:pt>
                <c:pt idx="15">
                  <c:v>45658</c:v>
                </c:pt>
                <c:pt idx="16">
                  <c:v>45627</c:v>
                </c:pt>
                <c:pt idx="17">
                  <c:v>45597</c:v>
                </c:pt>
                <c:pt idx="18">
                  <c:v>45566</c:v>
                </c:pt>
                <c:pt idx="19">
                  <c:v>45536</c:v>
                </c:pt>
                <c:pt idx="20">
                  <c:v>45505</c:v>
                </c:pt>
                <c:pt idx="21">
                  <c:v>45474</c:v>
                </c:pt>
                <c:pt idx="22">
                  <c:v>45444</c:v>
                </c:pt>
                <c:pt idx="23">
                  <c:v>45413</c:v>
                </c:pt>
              </c:numCache>
            </c:numRef>
          </c:cat>
          <c:val>
            <c:numRef>
              <c:f>'main numbers'!$B$94:$Y$94</c:f>
              <c:numCache>
                <c:formatCode>0</c:formatCode>
                <c:ptCount val="24"/>
                <c:pt idx="0">
                  <c:v>2</c:v>
                </c:pt>
                <c:pt idx="1">
                  <c:v>3</c:v>
                </c:pt>
                <c:pt idx="2">
                  <c:v>3</c:v>
                </c:pt>
                <c:pt idx="3">
                  <c:v>4</c:v>
                </c:pt>
                <c:pt idx="4">
                  <c:v>0</c:v>
                </c:pt>
                <c:pt idx="5">
                  <c:v>3</c:v>
                </c:pt>
                <c:pt idx="6">
                  <c:v>1</c:v>
                </c:pt>
                <c:pt idx="7">
                  <c:v>3</c:v>
                </c:pt>
                <c:pt idx="8">
                  <c:v>3</c:v>
                </c:pt>
                <c:pt idx="9">
                  <c:v>8</c:v>
                </c:pt>
                <c:pt idx="10">
                  <c:v>5</c:v>
                </c:pt>
                <c:pt idx="11">
                  <c:v>8</c:v>
                </c:pt>
                <c:pt idx="12">
                  <c:v>5</c:v>
                </c:pt>
                <c:pt idx="13">
                  <c:v>3</c:v>
                </c:pt>
                <c:pt idx="14">
                  <c:v>2</c:v>
                </c:pt>
                <c:pt idx="15">
                  <c:v>0</c:v>
                </c:pt>
                <c:pt idx="16">
                  <c:v>0</c:v>
                </c:pt>
                <c:pt idx="17">
                  <c:v>8</c:v>
                </c:pt>
                <c:pt idx="18">
                  <c:v>4</c:v>
                </c:pt>
                <c:pt idx="19">
                  <c:v>4</c:v>
                </c:pt>
                <c:pt idx="20">
                  <c:v>5</c:v>
                </c:pt>
                <c:pt idx="21">
                  <c:v>4</c:v>
                </c:pt>
                <c:pt idx="22">
                  <c:v>2</c:v>
                </c:pt>
                <c:pt idx="23">
                  <c:v>2</c:v>
                </c:pt>
              </c:numCache>
            </c:numRef>
          </c:val>
          <c:smooth val="0"/>
          <c:extLst>
            <c:ext xmlns:c16="http://schemas.microsoft.com/office/drawing/2014/chart" uri="{C3380CC4-5D6E-409C-BE32-E72D297353CC}">
              <c16:uniqueId val="{00000003-75D4-4351-A358-043590087B63}"/>
            </c:ext>
          </c:extLst>
        </c:ser>
        <c:dLbls>
          <c:showLegendKey val="0"/>
          <c:showVal val="0"/>
          <c:showCatName val="0"/>
          <c:showSerName val="0"/>
          <c:showPercent val="0"/>
          <c:showBubbleSize val="0"/>
        </c:dLbls>
        <c:smooth val="0"/>
        <c:axId val="730581968"/>
        <c:axId val="730604848"/>
      </c:lineChart>
      <c:dateAx>
        <c:axId val="73058196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730604848"/>
        <c:crosses val="autoZero"/>
        <c:auto val="1"/>
        <c:lblOffset val="100"/>
        <c:baseTimeUnit val="months"/>
      </c:dateAx>
      <c:valAx>
        <c:axId val="7306048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730581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UA"/>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Conversion Lead / Contract</a:t>
            </a:r>
            <a:endParaRPr lang="ru-RU"/>
          </a:p>
        </c:rich>
      </c:tx>
      <c:layout>
        <c:manualLayout>
          <c:xMode val="edge"/>
          <c:yMode val="edge"/>
          <c:x val="0.30390266841644792"/>
          <c:y val="9.259259259259258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UA"/>
        </a:p>
      </c:txPr>
    </c:title>
    <c:autoTitleDeleted val="0"/>
    <c:plotArea>
      <c:layout/>
      <c:lineChart>
        <c:grouping val="standard"/>
        <c:varyColors val="0"/>
        <c:ser>
          <c:idx val="0"/>
          <c:order val="0"/>
          <c:tx>
            <c:strRef>
              <c:f>'main numbers'!$A$190</c:f>
              <c:strCache>
                <c:ptCount val="1"/>
                <c:pt idx="0">
                  <c:v>LT</c:v>
                </c:pt>
              </c:strCache>
            </c:strRef>
          </c:tx>
          <c:spPr>
            <a:ln w="28575" cap="rnd">
              <a:solidFill>
                <a:schemeClr val="accent1"/>
              </a:solidFill>
              <a:round/>
            </a:ln>
            <a:effectLst/>
          </c:spPr>
          <c:marker>
            <c:symbol val="none"/>
          </c:marker>
          <c:cat>
            <c:numRef>
              <c:f>'main numbers'!$B$189:$Y$189</c:f>
              <c:numCache>
                <c:formatCode>mmm\-yy</c:formatCode>
                <c:ptCount val="24"/>
                <c:pt idx="0">
                  <c:v>46113</c:v>
                </c:pt>
                <c:pt idx="1">
                  <c:v>46082</c:v>
                </c:pt>
                <c:pt idx="2">
                  <c:v>46054</c:v>
                </c:pt>
                <c:pt idx="3">
                  <c:v>46023</c:v>
                </c:pt>
                <c:pt idx="4">
                  <c:v>45992</c:v>
                </c:pt>
                <c:pt idx="5">
                  <c:v>45962</c:v>
                </c:pt>
                <c:pt idx="6">
                  <c:v>45931</c:v>
                </c:pt>
                <c:pt idx="7">
                  <c:v>45901</c:v>
                </c:pt>
                <c:pt idx="8">
                  <c:v>45870</c:v>
                </c:pt>
                <c:pt idx="9">
                  <c:v>45839</c:v>
                </c:pt>
                <c:pt idx="10">
                  <c:v>45809</c:v>
                </c:pt>
                <c:pt idx="11">
                  <c:v>45778</c:v>
                </c:pt>
                <c:pt idx="12">
                  <c:v>45748</c:v>
                </c:pt>
                <c:pt idx="13">
                  <c:v>45717</c:v>
                </c:pt>
                <c:pt idx="14">
                  <c:v>45689</c:v>
                </c:pt>
                <c:pt idx="15">
                  <c:v>45658</c:v>
                </c:pt>
                <c:pt idx="16">
                  <c:v>45627</c:v>
                </c:pt>
                <c:pt idx="17">
                  <c:v>45597</c:v>
                </c:pt>
                <c:pt idx="18">
                  <c:v>45566</c:v>
                </c:pt>
                <c:pt idx="19">
                  <c:v>45536</c:v>
                </c:pt>
                <c:pt idx="20">
                  <c:v>45505</c:v>
                </c:pt>
                <c:pt idx="21">
                  <c:v>45474</c:v>
                </c:pt>
                <c:pt idx="22">
                  <c:v>45444</c:v>
                </c:pt>
                <c:pt idx="23">
                  <c:v>45413</c:v>
                </c:pt>
              </c:numCache>
            </c:numRef>
          </c:cat>
          <c:val>
            <c:numRef>
              <c:f>'main numbers'!$B$190:$Y$190</c:f>
              <c:numCache>
                <c:formatCode>0.0%</c:formatCode>
                <c:ptCount val="24"/>
                <c:pt idx="0">
                  <c:v>5.4852320675105488E-2</c:v>
                </c:pt>
                <c:pt idx="1">
                  <c:v>7.0866141732283464E-2</c:v>
                </c:pt>
                <c:pt idx="2">
                  <c:v>4.3137254901960784E-2</c:v>
                </c:pt>
                <c:pt idx="3">
                  <c:v>4.4736842105263158E-2</c:v>
                </c:pt>
                <c:pt idx="4">
                  <c:v>3.7735849056603772E-2</c:v>
                </c:pt>
                <c:pt idx="5">
                  <c:v>5.0179211469534052E-2</c:v>
                </c:pt>
                <c:pt idx="6">
                  <c:v>9.004739336492891E-2</c:v>
                </c:pt>
                <c:pt idx="7">
                  <c:v>6.1403508771929821E-2</c:v>
                </c:pt>
                <c:pt idx="8">
                  <c:v>5.4054054054054057E-2</c:v>
                </c:pt>
                <c:pt idx="9">
                  <c:v>8.6387434554973816E-2</c:v>
                </c:pt>
                <c:pt idx="10">
                  <c:v>6.0790273556231005E-2</c:v>
                </c:pt>
                <c:pt idx="11">
                  <c:v>7.9178885630498533E-2</c:v>
                </c:pt>
                <c:pt idx="12">
                  <c:v>5.7894736842105263E-2</c:v>
                </c:pt>
                <c:pt idx="13">
                  <c:v>4.7486033519553071E-2</c:v>
                </c:pt>
                <c:pt idx="14">
                  <c:v>7.9772079772079771E-2</c:v>
                </c:pt>
                <c:pt idx="15">
                  <c:v>5.9620596205962058E-2</c:v>
                </c:pt>
                <c:pt idx="16">
                  <c:v>4.6979865771812082E-2</c:v>
                </c:pt>
                <c:pt idx="17">
                  <c:v>4.3046357615894038E-2</c:v>
                </c:pt>
                <c:pt idx="18">
                  <c:v>5.3811659192825115E-2</c:v>
                </c:pt>
                <c:pt idx="19">
                  <c:v>6.3157894736842107E-2</c:v>
                </c:pt>
                <c:pt idx="20">
                  <c:v>7.2234762979683967E-2</c:v>
                </c:pt>
                <c:pt idx="21">
                  <c:v>5.3571428571428568E-2</c:v>
                </c:pt>
                <c:pt idx="22">
                  <c:v>3.9119804400977995E-2</c:v>
                </c:pt>
                <c:pt idx="23">
                  <c:v>4.878048780487805E-2</c:v>
                </c:pt>
              </c:numCache>
            </c:numRef>
          </c:val>
          <c:smooth val="0"/>
          <c:extLst>
            <c:ext xmlns:c16="http://schemas.microsoft.com/office/drawing/2014/chart" uri="{C3380CC4-5D6E-409C-BE32-E72D297353CC}">
              <c16:uniqueId val="{00000000-E2C3-4074-9E05-ED30CD69A864}"/>
            </c:ext>
          </c:extLst>
        </c:ser>
        <c:ser>
          <c:idx val="1"/>
          <c:order val="1"/>
          <c:tx>
            <c:strRef>
              <c:f>'main numbers'!$A$191</c:f>
              <c:strCache>
                <c:ptCount val="1"/>
                <c:pt idx="0">
                  <c:v>LV</c:v>
                </c:pt>
              </c:strCache>
            </c:strRef>
          </c:tx>
          <c:spPr>
            <a:ln w="28575" cap="rnd">
              <a:solidFill>
                <a:schemeClr val="accent2"/>
              </a:solidFill>
              <a:round/>
            </a:ln>
            <a:effectLst/>
          </c:spPr>
          <c:marker>
            <c:symbol val="none"/>
          </c:marker>
          <c:cat>
            <c:numRef>
              <c:f>'main numbers'!$B$189:$Y$189</c:f>
              <c:numCache>
                <c:formatCode>mmm\-yy</c:formatCode>
                <c:ptCount val="24"/>
                <c:pt idx="0">
                  <c:v>46113</c:v>
                </c:pt>
                <c:pt idx="1">
                  <c:v>46082</c:v>
                </c:pt>
                <c:pt idx="2">
                  <c:v>46054</c:v>
                </c:pt>
                <c:pt idx="3">
                  <c:v>46023</c:v>
                </c:pt>
                <c:pt idx="4">
                  <c:v>45992</c:v>
                </c:pt>
                <c:pt idx="5">
                  <c:v>45962</c:v>
                </c:pt>
                <c:pt idx="6">
                  <c:v>45931</c:v>
                </c:pt>
                <c:pt idx="7">
                  <c:v>45901</c:v>
                </c:pt>
                <c:pt idx="8">
                  <c:v>45870</c:v>
                </c:pt>
                <c:pt idx="9">
                  <c:v>45839</c:v>
                </c:pt>
                <c:pt idx="10">
                  <c:v>45809</c:v>
                </c:pt>
                <c:pt idx="11">
                  <c:v>45778</c:v>
                </c:pt>
                <c:pt idx="12">
                  <c:v>45748</c:v>
                </c:pt>
                <c:pt idx="13">
                  <c:v>45717</c:v>
                </c:pt>
                <c:pt idx="14">
                  <c:v>45689</c:v>
                </c:pt>
                <c:pt idx="15">
                  <c:v>45658</c:v>
                </c:pt>
                <c:pt idx="16">
                  <c:v>45627</c:v>
                </c:pt>
                <c:pt idx="17">
                  <c:v>45597</c:v>
                </c:pt>
                <c:pt idx="18">
                  <c:v>45566</c:v>
                </c:pt>
                <c:pt idx="19">
                  <c:v>45536</c:v>
                </c:pt>
                <c:pt idx="20">
                  <c:v>45505</c:v>
                </c:pt>
                <c:pt idx="21">
                  <c:v>45474</c:v>
                </c:pt>
                <c:pt idx="22">
                  <c:v>45444</c:v>
                </c:pt>
                <c:pt idx="23">
                  <c:v>45413</c:v>
                </c:pt>
              </c:numCache>
            </c:numRef>
          </c:cat>
          <c:val>
            <c:numRef>
              <c:f>'main numbers'!$B$191:$Y$191</c:f>
              <c:numCache>
                <c:formatCode>0.0%</c:formatCode>
                <c:ptCount val="24"/>
                <c:pt idx="0">
                  <c:v>7.407407407407407E-2</c:v>
                </c:pt>
                <c:pt idx="1">
                  <c:v>0.15789473684210525</c:v>
                </c:pt>
                <c:pt idx="2">
                  <c:v>9.6774193548387094E-2</c:v>
                </c:pt>
                <c:pt idx="3">
                  <c:v>5.128205128205128E-2</c:v>
                </c:pt>
                <c:pt idx="4">
                  <c:v>0</c:v>
                </c:pt>
                <c:pt idx="5">
                  <c:v>0.25</c:v>
                </c:pt>
                <c:pt idx="6">
                  <c:v>2.8571428571428571E-2</c:v>
                </c:pt>
                <c:pt idx="7">
                  <c:v>4.7619047619047616E-2</c:v>
                </c:pt>
                <c:pt idx="8">
                  <c:v>4.9180327868852458E-2</c:v>
                </c:pt>
                <c:pt idx="9">
                  <c:v>0.11267605633802817</c:v>
                </c:pt>
                <c:pt idx="10">
                  <c:v>8.9285714285714288E-2</c:v>
                </c:pt>
                <c:pt idx="11">
                  <c:v>0.1</c:v>
                </c:pt>
                <c:pt idx="12">
                  <c:v>7.575757575757576E-2</c:v>
                </c:pt>
                <c:pt idx="13">
                  <c:v>3.3707865168539325E-2</c:v>
                </c:pt>
                <c:pt idx="14">
                  <c:v>2.7397260273972601E-2</c:v>
                </c:pt>
                <c:pt idx="15">
                  <c:v>0</c:v>
                </c:pt>
                <c:pt idx="16">
                  <c:v>0</c:v>
                </c:pt>
                <c:pt idx="17">
                  <c:v>0.10810810810810811</c:v>
                </c:pt>
                <c:pt idx="18">
                  <c:v>7.407407407407407E-2</c:v>
                </c:pt>
                <c:pt idx="19">
                  <c:v>5.4794520547945202E-2</c:v>
                </c:pt>
                <c:pt idx="20">
                  <c:v>5.6818181818181816E-2</c:v>
                </c:pt>
                <c:pt idx="21">
                  <c:v>3.8461538461538464E-2</c:v>
                </c:pt>
                <c:pt idx="22">
                  <c:v>2.3529411764705882E-2</c:v>
                </c:pt>
                <c:pt idx="23">
                  <c:v>2.6315789473684209E-2</c:v>
                </c:pt>
              </c:numCache>
            </c:numRef>
          </c:val>
          <c:smooth val="0"/>
          <c:extLst>
            <c:ext xmlns:c16="http://schemas.microsoft.com/office/drawing/2014/chart" uri="{C3380CC4-5D6E-409C-BE32-E72D297353CC}">
              <c16:uniqueId val="{00000001-E2C3-4074-9E05-ED30CD69A864}"/>
            </c:ext>
          </c:extLst>
        </c:ser>
        <c:dLbls>
          <c:showLegendKey val="0"/>
          <c:showVal val="0"/>
          <c:showCatName val="0"/>
          <c:showSerName val="0"/>
          <c:showPercent val="0"/>
          <c:showBubbleSize val="0"/>
        </c:dLbls>
        <c:smooth val="0"/>
        <c:axId val="337817168"/>
        <c:axId val="337818000"/>
      </c:lineChart>
      <c:dateAx>
        <c:axId val="33781716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337818000"/>
        <c:crosses val="autoZero"/>
        <c:auto val="1"/>
        <c:lblOffset val="100"/>
        <c:baseTimeUnit val="months"/>
      </c:dateAx>
      <c:valAx>
        <c:axId val="3378180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337817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UA"/>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Conversion Lead / Contract</a:t>
            </a:r>
            <a:br>
              <a:rPr lang="en-US"/>
            </a:br>
            <a:r>
              <a:rPr lang="en-US"/>
              <a:t>3 months average</a:t>
            </a:r>
            <a:endParaRPr lang="ru-RU"/>
          </a:p>
        </c:rich>
      </c:tx>
      <c:layout>
        <c:manualLayout>
          <c:xMode val="edge"/>
          <c:yMode val="edge"/>
          <c:x val="0.31223600174978128"/>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UA"/>
        </a:p>
      </c:txPr>
    </c:title>
    <c:autoTitleDeleted val="0"/>
    <c:plotArea>
      <c:layout/>
      <c:lineChart>
        <c:grouping val="standard"/>
        <c:varyColors val="0"/>
        <c:ser>
          <c:idx val="0"/>
          <c:order val="0"/>
          <c:tx>
            <c:strRef>
              <c:f>'main numbers'!$A$192</c:f>
              <c:strCache>
                <c:ptCount val="1"/>
                <c:pt idx="0">
                  <c:v>LT 3 months</c:v>
                </c:pt>
              </c:strCache>
            </c:strRef>
          </c:tx>
          <c:spPr>
            <a:ln w="28575" cap="rnd">
              <a:solidFill>
                <a:schemeClr val="accent1"/>
              </a:solidFill>
              <a:round/>
            </a:ln>
            <a:effectLst/>
          </c:spPr>
          <c:marker>
            <c:symbol val="none"/>
          </c:marker>
          <c:cat>
            <c:numRef>
              <c:f>'main numbers'!$B$189:$W$189</c:f>
              <c:numCache>
                <c:formatCode>mmm\-yy</c:formatCode>
                <c:ptCount val="22"/>
                <c:pt idx="0">
                  <c:v>46113</c:v>
                </c:pt>
                <c:pt idx="1">
                  <c:v>46082</c:v>
                </c:pt>
                <c:pt idx="2">
                  <c:v>46054</c:v>
                </c:pt>
                <c:pt idx="3">
                  <c:v>46023</c:v>
                </c:pt>
                <c:pt idx="4">
                  <c:v>45992</c:v>
                </c:pt>
                <c:pt idx="5">
                  <c:v>45962</c:v>
                </c:pt>
                <c:pt idx="6">
                  <c:v>45931</c:v>
                </c:pt>
                <c:pt idx="7">
                  <c:v>45901</c:v>
                </c:pt>
                <c:pt idx="8">
                  <c:v>45870</c:v>
                </c:pt>
                <c:pt idx="9">
                  <c:v>45839</c:v>
                </c:pt>
                <c:pt idx="10">
                  <c:v>45809</c:v>
                </c:pt>
                <c:pt idx="11">
                  <c:v>45778</c:v>
                </c:pt>
                <c:pt idx="12">
                  <c:v>45748</c:v>
                </c:pt>
                <c:pt idx="13">
                  <c:v>45717</c:v>
                </c:pt>
                <c:pt idx="14">
                  <c:v>45689</c:v>
                </c:pt>
                <c:pt idx="15">
                  <c:v>45658</c:v>
                </c:pt>
                <c:pt idx="16">
                  <c:v>45627</c:v>
                </c:pt>
                <c:pt idx="17">
                  <c:v>45597</c:v>
                </c:pt>
                <c:pt idx="18">
                  <c:v>45566</c:v>
                </c:pt>
                <c:pt idx="19">
                  <c:v>45536</c:v>
                </c:pt>
                <c:pt idx="20">
                  <c:v>45505</c:v>
                </c:pt>
                <c:pt idx="21">
                  <c:v>45474</c:v>
                </c:pt>
              </c:numCache>
            </c:numRef>
          </c:cat>
          <c:val>
            <c:numRef>
              <c:f>'main numbers'!$B$192:$W$192</c:f>
              <c:numCache>
                <c:formatCode>0.0%</c:formatCode>
                <c:ptCount val="22"/>
                <c:pt idx="0">
                  <c:v>5.6300268096514748E-2</c:v>
                </c:pt>
                <c:pt idx="1">
                  <c:v>5.1743532058492692E-2</c:v>
                </c:pt>
                <c:pt idx="2">
                  <c:v>4.2222222222222223E-2</c:v>
                </c:pt>
                <c:pt idx="3">
                  <c:v>4.4372294372294369E-2</c:v>
                </c:pt>
                <c:pt idx="4">
                  <c:v>5.6953642384105968E-2</c:v>
                </c:pt>
                <c:pt idx="5">
                  <c:v>6.4903846153846159E-2</c:v>
                </c:pt>
                <c:pt idx="6">
                  <c:v>6.500541711809317E-2</c:v>
                </c:pt>
                <c:pt idx="7">
                  <c:v>6.7641681901279713E-2</c:v>
                </c:pt>
                <c:pt idx="8">
                  <c:v>6.7530064754856609E-2</c:v>
                </c:pt>
                <c:pt idx="9">
                  <c:v>7.6045627376425853E-2</c:v>
                </c:pt>
                <c:pt idx="10">
                  <c:v>6.5714285714285711E-2</c:v>
                </c:pt>
                <c:pt idx="11">
                  <c:v>6.1167747914735865E-2</c:v>
                </c:pt>
                <c:pt idx="12">
                  <c:v>6.1524334251606978E-2</c:v>
                </c:pt>
                <c:pt idx="13">
                  <c:v>6.215213358070501E-2</c:v>
                </c:pt>
                <c:pt idx="14">
                  <c:v>6.2868369351669937E-2</c:v>
                </c:pt>
                <c:pt idx="15">
                  <c:v>4.878048780487805E-2</c:v>
                </c:pt>
                <c:pt idx="16">
                  <c:v>4.7477744807121663E-2</c:v>
                </c:pt>
                <c:pt idx="17">
                  <c:v>5.1748251748251747E-2</c:v>
                </c:pt>
                <c:pt idx="18">
                  <c:v>6.3041765169424752E-2</c:v>
                </c:pt>
                <c:pt idx="19">
                  <c:v>6.2183658712942881E-2</c:v>
                </c:pt>
                <c:pt idx="20">
                  <c:v>5.5240793201133141E-2</c:v>
                </c:pt>
                <c:pt idx="21">
                  <c:v>4.7860768672951415E-2</c:v>
                </c:pt>
              </c:numCache>
            </c:numRef>
          </c:val>
          <c:smooth val="0"/>
          <c:extLst>
            <c:ext xmlns:c16="http://schemas.microsoft.com/office/drawing/2014/chart" uri="{C3380CC4-5D6E-409C-BE32-E72D297353CC}">
              <c16:uniqueId val="{00000000-F7E2-4C96-90D4-7C04EC8DAD69}"/>
            </c:ext>
          </c:extLst>
        </c:ser>
        <c:ser>
          <c:idx val="1"/>
          <c:order val="1"/>
          <c:tx>
            <c:strRef>
              <c:f>'main numbers'!$A$193</c:f>
              <c:strCache>
                <c:ptCount val="1"/>
                <c:pt idx="0">
                  <c:v>LV 3 months</c:v>
                </c:pt>
              </c:strCache>
            </c:strRef>
          </c:tx>
          <c:spPr>
            <a:ln w="28575" cap="rnd">
              <a:solidFill>
                <a:schemeClr val="accent2"/>
              </a:solidFill>
              <a:round/>
            </a:ln>
            <a:effectLst/>
          </c:spPr>
          <c:marker>
            <c:symbol val="none"/>
          </c:marker>
          <c:cat>
            <c:numRef>
              <c:f>'main numbers'!$B$189:$W$189</c:f>
              <c:numCache>
                <c:formatCode>mmm\-yy</c:formatCode>
                <c:ptCount val="22"/>
                <c:pt idx="0">
                  <c:v>46113</c:v>
                </c:pt>
                <c:pt idx="1">
                  <c:v>46082</c:v>
                </c:pt>
                <c:pt idx="2">
                  <c:v>46054</c:v>
                </c:pt>
                <c:pt idx="3">
                  <c:v>46023</c:v>
                </c:pt>
                <c:pt idx="4">
                  <c:v>45992</c:v>
                </c:pt>
                <c:pt idx="5">
                  <c:v>45962</c:v>
                </c:pt>
                <c:pt idx="6">
                  <c:v>45931</c:v>
                </c:pt>
                <c:pt idx="7">
                  <c:v>45901</c:v>
                </c:pt>
                <c:pt idx="8">
                  <c:v>45870</c:v>
                </c:pt>
                <c:pt idx="9">
                  <c:v>45839</c:v>
                </c:pt>
                <c:pt idx="10">
                  <c:v>45809</c:v>
                </c:pt>
                <c:pt idx="11">
                  <c:v>45778</c:v>
                </c:pt>
                <c:pt idx="12">
                  <c:v>45748</c:v>
                </c:pt>
                <c:pt idx="13">
                  <c:v>45717</c:v>
                </c:pt>
                <c:pt idx="14">
                  <c:v>45689</c:v>
                </c:pt>
                <c:pt idx="15">
                  <c:v>45658</c:v>
                </c:pt>
                <c:pt idx="16">
                  <c:v>45627</c:v>
                </c:pt>
                <c:pt idx="17">
                  <c:v>45597</c:v>
                </c:pt>
                <c:pt idx="18">
                  <c:v>45566</c:v>
                </c:pt>
                <c:pt idx="19">
                  <c:v>45536</c:v>
                </c:pt>
                <c:pt idx="20">
                  <c:v>45505</c:v>
                </c:pt>
                <c:pt idx="21">
                  <c:v>45474</c:v>
                </c:pt>
              </c:numCache>
            </c:numRef>
          </c:cat>
          <c:val>
            <c:numRef>
              <c:f>'main numbers'!$B$193:$W$193</c:f>
              <c:numCache>
                <c:formatCode>0.0%</c:formatCode>
                <c:ptCount val="22"/>
                <c:pt idx="0">
                  <c:v>0.10389610389610389</c:v>
                </c:pt>
                <c:pt idx="1">
                  <c:v>7.8125000000000014E-2</c:v>
                </c:pt>
                <c:pt idx="2">
                  <c:v>4.5751633986928109E-2</c:v>
                </c:pt>
                <c:pt idx="3">
                  <c:v>5.2238805970149259E-2</c:v>
                </c:pt>
                <c:pt idx="4">
                  <c:v>4.3956043956043953E-2</c:v>
                </c:pt>
                <c:pt idx="5">
                  <c:v>6.3636363636363644E-2</c:v>
                </c:pt>
                <c:pt idx="6">
                  <c:v>4.4025157232704407E-2</c:v>
                </c:pt>
                <c:pt idx="7">
                  <c:v>7.1794871794871803E-2</c:v>
                </c:pt>
                <c:pt idx="8">
                  <c:v>8.5106382978723402E-2</c:v>
                </c:pt>
                <c:pt idx="9">
                  <c:v>0.10144927536231885</c:v>
                </c:pt>
                <c:pt idx="10">
                  <c:v>8.9108910891089119E-2</c:v>
                </c:pt>
                <c:pt idx="11">
                  <c:v>6.8085106382978725E-2</c:v>
                </c:pt>
                <c:pt idx="12">
                  <c:v>4.3859649122807022E-2</c:v>
                </c:pt>
                <c:pt idx="13">
                  <c:v>2.0661157024793389E-2</c:v>
                </c:pt>
                <c:pt idx="14">
                  <c:v>1.0471204188481676E-2</c:v>
                </c:pt>
                <c:pt idx="15">
                  <c:v>4.1666666666666664E-2</c:v>
                </c:pt>
                <c:pt idx="16">
                  <c:v>7.2289156626506021E-2</c:v>
                </c:pt>
                <c:pt idx="17">
                  <c:v>7.9601990049751242E-2</c:v>
                </c:pt>
                <c:pt idx="18">
                  <c:v>6.046511627906976E-2</c:v>
                </c:pt>
                <c:pt idx="19">
                  <c:v>4.9056603773584902E-2</c:v>
                </c:pt>
                <c:pt idx="20">
                  <c:v>3.9711191335740074E-2</c:v>
                </c:pt>
                <c:pt idx="21">
                  <c:v>3.0188679245283019E-2</c:v>
                </c:pt>
              </c:numCache>
            </c:numRef>
          </c:val>
          <c:smooth val="0"/>
          <c:extLst>
            <c:ext xmlns:c16="http://schemas.microsoft.com/office/drawing/2014/chart" uri="{C3380CC4-5D6E-409C-BE32-E72D297353CC}">
              <c16:uniqueId val="{00000003-F7E2-4C96-90D4-7C04EC8DAD69}"/>
            </c:ext>
          </c:extLst>
        </c:ser>
        <c:dLbls>
          <c:showLegendKey val="0"/>
          <c:showVal val="0"/>
          <c:showCatName val="0"/>
          <c:showSerName val="0"/>
          <c:showPercent val="0"/>
          <c:showBubbleSize val="0"/>
        </c:dLbls>
        <c:smooth val="0"/>
        <c:axId val="713840176"/>
        <c:axId val="713839344"/>
      </c:lineChart>
      <c:dateAx>
        <c:axId val="713840176"/>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713839344"/>
        <c:crosses val="autoZero"/>
        <c:auto val="1"/>
        <c:lblOffset val="100"/>
        <c:baseTimeUnit val="months"/>
      </c:dateAx>
      <c:valAx>
        <c:axId val="7138393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713840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UA"/>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76200</xdr:colOff>
      <xdr:row>26</xdr:row>
      <xdr:rowOff>156210</xdr:rowOff>
    </xdr:from>
    <xdr:to>
      <xdr:col>6</xdr:col>
      <xdr:colOff>594360</xdr:colOff>
      <xdr:row>41</xdr:row>
      <xdr:rowOff>156210</xdr:rowOff>
    </xdr:to>
    <xdr:graphicFrame macro="">
      <xdr:nvGraphicFramePr>
        <xdr:cNvPr id="2" name="Диаграмма 1">
          <a:extLst>
            <a:ext uri="{FF2B5EF4-FFF2-40B4-BE49-F238E27FC236}">
              <a16:creationId xmlns:a16="http://schemas.microsoft.com/office/drawing/2014/main" id="{74FE651B-4EE0-4629-9BEC-6A8107B3C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83820</xdr:colOff>
      <xdr:row>48</xdr:row>
      <xdr:rowOff>34290</xdr:rowOff>
    </xdr:from>
    <xdr:to>
      <xdr:col>6</xdr:col>
      <xdr:colOff>601980</xdr:colOff>
      <xdr:row>63</xdr:row>
      <xdr:rowOff>34290</xdr:rowOff>
    </xdr:to>
    <xdr:graphicFrame macro="">
      <xdr:nvGraphicFramePr>
        <xdr:cNvPr id="3" name="Диаграмма 2">
          <a:extLst>
            <a:ext uri="{FF2B5EF4-FFF2-40B4-BE49-F238E27FC236}">
              <a16:creationId xmlns:a16="http://schemas.microsoft.com/office/drawing/2014/main" id="{4D81C88B-C9AF-4A2A-AC3E-B2823B1B58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68580</xdr:colOff>
      <xdr:row>94</xdr:row>
      <xdr:rowOff>171450</xdr:rowOff>
    </xdr:from>
    <xdr:to>
      <xdr:col>7</xdr:col>
      <xdr:colOff>7620</xdr:colOff>
      <xdr:row>109</xdr:row>
      <xdr:rowOff>171450</xdr:rowOff>
    </xdr:to>
    <xdr:graphicFrame macro="">
      <xdr:nvGraphicFramePr>
        <xdr:cNvPr id="4" name="Диаграмма 3">
          <a:extLst>
            <a:ext uri="{FF2B5EF4-FFF2-40B4-BE49-F238E27FC236}">
              <a16:creationId xmlns:a16="http://schemas.microsoft.com/office/drawing/2014/main" id="{C4EB8D95-8CA4-4D3C-817C-49A0A31D7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115</xdr:row>
      <xdr:rowOff>179070</xdr:rowOff>
    </xdr:from>
    <xdr:to>
      <xdr:col>7</xdr:col>
      <xdr:colOff>7620</xdr:colOff>
      <xdr:row>130</xdr:row>
      <xdr:rowOff>179070</xdr:rowOff>
    </xdr:to>
    <xdr:graphicFrame macro="">
      <xdr:nvGraphicFramePr>
        <xdr:cNvPr id="5" name="Диаграмма 4">
          <a:extLst>
            <a:ext uri="{FF2B5EF4-FFF2-40B4-BE49-F238E27FC236}">
              <a16:creationId xmlns:a16="http://schemas.microsoft.com/office/drawing/2014/main" id="{1E9A925A-B61F-4EE5-8958-A8EF0C94A1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136</xdr:row>
      <xdr:rowOff>11430</xdr:rowOff>
    </xdr:from>
    <xdr:to>
      <xdr:col>7</xdr:col>
      <xdr:colOff>0</xdr:colOff>
      <xdr:row>151</xdr:row>
      <xdr:rowOff>11430</xdr:rowOff>
    </xdr:to>
    <xdr:graphicFrame macro="">
      <xdr:nvGraphicFramePr>
        <xdr:cNvPr id="6" name="Диаграмма 5">
          <a:extLst>
            <a:ext uri="{FF2B5EF4-FFF2-40B4-BE49-F238E27FC236}">
              <a16:creationId xmlns:a16="http://schemas.microsoft.com/office/drawing/2014/main" id="{A27A3B2A-EA94-4002-A4F7-5DD6A7BC50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7620</xdr:colOff>
      <xdr:row>6</xdr:row>
      <xdr:rowOff>3810</xdr:rowOff>
    </xdr:from>
    <xdr:to>
      <xdr:col>5</xdr:col>
      <xdr:colOff>236220</xdr:colOff>
      <xdr:row>21</xdr:row>
      <xdr:rowOff>3810</xdr:rowOff>
    </xdr:to>
    <xdr:graphicFrame macro="">
      <xdr:nvGraphicFramePr>
        <xdr:cNvPr id="7" name="Диаграмма 6">
          <a:extLst>
            <a:ext uri="{FF2B5EF4-FFF2-40B4-BE49-F238E27FC236}">
              <a16:creationId xmlns:a16="http://schemas.microsoft.com/office/drawing/2014/main" id="{1007EBBF-D1FA-4D00-A389-A85C7A7C4D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312420</xdr:colOff>
      <xdr:row>5</xdr:row>
      <xdr:rowOff>179070</xdr:rowOff>
    </xdr:from>
    <xdr:to>
      <xdr:col>15</xdr:col>
      <xdr:colOff>7620</xdr:colOff>
      <xdr:row>20</xdr:row>
      <xdr:rowOff>179070</xdr:rowOff>
    </xdr:to>
    <xdr:graphicFrame macro="">
      <xdr:nvGraphicFramePr>
        <xdr:cNvPr id="8" name="Диаграмма 7">
          <a:extLst>
            <a:ext uri="{FF2B5EF4-FFF2-40B4-BE49-F238E27FC236}">
              <a16:creationId xmlns:a16="http://schemas.microsoft.com/office/drawing/2014/main" id="{85E4EF2D-3D73-43A1-BA37-2804DBDBF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170</xdr:row>
      <xdr:rowOff>133350</xdr:rowOff>
    </xdr:from>
    <xdr:to>
      <xdr:col>6</xdr:col>
      <xdr:colOff>259080</xdr:colOff>
      <xdr:row>185</xdr:row>
      <xdr:rowOff>133350</xdr:rowOff>
    </xdr:to>
    <xdr:graphicFrame macro="">
      <xdr:nvGraphicFramePr>
        <xdr:cNvPr id="9" name="Диаграмма 8">
          <a:extLst>
            <a:ext uri="{FF2B5EF4-FFF2-40B4-BE49-F238E27FC236}">
              <a16:creationId xmlns:a16="http://schemas.microsoft.com/office/drawing/2014/main" id="{9A3221DC-8AA6-4F64-824E-1BE42C8B0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72</xdr:row>
      <xdr:rowOff>171450</xdr:rowOff>
    </xdr:from>
    <xdr:to>
      <xdr:col>7</xdr:col>
      <xdr:colOff>15240</xdr:colOff>
      <xdr:row>87</xdr:row>
      <xdr:rowOff>171450</xdr:rowOff>
    </xdr:to>
    <xdr:graphicFrame macro="">
      <xdr:nvGraphicFramePr>
        <xdr:cNvPr id="10" name="Диаграмма 9">
          <a:extLst>
            <a:ext uri="{FF2B5EF4-FFF2-40B4-BE49-F238E27FC236}">
              <a16:creationId xmlns:a16="http://schemas.microsoft.com/office/drawing/2014/main" id="{A17D1D09-59A8-42BA-8E57-9A3BABBA57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106680</xdr:colOff>
      <xdr:row>73</xdr:row>
      <xdr:rowOff>19050</xdr:rowOff>
    </xdr:from>
    <xdr:to>
      <xdr:col>16</xdr:col>
      <xdr:colOff>403860</xdr:colOff>
      <xdr:row>88</xdr:row>
      <xdr:rowOff>19050</xdr:rowOff>
    </xdr:to>
    <xdr:graphicFrame macro="">
      <xdr:nvGraphicFramePr>
        <xdr:cNvPr id="11" name="Диаграмма 10">
          <a:extLst>
            <a:ext uri="{FF2B5EF4-FFF2-40B4-BE49-F238E27FC236}">
              <a16:creationId xmlns:a16="http://schemas.microsoft.com/office/drawing/2014/main" id="{318CA4FE-3D6C-4AFA-9792-9EB7B19FC4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601980</xdr:colOff>
      <xdr:row>170</xdr:row>
      <xdr:rowOff>148590</xdr:rowOff>
    </xdr:from>
    <xdr:to>
      <xdr:col>14</xdr:col>
      <xdr:colOff>541020</xdr:colOff>
      <xdr:row>185</xdr:row>
      <xdr:rowOff>167640</xdr:rowOff>
    </xdr:to>
    <xdr:graphicFrame macro="">
      <xdr:nvGraphicFramePr>
        <xdr:cNvPr id="12" name="Диаграмма 11">
          <a:extLst>
            <a:ext uri="{FF2B5EF4-FFF2-40B4-BE49-F238E27FC236}">
              <a16:creationId xmlns:a16="http://schemas.microsoft.com/office/drawing/2014/main" id="{B2518ABB-9C7C-4F07-8177-621B9D692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541020</xdr:colOff>
      <xdr:row>94</xdr:row>
      <xdr:rowOff>171450</xdr:rowOff>
    </xdr:from>
    <xdr:to>
      <xdr:col>15</xdr:col>
      <xdr:colOff>236220</xdr:colOff>
      <xdr:row>109</xdr:row>
      <xdr:rowOff>171450</xdr:rowOff>
    </xdr:to>
    <xdr:graphicFrame macro="">
      <xdr:nvGraphicFramePr>
        <xdr:cNvPr id="13" name="Диаграмма 12">
          <a:extLst>
            <a:ext uri="{FF2B5EF4-FFF2-40B4-BE49-F238E27FC236}">
              <a16:creationId xmlns:a16="http://schemas.microsoft.com/office/drawing/2014/main" id="{D148CBFE-1FE3-4296-BCD5-078CDE4B6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195</xdr:row>
      <xdr:rowOff>41910</xdr:rowOff>
    </xdr:from>
    <xdr:to>
      <xdr:col>6</xdr:col>
      <xdr:colOff>556260</xdr:colOff>
      <xdr:row>210</xdr:row>
      <xdr:rowOff>41910</xdr:rowOff>
    </xdr:to>
    <xdr:graphicFrame macro="">
      <xdr:nvGraphicFramePr>
        <xdr:cNvPr id="14" name="Диаграмма 13">
          <a:extLst>
            <a:ext uri="{FF2B5EF4-FFF2-40B4-BE49-F238E27FC236}">
              <a16:creationId xmlns:a16="http://schemas.microsoft.com/office/drawing/2014/main" id="{20BD8496-D590-4B64-8E50-51F808D1F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289560</xdr:colOff>
      <xdr:row>195</xdr:row>
      <xdr:rowOff>26670</xdr:rowOff>
    </xdr:from>
    <xdr:to>
      <xdr:col>15</xdr:col>
      <xdr:colOff>594360</xdr:colOff>
      <xdr:row>210</xdr:row>
      <xdr:rowOff>26670</xdr:rowOff>
    </xdr:to>
    <xdr:graphicFrame macro="">
      <xdr:nvGraphicFramePr>
        <xdr:cNvPr id="15" name="Диаграмма 14">
          <a:extLst>
            <a:ext uri="{FF2B5EF4-FFF2-40B4-BE49-F238E27FC236}">
              <a16:creationId xmlns:a16="http://schemas.microsoft.com/office/drawing/2014/main" id="{4D48D80E-8811-4501-8632-E6AB93E5A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052;&#1086;&#1080;%20&#1076;&#1086;&#1082;&#1091;&#1084;&#1077;&#1085;&#1090;&#1099;/&#1052;&#1086;&#1080;%20&#1082;&#1083;&#1080;&#1077;&#1085;&#1090;&#1099;/&#1043;&#1088;&#1072;&#1078;&#1076;&#1072;&#1085;&#1089;&#1090;&#1074;&#1086;%20&#1051;&#1080;&#1090;&#1074;&#1099;/Analysis/Facebook/2025/July/July-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numbers"/>
      <sheetName val="CRM"/>
      <sheetName val="LV"/>
      <sheetName val="LV RBI"/>
      <sheetName val="Agreements"/>
      <sheetName val="Search Console"/>
      <sheetName val="Google"/>
      <sheetName val="Bing"/>
      <sheetName val="Ist Analysis"/>
      <sheetName val="Countries"/>
    </sheetNames>
    <sheetDataSet>
      <sheetData sheetId="0"/>
      <sheetData sheetId="1"/>
      <sheetData sheetId="2"/>
      <sheetData sheetId="3"/>
      <sheetData sheetId="4"/>
      <sheetData sheetId="5"/>
      <sheetData sheetId="6"/>
      <sheetData sheetId="7"/>
      <sheetData sheetId="8">
        <row r="12">
          <cell r="B12">
            <v>7030</v>
          </cell>
          <cell r="C12">
            <v>4162</v>
          </cell>
        </row>
      </sheetData>
      <sheetData sheetId="9"/>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94E17-EE84-4C4D-B23A-F6D39151D06C}">
  <sheetPr>
    <tabColor rgb="FFC00000"/>
  </sheetPr>
  <dimension ref="A1:Y193"/>
  <sheetViews>
    <sheetView tabSelected="1" workbookViewId="0">
      <selection activeCell="C160" activeCellId="1" sqref="C156 C160"/>
    </sheetView>
  </sheetViews>
  <sheetFormatPr defaultRowHeight="14.4"/>
  <cols>
    <col min="1" max="1" width="30.88671875" style="6" customWidth="1"/>
    <col min="2" max="16384" width="8.88671875" style="6"/>
  </cols>
  <sheetData>
    <row r="1" spans="1:25">
      <c r="A1" s="1" t="s">
        <v>1663</v>
      </c>
      <c r="B1" s="5">
        <v>46113</v>
      </c>
      <c r="C1" s="5">
        <v>46082</v>
      </c>
      <c r="D1" s="5">
        <v>46054</v>
      </c>
      <c r="E1" s="5">
        <v>46023</v>
      </c>
      <c r="F1" s="5">
        <v>45992</v>
      </c>
      <c r="G1" s="5">
        <v>45962</v>
      </c>
      <c r="H1" s="5">
        <v>45931</v>
      </c>
      <c r="I1" s="5">
        <v>45901</v>
      </c>
      <c r="J1" s="5">
        <v>45870</v>
      </c>
      <c r="K1" s="5">
        <v>45839</v>
      </c>
      <c r="L1" s="5">
        <v>45809</v>
      </c>
      <c r="M1" s="5">
        <v>45778</v>
      </c>
      <c r="N1" s="5">
        <v>45748</v>
      </c>
      <c r="O1" s="5">
        <v>45717</v>
      </c>
      <c r="P1" s="5">
        <v>45689</v>
      </c>
      <c r="Q1" s="5">
        <v>45658</v>
      </c>
      <c r="R1" s="5">
        <v>45627</v>
      </c>
      <c r="S1" s="5">
        <v>45597</v>
      </c>
      <c r="T1" s="5">
        <v>45566</v>
      </c>
      <c r="U1" s="5">
        <v>45536</v>
      </c>
      <c r="V1" s="5">
        <v>45505</v>
      </c>
      <c r="W1" s="5">
        <v>45474</v>
      </c>
      <c r="X1" s="5">
        <v>45444</v>
      </c>
      <c r="Y1" s="5">
        <v>45413</v>
      </c>
    </row>
    <row r="2" spans="1:25">
      <c r="A2" s="6" t="s">
        <v>1664</v>
      </c>
      <c r="B2" s="7">
        <v>19847</v>
      </c>
      <c r="C2" s="7">
        <v>64146.75</v>
      </c>
      <c r="D2" s="7">
        <v>48192.89</v>
      </c>
      <c r="E2" s="7">
        <v>28361.75</v>
      </c>
      <c r="F2" s="7">
        <v>31849.97</v>
      </c>
      <c r="G2" s="7">
        <v>52342.559999999998</v>
      </c>
      <c r="H2" s="7">
        <v>47679.199999999997</v>
      </c>
      <c r="I2" s="7">
        <v>34974</v>
      </c>
      <c r="J2" s="7">
        <v>35109.82</v>
      </c>
      <c r="K2" s="7">
        <v>30578</v>
      </c>
      <c r="L2" s="7">
        <v>25655.24</v>
      </c>
      <c r="M2" s="7">
        <v>58549.47</v>
      </c>
      <c r="N2" s="7">
        <v>41655.96</v>
      </c>
      <c r="O2" s="7">
        <v>69418.399999999994</v>
      </c>
      <c r="P2" s="7">
        <v>56175.63</v>
      </c>
      <c r="Q2" s="7">
        <v>50521.86</v>
      </c>
      <c r="R2" s="7">
        <v>66444.17</v>
      </c>
      <c r="S2" s="7">
        <v>54294.15</v>
      </c>
      <c r="T2" s="7">
        <v>33313.18</v>
      </c>
      <c r="U2" s="7">
        <v>57415.15</v>
      </c>
      <c r="V2" s="7">
        <v>42929.46</v>
      </c>
      <c r="W2" s="7">
        <v>24112.03</v>
      </c>
      <c r="X2" s="7">
        <v>15511.38</v>
      </c>
      <c r="Y2" s="7">
        <v>39897.269999999997</v>
      </c>
    </row>
    <row r="3" spans="1:25">
      <c r="A3" s="6" t="s">
        <v>1665</v>
      </c>
      <c r="B3" s="6">
        <v>77285</v>
      </c>
      <c r="C3" s="6">
        <v>74394</v>
      </c>
      <c r="D3" s="6">
        <v>71503</v>
      </c>
      <c r="E3" s="6">
        <v>68612</v>
      </c>
      <c r="F3" s="6">
        <v>65721</v>
      </c>
      <c r="G3" s="6">
        <v>62830</v>
      </c>
      <c r="H3" s="6">
        <v>59939</v>
      </c>
      <c r="I3" s="6">
        <v>57048</v>
      </c>
      <c r="J3" s="6">
        <v>55305</v>
      </c>
      <c r="K3" s="6">
        <v>51840</v>
      </c>
      <c r="L3" s="6">
        <v>66243</v>
      </c>
      <c r="M3" s="6">
        <v>63628</v>
      </c>
      <c r="N3" s="6">
        <v>60293</v>
      </c>
      <c r="O3" s="6">
        <v>57318</v>
      </c>
      <c r="P3" s="6">
        <v>54343</v>
      </c>
      <c r="Q3" s="6">
        <v>51368</v>
      </c>
      <c r="R3" s="6">
        <v>48393</v>
      </c>
      <c r="S3" s="6">
        <v>45418</v>
      </c>
      <c r="T3" s="6">
        <v>42443</v>
      </c>
      <c r="U3" s="6">
        <v>39468</v>
      </c>
      <c r="V3" s="6">
        <v>36493</v>
      </c>
      <c r="W3" s="6">
        <v>33518</v>
      </c>
      <c r="X3" s="6">
        <v>30543</v>
      </c>
      <c r="Y3" s="6">
        <v>67146</v>
      </c>
    </row>
    <row r="4" spans="1:25">
      <c r="A4" s="6" t="s">
        <v>1666</v>
      </c>
      <c r="B4" s="7">
        <f t="shared" ref="B4:G5" si="0">SUM(B2:D2)/3</f>
        <v>44062.21333333334</v>
      </c>
      <c r="C4" s="7">
        <f t="shared" si="0"/>
        <v>46900.46333333334</v>
      </c>
      <c r="D4" s="7">
        <f t="shared" si="0"/>
        <v>36134.870000000003</v>
      </c>
      <c r="E4" s="7">
        <f t="shared" si="0"/>
        <v>37518.093333333331</v>
      </c>
      <c r="F4" s="7">
        <f t="shared" si="0"/>
        <v>43957.243333333325</v>
      </c>
      <c r="G4" s="7">
        <f t="shared" si="0"/>
        <v>44998.58666666667</v>
      </c>
      <c r="H4" s="7">
        <f t="shared" ref="H4:H5" si="1">SUM(H2:J2)/3</f>
        <v>39254.339999999997</v>
      </c>
      <c r="I4" s="7">
        <f t="shared" ref="I4:W5" si="2">SUM(I2:K2)/3</f>
        <v>33553.94</v>
      </c>
      <c r="J4" s="7">
        <f t="shared" si="2"/>
        <v>30447.686666666672</v>
      </c>
      <c r="K4" s="7">
        <f t="shared" si="2"/>
        <v>38260.903333333335</v>
      </c>
      <c r="L4" s="7">
        <f t="shared" si="2"/>
        <v>41953.556666666671</v>
      </c>
      <c r="M4" s="7">
        <f t="shared" si="2"/>
        <v>56541.276666666665</v>
      </c>
      <c r="N4" s="7">
        <f t="shared" si="2"/>
        <v>55749.996666666666</v>
      </c>
      <c r="O4" s="7">
        <f t="shared" si="2"/>
        <v>58705.296666666669</v>
      </c>
      <c r="P4" s="7">
        <f t="shared" si="2"/>
        <v>57713.886666666658</v>
      </c>
      <c r="Q4" s="7">
        <f t="shared" si="2"/>
        <v>57086.726666666662</v>
      </c>
      <c r="R4" s="7">
        <f t="shared" si="2"/>
        <v>51350.5</v>
      </c>
      <c r="S4" s="7">
        <f t="shared" si="2"/>
        <v>48340.826666666668</v>
      </c>
      <c r="T4" s="7">
        <f t="shared" si="2"/>
        <v>44552.596666666672</v>
      </c>
      <c r="U4" s="7">
        <f t="shared" si="2"/>
        <v>41485.546666666669</v>
      </c>
      <c r="V4" s="7">
        <f t="shared" si="2"/>
        <v>27517.623333333333</v>
      </c>
      <c r="W4" s="7">
        <f t="shared" si="2"/>
        <v>26506.89333333333</v>
      </c>
      <c r="X4" s="7"/>
    </row>
    <row r="5" spans="1:25">
      <c r="A5" s="6" t="s">
        <v>1667</v>
      </c>
      <c r="B5" s="7">
        <f t="shared" si="0"/>
        <v>74394</v>
      </c>
      <c r="C5" s="7">
        <f t="shared" si="0"/>
        <v>71503</v>
      </c>
      <c r="D5" s="7">
        <f t="shared" si="0"/>
        <v>68612</v>
      </c>
      <c r="E5" s="7">
        <f t="shared" si="0"/>
        <v>65721</v>
      </c>
      <c r="F5" s="7">
        <f t="shared" si="0"/>
        <v>62830</v>
      </c>
      <c r="G5" s="7">
        <f t="shared" si="0"/>
        <v>59939</v>
      </c>
      <c r="H5" s="7">
        <f t="shared" si="1"/>
        <v>57430.666666666664</v>
      </c>
      <c r="I5" s="7">
        <f t="shared" si="2"/>
        <v>54731</v>
      </c>
      <c r="J5" s="7">
        <f t="shared" si="2"/>
        <v>57796</v>
      </c>
      <c r="K5" s="7">
        <f t="shared" si="2"/>
        <v>60570.333333333336</v>
      </c>
      <c r="L5" s="7">
        <f t="shared" si="2"/>
        <v>63388</v>
      </c>
      <c r="M5" s="7">
        <f t="shared" si="2"/>
        <v>60413</v>
      </c>
      <c r="N5" s="7">
        <f t="shared" si="2"/>
        <v>57318</v>
      </c>
      <c r="O5" s="7">
        <f t="shared" si="2"/>
        <v>54343</v>
      </c>
      <c r="P5" s="7">
        <f t="shared" si="2"/>
        <v>51368</v>
      </c>
      <c r="Q5" s="7">
        <f t="shared" si="2"/>
        <v>48393</v>
      </c>
      <c r="R5" s="7">
        <f t="shared" si="2"/>
        <v>45418</v>
      </c>
      <c r="S5" s="7">
        <f t="shared" si="2"/>
        <v>42443</v>
      </c>
      <c r="T5" s="7">
        <f t="shared" si="2"/>
        <v>39468</v>
      </c>
      <c r="U5" s="7">
        <f t="shared" si="2"/>
        <v>36493</v>
      </c>
      <c r="V5" s="7">
        <f t="shared" si="2"/>
        <v>33518</v>
      </c>
      <c r="W5" s="7">
        <f t="shared" si="2"/>
        <v>43735.666666666664</v>
      </c>
    </row>
    <row r="24" spans="1:25">
      <c r="A24" s="1" t="s">
        <v>1668</v>
      </c>
      <c r="B24" s="5">
        <v>46113</v>
      </c>
      <c r="C24" s="5">
        <v>46082</v>
      </c>
      <c r="D24" s="5">
        <v>46054</v>
      </c>
      <c r="E24" s="5">
        <v>46023</v>
      </c>
      <c r="F24" s="5">
        <v>45992</v>
      </c>
      <c r="G24" s="5">
        <v>45962</v>
      </c>
      <c r="H24" s="5">
        <v>45931</v>
      </c>
      <c r="I24" s="5">
        <v>45901</v>
      </c>
      <c r="J24" s="5">
        <v>45870</v>
      </c>
      <c r="K24" s="5">
        <v>45839</v>
      </c>
      <c r="L24" s="5">
        <v>45809</v>
      </c>
      <c r="M24" s="5">
        <v>45778</v>
      </c>
      <c r="N24" s="5">
        <v>45748</v>
      </c>
      <c r="O24" s="5">
        <v>45717</v>
      </c>
      <c r="P24" s="5">
        <v>45689</v>
      </c>
      <c r="Q24" s="5">
        <v>45658</v>
      </c>
      <c r="R24" s="5">
        <v>45627</v>
      </c>
      <c r="S24" s="5">
        <v>45597</v>
      </c>
      <c r="T24" s="5">
        <v>45566</v>
      </c>
      <c r="U24" s="5">
        <v>45536</v>
      </c>
      <c r="V24" s="5">
        <v>45505</v>
      </c>
      <c r="W24" s="5">
        <v>45474</v>
      </c>
      <c r="X24" s="5">
        <v>45444</v>
      </c>
      <c r="Y24" s="5">
        <v>45413</v>
      </c>
    </row>
    <row r="25" spans="1:25">
      <c r="A25" s="6" t="s">
        <v>1664</v>
      </c>
      <c r="B25" s="6">
        <v>27713</v>
      </c>
      <c r="C25" s="6">
        <v>72930</v>
      </c>
      <c r="D25" s="6">
        <v>56670</v>
      </c>
      <c r="E25" s="6">
        <v>39667</v>
      </c>
      <c r="F25" s="6">
        <v>43130</v>
      </c>
      <c r="G25" s="6">
        <v>65123</v>
      </c>
      <c r="H25" s="6">
        <v>60249</v>
      </c>
      <c r="I25" s="6">
        <v>47823</v>
      </c>
      <c r="J25" s="6">
        <v>47943</v>
      </c>
      <c r="K25" s="6">
        <v>43785</v>
      </c>
      <c r="L25" s="6">
        <v>38550</v>
      </c>
      <c r="M25" s="6">
        <v>69986</v>
      </c>
      <c r="N25" s="6">
        <v>50099</v>
      </c>
      <c r="O25" s="6">
        <v>75054</v>
      </c>
      <c r="P25" s="6">
        <v>62626</v>
      </c>
      <c r="Q25" s="6">
        <v>57743</v>
      </c>
      <c r="R25" s="6">
        <v>73294</v>
      </c>
      <c r="S25" s="6">
        <v>61758</v>
      </c>
      <c r="T25" s="6">
        <v>41510</v>
      </c>
      <c r="U25" s="6">
        <v>65447</v>
      </c>
      <c r="V25" s="6">
        <v>49940</v>
      </c>
      <c r="W25" s="6">
        <v>32653</v>
      </c>
      <c r="X25" s="6">
        <v>23780</v>
      </c>
      <c r="Y25" s="6">
        <v>47009</v>
      </c>
    </row>
    <row r="26" spans="1:25">
      <c r="A26" s="6" t="s">
        <v>1666</v>
      </c>
      <c r="B26" s="7">
        <f t="shared" ref="B26:I26" si="3">SUM(B25:D25)/3</f>
        <v>52437.666666666664</v>
      </c>
      <c r="C26" s="7">
        <f t="shared" si="3"/>
        <v>56422.333333333336</v>
      </c>
      <c r="D26" s="7">
        <f t="shared" si="3"/>
        <v>46489</v>
      </c>
      <c r="E26" s="7">
        <f t="shared" si="3"/>
        <v>49306.666666666664</v>
      </c>
      <c r="F26" s="7">
        <f t="shared" si="3"/>
        <v>56167.333333333336</v>
      </c>
      <c r="G26" s="7">
        <f t="shared" si="3"/>
        <v>57731.666666666664</v>
      </c>
      <c r="H26" s="7">
        <f t="shared" si="3"/>
        <v>52005</v>
      </c>
      <c r="I26" s="7">
        <f t="shared" si="3"/>
        <v>46517</v>
      </c>
      <c r="J26" s="7">
        <f>SUM(J25:L25)/3</f>
        <v>43426</v>
      </c>
      <c r="K26" s="7">
        <f>SUM(K25:M25)/3</f>
        <v>50773.666666666664</v>
      </c>
      <c r="L26" s="7">
        <f>SUM(L25:N25)/3</f>
        <v>52878.333333333336</v>
      </c>
      <c r="M26" s="7">
        <f>SUM(M25:O25)/3</f>
        <v>65046.333333333336</v>
      </c>
      <c r="N26" s="6">
        <f>SUM(N25:P25)/3</f>
        <v>62593</v>
      </c>
      <c r="O26" s="6">
        <f t="shared" ref="O26:W26" si="4">SUM(O25:Q25)/3</f>
        <v>65141</v>
      </c>
      <c r="P26" s="6">
        <f t="shared" si="4"/>
        <v>64554.333333333336</v>
      </c>
      <c r="Q26" s="6">
        <f t="shared" si="4"/>
        <v>64265</v>
      </c>
      <c r="R26" s="6">
        <f t="shared" si="4"/>
        <v>58854</v>
      </c>
      <c r="S26" s="6">
        <f t="shared" si="4"/>
        <v>56238.333333333336</v>
      </c>
      <c r="T26" s="6">
        <f t="shared" si="4"/>
        <v>52299</v>
      </c>
      <c r="U26" s="6">
        <f t="shared" si="4"/>
        <v>49346.666666666664</v>
      </c>
      <c r="V26" s="6">
        <f t="shared" si="4"/>
        <v>35457.666666666664</v>
      </c>
      <c r="W26" s="6">
        <f t="shared" si="4"/>
        <v>34480.666666666664</v>
      </c>
    </row>
    <row r="45" spans="1:25">
      <c r="A45" s="1" t="s">
        <v>1669</v>
      </c>
      <c r="B45" s="5">
        <v>46113</v>
      </c>
      <c r="C45" s="5">
        <v>46082</v>
      </c>
      <c r="D45" s="5">
        <v>46054</v>
      </c>
      <c r="E45" s="5">
        <v>46023</v>
      </c>
      <c r="F45" s="5">
        <v>45992</v>
      </c>
      <c r="G45" s="5">
        <v>45962</v>
      </c>
      <c r="H45" s="5">
        <v>45931</v>
      </c>
      <c r="I45" s="5">
        <v>45901</v>
      </c>
      <c r="J45" s="5">
        <v>45870</v>
      </c>
      <c r="K45" s="5">
        <v>45839</v>
      </c>
      <c r="L45" s="5">
        <v>45809</v>
      </c>
      <c r="M45" s="5">
        <v>45778</v>
      </c>
      <c r="N45" s="5">
        <v>45748</v>
      </c>
      <c r="O45" s="5">
        <v>45717</v>
      </c>
      <c r="P45" s="5">
        <v>45689</v>
      </c>
      <c r="Q45" s="5">
        <v>45658</v>
      </c>
      <c r="R45" s="5">
        <v>45627</v>
      </c>
      <c r="S45" s="5">
        <v>45597</v>
      </c>
      <c r="T45" s="5">
        <v>45566</v>
      </c>
      <c r="U45" s="5">
        <v>45536</v>
      </c>
      <c r="V45" s="5">
        <v>45505</v>
      </c>
      <c r="W45" s="5">
        <v>45474</v>
      </c>
      <c r="X45" s="5">
        <v>45444</v>
      </c>
      <c r="Y45" s="5">
        <v>45413</v>
      </c>
    </row>
    <row r="46" spans="1:25">
      <c r="A46" s="6" t="s">
        <v>1664</v>
      </c>
      <c r="B46" s="6">
        <v>44300</v>
      </c>
      <c r="C46" s="6">
        <v>73410</v>
      </c>
      <c r="D46" s="6">
        <v>97400</v>
      </c>
      <c r="E46" s="6">
        <v>76850</v>
      </c>
      <c r="F46" s="6">
        <v>42850</v>
      </c>
      <c r="G46" s="6">
        <v>58500</v>
      </c>
      <c r="H46" s="6">
        <v>88650</v>
      </c>
      <c r="I46" s="6">
        <v>95050</v>
      </c>
      <c r="J46" s="6">
        <v>68300</v>
      </c>
      <c r="K46" s="6">
        <v>120450</v>
      </c>
      <c r="L46" s="6">
        <v>85850</v>
      </c>
      <c r="M46" s="6">
        <v>107750</v>
      </c>
      <c r="N46" s="6">
        <v>63200</v>
      </c>
      <c r="O46" s="6">
        <v>46570</v>
      </c>
      <c r="P46" s="6">
        <v>124700</v>
      </c>
      <c r="Q46" s="6">
        <v>56150</v>
      </c>
      <c r="R46" s="6">
        <v>54270</v>
      </c>
      <c r="S46" s="6">
        <v>60790</v>
      </c>
      <c r="T46" s="6">
        <v>60200</v>
      </c>
      <c r="U46" s="6">
        <v>63850</v>
      </c>
      <c r="V46" s="6">
        <v>112310</v>
      </c>
      <c r="W46" s="6">
        <v>64050</v>
      </c>
      <c r="X46" s="6">
        <v>71972</v>
      </c>
      <c r="Y46" s="6">
        <v>40250</v>
      </c>
    </row>
    <row r="47" spans="1:25">
      <c r="A47" s="6" t="s">
        <v>1666</v>
      </c>
      <c r="B47" s="7">
        <f t="shared" ref="B47:W47" si="5">SUM(B46:D46)/3</f>
        <v>71703.333333333328</v>
      </c>
      <c r="C47" s="7">
        <f t="shared" si="5"/>
        <v>82553.333333333328</v>
      </c>
      <c r="D47" s="7">
        <f t="shared" si="5"/>
        <v>72366.666666666672</v>
      </c>
      <c r="E47" s="7">
        <f t="shared" si="5"/>
        <v>59400</v>
      </c>
      <c r="F47" s="7">
        <f t="shared" si="5"/>
        <v>63333.333333333336</v>
      </c>
      <c r="G47" s="7">
        <f t="shared" si="5"/>
        <v>80733.333333333328</v>
      </c>
      <c r="H47" s="7">
        <f t="shared" si="5"/>
        <v>84000</v>
      </c>
      <c r="I47" s="7">
        <f t="shared" si="5"/>
        <v>94600</v>
      </c>
      <c r="J47" s="7">
        <f t="shared" si="5"/>
        <v>91533.333333333328</v>
      </c>
      <c r="K47" s="7">
        <f t="shared" si="5"/>
        <v>104683.33333333333</v>
      </c>
      <c r="L47" s="7">
        <f t="shared" si="5"/>
        <v>85600</v>
      </c>
      <c r="M47" s="7">
        <f t="shared" si="5"/>
        <v>72506.666666666672</v>
      </c>
      <c r="N47" s="7">
        <f t="shared" si="5"/>
        <v>78156.666666666672</v>
      </c>
      <c r="O47" s="7">
        <f t="shared" si="5"/>
        <v>75806.666666666672</v>
      </c>
      <c r="P47" s="7">
        <f t="shared" si="5"/>
        <v>78373.333333333328</v>
      </c>
      <c r="Q47" s="7">
        <f t="shared" si="5"/>
        <v>57070</v>
      </c>
      <c r="R47" s="7">
        <f t="shared" si="5"/>
        <v>58420</v>
      </c>
      <c r="S47" s="7">
        <f t="shared" si="5"/>
        <v>61613.333333333336</v>
      </c>
      <c r="T47" s="7">
        <f t="shared" si="5"/>
        <v>78786.666666666672</v>
      </c>
      <c r="U47" s="7">
        <f t="shared" si="5"/>
        <v>80070</v>
      </c>
      <c r="V47" s="7">
        <f t="shared" si="5"/>
        <v>82777.333333333328</v>
      </c>
      <c r="W47" s="7">
        <f t="shared" si="5"/>
        <v>58757.333333333336</v>
      </c>
    </row>
    <row r="67" spans="1:25">
      <c r="A67" s="1" t="s">
        <v>1670</v>
      </c>
      <c r="B67" s="5">
        <v>46113</v>
      </c>
      <c r="C67" s="5">
        <v>46082</v>
      </c>
      <c r="D67" s="5">
        <v>46054</v>
      </c>
      <c r="E67" s="5">
        <v>46023</v>
      </c>
      <c r="F67" s="5">
        <v>45992</v>
      </c>
      <c r="G67" s="5">
        <v>45962</v>
      </c>
      <c r="H67" s="5">
        <v>45931</v>
      </c>
      <c r="I67" s="5">
        <v>45901</v>
      </c>
      <c r="J67" s="5">
        <v>45870</v>
      </c>
      <c r="K67" s="5">
        <v>45839</v>
      </c>
      <c r="L67" s="5">
        <v>45809</v>
      </c>
      <c r="M67" s="5">
        <v>45778</v>
      </c>
      <c r="N67" s="5">
        <v>45748</v>
      </c>
      <c r="O67" s="5">
        <v>45717</v>
      </c>
      <c r="P67" s="5">
        <v>45689</v>
      </c>
      <c r="Q67" s="5">
        <v>45658</v>
      </c>
      <c r="R67" s="5">
        <v>45627</v>
      </c>
      <c r="S67" s="5">
        <v>45597</v>
      </c>
      <c r="T67" s="5">
        <v>45566</v>
      </c>
      <c r="U67" s="5">
        <v>45536</v>
      </c>
      <c r="V67" s="5">
        <v>45505</v>
      </c>
      <c r="W67" s="5">
        <v>45474</v>
      </c>
      <c r="X67" s="5">
        <v>45444</v>
      </c>
      <c r="Y67" s="5">
        <v>45413</v>
      </c>
    </row>
    <row r="68" spans="1:25">
      <c r="A68" s="6" t="s">
        <v>1664</v>
      </c>
      <c r="B68" s="7">
        <v>7866</v>
      </c>
      <c r="C68" s="7">
        <v>8783.25</v>
      </c>
      <c r="D68" s="7">
        <v>8477.11</v>
      </c>
      <c r="E68" s="7">
        <v>11305.25</v>
      </c>
      <c r="F68" s="7">
        <v>11280.03</v>
      </c>
      <c r="G68" s="7">
        <v>12780.44</v>
      </c>
      <c r="H68" s="7">
        <v>12569.8</v>
      </c>
      <c r="I68" s="7">
        <v>12849.01</v>
      </c>
      <c r="J68" s="7">
        <v>12833.18</v>
      </c>
      <c r="K68" s="7">
        <v>13206.93</v>
      </c>
      <c r="L68" s="7">
        <v>12894.76</v>
      </c>
      <c r="M68" s="7">
        <v>11436.53</v>
      </c>
      <c r="N68" s="7">
        <v>8443.0400000000009</v>
      </c>
      <c r="O68" s="7">
        <v>5635.6</v>
      </c>
      <c r="P68" s="7">
        <v>6450.37</v>
      </c>
      <c r="Q68" s="7">
        <v>7221.14</v>
      </c>
      <c r="R68" s="7">
        <v>6849.83</v>
      </c>
      <c r="S68" s="7">
        <v>7463.85</v>
      </c>
      <c r="T68" s="7">
        <v>8196.82</v>
      </c>
      <c r="U68" s="7">
        <v>8031.85</v>
      </c>
      <c r="V68" s="7">
        <v>7010.54</v>
      </c>
      <c r="W68" s="7">
        <v>8540.9699999999993</v>
      </c>
      <c r="X68" s="7">
        <v>8268.6200000000008</v>
      </c>
      <c r="Y68" s="7">
        <v>7111.73</v>
      </c>
    </row>
    <row r="69" spans="1:25">
      <c r="A69" s="6" t="s">
        <v>1666</v>
      </c>
      <c r="B69" s="7">
        <f t="shared" ref="B69:W69" si="6">SUM(B68:D68)/3</f>
        <v>8375.4533333333329</v>
      </c>
      <c r="C69" s="7">
        <f t="shared" si="6"/>
        <v>9521.8700000000008</v>
      </c>
      <c r="D69" s="7">
        <f t="shared" si="6"/>
        <v>10354.129999999999</v>
      </c>
      <c r="E69" s="7">
        <f t="shared" si="6"/>
        <v>11788.573333333334</v>
      </c>
      <c r="F69" s="7">
        <f t="shared" si="6"/>
        <v>12210.090000000002</v>
      </c>
      <c r="G69" s="7">
        <f t="shared" si="6"/>
        <v>12733.083333333334</v>
      </c>
      <c r="H69" s="7">
        <f t="shared" si="6"/>
        <v>12750.663333333332</v>
      </c>
      <c r="I69" s="7">
        <f t="shared" si="6"/>
        <v>12963.04</v>
      </c>
      <c r="J69" s="7">
        <f t="shared" si="6"/>
        <v>12978.29</v>
      </c>
      <c r="K69" s="7">
        <f t="shared" si="6"/>
        <v>12512.74</v>
      </c>
      <c r="L69" s="7">
        <f t="shared" si="6"/>
        <v>10924.776666666667</v>
      </c>
      <c r="M69" s="7">
        <f t="shared" si="6"/>
        <v>8505.0566666666655</v>
      </c>
      <c r="N69" s="7">
        <f t="shared" si="6"/>
        <v>6843.003333333334</v>
      </c>
      <c r="O69" s="7">
        <f t="shared" si="6"/>
        <v>6435.7033333333338</v>
      </c>
      <c r="P69" s="7">
        <f t="shared" si="6"/>
        <v>6840.4466666666667</v>
      </c>
      <c r="Q69" s="7">
        <f t="shared" si="6"/>
        <v>7178.2733333333335</v>
      </c>
      <c r="R69" s="7">
        <f t="shared" si="6"/>
        <v>7503.5</v>
      </c>
      <c r="S69" s="7">
        <f t="shared" si="6"/>
        <v>7897.5066666666671</v>
      </c>
      <c r="T69" s="7">
        <f t="shared" si="6"/>
        <v>7746.4033333333327</v>
      </c>
      <c r="U69" s="7">
        <f t="shared" si="6"/>
        <v>7861.12</v>
      </c>
      <c r="V69" s="7">
        <f t="shared" si="6"/>
        <v>7940.0433333333322</v>
      </c>
      <c r="W69" s="7">
        <f t="shared" si="6"/>
        <v>7973.7733333333335</v>
      </c>
    </row>
    <row r="70" spans="1:25">
      <c r="A70" s="6" t="s">
        <v>1671</v>
      </c>
      <c r="B70" s="7">
        <v>5098.29</v>
      </c>
      <c r="C70" s="7">
        <v>6024</v>
      </c>
      <c r="D70" s="7">
        <v>5255.21</v>
      </c>
      <c r="E70" s="7">
        <v>7474</v>
      </c>
      <c r="F70" s="7">
        <v>7304</v>
      </c>
      <c r="G70" s="7">
        <v>8234</v>
      </c>
      <c r="H70" s="7">
        <v>8412</v>
      </c>
      <c r="I70" s="7">
        <v>8673</v>
      </c>
      <c r="J70" s="7">
        <v>9231</v>
      </c>
      <c r="K70" s="7">
        <v>9557</v>
      </c>
      <c r="L70" s="7">
        <v>9385</v>
      </c>
      <c r="M70" s="7">
        <v>8185</v>
      </c>
      <c r="N70" s="7">
        <v>5235</v>
      </c>
      <c r="O70" s="7">
        <v>3285</v>
      </c>
      <c r="P70" s="7">
        <v>2876</v>
      </c>
      <c r="Q70" s="7">
        <v>4501</v>
      </c>
      <c r="R70" s="7">
        <v>4830.83</v>
      </c>
      <c r="S70" s="7">
        <v>6021.85</v>
      </c>
      <c r="T70" s="7">
        <v>5323.38</v>
      </c>
      <c r="U70" s="7">
        <v>5529.4</v>
      </c>
      <c r="V70" s="7">
        <v>5789.54</v>
      </c>
      <c r="W70" s="7">
        <v>7164.97</v>
      </c>
      <c r="X70" s="7">
        <v>6500.62</v>
      </c>
      <c r="Y70" s="7">
        <v>5929.73</v>
      </c>
    </row>
    <row r="71" spans="1:25">
      <c r="A71" s="6" t="s">
        <v>1672</v>
      </c>
      <c r="B71" s="7">
        <f t="shared" ref="B71:W71" si="7">SUM(B70:D70)/3</f>
        <v>5459.166666666667</v>
      </c>
      <c r="C71" s="7">
        <f t="shared" si="7"/>
        <v>6251.07</v>
      </c>
      <c r="D71" s="7">
        <f t="shared" si="7"/>
        <v>6677.7366666666667</v>
      </c>
      <c r="E71" s="7">
        <f t="shared" si="7"/>
        <v>7670.666666666667</v>
      </c>
      <c r="F71" s="7">
        <f t="shared" si="7"/>
        <v>7983.333333333333</v>
      </c>
      <c r="G71" s="7">
        <f t="shared" si="7"/>
        <v>8439.6666666666661</v>
      </c>
      <c r="H71" s="7">
        <f t="shared" si="7"/>
        <v>8772</v>
      </c>
      <c r="I71" s="7">
        <f t="shared" si="7"/>
        <v>9153.6666666666661</v>
      </c>
      <c r="J71" s="7">
        <f t="shared" si="7"/>
        <v>9391</v>
      </c>
      <c r="K71" s="7">
        <f t="shared" si="7"/>
        <v>9042.3333333333339</v>
      </c>
      <c r="L71" s="7">
        <f t="shared" si="7"/>
        <v>7601.666666666667</v>
      </c>
      <c r="M71" s="7">
        <f t="shared" si="7"/>
        <v>5568.333333333333</v>
      </c>
      <c r="N71" s="7">
        <f t="shared" si="7"/>
        <v>3798.6666666666665</v>
      </c>
      <c r="O71" s="7">
        <f t="shared" si="7"/>
        <v>3554</v>
      </c>
      <c r="P71" s="7">
        <f t="shared" si="7"/>
        <v>4069.2766666666666</v>
      </c>
      <c r="Q71" s="7">
        <f t="shared" si="7"/>
        <v>5117.8933333333334</v>
      </c>
      <c r="R71" s="7">
        <f t="shared" si="7"/>
        <v>5392.02</v>
      </c>
      <c r="S71" s="7">
        <f t="shared" si="7"/>
        <v>5624.8766666666661</v>
      </c>
      <c r="T71" s="7">
        <f t="shared" si="7"/>
        <v>5547.44</v>
      </c>
      <c r="U71" s="7">
        <f t="shared" si="7"/>
        <v>6161.3033333333333</v>
      </c>
      <c r="V71" s="7">
        <f t="shared" si="7"/>
        <v>6485.043333333334</v>
      </c>
      <c r="W71" s="7">
        <f t="shared" si="7"/>
        <v>6531.7733333333335</v>
      </c>
    </row>
    <row r="72" spans="1:25">
      <c r="B72" s="7"/>
      <c r="C72" s="7"/>
      <c r="D72" s="7"/>
      <c r="E72" s="7"/>
      <c r="F72" s="7"/>
      <c r="G72" s="7"/>
      <c r="H72" s="7"/>
      <c r="I72" s="7"/>
      <c r="J72" s="7"/>
      <c r="K72" s="7"/>
      <c r="L72" s="7"/>
      <c r="M72" s="7"/>
      <c r="N72" s="7"/>
      <c r="O72" s="7"/>
      <c r="P72" s="7"/>
      <c r="Q72" s="7"/>
    </row>
    <row r="90" spans="1:25">
      <c r="A90" s="1" t="s">
        <v>1673</v>
      </c>
      <c r="B90" s="5">
        <v>46113</v>
      </c>
      <c r="C90" s="5">
        <v>46082</v>
      </c>
      <c r="D90" s="5">
        <v>46054</v>
      </c>
      <c r="E90" s="5">
        <v>46023</v>
      </c>
      <c r="F90" s="5">
        <v>45992</v>
      </c>
      <c r="G90" s="5">
        <v>45962</v>
      </c>
      <c r="H90" s="5">
        <v>45931</v>
      </c>
      <c r="I90" s="5">
        <v>45901</v>
      </c>
      <c r="J90" s="5">
        <v>45870</v>
      </c>
      <c r="K90" s="5">
        <v>45839</v>
      </c>
      <c r="L90" s="5">
        <v>45809</v>
      </c>
      <c r="M90" s="5">
        <v>45778</v>
      </c>
      <c r="N90" s="5">
        <v>45748</v>
      </c>
      <c r="O90" s="5">
        <v>45717</v>
      </c>
      <c r="P90" s="5">
        <v>45689</v>
      </c>
      <c r="Q90" s="5">
        <v>45658</v>
      </c>
      <c r="R90" s="5">
        <v>45627</v>
      </c>
      <c r="S90" s="5">
        <v>45597</v>
      </c>
      <c r="T90" s="5">
        <v>45566</v>
      </c>
      <c r="U90" s="5">
        <v>45536</v>
      </c>
      <c r="V90" s="5">
        <v>45505</v>
      </c>
      <c r="W90" s="5">
        <v>45474</v>
      </c>
      <c r="X90" s="5">
        <v>45444</v>
      </c>
      <c r="Y90" s="5">
        <v>45413</v>
      </c>
    </row>
    <row r="91" spans="1:25">
      <c r="A91" s="6" t="s">
        <v>1664</v>
      </c>
      <c r="B91" s="6">
        <v>16</v>
      </c>
      <c r="C91" s="6">
        <v>23</v>
      </c>
      <c r="D91" s="6">
        <v>17</v>
      </c>
      <c r="E91" s="6">
        <v>26</v>
      </c>
      <c r="F91" s="6">
        <v>13</v>
      </c>
      <c r="G91" s="6">
        <v>18</v>
      </c>
      <c r="H91" s="6">
        <v>22</v>
      </c>
      <c r="I91" s="6">
        <v>30</v>
      </c>
      <c r="J91" s="6">
        <v>25</v>
      </c>
      <c r="K91" s="6">
        <v>42</v>
      </c>
      <c r="L91" s="6">
        <v>30</v>
      </c>
      <c r="M91" s="6">
        <v>42</v>
      </c>
      <c r="N91" s="6">
        <v>29</v>
      </c>
      <c r="O91" s="6">
        <v>22</v>
      </c>
      <c r="P91" s="6">
        <v>33</v>
      </c>
      <c r="Q91" s="6">
        <v>23</v>
      </c>
      <c r="R91" s="6">
        <v>16</v>
      </c>
      <c r="S91" s="6">
        <v>34</v>
      </c>
      <c r="T91" s="6">
        <v>28</v>
      </c>
      <c r="U91" s="6">
        <v>29</v>
      </c>
      <c r="V91" s="6">
        <v>39</v>
      </c>
      <c r="W91" s="6">
        <v>34</v>
      </c>
      <c r="X91" s="6">
        <v>18</v>
      </c>
      <c r="Y91" s="6">
        <v>24</v>
      </c>
    </row>
    <row r="92" spans="1:25">
      <c r="A92" s="6" t="s">
        <v>1666</v>
      </c>
      <c r="B92" s="7">
        <f t="shared" ref="B92:W92" si="8">SUM(B91:D91)/3</f>
        <v>18.666666666666668</v>
      </c>
      <c r="C92" s="7">
        <f t="shared" si="8"/>
        <v>22</v>
      </c>
      <c r="D92" s="7">
        <f t="shared" si="8"/>
        <v>18.666666666666668</v>
      </c>
      <c r="E92" s="7">
        <f t="shared" si="8"/>
        <v>19</v>
      </c>
      <c r="F92" s="7">
        <f t="shared" si="8"/>
        <v>17.666666666666668</v>
      </c>
      <c r="G92" s="7">
        <f t="shared" si="8"/>
        <v>23.333333333333332</v>
      </c>
      <c r="H92" s="7">
        <f t="shared" si="8"/>
        <v>25.666666666666668</v>
      </c>
      <c r="I92" s="7">
        <f t="shared" si="8"/>
        <v>32.333333333333336</v>
      </c>
      <c r="J92" s="7">
        <f t="shared" si="8"/>
        <v>32.333333333333336</v>
      </c>
      <c r="K92" s="7">
        <f t="shared" si="8"/>
        <v>38</v>
      </c>
      <c r="L92" s="7">
        <f t="shared" si="8"/>
        <v>33.666666666666664</v>
      </c>
      <c r="M92" s="7">
        <f t="shared" si="8"/>
        <v>31</v>
      </c>
      <c r="N92" s="7">
        <f t="shared" si="8"/>
        <v>28</v>
      </c>
      <c r="O92" s="7">
        <f t="shared" si="8"/>
        <v>26</v>
      </c>
      <c r="P92" s="7">
        <f t="shared" si="8"/>
        <v>24</v>
      </c>
      <c r="Q92" s="7">
        <f t="shared" si="8"/>
        <v>24.333333333333332</v>
      </c>
      <c r="R92" s="7">
        <f t="shared" si="8"/>
        <v>26</v>
      </c>
      <c r="S92" s="7">
        <f t="shared" si="8"/>
        <v>30.333333333333332</v>
      </c>
      <c r="T92" s="7">
        <f t="shared" si="8"/>
        <v>32</v>
      </c>
      <c r="U92" s="7">
        <f t="shared" si="8"/>
        <v>34</v>
      </c>
      <c r="V92" s="7">
        <f t="shared" si="8"/>
        <v>30.333333333333332</v>
      </c>
      <c r="W92" s="7">
        <f t="shared" si="8"/>
        <v>25.333333333333332</v>
      </c>
    </row>
    <row r="93" spans="1:25">
      <c r="A93" s="6" t="s">
        <v>1674</v>
      </c>
      <c r="B93" s="7">
        <v>13</v>
      </c>
      <c r="C93" s="7">
        <v>18</v>
      </c>
      <c r="D93" s="7">
        <v>11</v>
      </c>
      <c r="E93" s="7">
        <v>17</v>
      </c>
      <c r="F93" s="7">
        <v>10</v>
      </c>
      <c r="G93" s="7">
        <v>14</v>
      </c>
      <c r="H93" s="7">
        <v>19</v>
      </c>
      <c r="I93" s="7">
        <v>21</v>
      </c>
      <c r="J93" s="7">
        <v>20</v>
      </c>
      <c r="K93" s="7">
        <v>33</v>
      </c>
      <c r="L93" s="7">
        <v>20</v>
      </c>
      <c r="M93" s="7">
        <v>27</v>
      </c>
      <c r="N93" s="7">
        <v>22</v>
      </c>
      <c r="O93" s="7">
        <v>17</v>
      </c>
      <c r="P93" s="7">
        <v>28</v>
      </c>
      <c r="Q93" s="7">
        <v>22</v>
      </c>
      <c r="R93" s="7">
        <v>14</v>
      </c>
      <c r="S93" s="7">
        <v>26</v>
      </c>
      <c r="T93" s="7">
        <v>24</v>
      </c>
      <c r="U93" s="7">
        <v>24</v>
      </c>
      <c r="V93" s="7">
        <v>32</v>
      </c>
      <c r="W93" s="7">
        <v>30</v>
      </c>
      <c r="X93" s="7">
        <v>16</v>
      </c>
      <c r="Y93" s="7">
        <v>20</v>
      </c>
    </row>
    <row r="94" spans="1:25">
      <c r="A94" s="6" t="s">
        <v>1675</v>
      </c>
      <c r="B94" s="7">
        <v>2</v>
      </c>
      <c r="C94" s="7">
        <v>3</v>
      </c>
      <c r="D94" s="7">
        <v>3</v>
      </c>
      <c r="E94" s="7">
        <v>4</v>
      </c>
      <c r="F94" s="7">
        <v>0</v>
      </c>
      <c r="G94" s="7">
        <v>3</v>
      </c>
      <c r="H94" s="7">
        <v>1</v>
      </c>
      <c r="I94" s="7">
        <v>3</v>
      </c>
      <c r="J94" s="7">
        <v>3</v>
      </c>
      <c r="K94" s="7">
        <v>8</v>
      </c>
      <c r="L94" s="7">
        <v>5</v>
      </c>
      <c r="M94" s="7">
        <v>8</v>
      </c>
      <c r="N94" s="7">
        <v>5</v>
      </c>
      <c r="O94" s="7">
        <v>3</v>
      </c>
      <c r="P94" s="7">
        <v>2</v>
      </c>
      <c r="Q94" s="7">
        <v>0</v>
      </c>
      <c r="R94" s="7">
        <v>0</v>
      </c>
      <c r="S94" s="7">
        <v>8</v>
      </c>
      <c r="T94" s="7">
        <v>4</v>
      </c>
      <c r="U94" s="7">
        <v>4</v>
      </c>
      <c r="V94" s="7">
        <v>5</v>
      </c>
      <c r="W94" s="7">
        <v>4</v>
      </c>
      <c r="X94" s="7">
        <v>2</v>
      </c>
      <c r="Y94" s="7">
        <v>2</v>
      </c>
    </row>
    <row r="113" spans="1:25">
      <c r="A113" s="1" t="s">
        <v>1676</v>
      </c>
      <c r="B113" s="5">
        <v>46113</v>
      </c>
      <c r="C113" s="5">
        <v>46082</v>
      </c>
      <c r="D113" s="5">
        <v>46054</v>
      </c>
      <c r="E113" s="5">
        <v>46023</v>
      </c>
      <c r="F113" s="5">
        <v>45992</v>
      </c>
      <c r="G113" s="5">
        <v>45962</v>
      </c>
      <c r="H113" s="5">
        <v>45931</v>
      </c>
      <c r="I113" s="5">
        <v>45901</v>
      </c>
      <c r="J113" s="5">
        <v>45870</v>
      </c>
      <c r="K113" s="5">
        <v>45839</v>
      </c>
      <c r="L113" s="5">
        <v>45809</v>
      </c>
      <c r="M113" s="5">
        <v>45778</v>
      </c>
      <c r="N113" s="5">
        <v>45748</v>
      </c>
      <c r="O113" s="5">
        <v>45717</v>
      </c>
      <c r="P113" s="5">
        <v>45689</v>
      </c>
      <c r="Q113" s="5">
        <v>45658</v>
      </c>
      <c r="R113" s="5">
        <v>45627</v>
      </c>
      <c r="S113" s="5">
        <v>45597</v>
      </c>
      <c r="T113" s="5">
        <v>45566</v>
      </c>
      <c r="U113" s="5">
        <v>45536</v>
      </c>
      <c r="V113" s="5">
        <v>45505</v>
      </c>
      <c r="W113" s="5">
        <v>45474</v>
      </c>
      <c r="X113" s="5">
        <v>45444</v>
      </c>
      <c r="Y113" s="5">
        <v>45413</v>
      </c>
    </row>
    <row r="114" spans="1:25">
      <c r="A114" s="6" t="s">
        <v>1664</v>
      </c>
      <c r="B114" s="6">
        <v>417</v>
      </c>
      <c r="C114" s="6">
        <v>461</v>
      </c>
      <c r="D114" s="6">
        <v>461</v>
      </c>
      <c r="E114" s="6">
        <v>807</v>
      </c>
      <c r="F114" s="6">
        <f>775-29</f>
        <v>746</v>
      </c>
      <c r="G114" s="6">
        <v>666</v>
      </c>
      <c r="H114" s="6">
        <v>678</v>
      </c>
      <c r="I114" s="6">
        <v>758</v>
      </c>
      <c r="J114" s="6">
        <v>775</v>
      </c>
      <c r="K114" s="6">
        <v>762</v>
      </c>
      <c r="L114" s="6">
        <v>755</v>
      </c>
      <c r="M114" s="6">
        <v>670</v>
      </c>
      <c r="N114" s="6">
        <v>669</v>
      </c>
      <c r="O114" s="6">
        <v>683</v>
      </c>
      <c r="P114" s="6">
        <v>599</v>
      </c>
      <c r="Q114" s="6">
        <v>546</v>
      </c>
      <c r="R114" s="6">
        <v>451</v>
      </c>
      <c r="S114" s="6">
        <v>825</v>
      </c>
      <c r="T114" s="6">
        <v>640</v>
      </c>
      <c r="U114" s="6">
        <v>579</v>
      </c>
      <c r="V114" s="6">
        <v>562</v>
      </c>
      <c r="W114" s="6">
        <v>707</v>
      </c>
      <c r="X114" s="6">
        <v>530</v>
      </c>
      <c r="Y114" s="6">
        <v>514</v>
      </c>
    </row>
    <row r="115" spans="1:25">
      <c r="A115" s="6" t="s">
        <v>1666</v>
      </c>
      <c r="B115" s="7">
        <f t="shared" ref="B115:W115" si="9">SUM(B114:D114)/3</f>
        <v>446.33333333333331</v>
      </c>
      <c r="C115" s="7">
        <f t="shared" si="9"/>
        <v>576.33333333333337</v>
      </c>
      <c r="D115" s="7">
        <f t="shared" si="9"/>
        <v>671.33333333333337</v>
      </c>
      <c r="E115" s="7">
        <f t="shared" si="9"/>
        <v>739.66666666666663</v>
      </c>
      <c r="F115" s="7">
        <f t="shared" si="9"/>
        <v>696.66666666666663</v>
      </c>
      <c r="G115" s="7">
        <f t="shared" si="9"/>
        <v>700.66666666666663</v>
      </c>
      <c r="H115" s="7">
        <f t="shared" si="9"/>
        <v>737</v>
      </c>
      <c r="I115" s="7">
        <f t="shared" si="9"/>
        <v>765</v>
      </c>
      <c r="J115" s="7">
        <f t="shared" si="9"/>
        <v>764</v>
      </c>
      <c r="K115" s="7">
        <f t="shared" si="9"/>
        <v>729</v>
      </c>
      <c r="L115" s="7">
        <f t="shared" si="9"/>
        <v>698</v>
      </c>
      <c r="M115" s="7">
        <f t="shared" si="9"/>
        <v>674</v>
      </c>
      <c r="N115" s="7">
        <f t="shared" si="9"/>
        <v>650.33333333333337</v>
      </c>
      <c r="O115" s="7">
        <f t="shared" si="9"/>
        <v>609.33333333333337</v>
      </c>
      <c r="P115" s="7">
        <f t="shared" si="9"/>
        <v>532</v>
      </c>
      <c r="Q115" s="7">
        <f t="shared" si="9"/>
        <v>607.33333333333337</v>
      </c>
      <c r="R115" s="7">
        <f t="shared" si="9"/>
        <v>638.66666666666663</v>
      </c>
      <c r="S115" s="7">
        <f t="shared" si="9"/>
        <v>681.33333333333337</v>
      </c>
      <c r="T115" s="7">
        <f t="shared" si="9"/>
        <v>593.66666666666663</v>
      </c>
      <c r="U115" s="7">
        <f t="shared" si="9"/>
        <v>616</v>
      </c>
      <c r="V115" s="7">
        <f t="shared" si="9"/>
        <v>599.66666666666663</v>
      </c>
      <c r="W115" s="7">
        <f t="shared" si="9"/>
        <v>583.66666666666663</v>
      </c>
    </row>
    <row r="133" spans="1:25">
      <c r="A133" s="1" t="s">
        <v>1677</v>
      </c>
      <c r="B133" s="5">
        <v>46113</v>
      </c>
      <c r="C133" s="5">
        <v>46082</v>
      </c>
      <c r="D133" s="5">
        <v>46054</v>
      </c>
      <c r="E133" s="5">
        <v>46023</v>
      </c>
      <c r="F133" s="5">
        <v>45992</v>
      </c>
      <c r="G133" s="5">
        <v>45962</v>
      </c>
      <c r="H133" s="5">
        <v>45931</v>
      </c>
      <c r="I133" s="5">
        <v>45901</v>
      </c>
      <c r="J133" s="5">
        <v>45870</v>
      </c>
      <c r="K133" s="5">
        <v>45839</v>
      </c>
      <c r="L133" s="5">
        <v>45809</v>
      </c>
      <c r="M133" s="5">
        <v>45778</v>
      </c>
      <c r="N133" s="5">
        <v>45748</v>
      </c>
      <c r="O133" s="5">
        <v>45717</v>
      </c>
      <c r="P133" s="5">
        <v>45689</v>
      </c>
      <c r="Q133" s="5">
        <v>45658</v>
      </c>
      <c r="R133" s="5">
        <v>45627</v>
      </c>
      <c r="S133" s="5">
        <v>45597</v>
      </c>
      <c r="T133" s="5">
        <v>45566</v>
      </c>
      <c r="U133" s="5">
        <v>45536</v>
      </c>
      <c r="V133" s="5">
        <v>45505</v>
      </c>
      <c r="W133" s="5">
        <v>45474</v>
      </c>
      <c r="X133" s="5">
        <v>45444</v>
      </c>
      <c r="Y133" s="5">
        <v>45413</v>
      </c>
    </row>
    <row r="134" spans="1:25">
      <c r="A134" s="6" t="s">
        <v>1664</v>
      </c>
      <c r="B134" s="7">
        <f>3469+1533</f>
        <v>5002</v>
      </c>
      <c r="C134" s="7">
        <f>3459+1885</f>
        <v>5344</v>
      </c>
      <c r="D134" s="7">
        <f>3474+1828</f>
        <v>5302</v>
      </c>
      <c r="E134" s="7">
        <f>7563+3083</f>
        <v>10646</v>
      </c>
      <c r="F134" s="7">
        <f>6214+4095</f>
        <v>10309</v>
      </c>
      <c r="G134" s="7">
        <f>5325+5293</f>
        <v>10618</v>
      </c>
      <c r="H134" s="7">
        <f>6363+5034</f>
        <v>11397</v>
      </c>
      <c r="I134" s="7">
        <f>5841+3411</f>
        <v>9252</v>
      </c>
      <c r="J134" s="7">
        <f>6933+3540</f>
        <v>10473</v>
      </c>
      <c r="K134" s="7">
        <f>'[1]Ist Analysis'!B12+'[1]Ist Analysis'!C12</f>
        <v>11192</v>
      </c>
      <c r="L134" s="6">
        <f>6946+3824</f>
        <v>10770</v>
      </c>
      <c r="M134" s="6">
        <f>7501+2986</f>
        <v>10487</v>
      </c>
      <c r="N134" s="6">
        <f>7371+2141</f>
        <v>9512</v>
      </c>
      <c r="O134" s="6">
        <f>6151+1977</f>
        <v>8128</v>
      </c>
      <c r="P134" s="6">
        <f>5145+1719</f>
        <v>6864</v>
      </c>
      <c r="Q134" s="6">
        <f>5627+1623</f>
        <v>7250</v>
      </c>
      <c r="R134" s="6">
        <f>4989+1365</f>
        <v>6354</v>
      </c>
      <c r="S134" s="6">
        <f>7744+1932</f>
        <v>9676</v>
      </c>
      <c r="T134" s="6">
        <f>7289+1924</f>
        <v>9213</v>
      </c>
      <c r="U134" s="6">
        <f>7931+1754</f>
        <v>9685</v>
      </c>
      <c r="V134" s="6">
        <f>7249+2236</f>
        <v>9485</v>
      </c>
      <c r="W134" s="6">
        <f>7627+3034</f>
        <v>10661</v>
      </c>
      <c r="X134" s="6">
        <f>6472+2733</f>
        <v>9205</v>
      </c>
      <c r="Y134" s="6">
        <f>7133+2539</f>
        <v>9672</v>
      </c>
    </row>
    <row r="135" spans="1:25">
      <c r="A135" s="6" t="s">
        <v>1666</v>
      </c>
      <c r="B135" s="7">
        <f t="shared" ref="B135:G135" si="10">SUM(B134:D134)/3</f>
        <v>5216</v>
      </c>
      <c r="C135" s="7">
        <f t="shared" si="10"/>
        <v>7097.333333333333</v>
      </c>
      <c r="D135" s="7">
        <f t="shared" si="10"/>
        <v>8752.3333333333339</v>
      </c>
      <c r="E135" s="7">
        <f t="shared" si="10"/>
        <v>10524.333333333334</v>
      </c>
      <c r="F135" s="7">
        <f t="shared" si="10"/>
        <v>10774.666666666666</v>
      </c>
      <c r="G135" s="7">
        <f t="shared" si="10"/>
        <v>10422.333333333334</v>
      </c>
      <c r="H135" s="7">
        <f t="shared" ref="H135" si="11">SUM(H134:J134)/3</f>
        <v>10374</v>
      </c>
      <c r="I135" s="7">
        <f t="shared" ref="I135:W135" si="12">SUM(I134:K134)/3</f>
        <v>10305.666666666666</v>
      </c>
      <c r="J135" s="7">
        <f t="shared" si="12"/>
        <v>10811.666666666666</v>
      </c>
      <c r="K135" s="7">
        <f t="shared" si="12"/>
        <v>10816.333333333334</v>
      </c>
      <c r="L135" s="7">
        <f t="shared" si="12"/>
        <v>10256.333333333334</v>
      </c>
      <c r="M135" s="7">
        <f t="shared" si="12"/>
        <v>9375.6666666666661</v>
      </c>
      <c r="N135" s="7">
        <f t="shared" si="12"/>
        <v>8168</v>
      </c>
      <c r="O135" s="7">
        <f t="shared" si="12"/>
        <v>7414</v>
      </c>
      <c r="P135" s="7">
        <f t="shared" si="12"/>
        <v>6822.666666666667</v>
      </c>
      <c r="Q135" s="7">
        <f t="shared" si="12"/>
        <v>7760</v>
      </c>
      <c r="R135" s="7">
        <f t="shared" si="12"/>
        <v>8414.3333333333339</v>
      </c>
      <c r="S135" s="7">
        <f t="shared" si="12"/>
        <v>9524.6666666666661</v>
      </c>
      <c r="T135" s="7">
        <f t="shared" si="12"/>
        <v>9461</v>
      </c>
      <c r="U135" s="7">
        <f t="shared" si="12"/>
        <v>9943.6666666666661</v>
      </c>
      <c r="V135" s="7">
        <f t="shared" si="12"/>
        <v>9783.6666666666661</v>
      </c>
      <c r="W135" s="7">
        <f t="shared" si="12"/>
        <v>9846</v>
      </c>
    </row>
    <row r="154" spans="1:25">
      <c r="A154" s="1" t="s">
        <v>1676</v>
      </c>
      <c r="B154" s="5">
        <v>46113</v>
      </c>
      <c r="C154" s="5">
        <v>46082</v>
      </c>
      <c r="D154" s="5">
        <v>46054</v>
      </c>
      <c r="E154" s="5">
        <v>46023</v>
      </c>
      <c r="F154" s="5">
        <v>45992</v>
      </c>
      <c r="G154" s="5">
        <v>45962</v>
      </c>
      <c r="H154" s="5">
        <v>45931</v>
      </c>
      <c r="I154" s="5">
        <v>45901</v>
      </c>
      <c r="J154" s="5">
        <v>45870</v>
      </c>
      <c r="K154" s="5">
        <v>45839</v>
      </c>
      <c r="L154" s="5">
        <v>45809</v>
      </c>
      <c r="M154" s="5">
        <v>45778</v>
      </c>
      <c r="N154" s="5">
        <v>45748</v>
      </c>
      <c r="O154" s="5">
        <v>45717</v>
      </c>
      <c r="P154" s="5">
        <v>45689</v>
      </c>
      <c r="Q154" s="5">
        <v>45658</v>
      </c>
      <c r="R154" s="5">
        <v>45627</v>
      </c>
      <c r="S154" s="5">
        <v>45597</v>
      </c>
      <c r="T154" s="5">
        <v>45566</v>
      </c>
      <c r="U154" s="5">
        <v>45536</v>
      </c>
      <c r="V154" s="5">
        <v>45505</v>
      </c>
      <c r="W154" s="5">
        <v>45474</v>
      </c>
      <c r="X154" s="5">
        <v>45444</v>
      </c>
      <c r="Y154" s="5">
        <v>45413</v>
      </c>
    </row>
    <row r="155" spans="1:25">
      <c r="A155" s="6" t="s">
        <v>1678</v>
      </c>
      <c r="B155" s="6">
        <v>417</v>
      </c>
      <c r="C155" s="6">
        <f>461+19</f>
        <v>480</v>
      </c>
      <c r="D155" s="6">
        <f>461+21</f>
        <v>482</v>
      </c>
      <c r="E155" s="6">
        <v>807</v>
      </c>
      <c r="F155" s="6">
        <v>829</v>
      </c>
      <c r="G155" s="8">
        <v>666</v>
      </c>
      <c r="H155" s="8">
        <v>678</v>
      </c>
      <c r="I155" s="8">
        <v>758</v>
      </c>
      <c r="J155" s="6">
        <v>775</v>
      </c>
      <c r="K155" s="6">
        <v>762</v>
      </c>
      <c r="L155" s="6">
        <v>755</v>
      </c>
      <c r="M155" s="6">
        <v>670</v>
      </c>
      <c r="N155" s="6">
        <v>669</v>
      </c>
      <c r="O155" s="6">
        <v>683</v>
      </c>
      <c r="P155" s="6">
        <v>599</v>
      </c>
      <c r="Q155" s="6">
        <v>546</v>
      </c>
      <c r="R155" s="6">
        <v>451</v>
      </c>
      <c r="S155" s="6">
        <v>825</v>
      </c>
      <c r="T155" s="6">
        <v>640</v>
      </c>
      <c r="U155" s="6">
        <v>579</v>
      </c>
      <c r="V155" s="6">
        <v>562</v>
      </c>
      <c r="W155" s="6">
        <v>707</v>
      </c>
      <c r="X155" s="6">
        <v>530</v>
      </c>
      <c r="Y155" s="6">
        <v>514</v>
      </c>
    </row>
    <row r="156" spans="1:25" s="9" customFormat="1">
      <c r="A156" s="9" t="s">
        <v>1679</v>
      </c>
      <c r="B156" s="9">
        <v>237</v>
      </c>
      <c r="C156" s="9">
        <v>254</v>
      </c>
      <c r="D156" s="9">
        <f>241+14</f>
        <v>255</v>
      </c>
      <c r="E156" s="9">
        <v>380</v>
      </c>
      <c r="F156" s="9">
        <v>265</v>
      </c>
      <c r="G156" s="9">
        <v>279</v>
      </c>
      <c r="H156" s="9">
        <v>211</v>
      </c>
      <c r="I156" s="9">
        <v>342</v>
      </c>
      <c r="J156" s="9">
        <v>370</v>
      </c>
      <c r="K156" s="9">
        <v>382</v>
      </c>
      <c r="L156" s="9">
        <v>329</v>
      </c>
      <c r="M156" s="9">
        <v>341</v>
      </c>
      <c r="N156" s="9">
        <v>380</v>
      </c>
      <c r="O156" s="9">
        <v>358</v>
      </c>
      <c r="P156" s="9">
        <v>351</v>
      </c>
      <c r="Q156" s="9">
        <v>369</v>
      </c>
      <c r="R156" s="9">
        <v>298</v>
      </c>
      <c r="S156" s="9">
        <v>604</v>
      </c>
      <c r="T156" s="9">
        <v>446</v>
      </c>
      <c r="U156" s="9">
        <v>380</v>
      </c>
      <c r="V156" s="9">
        <v>443</v>
      </c>
      <c r="W156" s="9">
        <v>560</v>
      </c>
      <c r="X156" s="9">
        <v>409</v>
      </c>
      <c r="Y156" s="9">
        <v>410</v>
      </c>
    </row>
    <row r="157" spans="1:25">
      <c r="A157" s="6" t="s">
        <v>36</v>
      </c>
      <c r="B157" s="6">
        <v>125</v>
      </c>
      <c r="C157" s="6">
        <v>176</v>
      </c>
      <c r="D157" s="6">
        <v>146</v>
      </c>
      <c r="E157" s="6">
        <v>242</v>
      </c>
      <c r="F157" s="6">
        <v>167</v>
      </c>
      <c r="G157" s="6">
        <v>157</v>
      </c>
      <c r="H157" s="6">
        <v>90</v>
      </c>
      <c r="I157" s="6">
        <v>147</v>
      </c>
      <c r="J157" s="6">
        <v>214</v>
      </c>
      <c r="K157" s="6">
        <v>238</v>
      </c>
      <c r="L157" s="6">
        <v>185</v>
      </c>
      <c r="M157" s="6">
        <v>160</v>
      </c>
      <c r="N157" s="6">
        <v>199</v>
      </c>
      <c r="O157" s="6">
        <v>145</v>
      </c>
      <c r="P157" s="6">
        <v>110</v>
      </c>
      <c r="Q157" s="6">
        <v>150</v>
      </c>
      <c r="R157" s="6">
        <v>151</v>
      </c>
      <c r="S157" s="6">
        <v>269</v>
      </c>
      <c r="T157" s="6">
        <v>245</v>
      </c>
      <c r="U157" s="6">
        <v>216</v>
      </c>
      <c r="V157" s="6">
        <v>195</v>
      </c>
      <c r="W157" s="6">
        <v>208</v>
      </c>
      <c r="X157" s="6">
        <v>213</v>
      </c>
      <c r="Y157" s="6">
        <v>208</v>
      </c>
    </row>
    <row r="158" spans="1:25">
      <c r="A158" s="6" t="s">
        <v>97</v>
      </c>
      <c r="B158" s="6">
        <v>10</v>
      </c>
      <c r="C158" s="6">
        <v>10</v>
      </c>
      <c r="D158" s="6">
        <v>10</v>
      </c>
      <c r="E158" s="6">
        <v>14</v>
      </c>
      <c r="F158" s="6">
        <v>3</v>
      </c>
      <c r="G158" s="6">
        <v>4</v>
      </c>
      <c r="H158" s="6">
        <v>7</v>
      </c>
      <c r="I158" s="6">
        <v>8</v>
      </c>
      <c r="J158" s="6">
        <v>20</v>
      </c>
      <c r="K158" s="6">
        <v>12</v>
      </c>
      <c r="L158" s="6">
        <v>12</v>
      </c>
      <c r="M158" s="6">
        <v>20</v>
      </c>
      <c r="N158" s="6">
        <v>21</v>
      </c>
      <c r="O158" s="6">
        <v>30</v>
      </c>
      <c r="P158" s="6">
        <v>28</v>
      </c>
      <c r="Q158" s="6">
        <v>25</v>
      </c>
      <c r="R158" s="6">
        <v>7</v>
      </c>
      <c r="S158" s="6">
        <v>21</v>
      </c>
      <c r="T158" s="6">
        <v>11</v>
      </c>
      <c r="U158" s="6">
        <v>15</v>
      </c>
      <c r="V158" s="6">
        <v>14</v>
      </c>
      <c r="W158" s="6">
        <v>8</v>
      </c>
      <c r="X158" s="6">
        <v>12</v>
      </c>
      <c r="Y158" s="6">
        <v>8</v>
      </c>
    </row>
    <row r="159" spans="1:25">
      <c r="A159" s="6" t="s">
        <v>1680</v>
      </c>
      <c r="B159" s="6">
        <f t="shared" ref="B159:Y159" si="13">B156-B157-B158</f>
        <v>102</v>
      </c>
      <c r="C159" s="6">
        <f t="shared" si="13"/>
        <v>68</v>
      </c>
      <c r="D159" s="6">
        <f t="shared" si="13"/>
        <v>99</v>
      </c>
      <c r="E159" s="6">
        <f t="shared" si="13"/>
        <v>124</v>
      </c>
      <c r="F159" s="6">
        <f t="shared" si="13"/>
        <v>95</v>
      </c>
      <c r="G159" s="6">
        <f t="shared" si="13"/>
        <v>118</v>
      </c>
      <c r="H159" s="6">
        <f t="shared" si="13"/>
        <v>114</v>
      </c>
      <c r="I159" s="6">
        <f t="shared" si="13"/>
        <v>187</v>
      </c>
      <c r="J159" s="6">
        <f t="shared" si="13"/>
        <v>136</v>
      </c>
      <c r="K159" s="6">
        <f t="shared" si="13"/>
        <v>132</v>
      </c>
      <c r="L159" s="6">
        <f t="shared" si="13"/>
        <v>132</v>
      </c>
      <c r="M159" s="6">
        <f t="shared" si="13"/>
        <v>161</v>
      </c>
      <c r="N159" s="6">
        <f t="shared" si="13"/>
        <v>160</v>
      </c>
      <c r="O159" s="6">
        <f t="shared" si="13"/>
        <v>183</v>
      </c>
      <c r="P159" s="6">
        <f t="shared" si="13"/>
        <v>213</v>
      </c>
      <c r="Q159" s="6">
        <f t="shared" si="13"/>
        <v>194</v>
      </c>
      <c r="R159" s="6">
        <f t="shared" si="13"/>
        <v>140</v>
      </c>
      <c r="S159" s="6">
        <f t="shared" si="13"/>
        <v>314</v>
      </c>
      <c r="T159" s="6">
        <f t="shared" si="13"/>
        <v>190</v>
      </c>
      <c r="U159" s="6">
        <f t="shared" si="13"/>
        <v>149</v>
      </c>
      <c r="V159" s="6">
        <f t="shared" si="13"/>
        <v>234</v>
      </c>
      <c r="W159" s="6">
        <f t="shared" si="13"/>
        <v>344</v>
      </c>
      <c r="X159" s="6">
        <f t="shared" si="13"/>
        <v>184</v>
      </c>
      <c r="Y159" s="6">
        <f t="shared" si="13"/>
        <v>194</v>
      </c>
    </row>
    <row r="160" spans="1:25" s="10" customFormat="1">
      <c r="A160" s="10" t="s">
        <v>1681</v>
      </c>
      <c r="B160" s="10">
        <v>27</v>
      </c>
      <c r="C160" s="10">
        <v>19</v>
      </c>
      <c r="D160" s="10">
        <v>31</v>
      </c>
      <c r="E160" s="10">
        <v>78</v>
      </c>
      <c r="F160" s="10">
        <v>44</v>
      </c>
      <c r="G160" s="10">
        <v>12</v>
      </c>
      <c r="H160" s="10">
        <v>35</v>
      </c>
      <c r="I160" s="10">
        <v>63</v>
      </c>
      <c r="J160" s="10">
        <v>61</v>
      </c>
      <c r="K160" s="10">
        <v>71</v>
      </c>
      <c r="L160" s="10">
        <v>56</v>
      </c>
      <c r="M160" s="10">
        <v>80</v>
      </c>
      <c r="N160" s="10">
        <v>66</v>
      </c>
      <c r="O160" s="10">
        <v>89</v>
      </c>
      <c r="P160" s="10">
        <v>73</v>
      </c>
      <c r="Q160" s="10">
        <v>80</v>
      </c>
      <c r="R160" s="10">
        <v>38</v>
      </c>
      <c r="S160" s="10">
        <v>74</v>
      </c>
      <c r="T160" s="10">
        <v>54</v>
      </c>
      <c r="U160" s="10">
        <v>73</v>
      </c>
      <c r="V160" s="10">
        <v>88</v>
      </c>
      <c r="W160" s="10">
        <v>104</v>
      </c>
      <c r="X160" s="10">
        <v>85</v>
      </c>
      <c r="Y160" s="10">
        <v>76</v>
      </c>
    </row>
    <row r="161" spans="1:25">
      <c r="A161" s="6" t="s">
        <v>36</v>
      </c>
      <c r="B161" s="6">
        <v>6</v>
      </c>
      <c r="C161" s="6">
        <v>5</v>
      </c>
      <c r="D161" s="6">
        <v>12</v>
      </c>
      <c r="E161" s="6">
        <v>45</v>
      </c>
      <c r="F161" s="6">
        <v>30</v>
      </c>
      <c r="G161" s="6">
        <v>5</v>
      </c>
      <c r="H161" s="6">
        <v>23</v>
      </c>
      <c r="I161" s="6">
        <v>31</v>
      </c>
      <c r="J161" s="6">
        <v>17</v>
      </c>
      <c r="K161" s="6">
        <v>20</v>
      </c>
      <c r="L161" s="6">
        <v>41</v>
      </c>
      <c r="M161" s="6">
        <v>58</v>
      </c>
      <c r="N161" s="6">
        <v>38</v>
      </c>
      <c r="O161" s="6">
        <v>53</v>
      </c>
      <c r="P161" s="6">
        <v>46</v>
      </c>
      <c r="Q161" s="6">
        <v>61</v>
      </c>
      <c r="R161" s="6">
        <v>27</v>
      </c>
      <c r="S161" s="6">
        <v>54</v>
      </c>
      <c r="T161" s="6">
        <v>38</v>
      </c>
      <c r="U161" s="6">
        <v>54</v>
      </c>
      <c r="V161" s="6">
        <v>59</v>
      </c>
      <c r="W161" s="6">
        <v>58</v>
      </c>
      <c r="X161" s="6">
        <v>62</v>
      </c>
      <c r="Y161" s="6">
        <v>58</v>
      </c>
    </row>
    <row r="162" spans="1:25">
      <c r="A162" s="6" t="s">
        <v>97</v>
      </c>
      <c r="B162" s="6">
        <v>3</v>
      </c>
      <c r="C162" s="6">
        <v>5</v>
      </c>
      <c r="D162" s="6">
        <v>2</v>
      </c>
      <c r="E162" s="6">
        <v>2</v>
      </c>
      <c r="F162" s="6">
        <v>5</v>
      </c>
      <c r="G162" s="6">
        <v>0</v>
      </c>
      <c r="H162" s="6">
        <v>2</v>
      </c>
      <c r="I162" s="6">
        <v>8</v>
      </c>
      <c r="J162" s="6">
        <v>4</v>
      </c>
      <c r="K162" s="6">
        <v>5</v>
      </c>
      <c r="L162" s="6">
        <v>5</v>
      </c>
      <c r="M162" s="6">
        <v>6</v>
      </c>
      <c r="N162" s="6">
        <v>7</v>
      </c>
      <c r="O162" s="6">
        <v>14</v>
      </c>
      <c r="P162" s="6">
        <v>9</v>
      </c>
      <c r="Q162" s="6">
        <v>7</v>
      </c>
      <c r="R162" s="6">
        <v>4</v>
      </c>
      <c r="S162" s="6">
        <v>7</v>
      </c>
      <c r="T162" s="6">
        <v>5</v>
      </c>
      <c r="U162" s="6">
        <v>6</v>
      </c>
      <c r="V162" s="6">
        <v>5</v>
      </c>
      <c r="W162" s="6">
        <v>4</v>
      </c>
      <c r="X162" s="6">
        <v>6</v>
      </c>
      <c r="Y162" s="6">
        <v>4</v>
      </c>
    </row>
    <row r="163" spans="1:25">
      <c r="A163" s="6" t="s">
        <v>1680</v>
      </c>
      <c r="B163" s="6">
        <f t="shared" ref="B163:Y163" si="14">B160-B161-B162</f>
        <v>18</v>
      </c>
      <c r="C163" s="6">
        <f t="shared" si="14"/>
        <v>9</v>
      </c>
      <c r="D163" s="6">
        <f t="shared" si="14"/>
        <v>17</v>
      </c>
      <c r="E163" s="6">
        <f t="shared" si="14"/>
        <v>31</v>
      </c>
      <c r="F163" s="6">
        <f t="shared" si="14"/>
        <v>9</v>
      </c>
      <c r="G163" s="6">
        <f t="shared" si="14"/>
        <v>7</v>
      </c>
      <c r="H163" s="6">
        <f t="shared" si="14"/>
        <v>10</v>
      </c>
      <c r="I163" s="6">
        <f t="shared" si="14"/>
        <v>24</v>
      </c>
      <c r="J163" s="6">
        <f t="shared" si="14"/>
        <v>40</v>
      </c>
      <c r="K163" s="6">
        <f t="shared" si="14"/>
        <v>46</v>
      </c>
      <c r="L163" s="6">
        <f t="shared" si="14"/>
        <v>10</v>
      </c>
      <c r="M163" s="6">
        <f t="shared" si="14"/>
        <v>16</v>
      </c>
      <c r="N163" s="6">
        <f t="shared" si="14"/>
        <v>21</v>
      </c>
      <c r="O163" s="6">
        <f t="shared" si="14"/>
        <v>22</v>
      </c>
      <c r="P163" s="6">
        <f t="shared" si="14"/>
        <v>18</v>
      </c>
      <c r="Q163" s="6">
        <f t="shared" si="14"/>
        <v>12</v>
      </c>
      <c r="R163" s="6">
        <f t="shared" si="14"/>
        <v>7</v>
      </c>
      <c r="S163" s="6">
        <f t="shared" si="14"/>
        <v>13</v>
      </c>
      <c r="T163" s="6">
        <f t="shared" si="14"/>
        <v>11</v>
      </c>
      <c r="U163" s="6">
        <f t="shared" si="14"/>
        <v>13</v>
      </c>
      <c r="V163" s="6">
        <f t="shared" si="14"/>
        <v>24</v>
      </c>
      <c r="W163" s="6">
        <f t="shared" si="14"/>
        <v>42</v>
      </c>
      <c r="X163" s="6">
        <f t="shared" si="14"/>
        <v>17</v>
      </c>
      <c r="Y163" s="6">
        <f t="shared" si="14"/>
        <v>14</v>
      </c>
    </row>
    <row r="164" spans="1:25">
      <c r="A164" s="6" t="s">
        <v>244</v>
      </c>
      <c r="B164" s="6">
        <v>11</v>
      </c>
      <c r="C164" s="6">
        <v>10</v>
      </c>
      <c r="D164" s="6">
        <f>33+7</f>
        <v>40</v>
      </c>
      <c r="E164" s="6">
        <v>101</v>
      </c>
      <c r="F164" s="6">
        <v>113</v>
      </c>
      <c r="G164" s="6">
        <v>47</v>
      </c>
      <c r="H164" s="6">
        <v>62</v>
      </c>
      <c r="I164" s="6">
        <v>72</v>
      </c>
      <c r="J164" s="6">
        <v>93</v>
      </c>
      <c r="K164" s="6">
        <v>105</v>
      </c>
      <c r="L164" s="6">
        <v>85</v>
      </c>
      <c r="M164" s="6">
        <v>85</v>
      </c>
      <c r="N164" s="6">
        <v>80</v>
      </c>
      <c r="O164" s="6">
        <v>91</v>
      </c>
      <c r="P164" s="6">
        <v>89</v>
      </c>
      <c r="Q164" s="6">
        <v>29</v>
      </c>
      <c r="R164" s="6">
        <v>30</v>
      </c>
      <c r="S164" s="6">
        <v>32</v>
      </c>
      <c r="T164" s="6">
        <v>23</v>
      </c>
      <c r="U164" s="6">
        <v>29</v>
      </c>
      <c r="V164" s="6">
        <v>24</v>
      </c>
      <c r="W164" s="6">
        <v>37</v>
      </c>
      <c r="X164" s="6">
        <v>35</v>
      </c>
      <c r="Y164" s="6">
        <v>29</v>
      </c>
    </row>
    <row r="165" spans="1:25">
      <c r="A165" s="6" t="s">
        <v>1682</v>
      </c>
      <c r="B165" s="6">
        <v>73</v>
      </c>
      <c r="C165" s="6">
        <v>94</v>
      </c>
      <c r="D165" s="6">
        <v>77</v>
      </c>
      <c r="E165" s="6">
        <v>112</v>
      </c>
      <c r="F165" s="6">
        <v>175</v>
      </c>
      <c r="G165" s="6">
        <v>183</v>
      </c>
      <c r="H165" s="6">
        <f>206+21</f>
        <v>227</v>
      </c>
      <c r="I165" s="6">
        <f>175+7</f>
        <v>182</v>
      </c>
      <c r="J165" s="6">
        <v>152</v>
      </c>
      <c r="K165" s="6">
        <v>130</v>
      </c>
      <c r="L165" s="6">
        <v>172</v>
      </c>
      <c r="M165" s="6">
        <v>89</v>
      </c>
      <c r="N165" s="6">
        <v>31</v>
      </c>
      <c r="O165" s="6">
        <v>33</v>
      </c>
      <c r="P165" s="6">
        <v>7</v>
      </c>
      <c r="Q165" s="6">
        <v>3</v>
      </c>
      <c r="R165" s="6">
        <v>6</v>
      </c>
      <c r="S165" s="6">
        <v>2</v>
      </c>
      <c r="T165" s="6">
        <v>6</v>
      </c>
      <c r="U165" s="6">
        <v>3</v>
      </c>
      <c r="V165" s="6">
        <v>8</v>
      </c>
      <c r="W165" s="6">
        <v>6</v>
      </c>
      <c r="X165" s="6">
        <v>1</v>
      </c>
      <c r="Y165" s="6">
        <v>6</v>
      </c>
    </row>
    <row r="166" spans="1:25">
      <c r="A166" s="6" t="s">
        <v>1683</v>
      </c>
      <c r="B166" s="6">
        <v>16</v>
      </c>
      <c r="C166" s="6">
        <v>30</v>
      </c>
      <c r="D166" s="6">
        <v>20</v>
      </c>
      <c r="E166" s="6">
        <v>80</v>
      </c>
      <c r="F166" s="6">
        <v>69</v>
      </c>
      <c r="G166" s="6">
        <v>26</v>
      </c>
      <c r="H166" s="6">
        <v>31</v>
      </c>
      <c r="I166" s="6">
        <v>49</v>
      </c>
      <c r="J166" s="6">
        <v>12</v>
      </c>
      <c r="K166" s="6">
        <v>26</v>
      </c>
      <c r="L166" s="6">
        <v>18</v>
      </c>
      <c r="M166" s="6">
        <v>6</v>
      </c>
      <c r="N166" s="6">
        <v>28</v>
      </c>
      <c r="O166" s="6">
        <v>25</v>
      </c>
      <c r="P166" s="6">
        <v>7</v>
      </c>
    </row>
    <row r="168" spans="1:25">
      <c r="A168" s="6" t="s">
        <v>1684</v>
      </c>
      <c r="B168" s="6">
        <f>B157+B158+B161+B162</f>
        <v>144</v>
      </c>
      <c r="C168" s="6">
        <f>C157+C158+C161+C162</f>
        <v>196</v>
      </c>
      <c r="D168" s="6">
        <f>D157+D158+D161+D162</f>
        <v>170</v>
      </c>
      <c r="E168" s="6">
        <f>E157+E158+E161+E162</f>
        <v>303</v>
      </c>
      <c r="F168" s="6">
        <f t="shared" ref="F168:Y168" si="15">F157+F158+F161+F162</f>
        <v>205</v>
      </c>
      <c r="G168" s="6">
        <f t="shared" si="15"/>
        <v>166</v>
      </c>
      <c r="H168" s="6">
        <f t="shared" si="15"/>
        <v>122</v>
      </c>
      <c r="I168" s="6">
        <f t="shared" si="15"/>
        <v>194</v>
      </c>
      <c r="J168" s="6">
        <f t="shared" si="15"/>
        <v>255</v>
      </c>
      <c r="K168" s="6">
        <f t="shared" si="15"/>
        <v>275</v>
      </c>
      <c r="L168" s="6">
        <f t="shared" si="15"/>
        <v>243</v>
      </c>
      <c r="M168" s="6">
        <f t="shared" si="15"/>
        <v>244</v>
      </c>
      <c r="N168" s="6">
        <f t="shared" si="15"/>
        <v>265</v>
      </c>
      <c r="O168" s="6">
        <f t="shared" si="15"/>
        <v>242</v>
      </c>
      <c r="P168" s="6">
        <f t="shared" si="15"/>
        <v>193</v>
      </c>
      <c r="Q168" s="6">
        <f t="shared" si="15"/>
        <v>243</v>
      </c>
      <c r="R168" s="6">
        <f t="shared" si="15"/>
        <v>189</v>
      </c>
      <c r="S168" s="6">
        <f t="shared" si="15"/>
        <v>351</v>
      </c>
      <c r="T168" s="6">
        <f t="shared" si="15"/>
        <v>299</v>
      </c>
      <c r="U168" s="6">
        <f t="shared" si="15"/>
        <v>291</v>
      </c>
      <c r="V168" s="6">
        <f t="shared" si="15"/>
        <v>273</v>
      </c>
      <c r="W168" s="6">
        <f t="shared" si="15"/>
        <v>278</v>
      </c>
      <c r="X168" s="6">
        <f t="shared" si="15"/>
        <v>293</v>
      </c>
      <c r="Y168" s="6">
        <f t="shared" si="15"/>
        <v>278</v>
      </c>
    </row>
    <row r="169" spans="1:25">
      <c r="A169" s="6" t="s">
        <v>1685</v>
      </c>
      <c r="B169" s="6">
        <f>B159+B163</f>
        <v>120</v>
      </c>
      <c r="C169" s="6">
        <f>C159+C163</f>
        <v>77</v>
      </c>
      <c r="D169" s="6">
        <f>D159+D163</f>
        <v>116</v>
      </c>
      <c r="E169" s="6">
        <f>E159+E163</f>
        <v>155</v>
      </c>
      <c r="F169" s="6">
        <f t="shared" ref="F169:Y169" si="16">F159+F163</f>
        <v>104</v>
      </c>
      <c r="G169" s="6">
        <f t="shared" si="16"/>
        <v>125</v>
      </c>
      <c r="H169" s="6">
        <f t="shared" si="16"/>
        <v>124</v>
      </c>
      <c r="I169" s="6">
        <f t="shared" si="16"/>
        <v>211</v>
      </c>
      <c r="J169" s="6">
        <f t="shared" si="16"/>
        <v>176</v>
      </c>
      <c r="K169" s="6">
        <f t="shared" si="16"/>
        <v>178</v>
      </c>
      <c r="L169" s="6">
        <f t="shared" si="16"/>
        <v>142</v>
      </c>
      <c r="M169" s="6">
        <f t="shared" si="16"/>
        <v>177</v>
      </c>
      <c r="N169" s="6">
        <f t="shared" si="16"/>
        <v>181</v>
      </c>
      <c r="O169" s="6">
        <f t="shared" si="16"/>
        <v>205</v>
      </c>
      <c r="P169" s="6">
        <f t="shared" si="16"/>
        <v>231</v>
      </c>
      <c r="Q169" s="6">
        <f t="shared" si="16"/>
        <v>206</v>
      </c>
      <c r="R169" s="6">
        <f t="shared" si="16"/>
        <v>147</v>
      </c>
      <c r="S169" s="6">
        <f t="shared" si="16"/>
        <v>327</v>
      </c>
      <c r="T169" s="6">
        <f t="shared" si="16"/>
        <v>201</v>
      </c>
      <c r="U169" s="6">
        <f t="shared" si="16"/>
        <v>162</v>
      </c>
      <c r="V169" s="6">
        <f t="shared" si="16"/>
        <v>258</v>
      </c>
      <c r="W169" s="6">
        <f t="shared" si="16"/>
        <v>386</v>
      </c>
      <c r="X169" s="6">
        <f t="shared" si="16"/>
        <v>201</v>
      </c>
      <c r="Y169" s="6">
        <f t="shared" si="16"/>
        <v>208</v>
      </c>
    </row>
    <row r="189" spans="1:25">
      <c r="A189" s="6" t="s">
        <v>1686</v>
      </c>
      <c r="B189" s="5">
        <v>46113</v>
      </c>
      <c r="C189" s="5">
        <v>46082</v>
      </c>
      <c r="D189" s="5">
        <v>46054</v>
      </c>
      <c r="E189" s="5">
        <v>46023</v>
      </c>
      <c r="F189" s="5">
        <v>45992</v>
      </c>
      <c r="G189" s="5">
        <v>45962</v>
      </c>
      <c r="H189" s="5">
        <v>45931</v>
      </c>
      <c r="I189" s="5">
        <v>45901</v>
      </c>
      <c r="J189" s="5">
        <v>45870</v>
      </c>
      <c r="K189" s="5">
        <v>45839</v>
      </c>
      <c r="L189" s="5">
        <v>45809</v>
      </c>
      <c r="M189" s="5">
        <v>45778</v>
      </c>
      <c r="N189" s="5">
        <v>45748</v>
      </c>
      <c r="O189" s="5">
        <v>45717</v>
      </c>
      <c r="P189" s="5">
        <v>45689</v>
      </c>
      <c r="Q189" s="5">
        <v>45658</v>
      </c>
      <c r="R189" s="5">
        <v>45627</v>
      </c>
      <c r="S189" s="5">
        <v>45597</v>
      </c>
      <c r="T189" s="5">
        <v>45566</v>
      </c>
      <c r="U189" s="5">
        <v>45536</v>
      </c>
      <c r="V189" s="5">
        <v>45505</v>
      </c>
      <c r="W189" s="5">
        <v>45474</v>
      </c>
      <c r="X189" s="5">
        <v>45444</v>
      </c>
      <c r="Y189" s="5">
        <v>45413</v>
      </c>
    </row>
    <row r="190" spans="1:25">
      <c r="A190" s="9" t="s">
        <v>1679</v>
      </c>
      <c r="B190" s="11">
        <f>B93/B156</f>
        <v>5.4852320675105488E-2</v>
      </c>
      <c r="C190" s="11">
        <f>C93/C156</f>
        <v>7.0866141732283464E-2</v>
      </c>
      <c r="D190" s="11">
        <f>D93/D156</f>
        <v>4.3137254901960784E-2</v>
      </c>
      <c r="E190" s="11">
        <f>E93/E156</f>
        <v>4.4736842105263158E-2</v>
      </c>
      <c r="F190" s="11">
        <f t="shared" ref="F190:Y190" si="17">F93/F156</f>
        <v>3.7735849056603772E-2</v>
      </c>
      <c r="G190" s="11">
        <f t="shared" si="17"/>
        <v>5.0179211469534052E-2</v>
      </c>
      <c r="H190" s="11">
        <f t="shared" si="17"/>
        <v>9.004739336492891E-2</v>
      </c>
      <c r="I190" s="11">
        <f t="shared" si="17"/>
        <v>6.1403508771929821E-2</v>
      </c>
      <c r="J190" s="11">
        <f t="shared" si="17"/>
        <v>5.4054054054054057E-2</v>
      </c>
      <c r="K190" s="11">
        <f t="shared" si="17"/>
        <v>8.6387434554973816E-2</v>
      </c>
      <c r="L190" s="11">
        <f t="shared" si="17"/>
        <v>6.0790273556231005E-2</v>
      </c>
      <c r="M190" s="11">
        <f t="shared" si="17"/>
        <v>7.9178885630498533E-2</v>
      </c>
      <c r="N190" s="11">
        <f t="shared" si="17"/>
        <v>5.7894736842105263E-2</v>
      </c>
      <c r="O190" s="11">
        <f t="shared" si="17"/>
        <v>4.7486033519553071E-2</v>
      </c>
      <c r="P190" s="11">
        <f t="shared" si="17"/>
        <v>7.9772079772079771E-2</v>
      </c>
      <c r="Q190" s="11">
        <f t="shared" si="17"/>
        <v>5.9620596205962058E-2</v>
      </c>
      <c r="R190" s="11">
        <f t="shared" si="17"/>
        <v>4.6979865771812082E-2</v>
      </c>
      <c r="S190" s="11">
        <f t="shared" si="17"/>
        <v>4.3046357615894038E-2</v>
      </c>
      <c r="T190" s="11">
        <f t="shared" si="17"/>
        <v>5.3811659192825115E-2</v>
      </c>
      <c r="U190" s="11">
        <f t="shared" si="17"/>
        <v>6.3157894736842107E-2</v>
      </c>
      <c r="V190" s="11">
        <f t="shared" si="17"/>
        <v>7.2234762979683967E-2</v>
      </c>
      <c r="W190" s="11">
        <f t="shared" si="17"/>
        <v>5.3571428571428568E-2</v>
      </c>
      <c r="X190" s="11">
        <f t="shared" si="17"/>
        <v>3.9119804400977995E-2</v>
      </c>
      <c r="Y190" s="11">
        <f t="shared" si="17"/>
        <v>4.878048780487805E-2</v>
      </c>
    </row>
    <row r="191" spans="1:25">
      <c r="A191" s="10" t="s">
        <v>1681</v>
      </c>
      <c r="B191" s="11">
        <f>B94/B160</f>
        <v>7.407407407407407E-2</v>
      </c>
      <c r="C191" s="11">
        <f>C94/C160</f>
        <v>0.15789473684210525</v>
      </c>
      <c r="D191" s="11">
        <f>D94/D160</f>
        <v>9.6774193548387094E-2</v>
      </c>
      <c r="E191" s="11">
        <f>E94/E160</f>
        <v>5.128205128205128E-2</v>
      </c>
      <c r="F191" s="11">
        <f t="shared" ref="F191:Y191" si="18">F94/F160</f>
        <v>0</v>
      </c>
      <c r="G191" s="11">
        <f t="shared" si="18"/>
        <v>0.25</v>
      </c>
      <c r="H191" s="11">
        <f t="shared" si="18"/>
        <v>2.8571428571428571E-2</v>
      </c>
      <c r="I191" s="11">
        <f t="shared" si="18"/>
        <v>4.7619047619047616E-2</v>
      </c>
      <c r="J191" s="11">
        <f t="shared" si="18"/>
        <v>4.9180327868852458E-2</v>
      </c>
      <c r="K191" s="11">
        <f t="shared" si="18"/>
        <v>0.11267605633802817</v>
      </c>
      <c r="L191" s="11">
        <f t="shared" si="18"/>
        <v>8.9285714285714288E-2</v>
      </c>
      <c r="M191" s="11">
        <f t="shared" si="18"/>
        <v>0.1</v>
      </c>
      <c r="N191" s="11">
        <f t="shared" si="18"/>
        <v>7.575757575757576E-2</v>
      </c>
      <c r="O191" s="11">
        <f t="shared" si="18"/>
        <v>3.3707865168539325E-2</v>
      </c>
      <c r="P191" s="11">
        <f t="shared" si="18"/>
        <v>2.7397260273972601E-2</v>
      </c>
      <c r="Q191" s="11">
        <f t="shared" si="18"/>
        <v>0</v>
      </c>
      <c r="R191" s="11">
        <f t="shared" si="18"/>
        <v>0</v>
      </c>
      <c r="S191" s="11">
        <f t="shared" si="18"/>
        <v>0.10810810810810811</v>
      </c>
      <c r="T191" s="11">
        <f t="shared" si="18"/>
        <v>7.407407407407407E-2</v>
      </c>
      <c r="U191" s="11">
        <f t="shared" si="18"/>
        <v>5.4794520547945202E-2</v>
      </c>
      <c r="V191" s="11">
        <f t="shared" si="18"/>
        <v>5.6818181818181816E-2</v>
      </c>
      <c r="W191" s="11">
        <f t="shared" si="18"/>
        <v>3.8461538461538464E-2</v>
      </c>
      <c r="X191" s="11">
        <f t="shared" si="18"/>
        <v>2.3529411764705882E-2</v>
      </c>
      <c r="Y191" s="11">
        <f t="shared" si="18"/>
        <v>2.6315789473684209E-2</v>
      </c>
    </row>
    <row r="192" spans="1:25">
      <c r="A192" s="9" t="s">
        <v>1687</v>
      </c>
      <c r="B192" s="11">
        <f>((B93+C93+D93)/3)/((B156+C156+D156)/3)</f>
        <v>5.6300268096514748E-2</v>
      </c>
      <c r="C192" s="11">
        <f>((C93+D93+E93)/3)/((C156+D156+E156)/3)</f>
        <v>5.1743532058492692E-2</v>
      </c>
      <c r="D192" s="11">
        <f>((D93+E93+F93)/3)/((D156+E156+F156)/3)</f>
        <v>4.2222222222222223E-2</v>
      </c>
      <c r="E192" s="11">
        <f>((E93+F93+G93)/3)/((E156+F156+G156)/3)</f>
        <v>4.4372294372294369E-2</v>
      </c>
      <c r="F192" s="11">
        <f>((F93+G93+H93)/3)/((F156+G156+H156)/3)</f>
        <v>5.6953642384105968E-2</v>
      </c>
      <c r="G192" s="11">
        <f t="shared" ref="G192:W192" si="19">((G93+H93+I93)/3)/((G156+H156+I156)/3)</f>
        <v>6.4903846153846159E-2</v>
      </c>
      <c r="H192" s="11">
        <f t="shared" si="19"/>
        <v>6.500541711809317E-2</v>
      </c>
      <c r="I192" s="11">
        <f t="shared" si="19"/>
        <v>6.7641681901279713E-2</v>
      </c>
      <c r="J192" s="11">
        <f t="shared" si="19"/>
        <v>6.7530064754856609E-2</v>
      </c>
      <c r="K192" s="11">
        <f t="shared" si="19"/>
        <v>7.6045627376425853E-2</v>
      </c>
      <c r="L192" s="11">
        <f t="shared" si="19"/>
        <v>6.5714285714285711E-2</v>
      </c>
      <c r="M192" s="11">
        <f t="shared" si="19"/>
        <v>6.1167747914735865E-2</v>
      </c>
      <c r="N192" s="11">
        <f t="shared" si="19"/>
        <v>6.1524334251606978E-2</v>
      </c>
      <c r="O192" s="11">
        <f t="shared" si="19"/>
        <v>6.215213358070501E-2</v>
      </c>
      <c r="P192" s="11">
        <f t="shared" si="19"/>
        <v>6.2868369351669937E-2</v>
      </c>
      <c r="Q192" s="11">
        <f t="shared" si="19"/>
        <v>4.878048780487805E-2</v>
      </c>
      <c r="R192" s="11">
        <f t="shared" si="19"/>
        <v>4.7477744807121663E-2</v>
      </c>
      <c r="S192" s="11">
        <f t="shared" si="19"/>
        <v>5.1748251748251747E-2</v>
      </c>
      <c r="T192" s="11">
        <f t="shared" si="19"/>
        <v>6.3041765169424752E-2</v>
      </c>
      <c r="U192" s="11">
        <f t="shared" si="19"/>
        <v>6.2183658712942881E-2</v>
      </c>
      <c r="V192" s="11">
        <f t="shared" si="19"/>
        <v>5.5240793201133141E-2</v>
      </c>
      <c r="W192" s="11">
        <f t="shared" si="19"/>
        <v>4.7860768672951415E-2</v>
      </c>
      <c r="X192" s="11"/>
      <c r="Y192" s="11"/>
    </row>
    <row r="193" spans="1:23">
      <c r="A193" s="10" t="s">
        <v>1688</v>
      </c>
      <c r="B193" s="11">
        <f>((B94+C94+D94)/3)/((B160+C160+D160)/3)</f>
        <v>0.10389610389610389</v>
      </c>
      <c r="C193" s="11">
        <f>((C94+D94+E94)/3)/((C160+D160+E160)/3)</f>
        <v>7.8125000000000014E-2</v>
      </c>
      <c r="D193" s="11">
        <f>((D94+E94+F94)/3)/((D160+E160+F160)/3)</f>
        <v>4.5751633986928109E-2</v>
      </c>
      <c r="E193" s="11">
        <f>((E94+F94+G94)/3)/((E160+F160+G160)/3)</f>
        <v>5.2238805970149259E-2</v>
      </c>
      <c r="F193" s="11">
        <f t="shared" ref="F193:W193" si="20">((F94+G94+H94)/3)/((F160+G160+H160)/3)</f>
        <v>4.3956043956043953E-2</v>
      </c>
      <c r="G193" s="11">
        <f t="shared" si="20"/>
        <v>6.3636363636363644E-2</v>
      </c>
      <c r="H193" s="11">
        <f t="shared" si="20"/>
        <v>4.4025157232704407E-2</v>
      </c>
      <c r="I193" s="11">
        <f t="shared" si="20"/>
        <v>7.1794871794871803E-2</v>
      </c>
      <c r="J193" s="11">
        <f t="shared" si="20"/>
        <v>8.5106382978723402E-2</v>
      </c>
      <c r="K193" s="11">
        <f t="shared" si="20"/>
        <v>0.10144927536231885</v>
      </c>
      <c r="L193" s="11">
        <f t="shared" si="20"/>
        <v>8.9108910891089119E-2</v>
      </c>
      <c r="M193" s="11">
        <f t="shared" si="20"/>
        <v>6.8085106382978725E-2</v>
      </c>
      <c r="N193" s="11">
        <f t="shared" si="20"/>
        <v>4.3859649122807022E-2</v>
      </c>
      <c r="O193" s="11">
        <f t="shared" si="20"/>
        <v>2.0661157024793389E-2</v>
      </c>
      <c r="P193" s="11">
        <f t="shared" si="20"/>
        <v>1.0471204188481676E-2</v>
      </c>
      <c r="Q193" s="11">
        <f t="shared" si="20"/>
        <v>4.1666666666666664E-2</v>
      </c>
      <c r="R193" s="11">
        <f t="shared" si="20"/>
        <v>7.2289156626506021E-2</v>
      </c>
      <c r="S193" s="11">
        <f t="shared" si="20"/>
        <v>7.9601990049751242E-2</v>
      </c>
      <c r="T193" s="11">
        <f t="shared" si="20"/>
        <v>6.046511627906976E-2</v>
      </c>
      <c r="U193" s="11">
        <f t="shared" si="20"/>
        <v>4.9056603773584902E-2</v>
      </c>
      <c r="V193" s="11">
        <f t="shared" si="20"/>
        <v>3.9711191335740074E-2</v>
      </c>
      <c r="W193" s="11">
        <f t="shared" si="20"/>
        <v>3.0188679245283019E-2</v>
      </c>
    </row>
  </sheetData>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Q418"/>
  <sheetViews>
    <sheetView topLeftCell="G1" workbookViewId="0">
      <selection activeCell="H148" sqref="H148"/>
    </sheetView>
  </sheetViews>
  <sheetFormatPr defaultRowHeight="14.4"/>
  <cols>
    <col min="1" max="1" width="12" style="2" customWidth="1"/>
    <col min="2" max="3" width="50" style="2" customWidth="1"/>
    <col min="4" max="4" width="19.44140625" style="2" customWidth="1"/>
    <col min="5" max="5" width="36" style="2" customWidth="1"/>
    <col min="6" max="6" width="16.44140625" style="2" customWidth="1"/>
    <col min="7" max="7" width="42" style="2" customWidth="1"/>
    <col min="8" max="8" width="27" style="2" customWidth="1"/>
    <col min="9" max="9" width="45" style="2" customWidth="1"/>
    <col min="10" max="10" width="50" style="2" customWidth="1"/>
    <col min="11" max="11" width="31.44140625" style="2" customWidth="1"/>
    <col min="12" max="12" width="12" style="2" customWidth="1"/>
    <col min="13" max="13" width="27" style="2" customWidth="1"/>
    <col min="14" max="14" width="50" style="2" customWidth="1"/>
    <col min="15" max="15" width="30" style="2" customWidth="1"/>
    <col min="16" max="16" width="50" style="2" customWidth="1"/>
    <col min="17" max="17" width="15" style="2" customWidth="1"/>
    <col min="18" max="16384" width="8.88671875" style="2"/>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2</v>
      </c>
      <c r="Q1" s="1" t="s">
        <v>15</v>
      </c>
    </row>
    <row r="2" spans="1:17" hidden="1">
      <c r="A2" s="2">
        <v>12407</v>
      </c>
      <c r="B2" s="2" t="s">
        <v>379</v>
      </c>
      <c r="C2" s="2" t="s">
        <v>379</v>
      </c>
      <c r="D2" s="4">
        <v>46118</v>
      </c>
      <c r="E2" s="2" t="s">
        <v>57</v>
      </c>
      <c r="F2" s="2" t="s">
        <v>5</v>
      </c>
      <c r="G2" s="2" t="s">
        <v>18</v>
      </c>
      <c r="H2" s="2" t="s">
        <v>39</v>
      </c>
      <c r="I2" s="2" t="s">
        <v>380</v>
      </c>
      <c r="J2" s="2" t="s">
        <v>17</v>
      </c>
      <c r="K2" s="2" t="s">
        <v>17</v>
      </c>
      <c r="L2" s="2" t="s">
        <v>26</v>
      </c>
      <c r="M2" s="2" t="s">
        <v>27</v>
      </c>
      <c r="N2" s="2" t="s">
        <v>17</v>
      </c>
      <c r="O2" s="2" t="s">
        <v>382</v>
      </c>
      <c r="P2" s="2" t="s">
        <v>127</v>
      </c>
      <c r="Q2" s="2" t="s">
        <v>17</v>
      </c>
    </row>
    <row r="3" spans="1:17" hidden="1">
      <c r="A3" s="2">
        <v>12428</v>
      </c>
      <c r="B3" s="2" t="s">
        <v>410</v>
      </c>
      <c r="C3" s="2" t="s">
        <v>410</v>
      </c>
      <c r="D3" s="3">
        <v>46118.583333333328</v>
      </c>
      <c r="E3" s="2" t="s">
        <v>21</v>
      </c>
      <c r="F3" s="2" t="s">
        <v>5</v>
      </c>
      <c r="G3" s="2" t="s">
        <v>22</v>
      </c>
      <c r="H3" s="2" t="s">
        <v>39</v>
      </c>
      <c r="I3" s="2" t="s">
        <v>380</v>
      </c>
      <c r="J3" s="2" t="s">
        <v>17</v>
      </c>
      <c r="K3" s="2" t="s">
        <v>17</v>
      </c>
      <c r="L3" s="2" t="s">
        <v>26</v>
      </c>
      <c r="M3" s="2" t="s">
        <v>27</v>
      </c>
      <c r="N3" s="2" t="s">
        <v>17</v>
      </c>
      <c r="O3" s="2" t="s">
        <v>17</v>
      </c>
      <c r="P3" s="2" t="s">
        <v>127</v>
      </c>
      <c r="Q3" s="2" t="s">
        <v>17</v>
      </c>
    </row>
    <row r="4" spans="1:17" hidden="1">
      <c r="A4" s="2">
        <v>12434</v>
      </c>
      <c r="B4" s="2" t="s">
        <v>417</v>
      </c>
      <c r="C4" s="2" t="s">
        <v>417</v>
      </c>
      <c r="D4" s="3">
        <v>46118.625</v>
      </c>
      <c r="E4" s="2" t="s">
        <v>57</v>
      </c>
      <c r="F4" s="2" t="s">
        <v>230</v>
      </c>
      <c r="G4" s="2" t="s">
        <v>18</v>
      </c>
      <c r="H4" s="2" t="s">
        <v>17</v>
      </c>
      <c r="I4" s="2" t="s">
        <v>17</v>
      </c>
      <c r="J4" s="2" t="s">
        <v>17</v>
      </c>
      <c r="K4" s="2" t="s">
        <v>17</v>
      </c>
      <c r="L4" s="2" t="s">
        <v>17</v>
      </c>
      <c r="M4" s="2" t="s">
        <v>27</v>
      </c>
      <c r="N4" s="2" t="s">
        <v>17</v>
      </c>
      <c r="O4" s="2" t="s">
        <v>126</v>
      </c>
      <c r="P4" s="2" t="s">
        <v>127</v>
      </c>
      <c r="Q4" s="2" t="s">
        <v>17</v>
      </c>
    </row>
    <row r="5" spans="1:17" hidden="1">
      <c r="A5" s="2">
        <v>12446</v>
      </c>
      <c r="B5" s="2" t="s">
        <v>427</v>
      </c>
      <c r="C5" s="2" t="s">
        <v>427</v>
      </c>
      <c r="D5" s="3">
        <v>46118.875</v>
      </c>
      <c r="E5" s="2" t="s">
        <v>57</v>
      </c>
      <c r="F5" s="2" t="s">
        <v>5</v>
      </c>
      <c r="G5" s="2" t="s">
        <v>18</v>
      </c>
      <c r="H5" s="2" t="s">
        <v>23</v>
      </c>
      <c r="I5" s="2" t="s">
        <v>428</v>
      </c>
      <c r="J5" s="2" t="s">
        <v>17</v>
      </c>
      <c r="K5" s="2" t="s">
        <v>17</v>
      </c>
      <c r="L5" s="2" t="s">
        <v>26</v>
      </c>
      <c r="M5" s="2" t="s">
        <v>27</v>
      </c>
      <c r="N5" s="2" t="s">
        <v>17</v>
      </c>
      <c r="O5" s="2" t="s">
        <v>382</v>
      </c>
      <c r="P5" s="2" t="s">
        <v>127</v>
      </c>
      <c r="Q5" s="2" t="s">
        <v>17</v>
      </c>
    </row>
    <row r="6" spans="1:17" hidden="1">
      <c r="A6" s="2">
        <v>12531</v>
      </c>
      <c r="B6" s="2" t="s">
        <v>539</v>
      </c>
      <c r="C6" s="2" t="s">
        <v>539</v>
      </c>
      <c r="D6" s="3">
        <v>46120.583333333328</v>
      </c>
      <c r="E6" s="2" t="s">
        <v>57</v>
      </c>
      <c r="F6" s="2" t="s">
        <v>230</v>
      </c>
      <c r="G6" s="2" t="s">
        <v>18</v>
      </c>
      <c r="H6" s="2" t="s">
        <v>17</v>
      </c>
      <c r="I6" s="2" t="s">
        <v>540</v>
      </c>
      <c r="J6" s="2" t="s">
        <v>17</v>
      </c>
      <c r="K6" s="2" t="s">
        <v>17</v>
      </c>
      <c r="L6" s="2" t="s">
        <v>17</v>
      </c>
      <c r="M6" s="2" t="s">
        <v>27</v>
      </c>
      <c r="N6" s="2" t="s">
        <v>17</v>
      </c>
      <c r="O6" s="2" t="s">
        <v>126</v>
      </c>
      <c r="P6" s="2" t="s">
        <v>127</v>
      </c>
      <c r="Q6" s="2" t="s">
        <v>17</v>
      </c>
    </row>
    <row r="7" spans="1:17" hidden="1">
      <c r="A7" s="2">
        <v>12550</v>
      </c>
      <c r="B7" s="2" t="s">
        <v>551</v>
      </c>
      <c r="C7" s="2" t="s">
        <v>551</v>
      </c>
      <c r="D7" s="3">
        <v>46120.75</v>
      </c>
      <c r="E7" s="2" t="s">
        <v>179</v>
      </c>
      <c r="F7" s="2" t="s">
        <v>17</v>
      </c>
      <c r="G7" s="2" t="s">
        <v>22</v>
      </c>
      <c r="H7" s="2" t="s">
        <v>488</v>
      </c>
      <c r="I7" s="2" t="s">
        <v>17</v>
      </c>
      <c r="J7" s="2" t="s">
        <v>17</v>
      </c>
      <c r="K7" s="2" t="s">
        <v>17</v>
      </c>
      <c r="L7" s="2" t="s">
        <v>26</v>
      </c>
      <c r="M7" s="2" t="s">
        <v>27</v>
      </c>
      <c r="N7" s="2" t="s">
        <v>17</v>
      </c>
      <c r="O7" s="2" t="s">
        <v>17</v>
      </c>
      <c r="P7" s="2" t="s">
        <v>127</v>
      </c>
      <c r="Q7" s="2" t="s">
        <v>17</v>
      </c>
    </row>
    <row r="8" spans="1:17" hidden="1">
      <c r="A8" s="2">
        <v>12889</v>
      </c>
      <c r="B8" s="2" t="s">
        <v>1012</v>
      </c>
      <c r="C8" s="2" t="s">
        <v>1012</v>
      </c>
      <c r="D8" s="3">
        <v>46130.333333333328</v>
      </c>
      <c r="E8" s="2" t="s">
        <v>21</v>
      </c>
      <c r="F8" s="2" t="s">
        <v>5</v>
      </c>
      <c r="G8" s="2" t="s">
        <v>22</v>
      </c>
      <c r="H8" s="2" t="s">
        <v>244</v>
      </c>
      <c r="I8" s="2" t="s">
        <v>1013</v>
      </c>
      <c r="J8" s="2" t="s">
        <v>17</v>
      </c>
      <c r="K8" s="2" t="s">
        <v>17</v>
      </c>
      <c r="L8" s="2" t="s">
        <v>26</v>
      </c>
      <c r="M8" s="2" t="s">
        <v>27</v>
      </c>
      <c r="N8" s="2" t="s">
        <v>17</v>
      </c>
      <c r="O8" s="2" t="s">
        <v>17</v>
      </c>
      <c r="P8" s="2" t="s">
        <v>127</v>
      </c>
      <c r="Q8" s="2" t="s">
        <v>17</v>
      </c>
    </row>
    <row r="9" spans="1:17" hidden="1">
      <c r="A9" s="2">
        <v>13054</v>
      </c>
      <c r="B9" s="2" t="s">
        <v>1210</v>
      </c>
      <c r="C9" s="2" t="s">
        <v>1211</v>
      </c>
      <c r="D9" s="3">
        <v>46134.583333333328</v>
      </c>
      <c r="E9" s="2" t="s">
        <v>57</v>
      </c>
      <c r="F9" s="2" t="s">
        <v>5</v>
      </c>
      <c r="G9" s="2" t="s">
        <v>22</v>
      </c>
      <c r="H9" s="2" t="s">
        <v>39</v>
      </c>
      <c r="I9" s="2" t="s">
        <v>648</v>
      </c>
      <c r="J9" s="2" t="s">
        <v>17</v>
      </c>
      <c r="K9" s="2" t="s">
        <v>17</v>
      </c>
      <c r="L9" s="2" t="s">
        <v>26</v>
      </c>
      <c r="M9" s="2" t="s">
        <v>27</v>
      </c>
      <c r="N9" s="2" t="s">
        <v>17</v>
      </c>
      <c r="O9" s="2" t="s">
        <v>107</v>
      </c>
      <c r="P9" s="2" t="s">
        <v>127</v>
      </c>
      <c r="Q9" s="2" t="s">
        <v>17</v>
      </c>
    </row>
    <row r="10" spans="1:17" hidden="1">
      <c r="A10" s="2">
        <v>12337</v>
      </c>
      <c r="B10" s="2" t="s">
        <v>213</v>
      </c>
      <c r="C10" s="2" t="s">
        <v>213</v>
      </c>
      <c r="D10" s="3">
        <v>46115.136111111111</v>
      </c>
      <c r="E10" s="2" t="s">
        <v>16</v>
      </c>
      <c r="F10" s="2" t="s">
        <v>5</v>
      </c>
      <c r="G10" s="2" t="s">
        <v>18</v>
      </c>
      <c r="H10" s="2" t="s">
        <v>23</v>
      </c>
      <c r="I10" s="2" t="s">
        <v>88</v>
      </c>
      <c r="J10" s="2" t="s">
        <v>17</v>
      </c>
      <c r="K10" s="2" t="s">
        <v>17</v>
      </c>
      <c r="L10" s="2" t="s">
        <v>26</v>
      </c>
      <c r="M10" s="2" t="s">
        <v>19</v>
      </c>
      <c r="N10" s="2" t="s">
        <v>214</v>
      </c>
      <c r="O10" s="2" t="s">
        <v>17</v>
      </c>
      <c r="P10" s="2" t="s">
        <v>41</v>
      </c>
      <c r="Q10" s="2" t="s">
        <v>17</v>
      </c>
    </row>
    <row r="11" spans="1:17" hidden="1">
      <c r="A11" s="2">
        <v>13256</v>
      </c>
      <c r="B11" s="2" t="s">
        <v>1485</v>
      </c>
      <c r="C11" s="2" t="s">
        <v>1485</v>
      </c>
      <c r="D11" s="3">
        <v>46139.6875</v>
      </c>
      <c r="E11" s="2" t="s">
        <v>1186</v>
      </c>
      <c r="F11" s="2" t="s">
        <v>17</v>
      </c>
      <c r="G11" s="2" t="s">
        <v>22</v>
      </c>
      <c r="H11" s="2" t="s">
        <v>39</v>
      </c>
      <c r="I11" s="2" t="s">
        <v>17</v>
      </c>
      <c r="J11" s="2" t="s">
        <v>17</v>
      </c>
      <c r="K11" s="2" t="s">
        <v>17</v>
      </c>
      <c r="L11" s="2" t="s">
        <v>26</v>
      </c>
      <c r="M11" s="2" t="s">
        <v>27</v>
      </c>
      <c r="N11" s="2" t="s">
        <v>1486</v>
      </c>
      <c r="O11" s="2" t="s">
        <v>17</v>
      </c>
      <c r="P11" s="2" t="s">
        <v>127</v>
      </c>
      <c r="Q11" s="2" t="s">
        <v>17</v>
      </c>
    </row>
    <row r="12" spans="1:17" hidden="1">
      <c r="A12" s="2">
        <v>13358</v>
      </c>
      <c r="B12" s="2" t="s">
        <v>1591</v>
      </c>
      <c r="C12" s="2" t="s">
        <v>1591</v>
      </c>
      <c r="D12" s="3">
        <v>46141.888194444444</v>
      </c>
      <c r="E12" s="2" t="s">
        <v>167</v>
      </c>
      <c r="F12" s="2" t="s">
        <v>5</v>
      </c>
      <c r="G12" s="2" t="s">
        <v>18</v>
      </c>
      <c r="H12" s="2" t="s">
        <v>168</v>
      </c>
      <c r="I12" s="2" t="s">
        <v>187</v>
      </c>
      <c r="J12" s="2" t="s">
        <v>1592</v>
      </c>
      <c r="K12" s="2" t="s">
        <v>1593</v>
      </c>
      <c r="L12" s="2" t="s">
        <v>26</v>
      </c>
      <c r="M12" s="2" t="s">
        <v>47</v>
      </c>
      <c r="N12" s="2" t="s">
        <v>1594</v>
      </c>
      <c r="O12" s="2" t="s">
        <v>17</v>
      </c>
      <c r="P12" s="2" t="s">
        <v>29</v>
      </c>
      <c r="Q12" s="2" t="s">
        <v>17</v>
      </c>
    </row>
    <row r="13" spans="1:17" hidden="1">
      <c r="A13" s="2">
        <v>12268</v>
      </c>
      <c r="B13" s="2" t="s">
        <v>122</v>
      </c>
      <c r="C13" s="2" t="s">
        <v>122</v>
      </c>
      <c r="D13" s="3">
        <v>46114.361805555556</v>
      </c>
      <c r="E13" s="2" t="s">
        <v>16</v>
      </c>
      <c r="F13" s="2" t="s">
        <v>5</v>
      </c>
      <c r="G13" s="2" t="s">
        <v>22</v>
      </c>
      <c r="H13" s="2" t="s">
        <v>23</v>
      </c>
      <c r="I13" s="2" t="s">
        <v>17</v>
      </c>
      <c r="J13" s="2" t="s">
        <v>17</v>
      </c>
      <c r="K13" s="2" t="s">
        <v>17</v>
      </c>
      <c r="L13" s="2" t="s">
        <v>54</v>
      </c>
      <c r="M13" s="2" t="s">
        <v>19</v>
      </c>
      <c r="N13" s="2" t="s">
        <v>123</v>
      </c>
      <c r="O13" s="2" t="s">
        <v>17</v>
      </c>
      <c r="P13" s="2" t="s">
        <v>41</v>
      </c>
      <c r="Q13" s="2" t="s">
        <v>17</v>
      </c>
    </row>
    <row r="14" spans="1:17" hidden="1">
      <c r="A14" s="2">
        <v>12959</v>
      </c>
      <c r="B14" s="2" t="s">
        <v>1109</v>
      </c>
      <c r="C14" s="2" t="s">
        <v>1109</v>
      </c>
      <c r="D14" s="3">
        <v>46132.583333333328</v>
      </c>
      <c r="E14" s="2" t="s">
        <v>57</v>
      </c>
      <c r="F14" s="2" t="s">
        <v>230</v>
      </c>
      <c r="G14" s="2" t="s">
        <v>17</v>
      </c>
      <c r="H14" s="2" t="s">
        <v>244</v>
      </c>
      <c r="I14" s="2" t="s">
        <v>350</v>
      </c>
      <c r="J14" s="2" t="s">
        <v>17</v>
      </c>
      <c r="K14" s="2" t="s">
        <v>17</v>
      </c>
      <c r="L14" s="2" t="s">
        <v>26</v>
      </c>
      <c r="M14" s="2" t="s">
        <v>27</v>
      </c>
      <c r="N14" s="2" t="s">
        <v>1110</v>
      </c>
      <c r="O14" s="2" t="s">
        <v>126</v>
      </c>
      <c r="P14" s="2" t="s">
        <v>127</v>
      </c>
      <c r="Q14" s="2" t="s">
        <v>17</v>
      </c>
    </row>
    <row r="15" spans="1:17" hidden="1">
      <c r="A15" s="2">
        <v>12998</v>
      </c>
      <c r="B15" s="2" t="s">
        <v>1144</v>
      </c>
      <c r="C15" s="2" t="s">
        <v>1144</v>
      </c>
      <c r="D15" s="3">
        <v>46133.486805555556</v>
      </c>
      <c r="E15" s="2" t="s">
        <v>57</v>
      </c>
      <c r="F15" s="2" t="s">
        <v>5</v>
      </c>
      <c r="G15" s="2" t="s">
        <v>17</v>
      </c>
      <c r="H15" s="2" t="s">
        <v>23</v>
      </c>
      <c r="I15" s="2" t="s">
        <v>720</v>
      </c>
      <c r="J15" s="2" t="s">
        <v>1145</v>
      </c>
      <c r="K15" s="2" t="s">
        <v>1146</v>
      </c>
      <c r="L15" s="2" t="s">
        <v>54</v>
      </c>
      <c r="M15" s="2" t="s">
        <v>27</v>
      </c>
      <c r="N15" s="2" t="s">
        <v>1147</v>
      </c>
      <c r="O15" s="2" t="s">
        <v>126</v>
      </c>
      <c r="P15" s="2" t="s">
        <v>36</v>
      </c>
      <c r="Q15" s="2" t="s">
        <v>17</v>
      </c>
    </row>
    <row r="16" spans="1:17" hidden="1">
      <c r="A16" s="2">
        <v>12818</v>
      </c>
      <c r="B16" s="2" t="s">
        <v>940</v>
      </c>
      <c r="C16" s="2" t="s">
        <v>940</v>
      </c>
      <c r="D16" s="3">
        <v>46128.564583333333</v>
      </c>
      <c r="E16" s="2" t="s">
        <v>57</v>
      </c>
      <c r="F16" s="2" t="s">
        <v>17</v>
      </c>
      <c r="G16" s="2" t="s">
        <v>17</v>
      </c>
      <c r="H16" s="2" t="s">
        <v>43</v>
      </c>
      <c r="I16" s="2" t="s">
        <v>74</v>
      </c>
      <c r="J16" s="2" t="s">
        <v>941</v>
      </c>
      <c r="K16" s="2" t="s">
        <v>942</v>
      </c>
      <c r="L16" s="2" t="s">
        <v>26</v>
      </c>
      <c r="M16" s="2" t="s">
        <v>47</v>
      </c>
      <c r="N16" s="2" t="s">
        <v>943</v>
      </c>
      <c r="O16" s="2" t="s">
        <v>78</v>
      </c>
      <c r="P16" s="2" t="s">
        <v>36</v>
      </c>
      <c r="Q16" s="2" t="s">
        <v>17</v>
      </c>
    </row>
    <row r="17" spans="1:17" hidden="1">
      <c r="A17" s="2">
        <v>13284</v>
      </c>
      <c r="B17" s="2" t="s">
        <v>1533</v>
      </c>
      <c r="C17" s="2" t="s">
        <v>1533</v>
      </c>
      <c r="D17" s="3">
        <v>46140.188888888893</v>
      </c>
      <c r="E17" s="2" t="s">
        <v>57</v>
      </c>
      <c r="F17" s="2" t="s">
        <v>5</v>
      </c>
      <c r="G17" s="2" t="s">
        <v>18</v>
      </c>
      <c r="H17" s="2" t="s">
        <v>23</v>
      </c>
      <c r="I17" s="2" t="s">
        <v>159</v>
      </c>
      <c r="J17" s="2" t="s">
        <v>449</v>
      </c>
      <c r="K17" s="2" t="s">
        <v>1534</v>
      </c>
      <c r="L17" s="2" t="s">
        <v>26</v>
      </c>
      <c r="M17" s="2" t="s">
        <v>27</v>
      </c>
      <c r="N17" s="2" t="s">
        <v>1535</v>
      </c>
      <c r="O17" s="2" t="s">
        <v>62</v>
      </c>
      <c r="P17" s="2" t="s">
        <v>29</v>
      </c>
      <c r="Q17" s="2" t="s">
        <v>17</v>
      </c>
    </row>
    <row r="18" spans="1:17" hidden="1">
      <c r="A18" s="2">
        <v>12265</v>
      </c>
      <c r="B18" s="2" t="s">
        <v>118</v>
      </c>
      <c r="C18" s="2" t="s">
        <v>118</v>
      </c>
      <c r="D18" s="3">
        <v>46114.229861111111</v>
      </c>
      <c r="E18" s="2" t="s">
        <v>57</v>
      </c>
      <c r="F18" s="2" t="s">
        <v>5</v>
      </c>
      <c r="G18" s="2" t="s">
        <v>18</v>
      </c>
      <c r="H18" s="2" t="s">
        <v>23</v>
      </c>
      <c r="I18" s="2" t="s">
        <v>88</v>
      </c>
      <c r="J18" s="2" t="s">
        <v>119</v>
      </c>
      <c r="K18" s="2" t="s">
        <v>120</v>
      </c>
      <c r="L18" s="2" t="s">
        <v>26</v>
      </c>
      <c r="M18" s="2" t="s">
        <v>27</v>
      </c>
      <c r="N18" s="2" t="s">
        <v>121</v>
      </c>
      <c r="O18" s="2" t="s">
        <v>62</v>
      </c>
      <c r="P18" s="2" t="s">
        <v>36</v>
      </c>
      <c r="Q18" s="2" t="s">
        <v>17</v>
      </c>
    </row>
    <row r="19" spans="1:17" hidden="1">
      <c r="A19" s="2">
        <v>12244</v>
      </c>
      <c r="B19" s="2" t="s">
        <v>73</v>
      </c>
      <c r="C19" s="2" t="s">
        <v>73</v>
      </c>
      <c r="D19" s="3">
        <v>46113.78125</v>
      </c>
      <c r="E19" s="2" t="s">
        <v>57</v>
      </c>
      <c r="F19" s="2" t="s">
        <v>5</v>
      </c>
      <c r="G19" s="2" t="s">
        <v>22</v>
      </c>
      <c r="H19" s="2" t="s">
        <v>43</v>
      </c>
      <c r="I19" s="2" t="s">
        <v>74</v>
      </c>
      <c r="J19" s="2" t="s">
        <v>75</v>
      </c>
      <c r="K19" s="2" t="s">
        <v>76</v>
      </c>
      <c r="L19" s="2" t="s">
        <v>26</v>
      </c>
      <c r="M19" s="2" t="s">
        <v>47</v>
      </c>
      <c r="N19" s="2" t="s">
        <v>77</v>
      </c>
      <c r="O19" s="2" t="s">
        <v>78</v>
      </c>
      <c r="P19" s="2" t="s">
        <v>36</v>
      </c>
      <c r="Q19" s="2" t="s">
        <v>17</v>
      </c>
    </row>
    <row r="20" spans="1:17" hidden="1">
      <c r="A20" s="2">
        <v>12928</v>
      </c>
      <c r="B20" s="2" t="s">
        <v>1087</v>
      </c>
      <c r="C20" s="2" t="s">
        <v>1088</v>
      </c>
      <c r="D20" s="3">
        <v>46132.116666666669</v>
      </c>
      <c r="E20" s="2" t="s">
        <v>57</v>
      </c>
      <c r="F20" s="2" t="s">
        <v>5</v>
      </c>
      <c r="G20" s="2" t="s">
        <v>22</v>
      </c>
      <c r="H20" s="2" t="s">
        <v>168</v>
      </c>
      <c r="I20" s="2" t="s">
        <v>187</v>
      </c>
      <c r="J20" s="2" t="s">
        <v>1089</v>
      </c>
      <c r="K20" s="2" t="s">
        <v>1090</v>
      </c>
      <c r="L20" s="2" t="s">
        <v>26</v>
      </c>
      <c r="M20" s="2" t="s">
        <v>47</v>
      </c>
      <c r="N20" s="2" t="s">
        <v>1091</v>
      </c>
      <c r="O20" s="2" t="s">
        <v>126</v>
      </c>
      <c r="P20" s="2" t="s">
        <v>36</v>
      </c>
      <c r="Q20" s="2" t="s">
        <v>17</v>
      </c>
    </row>
    <row r="21" spans="1:17" hidden="1">
      <c r="A21" s="2">
        <v>12760</v>
      </c>
      <c r="B21" s="2" t="s">
        <v>880</v>
      </c>
      <c r="C21" s="2" t="s">
        <v>881</v>
      </c>
      <c r="D21" s="3">
        <v>46126.904166666667</v>
      </c>
      <c r="E21" s="2" t="s">
        <v>57</v>
      </c>
      <c r="F21" s="2" t="s">
        <v>5</v>
      </c>
      <c r="G21" s="2" t="s">
        <v>18</v>
      </c>
      <c r="H21" s="2" t="s">
        <v>23</v>
      </c>
      <c r="I21" s="2" t="s">
        <v>88</v>
      </c>
      <c r="J21" s="2" t="s">
        <v>882</v>
      </c>
      <c r="K21" s="2" t="s">
        <v>883</v>
      </c>
      <c r="L21" s="2" t="s">
        <v>26</v>
      </c>
      <c r="M21" s="2" t="s">
        <v>27</v>
      </c>
      <c r="N21" s="2" t="s">
        <v>884</v>
      </c>
      <c r="O21" s="2" t="s">
        <v>78</v>
      </c>
      <c r="P21" s="2" t="s">
        <v>36</v>
      </c>
      <c r="Q21" s="2" t="s">
        <v>17</v>
      </c>
    </row>
    <row r="22" spans="1:17" hidden="1">
      <c r="A22" s="2">
        <v>12204</v>
      </c>
      <c r="B22" s="2" t="s">
        <v>37</v>
      </c>
      <c r="C22" s="2" t="s">
        <v>38</v>
      </c>
      <c r="D22" s="3">
        <v>46113.430555555555</v>
      </c>
      <c r="E22" s="2" t="s">
        <v>21</v>
      </c>
      <c r="F22" s="2" t="s">
        <v>5</v>
      </c>
      <c r="G22" s="2" t="s">
        <v>22</v>
      </c>
      <c r="H22" s="2" t="s">
        <v>39</v>
      </c>
      <c r="I22" s="2" t="s">
        <v>17</v>
      </c>
      <c r="J22" s="2" t="s">
        <v>17</v>
      </c>
      <c r="K22" s="2" t="s">
        <v>17</v>
      </c>
      <c r="L22" s="2" t="s">
        <v>26</v>
      </c>
      <c r="M22" s="2" t="s">
        <v>27</v>
      </c>
      <c r="N22" s="2" t="s">
        <v>40</v>
      </c>
      <c r="O22" s="2" t="s">
        <v>17</v>
      </c>
      <c r="P22" s="2" t="s">
        <v>41</v>
      </c>
      <c r="Q22" s="2" t="s">
        <v>17</v>
      </c>
    </row>
    <row r="23" spans="1:17" hidden="1">
      <c r="A23" s="2">
        <v>13081</v>
      </c>
      <c r="B23" s="2" t="s">
        <v>1269</v>
      </c>
      <c r="C23" s="2" t="s">
        <v>1270</v>
      </c>
      <c r="D23" s="3">
        <v>46135.11319444445</v>
      </c>
      <c r="E23" s="2" t="s">
        <v>16</v>
      </c>
      <c r="F23" s="2" t="s">
        <v>17</v>
      </c>
      <c r="G23" s="2" t="s">
        <v>18</v>
      </c>
      <c r="H23" s="2" t="s">
        <v>17</v>
      </c>
      <c r="I23" s="2" t="s">
        <v>17</v>
      </c>
      <c r="J23" s="2" t="s">
        <v>17</v>
      </c>
      <c r="K23" s="2" t="s">
        <v>17</v>
      </c>
      <c r="L23" s="2" t="s">
        <v>26</v>
      </c>
      <c r="M23" s="2" t="s">
        <v>19</v>
      </c>
      <c r="N23" s="2" t="s">
        <v>1271</v>
      </c>
      <c r="O23" s="2" t="s">
        <v>17</v>
      </c>
      <c r="P23" s="2" t="s">
        <v>49</v>
      </c>
      <c r="Q23" s="2" t="s">
        <v>17</v>
      </c>
    </row>
    <row r="24" spans="1:17" hidden="1">
      <c r="A24" s="2">
        <v>12419</v>
      </c>
      <c r="B24" s="2" t="s">
        <v>401</v>
      </c>
      <c r="C24" s="2" t="s">
        <v>402</v>
      </c>
      <c r="D24" s="3">
        <v>46118.473611111112</v>
      </c>
      <c r="E24" s="2" t="s">
        <v>57</v>
      </c>
      <c r="F24" s="2" t="s">
        <v>5</v>
      </c>
      <c r="G24" s="2" t="s">
        <v>22</v>
      </c>
      <c r="H24" s="2" t="s">
        <v>43</v>
      </c>
      <c r="I24" s="2" t="s">
        <v>142</v>
      </c>
      <c r="J24" s="2" t="s">
        <v>403</v>
      </c>
      <c r="K24" s="2" t="s">
        <v>404</v>
      </c>
      <c r="L24" s="2" t="s">
        <v>26</v>
      </c>
      <c r="M24" s="2" t="s">
        <v>47</v>
      </c>
      <c r="N24" s="2" t="s">
        <v>405</v>
      </c>
      <c r="O24" s="2" t="s">
        <v>107</v>
      </c>
      <c r="P24" s="2" t="s">
        <v>36</v>
      </c>
      <c r="Q24" s="2" t="s">
        <v>17</v>
      </c>
    </row>
    <row r="25" spans="1:17" hidden="1">
      <c r="A25" s="2">
        <v>12755</v>
      </c>
      <c r="B25" s="2" t="s">
        <v>864</v>
      </c>
      <c r="C25" s="2" t="s">
        <v>865</v>
      </c>
      <c r="D25" s="3">
        <v>46126.832638888889</v>
      </c>
      <c r="E25" s="2" t="s">
        <v>57</v>
      </c>
      <c r="F25" s="2" t="s">
        <v>17</v>
      </c>
      <c r="G25" s="2" t="s">
        <v>22</v>
      </c>
      <c r="H25" s="2" t="s">
        <v>43</v>
      </c>
      <c r="I25" s="2" t="s">
        <v>142</v>
      </c>
      <c r="J25" s="2" t="s">
        <v>866</v>
      </c>
      <c r="K25" s="2" t="s">
        <v>867</v>
      </c>
      <c r="L25" s="2" t="s">
        <v>26</v>
      </c>
      <c r="M25" s="2" t="s">
        <v>47</v>
      </c>
      <c r="N25" s="2" t="s">
        <v>868</v>
      </c>
      <c r="O25" s="2" t="s">
        <v>78</v>
      </c>
      <c r="P25" s="2" t="s">
        <v>36</v>
      </c>
      <c r="Q25" s="2" t="s">
        <v>17</v>
      </c>
    </row>
    <row r="26" spans="1:17" hidden="1">
      <c r="A26" s="2">
        <v>12950</v>
      </c>
      <c r="B26" s="2" t="s">
        <v>1107</v>
      </c>
      <c r="C26" s="2" t="s">
        <v>1107</v>
      </c>
      <c r="D26" s="3">
        <v>46132.416666666672</v>
      </c>
      <c r="E26" s="2" t="s">
        <v>900</v>
      </c>
      <c r="F26" s="2" t="s">
        <v>5</v>
      </c>
      <c r="G26" s="2" t="s">
        <v>22</v>
      </c>
      <c r="H26" s="2" t="s">
        <v>39</v>
      </c>
      <c r="I26" s="2" t="s">
        <v>17</v>
      </c>
      <c r="J26" s="2" t="s">
        <v>17</v>
      </c>
      <c r="K26" s="2" t="s">
        <v>17</v>
      </c>
      <c r="L26" s="2" t="s">
        <v>26</v>
      </c>
      <c r="M26" s="2" t="s">
        <v>27</v>
      </c>
      <c r="N26" s="2" t="s">
        <v>1108</v>
      </c>
      <c r="O26" s="2" t="s">
        <v>17</v>
      </c>
      <c r="P26" s="2" t="s">
        <v>127</v>
      </c>
      <c r="Q26" s="2" t="s">
        <v>17</v>
      </c>
    </row>
    <row r="27" spans="1:17" hidden="1">
      <c r="A27" s="2">
        <v>12356</v>
      </c>
      <c r="B27" s="2" t="s">
        <v>232</v>
      </c>
      <c r="C27" s="2" t="s">
        <v>232</v>
      </c>
      <c r="D27" s="3">
        <v>46115.590277777781</v>
      </c>
      <c r="E27" s="2" t="s">
        <v>21</v>
      </c>
      <c r="F27" s="2" t="s">
        <v>5</v>
      </c>
      <c r="G27" s="2" t="s">
        <v>22</v>
      </c>
      <c r="H27" s="2" t="s">
        <v>23</v>
      </c>
      <c r="I27" s="2" t="s">
        <v>17</v>
      </c>
      <c r="J27" s="2" t="s">
        <v>17</v>
      </c>
      <c r="K27" s="2" t="s">
        <v>17</v>
      </c>
      <c r="L27" s="2" t="s">
        <v>54</v>
      </c>
      <c r="M27" s="2" t="s">
        <v>19</v>
      </c>
      <c r="N27" s="2" t="s">
        <v>233</v>
      </c>
      <c r="O27" s="2" t="s">
        <v>17</v>
      </c>
      <c r="P27" s="2" t="s">
        <v>49</v>
      </c>
      <c r="Q27" s="2" t="s">
        <v>17</v>
      </c>
    </row>
    <row r="28" spans="1:17" hidden="1">
      <c r="A28" s="2">
        <v>13393</v>
      </c>
      <c r="B28" s="2" t="s">
        <v>1624</v>
      </c>
      <c r="C28" s="2" t="s">
        <v>1624</v>
      </c>
      <c r="D28" s="3">
        <v>46142.54305555555</v>
      </c>
      <c r="E28" s="2" t="s">
        <v>1324</v>
      </c>
      <c r="F28" s="2" t="s">
        <v>17</v>
      </c>
      <c r="G28" s="2" t="s">
        <v>22</v>
      </c>
      <c r="H28" s="2" t="s">
        <v>235</v>
      </c>
      <c r="I28" s="2" t="s">
        <v>1470</v>
      </c>
      <c r="J28" s="2" t="s">
        <v>1625</v>
      </c>
      <c r="K28" s="2" t="s">
        <v>1626</v>
      </c>
      <c r="L28" s="2" t="s">
        <v>26</v>
      </c>
      <c r="M28" s="2" t="s">
        <v>27</v>
      </c>
      <c r="N28" s="2" t="s">
        <v>1627</v>
      </c>
      <c r="O28" s="2" t="s">
        <v>17</v>
      </c>
      <c r="P28" s="2" t="s">
        <v>17</v>
      </c>
      <c r="Q28" s="2" t="s">
        <v>17</v>
      </c>
    </row>
    <row r="29" spans="1:17" hidden="1">
      <c r="A29" s="2">
        <v>13281</v>
      </c>
      <c r="B29" s="2" t="s">
        <v>1526</v>
      </c>
      <c r="C29" s="2" t="s">
        <v>1526</v>
      </c>
      <c r="D29" s="3">
        <v>46140.104166666672</v>
      </c>
      <c r="E29" s="2" t="s">
        <v>21</v>
      </c>
      <c r="F29" s="2" t="s">
        <v>5</v>
      </c>
      <c r="G29" s="2" t="s">
        <v>22</v>
      </c>
      <c r="H29" s="2" t="s">
        <v>39</v>
      </c>
      <c r="I29" s="2" t="s">
        <v>1013</v>
      </c>
      <c r="J29" s="2" t="s">
        <v>17</v>
      </c>
      <c r="K29" s="2" t="s">
        <v>17</v>
      </c>
      <c r="L29" s="2" t="s">
        <v>26</v>
      </c>
      <c r="M29" s="2" t="s">
        <v>27</v>
      </c>
      <c r="N29" s="2" t="s">
        <v>1527</v>
      </c>
      <c r="O29" s="2" t="s">
        <v>17</v>
      </c>
      <c r="P29" s="2" t="s">
        <v>127</v>
      </c>
      <c r="Q29" s="2" t="s">
        <v>17</v>
      </c>
    </row>
    <row r="30" spans="1:17" hidden="1">
      <c r="A30" s="2">
        <v>12896</v>
      </c>
      <c r="B30" s="2" t="s">
        <v>1018</v>
      </c>
      <c r="C30" s="2" t="s">
        <v>1019</v>
      </c>
      <c r="D30" s="3">
        <v>46130.634722222225</v>
      </c>
      <c r="E30" s="2" t="s">
        <v>900</v>
      </c>
      <c r="F30" s="2" t="s">
        <v>5</v>
      </c>
      <c r="G30" s="2" t="s">
        <v>18</v>
      </c>
      <c r="H30" s="2" t="s">
        <v>23</v>
      </c>
      <c r="I30" s="2" t="s">
        <v>88</v>
      </c>
      <c r="J30" s="2" t="s">
        <v>364</v>
      </c>
      <c r="K30" s="2" t="s">
        <v>1020</v>
      </c>
      <c r="L30" s="2" t="s">
        <v>26</v>
      </c>
      <c r="M30" s="2" t="s">
        <v>27</v>
      </c>
      <c r="N30" s="2" t="s">
        <v>1021</v>
      </c>
      <c r="O30" s="2" t="s">
        <v>17</v>
      </c>
      <c r="P30" s="2" t="s">
        <v>36</v>
      </c>
      <c r="Q30" s="2" t="s">
        <v>17</v>
      </c>
    </row>
    <row r="31" spans="1:17" hidden="1">
      <c r="A31" s="2">
        <v>12304</v>
      </c>
      <c r="B31" s="2" t="s">
        <v>166</v>
      </c>
      <c r="C31" s="2" t="s">
        <v>166</v>
      </c>
      <c r="D31" s="3">
        <v>46114.795138888891</v>
      </c>
      <c r="E31" s="2" t="s">
        <v>167</v>
      </c>
      <c r="F31" s="2" t="s">
        <v>5</v>
      </c>
      <c r="G31" s="2" t="s">
        <v>18</v>
      </c>
      <c r="H31" s="2" t="s">
        <v>168</v>
      </c>
      <c r="I31" s="2" t="s">
        <v>169</v>
      </c>
      <c r="J31" s="2" t="s">
        <v>170</v>
      </c>
      <c r="K31" s="2" t="s">
        <v>171</v>
      </c>
      <c r="L31" s="2" t="s">
        <v>26</v>
      </c>
      <c r="M31" s="2" t="s">
        <v>47</v>
      </c>
      <c r="N31" s="2" t="s">
        <v>172</v>
      </c>
      <c r="O31" s="2" t="s">
        <v>17</v>
      </c>
      <c r="P31" s="2" t="s">
        <v>101</v>
      </c>
      <c r="Q31" s="2" t="s">
        <v>17</v>
      </c>
    </row>
    <row r="32" spans="1:17" hidden="1">
      <c r="A32" s="2">
        <v>13022</v>
      </c>
      <c r="B32" s="2" t="s">
        <v>1171</v>
      </c>
      <c r="C32" s="2" t="s">
        <v>1172</v>
      </c>
      <c r="D32" s="3">
        <v>46133.794444444444</v>
      </c>
      <c r="E32" s="2" t="s">
        <v>905</v>
      </c>
      <c r="F32" s="2" t="s">
        <v>17</v>
      </c>
      <c r="G32" s="2" t="s">
        <v>18</v>
      </c>
      <c r="H32" s="2" t="s">
        <v>23</v>
      </c>
      <c r="I32" s="2" t="s">
        <v>88</v>
      </c>
      <c r="J32" s="2" t="s">
        <v>1173</v>
      </c>
      <c r="K32" s="2" t="s">
        <v>1174</v>
      </c>
      <c r="L32" s="2" t="s">
        <v>26</v>
      </c>
      <c r="M32" s="2" t="s">
        <v>27</v>
      </c>
      <c r="N32" s="2" t="s">
        <v>1175</v>
      </c>
      <c r="O32" s="2" t="s">
        <v>17</v>
      </c>
      <c r="P32" s="2" t="s">
        <v>36</v>
      </c>
      <c r="Q32" s="2" t="s">
        <v>17</v>
      </c>
    </row>
    <row r="33" spans="1:17" hidden="1">
      <c r="A33" s="2">
        <v>13260</v>
      </c>
      <c r="B33" s="2" t="s">
        <v>1491</v>
      </c>
      <c r="C33" s="2" t="s">
        <v>1492</v>
      </c>
      <c r="D33" s="3">
        <v>46139.722222222219</v>
      </c>
      <c r="E33" s="2" t="s">
        <v>21</v>
      </c>
      <c r="F33" s="2" t="s">
        <v>5</v>
      </c>
      <c r="G33" s="2" t="s">
        <v>22</v>
      </c>
      <c r="H33" s="2" t="s">
        <v>43</v>
      </c>
      <c r="I33" s="2" t="s">
        <v>17</v>
      </c>
      <c r="J33" s="2" t="s">
        <v>17</v>
      </c>
      <c r="K33" s="2" t="s">
        <v>17</v>
      </c>
      <c r="L33" s="2" t="s">
        <v>26</v>
      </c>
      <c r="M33" s="2" t="s">
        <v>19</v>
      </c>
      <c r="N33" s="2" t="s">
        <v>1493</v>
      </c>
      <c r="O33" s="2" t="s">
        <v>17</v>
      </c>
      <c r="P33" s="2" t="s">
        <v>49</v>
      </c>
      <c r="Q33" s="2" t="s">
        <v>17</v>
      </c>
    </row>
    <row r="34" spans="1:17" hidden="1">
      <c r="A34" s="2">
        <v>13315</v>
      </c>
      <c r="B34" s="2" t="s">
        <v>1549</v>
      </c>
      <c r="C34" s="2" t="s">
        <v>1550</v>
      </c>
      <c r="D34" s="3">
        <v>46140.804861111115</v>
      </c>
      <c r="E34" s="2" t="s">
        <v>57</v>
      </c>
      <c r="F34" s="2" t="s">
        <v>230</v>
      </c>
      <c r="G34" s="2" t="s">
        <v>18</v>
      </c>
      <c r="H34" s="2" t="s">
        <v>23</v>
      </c>
      <c r="I34" s="2" t="s">
        <v>88</v>
      </c>
      <c r="J34" s="2" t="s">
        <v>449</v>
      </c>
      <c r="K34" s="2" t="s">
        <v>1551</v>
      </c>
      <c r="L34" s="2" t="s">
        <v>26</v>
      </c>
      <c r="M34" s="2" t="s">
        <v>27</v>
      </c>
      <c r="N34" s="2" t="s">
        <v>1552</v>
      </c>
      <c r="O34" s="2" t="s">
        <v>796</v>
      </c>
      <c r="P34" s="2" t="s">
        <v>29</v>
      </c>
      <c r="Q34" s="2" t="s">
        <v>17</v>
      </c>
    </row>
    <row r="35" spans="1:17" hidden="1">
      <c r="A35" s="2">
        <v>13416</v>
      </c>
      <c r="B35" s="2" t="s">
        <v>1644</v>
      </c>
      <c r="C35" s="2" t="s">
        <v>1644</v>
      </c>
      <c r="D35" s="3">
        <v>46142.827083333337</v>
      </c>
      <c r="E35" s="2" t="s">
        <v>167</v>
      </c>
      <c r="F35" s="2" t="s">
        <v>5</v>
      </c>
      <c r="G35" s="2" t="s">
        <v>22</v>
      </c>
      <c r="H35" s="2" t="s">
        <v>168</v>
      </c>
      <c r="I35" s="2" t="s">
        <v>148</v>
      </c>
      <c r="J35" s="2" t="s">
        <v>1645</v>
      </c>
      <c r="K35" s="2" t="s">
        <v>1646</v>
      </c>
      <c r="L35" s="2" t="s">
        <v>26</v>
      </c>
      <c r="M35" s="2" t="s">
        <v>47</v>
      </c>
      <c r="N35" s="2" t="s">
        <v>1647</v>
      </c>
      <c r="O35" s="2" t="s">
        <v>17</v>
      </c>
      <c r="P35" s="2" t="s">
        <v>29</v>
      </c>
      <c r="Q35" s="2" t="s">
        <v>17</v>
      </c>
    </row>
    <row r="36" spans="1:17" hidden="1">
      <c r="A36" s="2">
        <v>13273</v>
      </c>
      <c r="B36" s="2" t="s">
        <v>1509</v>
      </c>
      <c r="C36" s="2" t="s">
        <v>1509</v>
      </c>
      <c r="D36" s="3">
        <v>46139.926388888889</v>
      </c>
      <c r="E36" s="2" t="s">
        <v>57</v>
      </c>
      <c r="F36" s="2" t="s">
        <v>5</v>
      </c>
      <c r="G36" s="2" t="s">
        <v>18</v>
      </c>
      <c r="H36" s="2" t="s">
        <v>23</v>
      </c>
      <c r="I36" s="2" t="s">
        <v>648</v>
      </c>
      <c r="J36" s="2" t="s">
        <v>1510</v>
      </c>
      <c r="K36" s="2" t="s">
        <v>1511</v>
      </c>
      <c r="L36" s="2" t="s">
        <v>26</v>
      </c>
      <c r="M36" s="2" t="s">
        <v>27</v>
      </c>
      <c r="N36" s="2" t="s">
        <v>1512</v>
      </c>
      <c r="O36" s="2" t="s">
        <v>62</v>
      </c>
      <c r="P36" s="2" t="s">
        <v>36</v>
      </c>
      <c r="Q36" s="2" t="s">
        <v>17</v>
      </c>
    </row>
    <row r="37" spans="1:17" hidden="1">
      <c r="A37" s="2">
        <v>12769</v>
      </c>
      <c r="B37" s="2" t="s">
        <v>891</v>
      </c>
      <c r="C37" s="2" t="s">
        <v>892</v>
      </c>
      <c r="D37" s="3">
        <v>46126.979861111111</v>
      </c>
      <c r="E37" s="2" t="s">
        <v>179</v>
      </c>
      <c r="F37" s="2" t="s">
        <v>17</v>
      </c>
      <c r="G37" s="2" t="s">
        <v>22</v>
      </c>
      <c r="H37" s="2" t="s">
        <v>23</v>
      </c>
      <c r="I37" s="2" t="s">
        <v>17</v>
      </c>
      <c r="J37" s="2" t="s">
        <v>17</v>
      </c>
      <c r="K37" s="2" t="s">
        <v>17</v>
      </c>
      <c r="L37" s="2" t="s">
        <v>17</v>
      </c>
      <c r="M37" s="2" t="s">
        <v>19</v>
      </c>
      <c r="N37" s="2" t="s">
        <v>893</v>
      </c>
      <c r="O37" s="2" t="s">
        <v>17</v>
      </c>
      <c r="P37" s="2" t="s">
        <v>49</v>
      </c>
      <c r="Q37" s="2" t="s">
        <v>17</v>
      </c>
    </row>
    <row r="38" spans="1:17" hidden="1">
      <c r="A38" s="2">
        <v>12924</v>
      </c>
      <c r="B38" s="2" t="s">
        <v>1072</v>
      </c>
      <c r="C38" s="2" t="s">
        <v>1072</v>
      </c>
      <c r="D38" s="3">
        <v>46131.963194444441</v>
      </c>
      <c r="E38" s="2" t="s">
        <v>905</v>
      </c>
      <c r="F38" s="2" t="s">
        <v>5</v>
      </c>
      <c r="G38" s="2" t="s">
        <v>80</v>
      </c>
      <c r="H38" s="2" t="s">
        <v>23</v>
      </c>
      <c r="I38" s="2" t="s">
        <v>98</v>
      </c>
      <c r="J38" s="2" t="s">
        <v>1073</v>
      </c>
      <c r="K38" s="2" t="s">
        <v>1074</v>
      </c>
      <c r="L38" s="2" t="s">
        <v>100</v>
      </c>
      <c r="M38" s="2" t="s">
        <v>27</v>
      </c>
      <c r="N38" s="2" t="s">
        <v>1075</v>
      </c>
      <c r="O38" s="2" t="s">
        <v>17</v>
      </c>
      <c r="P38" s="2" t="s">
        <v>36</v>
      </c>
      <c r="Q38" s="2" t="s">
        <v>17</v>
      </c>
    </row>
    <row r="39" spans="1:17" hidden="1">
      <c r="A39" s="2">
        <v>12602</v>
      </c>
      <c r="B39" s="2" t="s">
        <v>619</v>
      </c>
      <c r="C39" s="2" t="s">
        <v>620</v>
      </c>
      <c r="D39" s="3">
        <v>46121.872916666667</v>
      </c>
      <c r="E39" s="2" t="s">
        <v>57</v>
      </c>
      <c r="F39" s="2" t="s">
        <v>5</v>
      </c>
      <c r="G39" s="2" t="s">
        <v>18</v>
      </c>
      <c r="H39" s="2" t="s">
        <v>23</v>
      </c>
      <c r="I39" s="2" t="s">
        <v>88</v>
      </c>
      <c r="J39" s="2" t="s">
        <v>420</v>
      </c>
      <c r="K39" s="2" t="s">
        <v>621</v>
      </c>
      <c r="L39" s="2" t="s">
        <v>26</v>
      </c>
      <c r="M39" s="2" t="s">
        <v>27</v>
      </c>
      <c r="N39" s="2" t="s">
        <v>622</v>
      </c>
      <c r="O39" s="2" t="s">
        <v>78</v>
      </c>
      <c r="P39" s="2" t="s">
        <v>101</v>
      </c>
      <c r="Q39" s="2" t="s">
        <v>17</v>
      </c>
    </row>
    <row r="40" spans="1:17" hidden="1">
      <c r="A40" s="2">
        <v>12735</v>
      </c>
      <c r="B40" s="2" t="s">
        <v>845</v>
      </c>
      <c r="C40" s="2" t="s">
        <v>845</v>
      </c>
      <c r="D40" s="3">
        <v>46126.482638888891</v>
      </c>
      <c r="E40" s="2" t="s">
        <v>474</v>
      </c>
      <c r="F40" s="2" t="s">
        <v>5</v>
      </c>
      <c r="G40" s="2" t="s">
        <v>22</v>
      </c>
      <c r="H40" s="2" t="s">
        <v>23</v>
      </c>
      <c r="I40" s="2" t="s">
        <v>556</v>
      </c>
      <c r="J40" s="2" t="s">
        <v>846</v>
      </c>
      <c r="K40" s="2" t="s">
        <v>847</v>
      </c>
      <c r="L40" s="2" t="s">
        <v>54</v>
      </c>
      <c r="M40" s="2" t="s">
        <v>27</v>
      </c>
      <c r="N40" s="2" t="s">
        <v>848</v>
      </c>
      <c r="O40" s="2" t="s">
        <v>17</v>
      </c>
      <c r="P40" s="2" t="s">
        <v>29</v>
      </c>
      <c r="Q40" s="2" t="s">
        <v>17</v>
      </c>
    </row>
    <row r="41" spans="1:17" hidden="1">
      <c r="A41" s="2">
        <v>12753</v>
      </c>
      <c r="B41" s="2" t="s">
        <v>859</v>
      </c>
      <c r="C41" s="2" t="s">
        <v>860</v>
      </c>
      <c r="D41" s="3">
        <v>46126.762499999997</v>
      </c>
      <c r="E41" s="2" t="s">
        <v>57</v>
      </c>
      <c r="F41" s="2" t="s">
        <v>230</v>
      </c>
      <c r="G41" s="2" t="s">
        <v>18</v>
      </c>
      <c r="H41" s="2" t="s">
        <v>23</v>
      </c>
      <c r="I41" s="2" t="s">
        <v>256</v>
      </c>
      <c r="J41" s="2" t="s">
        <v>861</v>
      </c>
      <c r="K41" s="2" t="s">
        <v>862</v>
      </c>
      <c r="L41" s="2" t="s">
        <v>26</v>
      </c>
      <c r="M41" s="2" t="s">
        <v>27</v>
      </c>
      <c r="N41" s="2" t="s">
        <v>863</v>
      </c>
      <c r="O41" s="2" t="s">
        <v>126</v>
      </c>
      <c r="P41" s="2" t="s">
        <v>36</v>
      </c>
      <c r="Q41" s="2" t="s">
        <v>17</v>
      </c>
    </row>
    <row r="42" spans="1:17" hidden="1">
      <c r="A42" s="2">
        <v>12388</v>
      </c>
      <c r="B42" s="2" t="s">
        <v>317</v>
      </c>
      <c r="C42" s="2" t="s">
        <v>317</v>
      </c>
      <c r="D42" s="3">
        <v>46116.89444444445</v>
      </c>
      <c r="E42" s="2" t="s">
        <v>57</v>
      </c>
      <c r="F42" s="2" t="s">
        <v>5</v>
      </c>
      <c r="G42" s="2" t="s">
        <v>18</v>
      </c>
      <c r="H42" s="2" t="s">
        <v>168</v>
      </c>
      <c r="I42" s="2" t="s">
        <v>318</v>
      </c>
      <c r="J42" s="2" t="s">
        <v>319</v>
      </c>
      <c r="K42" s="2" t="s">
        <v>320</v>
      </c>
      <c r="L42" s="2" t="s">
        <v>26</v>
      </c>
      <c r="M42" s="2" t="s">
        <v>47</v>
      </c>
      <c r="N42" s="2" t="s">
        <v>321</v>
      </c>
      <c r="O42" s="2" t="s">
        <v>107</v>
      </c>
      <c r="P42" s="2" t="s">
        <v>101</v>
      </c>
      <c r="Q42" s="2" t="s">
        <v>17</v>
      </c>
    </row>
    <row r="43" spans="1:17" hidden="1">
      <c r="A43" s="2">
        <v>13200</v>
      </c>
      <c r="B43" s="2" t="s">
        <v>1376</v>
      </c>
      <c r="C43" s="2" t="s">
        <v>1377</v>
      </c>
      <c r="D43" s="3">
        <v>46137.824999999997</v>
      </c>
      <c r="E43" s="2" t="s">
        <v>21</v>
      </c>
      <c r="F43" s="2" t="s">
        <v>5</v>
      </c>
      <c r="G43" s="2" t="s">
        <v>18</v>
      </c>
      <c r="H43" s="2" t="s">
        <v>23</v>
      </c>
      <c r="I43" s="2" t="s">
        <v>256</v>
      </c>
      <c r="J43" s="2" t="s">
        <v>1378</v>
      </c>
      <c r="K43" s="2" t="s">
        <v>1379</v>
      </c>
      <c r="L43" s="2" t="s">
        <v>26</v>
      </c>
      <c r="M43" s="2" t="s">
        <v>27</v>
      </c>
      <c r="N43" s="2" t="s">
        <v>1380</v>
      </c>
      <c r="O43" s="2" t="s">
        <v>17</v>
      </c>
      <c r="P43" s="2" t="s">
        <v>36</v>
      </c>
      <c r="Q43" s="2" t="s">
        <v>17</v>
      </c>
    </row>
    <row r="44" spans="1:17" hidden="1">
      <c r="A44" s="2">
        <v>12812</v>
      </c>
      <c r="B44" s="2" t="s">
        <v>933</v>
      </c>
      <c r="C44" s="2" t="s">
        <v>933</v>
      </c>
      <c r="D44" s="3">
        <v>46128.453472222223</v>
      </c>
      <c r="E44" s="2" t="s">
        <v>900</v>
      </c>
      <c r="F44" s="2" t="s">
        <v>5</v>
      </c>
      <c r="G44" s="2" t="s">
        <v>18</v>
      </c>
      <c r="H44" s="2" t="s">
        <v>23</v>
      </c>
      <c r="I44" s="2" t="s">
        <v>256</v>
      </c>
      <c r="J44" s="2" t="s">
        <v>934</v>
      </c>
      <c r="K44" s="2" t="s">
        <v>935</v>
      </c>
      <c r="L44" s="2" t="s">
        <v>26</v>
      </c>
      <c r="M44" s="2" t="s">
        <v>27</v>
      </c>
      <c r="N44" s="2" t="s">
        <v>936</v>
      </c>
      <c r="O44" s="2" t="s">
        <v>17</v>
      </c>
      <c r="P44" s="2" t="s">
        <v>36</v>
      </c>
      <c r="Q44" s="2" t="s">
        <v>17</v>
      </c>
    </row>
    <row r="45" spans="1:17" hidden="1">
      <c r="A45" s="2">
        <v>12874</v>
      </c>
      <c r="B45" s="2" t="s">
        <v>982</v>
      </c>
      <c r="C45" s="2" t="s">
        <v>982</v>
      </c>
      <c r="D45" s="3">
        <v>46129.810416666667</v>
      </c>
      <c r="E45" s="2" t="s">
        <v>905</v>
      </c>
      <c r="F45" s="2" t="s">
        <v>5</v>
      </c>
      <c r="G45" s="2" t="s">
        <v>80</v>
      </c>
      <c r="H45" s="2" t="s">
        <v>23</v>
      </c>
      <c r="I45" s="2" t="s">
        <v>983</v>
      </c>
      <c r="J45" s="2" t="s">
        <v>984</v>
      </c>
      <c r="K45" s="2" t="s">
        <v>17</v>
      </c>
      <c r="L45" s="2" t="s">
        <v>100</v>
      </c>
      <c r="M45" s="2" t="s">
        <v>27</v>
      </c>
      <c r="N45" s="2" t="s">
        <v>985</v>
      </c>
      <c r="O45" s="2" t="s">
        <v>17</v>
      </c>
      <c r="P45" s="2" t="s">
        <v>36</v>
      </c>
      <c r="Q45" s="2" t="s">
        <v>17</v>
      </c>
    </row>
    <row r="46" spans="1:17" hidden="1">
      <c r="A46" s="2">
        <v>12838</v>
      </c>
      <c r="B46" s="2" t="s">
        <v>950</v>
      </c>
      <c r="C46" s="2" t="s">
        <v>950</v>
      </c>
      <c r="D46" s="3">
        <v>46129.001388888893</v>
      </c>
      <c r="E46" s="2" t="s">
        <v>57</v>
      </c>
      <c r="F46" s="2" t="s">
        <v>5</v>
      </c>
      <c r="G46" s="2" t="s">
        <v>17</v>
      </c>
      <c r="H46" s="2" t="s">
        <v>23</v>
      </c>
      <c r="I46" s="2" t="s">
        <v>88</v>
      </c>
      <c r="J46" s="2" t="s">
        <v>951</v>
      </c>
      <c r="K46" s="2" t="s">
        <v>952</v>
      </c>
      <c r="L46" s="2" t="s">
        <v>26</v>
      </c>
      <c r="M46" s="2" t="s">
        <v>27</v>
      </c>
      <c r="N46" s="2" t="s">
        <v>953</v>
      </c>
      <c r="O46" s="2" t="s">
        <v>954</v>
      </c>
      <c r="P46" s="2" t="s">
        <v>36</v>
      </c>
      <c r="Q46" s="2" t="s">
        <v>17</v>
      </c>
    </row>
    <row r="47" spans="1:17" hidden="1">
      <c r="A47" s="2">
        <v>12562</v>
      </c>
      <c r="B47" s="2" t="s">
        <v>580</v>
      </c>
      <c r="C47" s="2" t="s">
        <v>581</v>
      </c>
      <c r="D47" s="3">
        <v>46121.032638888893</v>
      </c>
      <c r="E47" s="2" t="s">
        <v>582</v>
      </c>
      <c r="F47" s="2" t="s">
        <v>5</v>
      </c>
      <c r="G47" s="2" t="s">
        <v>18</v>
      </c>
      <c r="H47" s="2" t="s">
        <v>23</v>
      </c>
      <c r="I47" s="2" t="s">
        <v>17</v>
      </c>
      <c r="J47" s="2" t="s">
        <v>17</v>
      </c>
      <c r="K47" s="2" t="s">
        <v>17</v>
      </c>
      <c r="L47" s="2" t="s">
        <v>26</v>
      </c>
      <c r="M47" s="2" t="s">
        <v>19</v>
      </c>
      <c r="N47" s="2" t="s">
        <v>583</v>
      </c>
      <c r="O47" s="2" t="s">
        <v>17</v>
      </c>
      <c r="P47" s="2" t="s">
        <v>41</v>
      </c>
      <c r="Q47" s="2" t="s">
        <v>17</v>
      </c>
    </row>
    <row r="48" spans="1:17" hidden="1">
      <c r="A48" s="2">
        <v>12393</v>
      </c>
      <c r="B48" s="2" t="s">
        <v>339</v>
      </c>
      <c r="C48" s="2" t="s">
        <v>340</v>
      </c>
      <c r="D48" s="3">
        <v>46117.09097222222</v>
      </c>
      <c r="E48" s="2" t="s">
        <v>57</v>
      </c>
      <c r="F48" s="2" t="s">
        <v>5</v>
      </c>
      <c r="G48" s="2" t="s">
        <v>18</v>
      </c>
      <c r="H48" s="2" t="s">
        <v>23</v>
      </c>
      <c r="I48" s="2" t="s">
        <v>88</v>
      </c>
      <c r="J48" s="2" t="s">
        <v>341</v>
      </c>
      <c r="K48" s="2" t="s">
        <v>342</v>
      </c>
      <c r="L48" s="2" t="s">
        <v>26</v>
      </c>
      <c r="M48" s="2" t="s">
        <v>27</v>
      </c>
      <c r="N48" s="2" t="s">
        <v>343</v>
      </c>
      <c r="O48" s="2" t="s">
        <v>78</v>
      </c>
      <c r="P48" s="2" t="s">
        <v>36</v>
      </c>
      <c r="Q48" s="2" t="s">
        <v>17</v>
      </c>
    </row>
    <row r="49" spans="1:17" hidden="1">
      <c r="A49" s="2">
        <v>12691</v>
      </c>
      <c r="B49" s="2" t="s">
        <v>797</v>
      </c>
      <c r="C49" s="2" t="s">
        <v>797</v>
      </c>
      <c r="D49" s="3">
        <v>46125.541666666672</v>
      </c>
      <c r="E49" s="2" t="s">
        <v>21</v>
      </c>
      <c r="F49" s="2" t="s">
        <v>5</v>
      </c>
      <c r="G49" s="2" t="s">
        <v>22</v>
      </c>
      <c r="H49" s="2" t="s">
        <v>244</v>
      </c>
      <c r="I49" s="2" t="s">
        <v>17</v>
      </c>
      <c r="J49" s="2" t="s">
        <v>17</v>
      </c>
      <c r="K49" s="2" t="s">
        <v>17</v>
      </c>
      <c r="L49" s="2" t="s">
        <v>26</v>
      </c>
      <c r="M49" s="2" t="s">
        <v>27</v>
      </c>
      <c r="N49" s="2" t="s">
        <v>798</v>
      </c>
      <c r="O49" s="2" t="s">
        <v>17</v>
      </c>
      <c r="P49" s="2" t="s">
        <v>127</v>
      </c>
      <c r="Q49" s="2" t="s">
        <v>17</v>
      </c>
    </row>
    <row r="50" spans="1:17" hidden="1">
      <c r="A50" s="2">
        <v>13229</v>
      </c>
      <c r="B50" s="2" t="s">
        <v>1309</v>
      </c>
      <c r="C50" s="2" t="s">
        <v>1455</v>
      </c>
      <c r="D50" s="3">
        <v>46139.272916666669</v>
      </c>
      <c r="E50" s="2" t="s">
        <v>57</v>
      </c>
      <c r="F50" s="2" t="s">
        <v>5</v>
      </c>
      <c r="G50" s="2" t="s">
        <v>22</v>
      </c>
      <c r="H50" s="2" t="s">
        <v>23</v>
      </c>
      <c r="I50" s="2" t="s">
        <v>499</v>
      </c>
      <c r="J50" s="2" t="s">
        <v>1456</v>
      </c>
      <c r="K50" s="2" t="s">
        <v>1457</v>
      </c>
      <c r="L50" s="2" t="s">
        <v>54</v>
      </c>
      <c r="M50" s="2" t="s">
        <v>27</v>
      </c>
      <c r="N50" s="2" t="s">
        <v>1310</v>
      </c>
      <c r="O50" s="2" t="s">
        <v>382</v>
      </c>
      <c r="P50" s="2" t="s">
        <v>36</v>
      </c>
      <c r="Q50" s="2" t="s">
        <v>17</v>
      </c>
    </row>
    <row r="51" spans="1:17" hidden="1">
      <c r="A51" s="2">
        <v>13002</v>
      </c>
      <c r="B51" s="2" t="s">
        <v>1148</v>
      </c>
      <c r="C51" s="2" t="s">
        <v>1148</v>
      </c>
      <c r="D51" s="3">
        <v>46133.537499999999</v>
      </c>
      <c r="E51" s="2" t="s">
        <v>57</v>
      </c>
      <c r="F51" s="2" t="s">
        <v>5</v>
      </c>
      <c r="G51" s="2" t="s">
        <v>18</v>
      </c>
      <c r="H51" s="2" t="s">
        <v>168</v>
      </c>
      <c r="I51" s="2" t="s">
        <v>17</v>
      </c>
      <c r="J51" s="2" t="s">
        <v>17</v>
      </c>
      <c r="K51" s="2" t="s">
        <v>17</v>
      </c>
      <c r="L51" s="2" t="s">
        <v>26</v>
      </c>
      <c r="M51" s="2" t="s">
        <v>47</v>
      </c>
      <c r="N51" s="2" t="s">
        <v>1149</v>
      </c>
      <c r="O51" s="2" t="s">
        <v>107</v>
      </c>
      <c r="P51" s="2" t="s">
        <v>41</v>
      </c>
      <c r="Q51" s="2" t="s">
        <v>17</v>
      </c>
    </row>
    <row r="52" spans="1:17" hidden="1">
      <c r="A52" s="2">
        <v>13025</v>
      </c>
      <c r="B52" s="2" t="s">
        <v>1176</v>
      </c>
      <c r="C52" s="2" t="s">
        <v>1177</v>
      </c>
      <c r="D52" s="3">
        <v>46133.854166666672</v>
      </c>
      <c r="E52" s="2" t="s">
        <v>905</v>
      </c>
      <c r="F52" s="2" t="s">
        <v>5</v>
      </c>
      <c r="G52" s="2" t="s">
        <v>22</v>
      </c>
      <c r="H52" s="2" t="s">
        <v>39</v>
      </c>
      <c r="I52" s="2" t="s">
        <v>17</v>
      </c>
      <c r="J52" s="2" t="s">
        <v>17</v>
      </c>
      <c r="K52" s="2" t="s">
        <v>17</v>
      </c>
      <c r="L52" s="2" t="s">
        <v>26</v>
      </c>
      <c r="M52" s="2" t="s">
        <v>27</v>
      </c>
      <c r="N52" s="2" t="s">
        <v>1178</v>
      </c>
      <c r="O52" s="2" t="s">
        <v>17</v>
      </c>
      <c r="P52" s="2" t="s">
        <v>127</v>
      </c>
      <c r="Q52" s="2" t="s">
        <v>17</v>
      </c>
    </row>
    <row r="53" spans="1:17" hidden="1">
      <c r="A53" s="2">
        <v>12640</v>
      </c>
      <c r="B53" s="2" t="s">
        <v>679</v>
      </c>
      <c r="C53" s="2" t="s">
        <v>679</v>
      </c>
      <c r="D53" s="3">
        <v>46123.293749999997</v>
      </c>
      <c r="E53" s="2" t="s">
        <v>57</v>
      </c>
      <c r="F53" s="2" t="s">
        <v>17</v>
      </c>
      <c r="G53" s="2" t="s">
        <v>80</v>
      </c>
      <c r="H53" s="2" t="s">
        <v>23</v>
      </c>
      <c r="I53" s="2" t="s">
        <v>32</v>
      </c>
      <c r="J53" s="2" t="s">
        <v>680</v>
      </c>
      <c r="K53" s="2" t="s">
        <v>681</v>
      </c>
      <c r="L53" s="2" t="s">
        <v>26</v>
      </c>
      <c r="M53" s="2" t="s">
        <v>27</v>
      </c>
      <c r="N53" s="2" t="s">
        <v>682</v>
      </c>
      <c r="O53" s="2" t="s">
        <v>78</v>
      </c>
      <c r="P53" s="2" t="s">
        <v>36</v>
      </c>
      <c r="Q53" s="2" t="s">
        <v>17</v>
      </c>
    </row>
    <row r="54" spans="1:17" hidden="1">
      <c r="A54" s="2">
        <v>12634</v>
      </c>
      <c r="B54" s="2" t="s">
        <v>663</v>
      </c>
      <c r="C54" s="2" t="s">
        <v>663</v>
      </c>
      <c r="D54" s="3">
        <v>46122.904861111107</v>
      </c>
      <c r="E54" s="2" t="s">
        <v>57</v>
      </c>
      <c r="F54" s="2" t="s">
        <v>5</v>
      </c>
      <c r="G54" s="2" t="s">
        <v>22</v>
      </c>
      <c r="H54" s="2" t="s">
        <v>23</v>
      </c>
      <c r="I54" s="2" t="s">
        <v>380</v>
      </c>
      <c r="J54" s="2" t="s">
        <v>664</v>
      </c>
      <c r="K54" s="2" t="s">
        <v>665</v>
      </c>
      <c r="L54" s="2" t="s">
        <v>54</v>
      </c>
      <c r="M54" s="2" t="s">
        <v>27</v>
      </c>
      <c r="N54" s="2" t="s">
        <v>666</v>
      </c>
      <c r="O54" s="2" t="s">
        <v>78</v>
      </c>
      <c r="P54" s="2" t="s">
        <v>29</v>
      </c>
      <c r="Q54" s="2" t="s">
        <v>17</v>
      </c>
    </row>
    <row r="55" spans="1:17" hidden="1">
      <c r="A55" s="2">
        <v>12447</v>
      </c>
      <c r="B55" s="2" t="s">
        <v>435</v>
      </c>
      <c r="C55" s="2" t="s">
        <v>435</v>
      </c>
      <c r="D55" s="3">
        <v>46118.882638888885</v>
      </c>
      <c r="E55" s="2" t="s">
        <v>21</v>
      </c>
      <c r="F55" s="2" t="s">
        <v>5</v>
      </c>
      <c r="G55" s="2" t="s">
        <v>22</v>
      </c>
      <c r="H55" s="2" t="s">
        <v>43</v>
      </c>
      <c r="I55" s="2" t="s">
        <v>74</v>
      </c>
      <c r="J55" s="2" t="s">
        <v>436</v>
      </c>
      <c r="K55" s="2" t="s">
        <v>437</v>
      </c>
      <c r="L55" s="2" t="s">
        <v>26</v>
      </c>
      <c r="M55" s="2" t="s">
        <v>47</v>
      </c>
      <c r="N55" s="2" t="s">
        <v>438</v>
      </c>
      <c r="O55" s="2" t="s">
        <v>17</v>
      </c>
      <c r="P55" s="2" t="s">
        <v>36</v>
      </c>
      <c r="Q55" s="2" t="s">
        <v>17</v>
      </c>
    </row>
    <row r="56" spans="1:17" hidden="1">
      <c r="A56" s="2">
        <v>13006</v>
      </c>
      <c r="B56" s="2" t="s">
        <v>1153</v>
      </c>
      <c r="C56" s="2" t="s">
        <v>1154</v>
      </c>
      <c r="D56" s="3">
        <v>46133.617361111115</v>
      </c>
      <c r="E56" s="2" t="s">
        <v>276</v>
      </c>
      <c r="F56" s="2" t="s">
        <v>5</v>
      </c>
      <c r="G56" s="2" t="s">
        <v>80</v>
      </c>
      <c r="H56" s="2" t="s">
        <v>23</v>
      </c>
      <c r="I56" s="2" t="s">
        <v>256</v>
      </c>
      <c r="J56" s="2" t="s">
        <v>17</v>
      </c>
      <c r="K56" s="2" t="s">
        <v>17</v>
      </c>
      <c r="L56" s="2" t="s">
        <v>26</v>
      </c>
      <c r="M56" s="2" t="s">
        <v>19</v>
      </c>
      <c r="N56" s="2" t="s">
        <v>1155</v>
      </c>
      <c r="O56" s="2" t="s">
        <v>62</v>
      </c>
      <c r="P56" s="2" t="s">
        <v>49</v>
      </c>
      <c r="Q56" s="2" t="s">
        <v>17</v>
      </c>
    </row>
    <row r="57" spans="1:17" hidden="1">
      <c r="A57" s="2">
        <v>13126</v>
      </c>
      <c r="B57" s="2" t="s">
        <v>1294</v>
      </c>
      <c r="C57" s="2" t="s">
        <v>1294</v>
      </c>
      <c r="D57" s="3">
        <v>46136.152083333334</v>
      </c>
      <c r="E57" s="2" t="s">
        <v>21</v>
      </c>
      <c r="F57" s="2" t="s">
        <v>5</v>
      </c>
      <c r="G57" s="2" t="s">
        <v>80</v>
      </c>
      <c r="H57" s="2" t="s">
        <v>23</v>
      </c>
      <c r="I57" s="2" t="s">
        <v>32</v>
      </c>
      <c r="J57" s="2" t="s">
        <v>1295</v>
      </c>
      <c r="K57" s="2" t="s">
        <v>1296</v>
      </c>
      <c r="L57" s="2" t="s">
        <v>54</v>
      </c>
      <c r="M57" s="2" t="s">
        <v>27</v>
      </c>
      <c r="N57" s="2" t="s">
        <v>1297</v>
      </c>
      <c r="O57" s="2" t="s">
        <v>17</v>
      </c>
      <c r="P57" s="2" t="s">
        <v>36</v>
      </c>
      <c r="Q57" s="2" t="s">
        <v>17</v>
      </c>
    </row>
    <row r="58" spans="1:17" hidden="1">
      <c r="A58" s="2">
        <v>12648</v>
      </c>
      <c r="B58" s="2" t="s">
        <v>699</v>
      </c>
      <c r="C58" s="2" t="s">
        <v>700</v>
      </c>
      <c r="D58" s="3">
        <v>46123.446527777778</v>
      </c>
      <c r="E58" s="2" t="s">
        <v>57</v>
      </c>
      <c r="F58" s="2" t="s">
        <v>5</v>
      </c>
      <c r="G58" s="2" t="s">
        <v>18</v>
      </c>
      <c r="H58" s="2" t="s">
        <v>23</v>
      </c>
      <c r="I58" s="2" t="s">
        <v>88</v>
      </c>
      <c r="J58" s="2" t="s">
        <v>701</v>
      </c>
      <c r="K58" s="2" t="s">
        <v>702</v>
      </c>
      <c r="L58" s="2" t="s">
        <v>26</v>
      </c>
      <c r="M58" s="2" t="s">
        <v>27</v>
      </c>
      <c r="N58" s="2" t="s">
        <v>703</v>
      </c>
      <c r="O58" s="2" t="s">
        <v>78</v>
      </c>
      <c r="P58" s="2" t="s">
        <v>36</v>
      </c>
      <c r="Q58" s="2" t="s">
        <v>17</v>
      </c>
    </row>
    <row r="59" spans="1:17" hidden="1">
      <c r="A59" s="2">
        <v>12932</v>
      </c>
      <c r="B59" s="2" t="s">
        <v>1092</v>
      </c>
      <c r="C59" s="2" t="s">
        <v>1092</v>
      </c>
      <c r="D59" s="3">
        <v>46132.261111111111</v>
      </c>
      <c r="E59" s="2" t="s">
        <v>16</v>
      </c>
      <c r="F59" s="2" t="s">
        <v>17</v>
      </c>
      <c r="G59" s="2" t="s">
        <v>308</v>
      </c>
      <c r="H59" s="2" t="s">
        <v>43</v>
      </c>
      <c r="I59" s="2" t="s">
        <v>142</v>
      </c>
      <c r="J59" s="2" t="s">
        <v>1093</v>
      </c>
      <c r="K59" s="2" t="s">
        <v>1094</v>
      </c>
      <c r="L59" s="2" t="s">
        <v>26</v>
      </c>
      <c r="M59" s="2" t="s">
        <v>47</v>
      </c>
      <c r="N59" s="2" t="s">
        <v>1095</v>
      </c>
      <c r="O59" s="2" t="s">
        <v>17</v>
      </c>
      <c r="P59" s="2" t="s">
        <v>36</v>
      </c>
      <c r="Q59" s="2" t="s">
        <v>17</v>
      </c>
    </row>
    <row r="60" spans="1:17" hidden="1">
      <c r="A60" s="2">
        <v>12804</v>
      </c>
      <c r="B60" s="2" t="s">
        <v>929</v>
      </c>
      <c r="C60" s="2" t="s">
        <v>929</v>
      </c>
      <c r="D60" s="3">
        <v>46127.933333333334</v>
      </c>
      <c r="E60" s="2" t="s">
        <v>57</v>
      </c>
      <c r="F60" s="2" t="s">
        <v>5</v>
      </c>
      <c r="G60" s="2" t="s">
        <v>18</v>
      </c>
      <c r="H60" s="2" t="s">
        <v>168</v>
      </c>
      <c r="I60" s="2" t="s">
        <v>187</v>
      </c>
      <c r="J60" s="2" t="s">
        <v>930</v>
      </c>
      <c r="K60" s="2" t="s">
        <v>931</v>
      </c>
      <c r="L60" s="2" t="s">
        <v>26</v>
      </c>
      <c r="M60" s="2" t="s">
        <v>47</v>
      </c>
      <c r="N60" s="2" t="s">
        <v>932</v>
      </c>
      <c r="O60" s="2" t="s">
        <v>62</v>
      </c>
      <c r="P60" s="2" t="s">
        <v>97</v>
      </c>
      <c r="Q60" s="2" t="s">
        <v>17</v>
      </c>
    </row>
    <row r="61" spans="1:17" hidden="1">
      <c r="A61" s="2">
        <v>13258</v>
      </c>
      <c r="B61" s="2" t="s">
        <v>1487</v>
      </c>
      <c r="C61" s="2" t="s">
        <v>1487</v>
      </c>
      <c r="D61" s="3">
        <v>46139.709027777775</v>
      </c>
      <c r="E61" s="2" t="s">
        <v>57</v>
      </c>
      <c r="F61" s="2" t="s">
        <v>230</v>
      </c>
      <c r="G61" s="2" t="s">
        <v>22</v>
      </c>
      <c r="H61" s="2" t="s">
        <v>23</v>
      </c>
      <c r="I61" s="2" t="s">
        <v>499</v>
      </c>
      <c r="J61" s="2" t="s">
        <v>1488</v>
      </c>
      <c r="K61" s="2" t="s">
        <v>1489</v>
      </c>
      <c r="L61" s="2" t="s">
        <v>54</v>
      </c>
      <c r="M61" s="2" t="s">
        <v>27</v>
      </c>
      <c r="N61" s="2" t="s">
        <v>1490</v>
      </c>
      <c r="O61" s="2" t="s">
        <v>126</v>
      </c>
      <c r="P61" s="2" t="s">
        <v>36</v>
      </c>
      <c r="Q61" s="2" t="s">
        <v>17</v>
      </c>
    </row>
    <row r="62" spans="1:17" hidden="1">
      <c r="A62" s="2">
        <v>12590</v>
      </c>
      <c r="B62" s="2" t="s">
        <v>594</v>
      </c>
      <c r="C62" s="2" t="s">
        <v>595</v>
      </c>
      <c r="D62" s="3">
        <v>46121.772916666669</v>
      </c>
      <c r="E62" s="2" t="s">
        <v>57</v>
      </c>
      <c r="F62" s="2" t="s">
        <v>5</v>
      </c>
      <c r="G62" s="2" t="s">
        <v>18</v>
      </c>
      <c r="H62" s="2" t="s">
        <v>23</v>
      </c>
      <c r="I62" s="2" t="s">
        <v>88</v>
      </c>
      <c r="J62" s="2" t="s">
        <v>596</v>
      </c>
      <c r="K62" s="2" t="s">
        <v>597</v>
      </c>
      <c r="L62" s="2" t="s">
        <v>26</v>
      </c>
      <c r="M62" s="2" t="s">
        <v>27</v>
      </c>
      <c r="N62" s="2" t="s">
        <v>598</v>
      </c>
      <c r="O62" s="2" t="s">
        <v>62</v>
      </c>
      <c r="P62" s="2" t="s">
        <v>36</v>
      </c>
      <c r="Q62" s="2" t="s">
        <v>17</v>
      </c>
    </row>
    <row r="63" spans="1:17" hidden="1">
      <c r="A63" s="2">
        <v>12654</v>
      </c>
      <c r="B63" s="2" t="s">
        <v>715</v>
      </c>
      <c r="C63" s="2" t="s">
        <v>715</v>
      </c>
      <c r="D63" s="3">
        <v>46123.80972222222</v>
      </c>
      <c r="E63" s="2" t="s">
        <v>57</v>
      </c>
      <c r="F63" s="2" t="s">
        <v>5</v>
      </c>
      <c r="G63" s="2" t="s">
        <v>22</v>
      </c>
      <c r="H63" s="2" t="s">
        <v>43</v>
      </c>
      <c r="I63" s="2" t="s">
        <v>74</v>
      </c>
      <c r="J63" s="2" t="s">
        <v>716</v>
      </c>
      <c r="K63" s="2" t="s">
        <v>717</v>
      </c>
      <c r="L63" s="2" t="s">
        <v>26</v>
      </c>
      <c r="M63" s="2" t="s">
        <v>47</v>
      </c>
      <c r="N63" s="2" t="s">
        <v>718</v>
      </c>
      <c r="O63" s="2" t="s">
        <v>78</v>
      </c>
      <c r="P63" s="2" t="s">
        <v>36</v>
      </c>
      <c r="Q63" s="2" t="s">
        <v>17</v>
      </c>
    </row>
    <row r="64" spans="1:17" hidden="1">
      <c r="A64" s="2">
        <v>12405</v>
      </c>
      <c r="B64" s="2" t="s">
        <v>375</v>
      </c>
      <c r="C64" s="2" t="s">
        <v>375</v>
      </c>
      <c r="D64" s="3">
        <v>46117.930555555555</v>
      </c>
      <c r="E64" s="2" t="s">
        <v>57</v>
      </c>
      <c r="F64" s="2" t="s">
        <v>5</v>
      </c>
      <c r="G64" s="2" t="s">
        <v>80</v>
      </c>
      <c r="H64" s="2" t="s">
        <v>23</v>
      </c>
      <c r="I64" s="2" t="s">
        <v>81</v>
      </c>
      <c r="J64" s="2" t="s">
        <v>376</v>
      </c>
      <c r="K64" s="2" t="s">
        <v>377</v>
      </c>
      <c r="L64" s="2" t="s">
        <v>84</v>
      </c>
      <c r="M64" s="2" t="s">
        <v>27</v>
      </c>
      <c r="N64" s="2" t="s">
        <v>378</v>
      </c>
      <c r="O64" s="2" t="s">
        <v>107</v>
      </c>
      <c r="P64" s="2" t="s">
        <v>36</v>
      </c>
      <c r="Q64" s="2" t="s">
        <v>17</v>
      </c>
    </row>
    <row r="65" spans="1:17" hidden="1">
      <c r="A65" s="2">
        <v>12908</v>
      </c>
      <c r="B65" s="2" t="s">
        <v>1041</v>
      </c>
      <c r="C65" s="2" t="s">
        <v>1041</v>
      </c>
      <c r="D65" s="3">
        <v>46131.282638888893</v>
      </c>
      <c r="E65" s="2" t="s">
        <v>57</v>
      </c>
      <c r="F65" s="2" t="s">
        <v>5</v>
      </c>
      <c r="G65" s="2" t="s">
        <v>18</v>
      </c>
      <c r="H65" s="2" t="s">
        <v>23</v>
      </c>
      <c r="I65" s="2" t="s">
        <v>88</v>
      </c>
      <c r="J65" s="2" t="s">
        <v>17</v>
      </c>
      <c r="K65" s="2" t="s">
        <v>17</v>
      </c>
      <c r="L65" s="2" t="s">
        <v>26</v>
      </c>
      <c r="M65" s="2" t="s">
        <v>19</v>
      </c>
      <c r="N65" s="2" t="s">
        <v>1042</v>
      </c>
      <c r="O65" s="2" t="s">
        <v>62</v>
      </c>
      <c r="P65" s="2" t="s">
        <v>41</v>
      </c>
      <c r="Q65" s="2" t="s">
        <v>17</v>
      </c>
    </row>
    <row r="66" spans="1:17" hidden="1">
      <c r="A66" s="2">
        <v>13196</v>
      </c>
      <c r="B66" s="2" t="s">
        <v>1367</v>
      </c>
      <c r="C66" s="2" t="s">
        <v>1368</v>
      </c>
      <c r="D66" s="3">
        <v>46137.722222222219</v>
      </c>
      <c r="E66" s="2" t="s">
        <v>1186</v>
      </c>
      <c r="F66" s="2" t="s">
        <v>17</v>
      </c>
      <c r="G66" s="2" t="s">
        <v>18</v>
      </c>
      <c r="H66" s="2" t="s">
        <v>23</v>
      </c>
      <c r="I66" s="2" t="s">
        <v>88</v>
      </c>
      <c r="J66" s="2" t="s">
        <v>364</v>
      </c>
      <c r="K66" s="2" t="s">
        <v>1369</v>
      </c>
      <c r="L66" s="2" t="s">
        <v>26</v>
      </c>
      <c r="M66" s="2" t="s">
        <v>27</v>
      </c>
      <c r="N66" s="2" t="s">
        <v>1370</v>
      </c>
      <c r="O66" s="2" t="s">
        <v>17</v>
      </c>
      <c r="P66" s="2" t="s">
        <v>36</v>
      </c>
      <c r="Q66" s="2" t="s">
        <v>17</v>
      </c>
    </row>
    <row r="67" spans="1:17" hidden="1">
      <c r="A67" s="2">
        <v>12926</v>
      </c>
      <c r="B67" s="2" t="s">
        <v>1082</v>
      </c>
      <c r="C67" s="2" t="s">
        <v>1083</v>
      </c>
      <c r="D67" s="3">
        <v>46132.043749999997</v>
      </c>
      <c r="E67" s="2" t="s">
        <v>900</v>
      </c>
      <c r="F67" s="2" t="s">
        <v>17</v>
      </c>
      <c r="G67" s="2" t="s">
        <v>18</v>
      </c>
      <c r="H67" s="2" t="s">
        <v>23</v>
      </c>
      <c r="I67" s="2" t="s">
        <v>88</v>
      </c>
      <c r="J67" s="2" t="s">
        <v>1084</v>
      </c>
      <c r="K67" s="2" t="s">
        <v>1085</v>
      </c>
      <c r="L67" s="2" t="s">
        <v>26</v>
      </c>
      <c r="M67" s="2" t="s">
        <v>27</v>
      </c>
      <c r="N67" s="2" t="s">
        <v>1086</v>
      </c>
      <c r="O67" s="2" t="s">
        <v>17</v>
      </c>
      <c r="P67" s="2" t="s">
        <v>36</v>
      </c>
      <c r="Q67" s="2" t="s">
        <v>17</v>
      </c>
    </row>
    <row r="68" spans="1:17" hidden="1">
      <c r="A68" s="2">
        <v>12879</v>
      </c>
      <c r="B68" s="2" t="s">
        <v>993</v>
      </c>
      <c r="C68" s="2" t="s">
        <v>993</v>
      </c>
      <c r="D68" s="3">
        <v>46129.904166666667</v>
      </c>
      <c r="E68" s="2" t="s">
        <v>21</v>
      </c>
      <c r="F68" s="2" t="s">
        <v>5</v>
      </c>
      <c r="G68" s="2" t="s">
        <v>80</v>
      </c>
      <c r="H68" s="2" t="s">
        <v>23</v>
      </c>
      <c r="I68" s="2" t="s">
        <v>110</v>
      </c>
      <c r="J68" s="2" t="s">
        <v>994</v>
      </c>
      <c r="K68" s="2" t="s">
        <v>995</v>
      </c>
      <c r="L68" s="2" t="s">
        <v>26</v>
      </c>
      <c r="M68" s="2" t="s">
        <v>27</v>
      </c>
      <c r="N68" s="2" t="s">
        <v>996</v>
      </c>
      <c r="O68" s="2" t="s">
        <v>17</v>
      </c>
      <c r="P68" s="2" t="s">
        <v>36</v>
      </c>
      <c r="Q68" s="2" t="s">
        <v>17</v>
      </c>
    </row>
    <row r="69" spans="1:17" hidden="1">
      <c r="A69" s="2">
        <v>12975</v>
      </c>
      <c r="B69" s="2" t="s">
        <v>1120</v>
      </c>
      <c r="C69" s="2" t="s">
        <v>1120</v>
      </c>
      <c r="D69" s="3">
        <v>46132.73055555555</v>
      </c>
      <c r="E69" s="2" t="s">
        <v>21</v>
      </c>
      <c r="F69" s="2" t="s">
        <v>5</v>
      </c>
      <c r="G69" s="2" t="s">
        <v>80</v>
      </c>
      <c r="H69" s="2" t="s">
        <v>23</v>
      </c>
      <c r="I69" s="2" t="s">
        <v>110</v>
      </c>
      <c r="J69" s="2" t="s">
        <v>17</v>
      </c>
      <c r="K69" s="2" t="s">
        <v>17</v>
      </c>
      <c r="L69" s="2" t="s">
        <v>26</v>
      </c>
      <c r="M69" s="2" t="s">
        <v>27</v>
      </c>
      <c r="N69" s="2" t="s">
        <v>1121</v>
      </c>
      <c r="O69" s="2" t="s">
        <v>17</v>
      </c>
      <c r="P69" s="2" t="s">
        <v>41</v>
      </c>
      <c r="Q69" s="2" t="s">
        <v>17</v>
      </c>
    </row>
    <row r="70" spans="1:17" hidden="1">
      <c r="A70" s="2">
        <v>13418</v>
      </c>
      <c r="B70" s="2" t="s">
        <v>1652</v>
      </c>
      <c r="C70" s="2" t="s">
        <v>1652</v>
      </c>
      <c r="D70" s="3">
        <v>46142.85555555555</v>
      </c>
      <c r="E70" s="2" t="s">
        <v>1324</v>
      </c>
      <c r="F70" s="2" t="s">
        <v>5</v>
      </c>
      <c r="G70" s="2" t="s">
        <v>80</v>
      </c>
      <c r="H70" s="2" t="s">
        <v>23</v>
      </c>
      <c r="I70" s="2" t="s">
        <v>81</v>
      </c>
      <c r="J70" s="2" t="s">
        <v>1653</v>
      </c>
      <c r="K70" s="2" t="s">
        <v>1654</v>
      </c>
      <c r="L70" s="2" t="s">
        <v>84</v>
      </c>
      <c r="M70" s="2" t="s">
        <v>27</v>
      </c>
      <c r="N70" s="2" t="s">
        <v>1655</v>
      </c>
      <c r="O70" s="2" t="s">
        <v>17</v>
      </c>
      <c r="P70" s="2" t="s">
        <v>29</v>
      </c>
      <c r="Q70" s="2" t="s">
        <v>17</v>
      </c>
    </row>
    <row r="71" spans="1:17" hidden="1">
      <c r="A71" s="2">
        <v>12904</v>
      </c>
      <c r="B71" s="2" t="s">
        <v>1032</v>
      </c>
      <c r="C71" s="2" t="s">
        <v>1033</v>
      </c>
      <c r="D71" s="3">
        <v>46130.913194444445</v>
      </c>
      <c r="E71" s="2" t="s">
        <v>900</v>
      </c>
      <c r="F71" s="2" t="s">
        <v>5</v>
      </c>
      <c r="G71" s="2" t="s">
        <v>18</v>
      </c>
      <c r="H71" s="2" t="s">
        <v>23</v>
      </c>
      <c r="I71" s="2" t="s">
        <v>110</v>
      </c>
      <c r="J71" s="2" t="s">
        <v>1034</v>
      </c>
      <c r="K71" s="2" t="s">
        <v>1035</v>
      </c>
      <c r="L71" s="2" t="s">
        <v>26</v>
      </c>
      <c r="M71" s="2" t="s">
        <v>27</v>
      </c>
      <c r="N71" s="2" t="s">
        <v>1036</v>
      </c>
      <c r="O71" s="2" t="s">
        <v>17</v>
      </c>
      <c r="P71" s="2" t="s">
        <v>97</v>
      </c>
      <c r="Q71" s="2" t="s">
        <v>17</v>
      </c>
    </row>
    <row r="72" spans="1:17" hidden="1">
      <c r="A72" s="2">
        <v>12480</v>
      </c>
      <c r="B72" s="2" t="s">
        <v>494</v>
      </c>
      <c r="C72" s="2" t="s">
        <v>494</v>
      </c>
      <c r="D72" s="3">
        <v>46119.693055555559</v>
      </c>
      <c r="E72" s="2" t="s">
        <v>57</v>
      </c>
      <c r="F72" s="2" t="s">
        <v>5</v>
      </c>
      <c r="G72" s="2" t="s">
        <v>22</v>
      </c>
      <c r="H72" s="2" t="s">
        <v>23</v>
      </c>
      <c r="I72" s="2" t="s">
        <v>110</v>
      </c>
      <c r="J72" s="2" t="s">
        <v>495</v>
      </c>
      <c r="K72" s="2" t="s">
        <v>496</v>
      </c>
      <c r="L72" s="2" t="s">
        <v>26</v>
      </c>
      <c r="M72" s="2" t="s">
        <v>27</v>
      </c>
      <c r="N72" s="253" t="s">
        <v>497</v>
      </c>
      <c r="O72" s="2" t="s">
        <v>78</v>
      </c>
      <c r="P72" s="2" t="s">
        <v>36</v>
      </c>
      <c r="Q72" s="2" t="s">
        <v>17</v>
      </c>
    </row>
    <row r="73" spans="1:17" hidden="1">
      <c r="A73" s="2">
        <v>12744</v>
      </c>
      <c r="B73" s="2" t="s">
        <v>849</v>
      </c>
      <c r="C73" s="2" t="s">
        <v>850</v>
      </c>
      <c r="D73" s="3">
        <v>46126.552083333328</v>
      </c>
      <c r="E73" s="2" t="s">
        <v>57</v>
      </c>
      <c r="F73" s="2" t="s">
        <v>5</v>
      </c>
      <c r="G73" s="2" t="s">
        <v>18</v>
      </c>
      <c r="H73" s="2" t="s">
        <v>23</v>
      </c>
      <c r="I73" s="2" t="s">
        <v>159</v>
      </c>
      <c r="J73" s="2" t="s">
        <v>851</v>
      </c>
      <c r="K73" s="2" t="s">
        <v>852</v>
      </c>
      <c r="L73" s="2" t="s">
        <v>26</v>
      </c>
      <c r="M73" s="2" t="s">
        <v>27</v>
      </c>
      <c r="N73" s="2" t="s">
        <v>853</v>
      </c>
      <c r="O73" s="2" t="s">
        <v>78</v>
      </c>
      <c r="P73" s="2" t="s">
        <v>36</v>
      </c>
      <c r="Q73" s="2" t="s">
        <v>17</v>
      </c>
    </row>
    <row r="74" spans="1:17" hidden="1">
      <c r="A74" s="2">
        <v>13182</v>
      </c>
      <c r="B74" s="2" t="s">
        <v>1337</v>
      </c>
      <c r="C74" s="2" t="s">
        <v>1338</v>
      </c>
      <c r="D74" s="3">
        <v>46136.953472222223</v>
      </c>
      <c r="E74" s="2" t="s">
        <v>1186</v>
      </c>
      <c r="F74" s="2" t="s">
        <v>5</v>
      </c>
      <c r="G74" s="2" t="s">
        <v>18</v>
      </c>
      <c r="H74" s="2" t="s">
        <v>23</v>
      </c>
      <c r="I74" s="2" t="s">
        <v>88</v>
      </c>
      <c r="J74" s="2" t="s">
        <v>1339</v>
      </c>
      <c r="K74" s="2" t="s">
        <v>1340</v>
      </c>
      <c r="L74" s="2" t="s">
        <v>26</v>
      </c>
      <c r="M74" s="2" t="s">
        <v>27</v>
      </c>
      <c r="N74" s="2" t="s">
        <v>1341</v>
      </c>
      <c r="O74" s="2" t="s">
        <v>17</v>
      </c>
      <c r="P74" s="2" t="s">
        <v>36</v>
      </c>
      <c r="Q74" s="2" t="s">
        <v>17</v>
      </c>
    </row>
    <row r="75" spans="1:17" hidden="1">
      <c r="A75" s="2">
        <v>12459</v>
      </c>
      <c r="B75" s="2" t="s">
        <v>461</v>
      </c>
      <c r="C75" s="2" t="s">
        <v>462</v>
      </c>
      <c r="D75" s="3">
        <v>46119.130555555559</v>
      </c>
      <c r="E75" s="2" t="s">
        <v>57</v>
      </c>
      <c r="F75" s="2" t="s">
        <v>5</v>
      </c>
      <c r="G75" s="2" t="s">
        <v>18</v>
      </c>
      <c r="H75" s="2" t="s">
        <v>23</v>
      </c>
      <c r="I75" s="2" t="s">
        <v>88</v>
      </c>
      <c r="J75" s="2" t="s">
        <v>463</v>
      </c>
      <c r="K75" s="2" t="s">
        <v>464</v>
      </c>
      <c r="L75" s="2" t="s">
        <v>26</v>
      </c>
      <c r="M75" s="2" t="s">
        <v>27</v>
      </c>
      <c r="N75" s="2" t="s">
        <v>465</v>
      </c>
      <c r="O75" s="2" t="s">
        <v>62</v>
      </c>
      <c r="P75" s="2" t="s">
        <v>101</v>
      </c>
      <c r="Q75" s="2" t="s">
        <v>17</v>
      </c>
    </row>
    <row r="76" spans="1:17" hidden="1">
      <c r="A76" s="2">
        <v>12398</v>
      </c>
      <c r="B76" s="2" t="s">
        <v>357</v>
      </c>
      <c r="C76" s="2" t="s">
        <v>357</v>
      </c>
      <c r="D76" s="3">
        <v>46117.685416666667</v>
      </c>
      <c r="E76" s="2" t="s">
        <v>57</v>
      </c>
      <c r="F76" s="2" t="s">
        <v>5</v>
      </c>
      <c r="G76" s="2" t="s">
        <v>22</v>
      </c>
      <c r="H76" s="2" t="s">
        <v>43</v>
      </c>
      <c r="I76" s="2" t="s">
        <v>358</v>
      </c>
      <c r="J76" s="2" t="s">
        <v>359</v>
      </c>
      <c r="K76" s="2" t="s">
        <v>360</v>
      </c>
      <c r="L76" s="2" t="s">
        <v>26</v>
      </c>
      <c r="M76" s="2" t="s">
        <v>47</v>
      </c>
      <c r="N76" s="2" t="s">
        <v>361</v>
      </c>
      <c r="O76" s="2" t="s">
        <v>78</v>
      </c>
      <c r="P76" s="2" t="s">
        <v>36</v>
      </c>
      <c r="Q76" s="2" t="s">
        <v>17</v>
      </c>
    </row>
    <row r="77" spans="1:17" hidden="1">
      <c r="A77" s="2">
        <v>12189</v>
      </c>
      <c r="B77" s="2" t="s">
        <v>20</v>
      </c>
      <c r="C77" s="2" t="s">
        <v>20</v>
      </c>
      <c r="D77" s="3">
        <v>46113.049305555556</v>
      </c>
      <c r="E77" s="2" t="s">
        <v>21</v>
      </c>
      <c r="F77" s="2" t="s">
        <v>5</v>
      </c>
      <c r="G77" s="2" t="s">
        <v>22</v>
      </c>
      <c r="H77" s="2" t="s">
        <v>23</v>
      </c>
      <c r="I77" s="2" t="s">
        <v>24</v>
      </c>
      <c r="J77" s="2" t="s">
        <v>25</v>
      </c>
      <c r="K77" s="2" t="s">
        <v>17</v>
      </c>
      <c r="L77" s="2" t="s">
        <v>26</v>
      </c>
      <c r="M77" s="2" t="s">
        <v>27</v>
      </c>
      <c r="N77" s="2" t="s">
        <v>28</v>
      </c>
      <c r="O77" s="2" t="s">
        <v>17</v>
      </c>
      <c r="P77" s="2" t="s">
        <v>29</v>
      </c>
      <c r="Q77" s="2" t="s">
        <v>17</v>
      </c>
    </row>
    <row r="78" spans="1:17" hidden="1">
      <c r="A78" s="2">
        <v>12400</v>
      </c>
      <c r="B78" s="2" t="s">
        <v>362</v>
      </c>
      <c r="C78" s="2" t="s">
        <v>363</v>
      </c>
      <c r="D78" s="3">
        <v>46117.818055555559</v>
      </c>
      <c r="E78" s="2" t="s">
        <v>57</v>
      </c>
      <c r="F78" s="2" t="s">
        <v>5</v>
      </c>
      <c r="G78" s="2" t="s">
        <v>18</v>
      </c>
      <c r="H78" s="2" t="s">
        <v>23</v>
      </c>
      <c r="I78" s="2" t="s">
        <v>88</v>
      </c>
      <c r="J78" s="2" t="s">
        <v>364</v>
      </c>
      <c r="K78" s="2" t="s">
        <v>365</v>
      </c>
      <c r="L78" s="2" t="s">
        <v>26</v>
      </c>
      <c r="M78" s="2" t="s">
        <v>27</v>
      </c>
      <c r="N78" s="2" t="s">
        <v>366</v>
      </c>
      <c r="O78" s="2" t="s">
        <v>62</v>
      </c>
      <c r="P78" s="2" t="s">
        <v>36</v>
      </c>
      <c r="Q78" s="2" t="s">
        <v>17</v>
      </c>
    </row>
    <row r="79" spans="1:17" hidden="1">
      <c r="A79" s="2">
        <v>12693</v>
      </c>
      <c r="B79" s="2" t="s">
        <v>799</v>
      </c>
      <c r="C79" s="2" t="s">
        <v>799</v>
      </c>
      <c r="D79" s="3">
        <v>46125.56527777778</v>
      </c>
      <c r="E79" s="2" t="s">
        <v>167</v>
      </c>
      <c r="F79" s="2" t="s">
        <v>17</v>
      </c>
      <c r="G79" s="2" t="s">
        <v>18</v>
      </c>
      <c r="H79" s="2" t="s">
        <v>168</v>
      </c>
      <c r="I79" s="2" t="s">
        <v>148</v>
      </c>
      <c r="J79" s="2" t="s">
        <v>800</v>
      </c>
      <c r="K79" s="2" t="s">
        <v>66</v>
      </c>
      <c r="L79" s="2" t="s">
        <v>26</v>
      </c>
      <c r="M79" s="2" t="s">
        <v>47</v>
      </c>
      <c r="N79" s="2" t="s">
        <v>801</v>
      </c>
      <c r="O79" s="2" t="s">
        <v>17</v>
      </c>
      <c r="P79" s="2" t="s">
        <v>29</v>
      </c>
      <c r="Q79" s="2" t="s">
        <v>17</v>
      </c>
    </row>
    <row r="80" spans="1:17" hidden="1">
      <c r="A80" s="2">
        <v>12671</v>
      </c>
      <c r="B80" s="2" t="s">
        <v>762</v>
      </c>
      <c r="C80" s="2" t="s">
        <v>762</v>
      </c>
      <c r="D80" s="3">
        <v>46124.618055555555</v>
      </c>
      <c r="E80" s="2" t="s">
        <v>21</v>
      </c>
      <c r="F80" s="2" t="s">
        <v>5</v>
      </c>
      <c r="G80" s="2" t="s">
        <v>22</v>
      </c>
      <c r="H80" s="2" t="s">
        <v>23</v>
      </c>
      <c r="I80" s="2" t="s">
        <v>380</v>
      </c>
      <c r="J80" s="2" t="s">
        <v>763</v>
      </c>
      <c r="K80" s="2" t="s">
        <v>764</v>
      </c>
      <c r="L80" s="2" t="s">
        <v>54</v>
      </c>
      <c r="M80" s="2" t="s">
        <v>27</v>
      </c>
      <c r="N80" s="2" t="s">
        <v>765</v>
      </c>
      <c r="O80" s="2" t="s">
        <v>17</v>
      </c>
      <c r="P80" s="2" t="s">
        <v>101</v>
      </c>
      <c r="Q80" s="2" t="s">
        <v>17</v>
      </c>
    </row>
    <row r="81" spans="1:17" hidden="1">
      <c r="A81" s="2">
        <v>12982</v>
      </c>
      <c r="B81" s="2" t="s">
        <v>1122</v>
      </c>
      <c r="C81" s="2" t="s">
        <v>1123</v>
      </c>
      <c r="D81" s="3">
        <v>46133.181944444441</v>
      </c>
      <c r="E81" s="2" t="s">
        <v>57</v>
      </c>
      <c r="F81" s="2" t="s">
        <v>5</v>
      </c>
      <c r="G81" s="2" t="s">
        <v>18</v>
      </c>
      <c r="H81" s="2" t="s">
        <v>168</v>
      </c>
      <c r="I81" s="2" t="s">
        <v>187</v>
      </c>
      <c r="J81" s="2" t="s">
        <v>1124</v>
      </c>
      <c r="K81" s="2" t="s">
        <v>1125</v>
      </c>
      <c r="L81" s="2" t="s">
        <v>26</v>
      </c>
      <c r="M81" s="2" t="s">
        <v>47</v>
      </c>
      <c r="N81" s="2" t="s">
        <v>1126</v>
      </c>
      <c r="O81" s="2" t="s">
        <v>62</v>
      </c>
      <c r="P81" s="2" t="s">
        <v>101</v>
      </c>
      <c r="Q81" s="2" t="s">
        <v>17</v>
      </c>
    </row>
    <row r="82" spans="1:17" hidden="1">
      <c r="A82" s="2">
        <v>12237</v>
      </c>
      <c r="B82" s="2" t="s">
        <v>56</v>
      </c>
      <c r="C82" s="2" t="s">
        <v>56</v>
      </c>
      <c r="D82" s="3">
        <v>46113.740277777775</v>
      </c>
      <c r="E82" s="2" t="s">
        <v>57</v>
      </c>
      <c r="F82" s="2" t="s">
        <v>5</v>
      </c>
      <c r="G82" s="2" t="s">
        <v>18</v>
      </c>
      <c r="H82" s="2" t="s">
        <v>23</v>
      </c>
      <c r="I82" s="2" t="s">
        <v>58</v>
      </c>
      <c r="J82" s="2" t="s">
        <v>59</v>
      </c>
      <c r="K82" s="2" t="s">
        <v>60</v>
      </c>
      <c r="L82" s="2" t="s">
        <v>26</v>
      </c>
      <c r="M82" s="2" t="s">
        <v>27</v>
      </c>
      <c r="N82" s="2" t="s">
        <v>61</v>
      </c>
      <c r="O82" s="2" t="s">
        <v>62</v>
      </c>
      <c r="P82" s="2" t="s">
        <v>36</v>
      </c>
      <c r="Q82" s="2" t="s">
        <v>17</v>
      </c>
    </row>
    <row r="83" spans="1:17" hidden="1">
      <c r="A83" s="2">
        <v>13334</v>
      </c>
      <c r="B83" s="2" t="s">
        <v>1564</v>
      </c>
      <c r="C83" s="2" t="s">
        <v>1564</v>
      </c>
      <c r="D83" s="3">
        <v>46141.458333333328</v>
      </c>
      <c r="E83" s="2" t="s">
        <v>57</v>
      </c>
      <c r="F83" s="2" t="s">
        <v>230</v>
      </c>
      <c r="G83" s="2" t="s">
        <v>18</v>
      </c>
      <c r="H83" s="2" t="s">
        <v>17</v>
      </c>
      <c r="I83" s="2" t="s">
        <v>17</v>
      </c>
      <c r="J83" s="2" t="s">
        <v>17</v>
      </c>
      <c r="K83" s="2" t="s">
        <v>17</v>
      </c>
      <c r="L83" s="2" t="s">
        <v>17</v>
      </c>
      <c r="M83" s="2" t="s">
        <v>27</v>
      </c>
      <c r="N83" s="2" t="s">
        <v>1565</v>
      </c>
      <c r="O83" s="2" t="s">
        <v>126</v>
      </c>
      <c r="P83" s="2" t="s">
        <v>127</v>
      </c>
      <c r="Q83" s="2" t="s">
        <v>17</v>
      </c>
    </row>
    <row r="84" spans="1:17" hidden="1">
      <c r="A84" s="2">
        <v>13414</v>
      </c>
      <c r="B84" s="2" t="s">
        <v>1639</v>
      </c>
      <c r="C84" s="2" t="s">
        <v>1639</v>
      </c>
      <c r="D84" s="3">
        <v>46142.811805555553</v>
      </c>
      <c r="E84" s="2" t="s">
        <v>1640</v>
      </c>
      <c r="F84" s="2" t="s">
        <v>5</v>
      </c>
      <c r="G84" s="2" t="s">
        <v>22</v>
      </c>
      <c r="H84" s="2" t="s">
        <v>23</v>
      </c>
      <c r="I84" s="2" t="s">
        <v>499</v>
      </c>
      <c r="J84" s="2" t="s">
        <v>1641</v>
      </c>
      <c r="K84" s="2" t="s">
        <v>1642</v>
      </c>
      <c r="L84" s="2" t="s">
        <v>54</v>
      </c>
      <c r="M84" s="2" t="s">
        <v>27</v>
      </c>
      <c r="N84" s="2" t="s">
        <v>1643</v>
      </c>
      <c r="O84" s="2" t="s">
        <v>17</v>
      </c>
      <c r="P84" s="2" t="s">
        <v>36</v>
      </c>
      <c r="Q84" s="2" t="s">
        <v>17</v>
      </c>
    </row>
    <row r="85" spans="1:17" hidden="1">
      <c r="A85" s="2">
        <v>13171</v>
      </c>
      <c r="B85" s="2" t="s">
        <v>1329</v>
      </c>
      <c r="C85" s="2" t="s">
        <v>1329</v>
      </c>
      <c r="D85" s="3">
        <v>46136.763888888891</v>
      </c>
      <c r="E85" s="2" t="s">
        <v>21</v>
      </c>
      <c r="F85" s="2" t="s">
        <v>17</v>
      </c>
      <c r="G85" s="2" t="s">
        <v>80</v>
      </c>
      <c r="H85" s="2" t="s">
        <v>23</v>
      </c>
      <c r="I85" s="2" t="s">
        <v>88</v>
      </c>
      <c r="J85" s="2" t="s">
        <v>1330</v>
      </c>
      <c r="K85" s="2" t="s">
        <v>1331</v>
      </c>
      <c r="L85" s="2" t="s">
        <v>26</v>
      </c>
      <c r="M85" s="2" t="s">
        <v>27</v>
      </c>
      <c r="N85" s="2" t="s">
        <v>1332</v>
      </c>
      <c r="O85" s="2" t="s">
        <v>17</v>
      </c>
      <c r="P85" s="2" t="s">
        <v>101</v>
      </c>
      <c r="Q85" s="2" t="s">
        <v>17</v>
      </c>
    </row>
    <row r="86" spans="1:17" hidden="1">
      <c r="A86" s="2">
        <v>13064</v>
      </c>
      <c r="B86" s="2" t="s">
        <v>1230</v>
      </c>
      <c r="C86" s="2" t="s">
        <v>1230</v>
      </c>
      <c r="D86" s="3">
        <v>46134.720833333333</v>
      </c>
      <c r="E86" s="2" t="s">
        <v>57</v>
      </c>
      <c r="F86" s="2" t="s">
        <v>5</v>
      </c>
      <c r="G86" s="2" t="s">
        <v>80</v>
      </c>
      <c r="H86" s="2" t="s">
        <v>23</v>
      </c>
      <c r="I86" s="2" t="s">
        <v>110</v>
      </c>
      <c r="J86" s="2" t="s">
        <v>1231</v>
      </c>
      <c r="K86" s="2" t="s">
        <v>1232</v>
      </c>
      <c r="L86" s="2" t="s">
        <v>26</v>
      </c>
      <c r="M86" s="2" t="s">
        <v>27</v>
      </c>
      <c r="N86" s="2" t="s">
        <v>1233</v>
      </c>
      <c r="O86" s="2" t="s">
        <v>107</v>
      </c>
      <c r="P86" s="2" t="s">
        <v>1201</v>
      </c>
      <c r="Q86" s="2" t="s">
        <v>17</v>
      </c>
    </row>
    <row r="87" spans="1:17" hidden="1">
      <c r="A87" s="2">
        <v>12943</v>
      </c>
      <c r="B87" s="2" t="s">
        <v>1100</v>
      </c>
      <c r="C87" s="2" t="s">
        <v>1100</v>
      </c>
      <c r="D87" s="3">
        <v>46132.385416666672</v>
      </c>
      <c r="E87" s="2" t="s">
        <v>582</v>
      </c>
      <c r="F87" s="2" t="s">
        <v>5</v>
      </c>
      <c r="G87" s="2" t="s">
        <v>22</v>
      </c>
      <c r="H87" s="2" t="s">
        <v>23</v>
      </c>
      <c r="I87" s="2" t="s">
        <v>910</v>
      </c>
      <c r="J87" s="2" t="s">
        <v>1101</v>
      </c>
      <c r="K87" s="2" t="s">
        <v>1102</v>
      </c>
      <c r="L87" s="2" t="s">
        <v>54</v>
      </c>
      <c r="M87" s="2" t="s">
        <v>27</v>
      </c>
      <c r="N87" s="2" t="s">
        <v>1103</v>
      </c>
      <c r="O87" s="2" t="s">
        <v>17</v>
      </c>
      <c r="P87" s="2" t="s">
        <v>36</v>
      </c>
      <c r="Q87" s="2" t="s">
        <v>17</v>
      </c>
    </row>
    <row r="88" spans="1:17" hidden="1">
      <c r="A88" s="2">
        <v>13423</v>
      </c>
      <c r="B88" s="2" t="s">
        <v>1656</v>
      </c>
      <c r="C88" s="2" t="s">
        <v>1657</v>
      </c>
      <c r="D88" s="3">
        <v>46142.936111111107</v>
      </c>
      <c r="E88" s="2" t="s">
        <v>16</v>
      </c>
      <c r="F88" s="2" t="s">
        <v>17</v>
      </c>
      <c r="G88" s="2" t="s">
        <v>18</v>
      </c>
      <c r="H88" s="2" t="s">
        <v>17</v>
      </c>
      <c r="I88" s="2" t="s">
        <v>17</v>
      </c>
      <c r="J88" s="2" t="s">
        <v>17</v>
      </c>
      <c r="K88" s="2" t="s">
        <v>17</v>
      </c>
      <c r="L88" s="2" t="s">
        <v>17</v>
      </c>
      <c r="M88" s="2" t="s">
        <v>19</v>
      </c>
      <c r="N88" s="2" t="s">
        <v>1658</v>
      </c>
      <c r="O88" s="2" t="s">
        <v>17</v>
      </c>
      <c r="P88" s="2" t="s">
        <v>49</v>
      </c>
      <c r="Q88" s="2" t="s">
        <v>17</v>
      </c>
    </row>
    <row r="89" spans="1:17" hidden="1">
      <c r="A89" s="2">
        <v>12598</v>
      </c>
      <c r="B89" s="2" t="s">
        <v>611</v>
      </c>
      <c r="C89" s="2" t="s">
        <v>611</v>
      </c>
      <c r="D89" s="3">
        <v>46121.834027777775</v>
      </c>
      <c r="E89" s="2" t="s">
        <v>21</v>
      </c>
      <c r="F89" s="2" t="s">
        <v>5</v>
      </c>
      <c r="G89" s="2" t="s">
        <v>80</v>
      </c>
      <c r="H89" s="2" t="s">
        <v>23</v>
      </c>
      <c r="I89" s="2" t="s">
        <v>81</v>
      </c>
      <c r="J89" s="2" t="s">
        <v>612</v>
      </c>
      <c r="K89" s="2" t="s">
        <v>613</v>
      </c>
      <c r="L89" s="2" t="s">
        <v>84</v>
      </c>
      <c r="M89" s="2" t="s">
        <v>27</v>
      </c>
      <c r="N89" s="2" t="s">
        <v>614</v>
      </c>
      <c r="O89" s="2" t="s">
        <v>17</v>
      </c>
      <c r="P89" s="2" t="s">
        <v>101</v>
      </c>
      <c r="Q89" s="2" t="s">
        <v>17</v>
      </c>
    </row>
    <row r="90" spans="1:17" hidden="1">
      <c r="A90" s="2">
        <v>12374</v>
      </c>
      <c r="B90" s="2" t="s">
        <v>275</v>
      </c>
      <c r="C90" s="2" t="s">
        <v>275</v>
      </c>
      <c r="D90" s="3">
        <v>46116.023611111115</v>
      </c>
      <c r="E90" s="2" t="s">
        <v>276</v>
      </c>
      <c r="F90" s="2" t="s">
        <v>5</v>
      </c>
      <c r="G90" s="2" t="s">
        <v>80</v>
      </c>
      <c r="H90" s="2" t="s">
        <v>23</v>
      </c>
      <c r="I90" s="2" t="s">
        <v>81</v>
      </c>
      <c r="J90" s="2" t="s">
        <v>277</v>
      </c>
      <c r="K90" s="2" t="s">
        <v>278</v>
      </c>
      <c r="L90" s="2" t="s">
        <v>84</v>
      </c>
      <c r="M90" s="2" t="s">
        <v>27</v>
      </c>
      <c r="N90" s="2" t="s">
        <v>279</v>
      </c>
      <c r="O90" s="2" t="s">
        <v>17</v>
      </c>
      <c r="P90" s="2" t="s">
        <v>101</v>
      </c>
      <c r="Q90" s="2" t="s">
        <v>17</v>
      </c>
    </row>
    <row r="91" spans="1:17" hidden="1">
      <c r="A91" s="2">
        <v>13185</v>
      </c>
      <c r="B91" s="2" t="s">
        <v>1350</v>
      </c>
      <c r="C91" s="2" t="s">
        <v>1350</v>
      </c>
      <c r="D91" s="3">
        <v>46137.313888888893</v>
      </c>
      <c r="E91" s="2" t="s">
        <v>57</v>
      </c>
      <c r="F91" s="2" t="s">
        <v>5</v>
      </c>
      <c r="G91" s="2" t="s">
        <v>18</v>
      </c>
      <c r="H91" s="2" t="s">
        <v>23</v>
      </c>
      <c r="I91" s="2" t="s">
        <v>17</v>
      </c>
      <c r="J91" s="2" t="s">
        <v>17</v>
      </c>
      <c r="K91" s="2" t="s">
        <v>17</v>
      </c>
      <c r="L91" s="2" t="s">
        <v>26</v>
      </c>
      <c r="M91" s="2" t="s">
        <v>19</v>
      </c>
      <c r="N91" s="2" t="s">
        <v>1351</v>
      </c>
      <c r="O91" s="2" t="s">
        <v>62</v>
      </c>
      <c r="P91" s="2" t="s">
        <v>41</v>
      </c>
      <c r="Q91" s="2" t="s">
        <v>17</v>
      </c>
    </row>
    <row r="92" spans="1:17" hidden="1">
      <c r="A92" s="2">
        <v>12662</v>
      </c>
      <c r="B92" s="2" t="s">
        <v>738</v>
      </c>
      <c r="C92" s="2" t="s">
        <v>739</v>
      </c>
      <c r="D92" s="3">
        <v>46124.174305555556</v>
      </c>
      <c r="E92" s="2" t="s">
        <v>57</v>
      </c>
      <c r="F92" s="2" t="s">
        <v>5</v>
      </c>
      <c r="G92" s="2" t="s">
        <v>18</v>
      </c>
      <c r="H92" s="2" t="s">
        <v>23</v>
      </c>
      <c r="I92" s="2" t="s">
        <v>110</v>
      </c>
      <c r="J92" s="2" t="s">
        <v>740</v>
      </c>
      <c r="K92" s="2" t="s">
        <v>741</v>
      </c>
      <c r="L92" s="2" t="s">
        <v>26</v>
      </c>
      <c r="M92" s="2" t="s">
        <v>27</v>
      </c>
      <c r="N92" s="2" t="s">
        <v>742</v>
      </c>
      <c r="O92" s="2" t="s">
        <v>107</v>
      </c>
      <c r="P92" s="2" t="s">
        <v>101</v>
      </c>
      <c r="Q92" s="2" t="s">
        <v>17</v>
      </c>
    </row>
    <row r="93" spans="1:17" hidden="1">
      <c r="A93" s="2">
        <v>12458</v>
      </c>
      <c r="B93" s="2" t="s">
        <v>457</v>
      </c>
      <c r="C93" s="2" t="s">
        <v>457</v>
      </c>
      <c r="D93" s="3">
        <v>46119.110416666663</v>
      </c>
      <c r="E93" s="2" t="s">
        <v>57</v>
      </c>
      <c r="F93" s="2" t="s">
        <v>5</v>
      </c>
      <c r="G93" s="2" t="s">
        <v>18</v>
      </c>
      <c r="H93" s="2" t="s">
        <v>23</v>
      </c>
      <c r="I93" s="2" t="s">
        <v>88</v>
      </c>
      <c r="J93" s="2" t="s">
        <v>458</v>
      </c>
      <c r="K93" s="2" t="s">
        <v>459</v>
      </c>
      <c r="L93" s="2" t="s">
        <v>26</v>
      </c>
      <c r="M93" s="2" t="s">
        <v>27</v>
      </c>
      <c r="N93" s="2" t="s">
        <v>460</v>
      </c>
      <c r="O93" s="2" t="s">
        <v>62</v>
      </c>
      <c r="P93" s="2" t="s">
        <v>97</v>
      </c>
      <c r="Q93" s="2" t="s">
        <v>17</v>
      </c>
    </row>
    <row r="94" spans="1:17" hidden="1">
      <c r="A94" s="2">
        <v>12991</v>
      </c>
      <c r="B94" s="2" t="s">
        <v>1135</v>
      </c>
      <c r="C94" s="2" t="s">
        <v>1135</v>
      </c>
      <c r="D94" s="3">
        <v>46133.40902777778</v>
      </c>
      <c r="E94" s="2" t="s">
        <v>647</v>
      </c>
      <c r="F94" s="2" t="s">
        <v>5</v>
      </c>
      <c r="G94" s="2" t="s">
        <v>22</v>
      </c>
      <c r="H94" s="2" t="s">
        <v>244</v>
      </c>
      <c r="I94" s="2" t="s">
        <v>17</v>
      </c>
      <c r="J94" s="2" t="s">
        <v>17</v>
      </c>
      <c r="K94" s="2" t="s">
        <v>17</v>
      </c>
      <c r="L94" s="2" t="s">
        <v>26</v>
      </c>
      <c r="M94" s="2" t="s">
        <v>19</v>
      </c>
      <c r="N94" s="2" t="s">
        <v>1136</v>
      </c>
      <c r="O94" s="2" t="s">
        <v>17</v>
      </c>
      <c r="P94" s="2" t="s">
        <v>41</v>
      </c>
      <c r="Q94" s="2" t="s">
        <v>17</v>
      </c>
    </row>
    <row r="95" spans="1:17" hidden="1">
      <c r="A95" s="2">
        <v>12960</v>
      </c>
      <c r="B95" s="2" t="s">
        <v>1111</v>
      </c>
      <c r="C95" s="2" t="s">
        <v>1111</v>
      </c>
      <c r="D95" s="3">
        <v>46132.594444444447</v>
      </c>
      <c r="E95" s="2" t="s">
        <v>57</v>
      </c>
      <c r="F95" s="2" t="s">
        <v>5</v>
      </c>
      <c r="G95" s="2" t="s">
        <v>18</v>
      </c>
      <c r="H95" s="2" t="s">
        <v>168</v>
      </c>
      <c r="I95" s="2" t="s">
        <v>256</v>
      </c>
      <c r="J95" s="2" t="s">
        <v>17</v>
      </c>
      <c r="K95" s="2" t="s">
        <v>17</v>
      </c>
      <c r="L95" s="2" t="s">
        <v>26</v>
      </c>
      <c r="M95" s="2" t="s">
        <v>47</v>
      </c>
      <c r="N95" s="2" t="s">
        <v>1112</v>
      </c>
      <c r="O95" s="2" t="s">
        <v>107</v>
      </c>
      <c r="P95" s="2" t="s">
        <v>41</v>
      </c>
      <c r="Q95" s="2" t="s">
        <v>17</v>
      </c>
    </row>
    <row r="96" spans="1:17" hidden="1">
      <c r="A96" s="2">
        <v>12757</v>
      </c>
      <c r="B96" s="2" t="s">
        <v>872</v>
      </c>
      <c r="C96" s="2" t="s">
        <v>873</v>
      </c>
      <c r="D96" s="3">
        <v>46126.851388888885</v>
      </c>
      <c r="E96" s="2" t="s">
        <v>57</v>
      </c>
      <c r="F96" s="2" t="s">
        <v>5</v>
      </c>
      <c r="G96" s="2" t="s">
        <v>18</v>
      </c>
      <c r="H96" s="2" t="s">
        <v>23</v>
      </c>
      <c r="I96" s="2" t="s">
        <v>32</v>
      </c>
      <c r="J96" s="2" t="s">
        <v>874</v>
      </c>
      <c r="K96" s="2" t="s">
        <v>875</v>
      </c>
      <c r="L96" s="2" t="s">
        <v>26</v>
      </c>
      <c r="M96" s="2" t="s">
        <v>27</v>
      </c>
      <c r="N96" s="2" t="s">
        <v>876</v>
      </c>
      <c r="O96" s="2" t="s">
        <v>107</v>
      </c>
      <c r="P96" s="2" t="s">
        <v>36</v>
      </c>
      <c r="Q96" s="2" t="s">
        <v>17</v>
      </c>
    </row>
    <row r="97" spans="1:17" hidden="1">
      <c r="A97" s="2">
        <v>12925</v>
      </c>
      <c r="B97" s="2" t="s">
        <v>1076</v>
      </c>
      <c r="C97" s="2" t="s">
        <v>1077</v>
      </c>
      <c r="D97" s="3">
        <v>46132.01180555555</v>
      </c>
      <c r="E97" s="2" t="s">
        <v>57</v>
      </c>
      <c r="F97" s="2" t="s">
        <v>5</v>
      </c>
      <c r="G97" s="2" t="s">
        <v>18</v>
      </c>
      <c r="H97" s="2" t="s">
        <v>23</v>
      </c>
      <c r="I97" s="2" t="s">
        <v>88</v>
      </c>
      <c r="J97" s="2" t="s">
        <v>1078</v>
      </c>
      <c r="K97" s="2" t="s">
        <v>1079</v>
      </c>
      <c r="L97" s="2" t="s">
        <v>26</v>
      </c>
      <c r="M97" s="2" t="s">
        <v>27</v>
      </c>
      <c r="N97" s="2" t="s">
        <v>1080</v>
      </c>
      <c r="O97" s="2" t="s">
        <v>1081</v>
      </c>
      <c r="P97" s="2" t="s">
        <v>29</v>
      </c>
      <c r="Q97" s="2" t="s">
        <v>17</v>
      </c>
    </row>
    <row r="98" spans="1:17" hidden="1">
      <c r="A98" s="2">
        <v>12486</v>
      </c>
      <c r="B98" s="2" t="s">
        <v>498</v>
      </c>
      <c r="C98" s="2" t="s">
        <v>498</v>
      </c>
      <c r="D98" s="3">
        <v>46119.720833333333</v>
      </c>
      <c r="E98" s="2" t="s">
        <v>57</v>
      </c>
      <c r="F98" s="2" t="s">
        <v>5</v>
      </c>
      <c r="G98" s="2" t="s">
        <v>22</v>
      </c>
      <c r="H98" s="2" t="s">
        <v>23</v>
      </c>
      <c r="I98" s="2" t="s">
        <v>499</v>
      </c>
      <c r="J98" s="2" t="s">
        <v>482</v>
      </c>
      <c r="K98" s="2" t="s">
        <v>500</v>
      </c>
      <c r="L98" s="2" t="s">
        <v>54</v>
      </c>
      <c r="M98" s="2" t="s">
        <v>27</v>
      </c>
      <c r="N98" s="2" t="s">
        <v>501</v>
      </c>
      <c r="O98" s="2" t="s">
        <v>208</v>
      </c>
      <c r="P98" s="2" t="s">
        <v>36</v>
      </c>
      <c r="Q98" s="2" t="s">
        <v>17</v>
      </c>
    </row>
    <row r="99" spans="1:17" hidden="1">
      <c r="A99" s="2">
        <v>13070</v>
      </c>
      <c r="B99" s="2" t="s">
        <v>1246</v>
      </c>
      <c r="C99" s="2" t="s">
        <v>1247</v>
      </c>
      <c r="D99" s="3">
        <v>46134.916666666672</v>
      </c>
      <c r="E99" s="2" t="s">
        <v>905</v>
      </c>
      <c r="F99" s="2" t="s">
        <v>5</v>
      </c>
      <c r="G99" s="2" t="s">
        <v>18</v>
      </c>
      <c r="H99" s="2" t="s">
        <v>23</v>
      </c>
      <c r="I99" s="2" t="s">
        <v>88</v>
      </c>
      <c r="J99" s="2" t="s">
        <v>458</v>
      </c>
      <c r="K99" s="2" t="s">
        <v>1248</v>
      </c>
      <c r="L99" s="2" t="s">
        <v>26</v>
      </c>
      <c r="M99" s="2" t="s">
        <v>27</v>
      </c>
      <c r="N99" s="2" t="s">
        <v>1249</v>
      </c>
      <c r="O99" s="2" t="s">
        <v>17</v>
      </c>
      <c r="P99" s="2" t="s">
        <v>97</v>
      </c>
      <c r="Q99" s="2" t="s">
        <v>17</v>
      </c>
    </row>
    <row r="100" spans="1:17" hidden="1">
      <c r="A100" s="2">
        <v>12919</v>
      </c>
      <c r="B100" s="2" t="s">
        <v>1055</v>
      </c>
      <c r="C100" s="2" t="s">
        <v>1055</v>
      </c>
      <c r="D100" s="3">
        <v>46131.727777777778</v>
      </c>
      <c r="E100" s="2" t="s">
        <v>167</v>
      </c>
      <c r="F100" s="2" t="s">
        <v>5</v>
      </c>
      <c r="G100" s="2" t="s">
        <v>18</v>
      </c>
      <c r="H100" s="2" t="s">
        <v>168</v>
      </c>
      <c r="I100" s="2" t="s">
        <v>187</v>
      </c>
      <c r="J100" s="2" t="s">
        <v>1056</v>
      </c>
      <c r="K100" s="2" t="s">
        <v>1057</v>
      </c>
      <c r="L100" s="2" t="s">
        <v>26</v>
      </c>
      <c r="M100" s="2" t="s">
        <v>47</v>
      </c>
      <c r="N100" s="2" t="s">
        <v>1058</v>
      </c>
      <c r="O100" s="2" t="s">
        <v>17</v>
      </c>
      <c r="P100" s="2" t="s">
        <v>97</v>
      </c>
      <c r="Q100" s="2" t="s">
        <v>17</v>
      </c>
    </row>
    <row r="101" spans="1:17" hidden="1">
      <c r="A101" s="2">
        <v>12260</v>
      </c>
      <c r="B101" s="2" t="s">
        <v>102</v>
      </c>
      <c r="C101" s="2" t="s">
        <v>103</v>
      </c>
      <c r="D101" s="3">
        <v>46114.012499999997</v>
      </c>
      <c r="E101" s="2" t="s">
        <v>21</v>
      </c>
      <c r="F101" s="2" t="s">
        <v>5</v>
      </c>
      <c r="G101" s="2" t="s">
        <v>18</v>
      </c>
      <c r="H101" s="2" t="s">
        <v>23</v>
      </c>
      <c r="I101" s="2" t="s">
        <v>88</v>
      </c>
      <c r="J101" s="2" t="s">
        <v>104</v>
      </c>
      <c r="K101" s="2" t="s">
        <v>105</v>
      </c>
      <c r="L101" s="2" t="s">
        <v>26</v>
      </c>
      <c r="M101" s="2" t="s">
        <v>27</v>
      </c>
      <c r="N101" s="2" t="s">
        <v>106</v>
      </c>
      <c r="O101" s="2" t="s">
        <v>107</v>
      </c>
      <c r="P101" s="2" t="s">
        <v>36</v>
      </c>
      <c r="Q101" s="2" t="s">
        <v>17</v>
      </c>
    </row>
    <row r="102" spans="1:17" hidden="1">
      <c r="A102" s="2">
        <v>12798</v>
      </c>
      <c r="B102" s="2" t="s">
        <v>917</v>
      </c>
      <c r="C102" s="2" t="s">
        <v>917</v>
      </c>
      <c r="D102" s="3">
        <v>46127.798611111109</v>
      </c>
      <c r="E102" s="2" t="s">
        <v>900</v>
      </c>
      <c r="F102" s="2" t="s">
        <v>5</v>
      </c>
      <c r="G102" s="2" t="s">
        <v>80</v>
      </c>
      <c r="H102" s="2" t="s">
        <v>23</v>
      </c>
      <c r="I102" s="2" t="s">
        <v>98</v>
      </c>
      <c r="J102" s="2" t="s">
        <v>918</v>
      </c>
      <c r="K102" s="2" t="s">
        <v>17</v>
      </c>
      <c r="L102" s="2" t="s">
        <v>100</v>
      </c>
      <c r="M102" s="2" t="s">
        <v>27</v>
      </c>
      <c r="N102" s="2" t="s">
        <v>919</v>
      </c>
      <c r="O102" s="2" t="s">
        <v>17</v>
      </c>
      <c r="P102" s="2" t="s">
        <v>36</v>
      </c>
      <c r="Q102" s="2" t="s">
        <v>17</v>
      </c>
    </row>
    <row r="103" spans="1:17" hidden="1">
      <c r="A103" s="2">
        <v>13058</v>
      </c>
      <c r="B103" s="2" t="s">
        <v>1215</v>
      </c>
      <c r="C103" s="2" t="s">
        <v>1215</v>
      </c>
      <c r="D103" s="3">
        <v>46134.637499999997</v>
      </c>
      <c r="E103" s="2" t="s">
        <v>21</v>
      </c>
      <c r="F103" s="2" t="s">
        <v>5</v>
      </c>
      <c r="G103" s="2" t="s">
        <v>22</v>
      </c>
      <c r="H103" s="2" t="s">
        <v>23</v>
      </c>
      <c r="I103" s="2" t="s">
        <v>910</v>
      </c>
      <c r="J103" s="2" t="s">
        <v>1216</v>
      </c>
      <c r="K103" s="2" t="s">
        <v>1217</v>
      </c>
      <c r="L103" s="2" t="s">
        <v>54</v>
      </c>
      <c r="M103" s="2" t="s">
        <v>27</v>
      </c>
      <c r="N103" s="2" t="s">
        <v>1218</v>
      </c>
      <c r="O103" s="2" t="s">
        <v>17</v>
      </c>
      <c r="P103" s="2" t="s">
        <v>36</v>
      </c>
      <c r="Q103" s="2" t="s">
        <v>17</v>
      </c>
    </row>
    <row r="104" spans="1:17" hidden="1">
      <c r="A104" s="2">
        <v>13224</v>
      </c>
      <c r="B104" s="2" t="s">
        <v>1442</v>
      </c>
      <c r="C104" s="2" t="s">
        <v>1442</v>
      </c>
      <c r="D104" s="3">
        <v>46139.227083333331</v>
      </c>
      <c r="E104" s="2" t="s">
        <v>1324</v>
      </c>
      <c r="F104" s="2" t="s">
        <v>5</v>
      </c>
      <c r="G104" s="2" t="s">
        <v>80</v>
      </c>
      <c r="H104" s="2" t="s">
        <v>23</v>
      </c>
      <c r="I104" s="2" t="s">
        <v>88</v>
      </c>
      <c r="J104" s="2" t="s">
        <v>1443</v>
      </c>
      <c r="K104" s="2" t="s">
        <v>1444</v>
      </c>
      <c r="L104" s="2" t="s">
        <v>26</v>
      </c>
      <c r="M104" s="2" t="s">
        <v>27</v>
      </c>
      <c r="N104" s="2" t="s">
        <v>1445</v>
      </c>
      <c r="O104" s="2" t="s">
        <v>17</v>
      </c>
      <c r="P104" s="2" t="s">
        <v>36</v>
      </c>
      <c r="Q104" s="2" t="s">
        <v>17</v>
      </c>
    </row>
    <row r="105" spans="1:17" hidden="1">
      <c r="A105" s="2">
        <v>12688</v>
      </c>
      <c r="B105" s="2" t="s">
        <v>791</v>
      </c>
      <c r="C105" s="2" t="s">
        <v>792</v>
      </c>
      <c r="D105" s="3">
        <v>46125.517361111109</v>
      </c>
      <c r="E105" s="2" t="s">
        <v>57</v>
      </c>
      <c r="F105" s="2" t="s">
        <v>230</v>
      </c>
      <c r="G105" s="2" t="s">
        <v>18</v>
      </c>
      <c r="H105" s="2" t="s">
        <v>23</v>
      </c>
      <c r="I105" s="2" t="s">
        <v>32</v>
      </c>
      <c r="J105" s="2" t="s">
        <v>793</v>
      </c>
      <c r="K105" s="2" t="s">
        <v>794</v>
      </c>
      <c r="L105" s="2" t="s">
        <v>26</v>
      </c>
      <c r="M105" s="2" t="s">
        <v>27</v>
      </c>
      <c r="N105" s="2" t="s">
        <v>795</v>
      </c>
      <c r="O105" s="2" t="s">
        <v>796</v>
      </c>
      <c r="P105" s="2" t="s">
        <v>36</v>
      </c>
      <c r="Q105" s="2" t="s">
        <v>17</v>
      </c>
    </row>
    <row r="106" spans="1:17" hidden="1">
      <c r="A106" s="2">
        <v>12971</v>
      </c>
      <c r="B106" s="2" t="s">
        <v>1113</v>
      </c>
      <c r="C106" s="2" t="s">
        <v>1113</v>
      </c>
      <c r="D106" s="3">
        <v>46132.70694444445</v>
      </c>
      <c r="E106" s="2" t="s">
        <v>21</v>
      </c>
      <c r="F106" s="2" t="s">
        <v>5</v>
      </c>
      <c r="G106" s="2" t="s">
        <v>80</v>
      </c>
      <c r="H106" s="2" t="s">
        <v>23</v>
      </c>
      <c r="I106" s="2" t="s">
        <v>81</v>
      </c>
      <c r="J106" s="2" t="s">
        <v>1114</v>
      </c>
      <c r="K106" s="2" t="s">
        <v>1115</v>
      </c>
      <c r="L106" s="2" t="s">
        <v>84</v>
      </c>
      <c r="M106" s="2" t="s">
        <v>27</v>
      </c>
      <c r="N106" s="2" t="s">
        <v>1116</v>
      </c>
      <c r="O106" s="2" t="s">
        <v>17</v>
      </c>
      <c r="P106" s="2" t="s">
        <v>36</v>
      </c>
      <c r="Q106" s="2" t="s">
        <v>17</v>
      </c>
    </row>
    <row r="107" spans="1:17" hidden="1">
      <c r="A107" s="2">
        <v>13010</v>
      </c>
      <c r="B107" s="2" t="s">
        <v>1159</v>
      </c>
      <c r="C107" s="2" t="s">
        <v>1159</v>
      </c>
      <c r="D107" s="3">
        <v>46133.646527777775</v>
      </c>
      <c r="E107" s="2" t="s">
        <v>16</v>
      </c>
      <c r="F107" s="2" t="s">
        <v>17</v>
      </c>
      <c r="G107" s="2" t="s">
        <v>308</v>
      </c>
      <c r="H107" s="2" t="s">
        <v>17</v>
      </c>
      <c r="I107" s="2" t="s">
        <v>17</v>
      </c>
      <c r="J107" s="2" t="s">
        <v>17</v>
      </c>
      <c r="K107" s="2" t="s">
        <v>17</v>
      </c>
      <c r="L107" s="2" t="s">
        <v>17</v>
      </c>
      <c r="M107" s="2" t="s">
        <v>19</v>
      </c>
      <c r="N107" s="2" t="s">
        <v>1160</v>
      </c>
      <c r="O107" s="2" t="s">
        <v>17</v>
      </c>
      <c r="P107" s="2" t="s">
        <v>17</v>
      </c>
      <c r="Q107" s="2" t="s">
        <v>17</v>
      </c>
    </row>
    <row r="108" spans="1:17" hidden="1">
      <c r="A108" s="2">
        <v>12558</v>
      </c>
      <c r="B108" s="2" t="s">
        <v>573</v>
      </c>
      <c r="C108" s="2" t="s">
        <v>573</v>
      </c>
      <c r="D108" s="3">
        <v>46121.01180555555</v>
      </c>
      <c r="E108" s="2" t="s">
        <v>57</v>
      </c>
      <c r="F108" s="2" t="s">
        <v>17</v>
      </c>
      <c r="G108" s="2" t="s">
        <v>22</v>
      </c>
      <c r="H108" s="2" t="s">
        <v>235</v>
      </c>
      <c r="I108" s="2" t="s">
        <v>88</v>
      </c>
      <c r="J108" s="2" t="s">
        <v>574</v>
      </c>
      <c r="K108" s="2" t="s">
        <v>575</v>
      </c>
      <c r="L108" s="2" t="s">
        <v>26</v>
      </c>
      <c r="M108" s="2" t="s">
        <v>27</v>
      </c>
      <c r="N108" s="2" t="s">
        <v>576</v>
      </c>
      <c r="O108" s="2" t="s">
        <v>78</v>
      </c>
      <c r="P108" s="2" t="s">
        <v>36</v>
      </c>
      <c r="Q108" s="2" t="s">
        <v>17</v>
      </c>
    </row>
    <row r="109" spans="1:17" hidden="1">
      <c r="A109" s="2">
        <v>12985</v>
      </c>
      <c r="B109" s="2" t="s">
        <v>1130</v>
      </c>
      <c r="C109" s="2" t="s">
        <v>1131</v>
      </c>
      <c r="D109" s="3">
        <v>46133.275000000001</v>
      </c>
      <c r="E109" s="2" t="s">
        <v>57</v>
      </c>
      <c r="F109" s="2" t="s">
        <v>17</v>
      </c>
      <c r="G109" s="2" t="s">
        <v>18</v>
      </c>
      <c r="H109" s="2" t="s">
        <v>23</v>
      </c>
      <c r="I109" s="2" t="s">
        <v>88</v>
      </c>
      <c r="J109" s="2" t="s">
        <v>1132</v>
      </c>
      <c r="K109" s="2" t="s">
        <v>1133</v>
      </c>
      <c r="L109" s="2" t="s">
        <v>26</v>
      </c>
      <c r="M109" s="2" t="s">
        <v>27</v>
      </c>
      <c r="N109" s="2" t="s">
        <v>1134</v>
      </c>
      <c r="O109" s="2" t="s">
        <v>208</v>
      </c>
      <c r="P109" s="2" t="s">
        <v>36</v>
      </c>
      <c r="Q109" s="2" t="s">
        <v>17</v>
      </c>
    </row>
    <row r="110" spans="1:17" hidden="1">
      <c r="A110" s="2">
        <v>12719</v>
      </c>
      <c r="B110" s="2" t="s">
        <v>820</v>
      </c>
      <c r="C110" s="2" t="s">
        <v>821</v>
      </c>
      <c r="D110" s="3">
        <v>46126.104166666672</v>
      </c>
      <c r="E110" s="2" t="s">
        <v>21</v>
      </c>
      <c r="F110" s="2" t="s">
        <v>5</v>
      </c>
      <c r="G110" s="2" t="s">
        <v>18</v>
      </c>
      <c r="H110" s="2" t="s">
        <v>23</v>
      </c>
      <c r="I110" s="2" t="s">
        <v>88</v>
      </c>
      <c r="J110" s="2" t="s">
        <v>822</v>
      </c>
      <c r="K110" s="2" t="s">
        <v>823</v>
      </c>
      <c r="L110" s="2" t="s">
        <v>26</v>
      </c>
      <c r="M110" s="2" t="s">
        <v>27</v>
      </c>
      <c r="N110" s="2" t="s">
        <v>824</v>
      </c>
      <c r="O110" s="2" t="s">
        <v>17</v>
      </c>
      <c r="P110" s="2" t="s">
        <v>36</v>
      </c>
      <c r="Q110" s="2" t="s">
        <v>17</v>
      </c>
    </row>
    <row r="111" spans="1:17" hidden="1">
      <c r="A111" s="2">
        <v>12721</v>
      </c>
      <c r="B111" s="2" t="s">
        <v>830</v>
      </c>
      <c r="C111" s="2" t="s">
        <v>831</v>
      </c>
      <c r="D111" s="3">
        <v>46126.235416666663</v>
      </c>
      <c r="E111" s="2" t="s">
        <v>57</v>
      </c>
      <c r="F111" s="2" t="s">
        <v>5</v>
      </c>
      <c r="G111" s="2" t="s">
        <v>18</v>
      </c>
      <c r="H111" s="2" t="s">
        <v>23</v>
      </c>
      <c r="I111" s="2" t="s">
        <v>832</v>
      </c>
      <c r="J111" s="2" t="s">
        <v>420</v>
      </c>
      <c r="K111" s="2" t="s">
        <v>833</v>
      </c>
      <c r="L111" s="2" t="s">
        <v>26</v>
      </c>
      <c r="M111" s="2" t="s">
        <v>27</v>
      </c>
      <c r="N111" s="2" t="s">
        <v>834</v>
      </c>
      <c r="O111" s="2" t="s">
        <v>107</v>
      </c>
      <c r="P111" s="2" t="s">
        <v>101</v>
      </c>
      <c r="Q111" s="2" t="s">
        <v>17</v>
      </c>
    </row>
    <row r="112" spans="1:17" hidden="1">
      <c r="A112" s="2">
        <v>12837</v>
      </c>
      <c r="B112" s="2" t="s">
        <v>947</v>
      </c>
      <c r="C112" s="2" t="s">
        <v>947</v>
      </c>
      <c r="D112" s="3">
        <v>46128.993750000001</v>
      </c>
      <c r="E112" s="2" t="s">
        <v>948</v>
      </c>
      <c r="F112" s="2" t="s">
        <v>5</v>
      </c>
      <c r="G112" s="2" t="s">
        <v>80</v>
      </c>
      <c r="H112" s="2" t="s">
        <v>23</v>
      </c>
      <c r="I112" s="2" t="s">
        <v>81</v>
      </c>
      <c r="J112" s="2" t="s">
        <v>17</v>
      </c>
      <c r="K112" s="2" t="s">
        <v>17</v>
      </c>
      <c r="L112" s="2" t="s">
        <v>84</v>
      </c>
      <c r="M112" s="2" t="s">
        <v>19</v>
      </c>
      <c r="N112" s="2" t="s">
        <v>949</v>
      </c>
      <c r="O112" s="2" t="s">
        <v>17</v>
      </c>
      <c r="P112" s="2" t="s">
        <v>41</v>
      </c>
      <c r="Q112" s="2" t="s">
        <v>17</v>
      </c>
    </row>
    <row r="113" spans="1:17" hidden="1">
      <c r="A113" s="2">
        <v>12519</v>
      </c>
      <c r="B113" s="2" t="s">
        <v>523</v>
      </c>
      <c r="C113" s="2" t="s">
        <v>524</v>
      </c>
      <c r="D113" s="3">
        <v>46120.40625</v>
      </c>
      <c r="E113" s="2" t="s">
        <v>276</v>
      </c>
      <c r="F113" s="2" t="s">
        <v>5</v>
      </c>
      <c r="G113" s="2" t="s">
        <v>22</v>
      </c>
      <c r="H113" s="2" t="s">
        <v>23</v>
      </c>
      <c r="I113" s="2" t="s">
        <v>17</v>
      </c>
      <c r="J113" s="2" t="s">
        <v>17</v>
      </c>
      <c r="K113" s="2" t="s">
        <v>17</v>
      </c>
      <c r="L113" s="2" t="s">
        <v>54</v>
      </c>
      <c r="M113" s="2" t="s">
        <v>27</v>
      </c>
      <c r="N113" s="2" t="s">
        <v>525</v>
      </c>
      <c r="O113" s="2" t="s">
        <v>17</v>
      </c>
      <c r="P113" s="2" t="s">
        <v>101</v>
      </c>
      <c r="Q113" s="2" t="s">
        <v>17</v>
      </c>
    </row>
    <row r="114" spans="1:17" hidden="1">
      <c r="A114" s="2">
        <v>13028</v>
      </c>
      <c r="B114" s="2" t="s">
        <v>1182</v>
      </c>
      <c r="C114" s="2" t="s">
        <v>1183</v>
      </c>
      <c r="D114" s="3">
        <v>46133.905555555553</v>
      </c>
      <c r="E114" s="2" t="s">
        <v>21</v>
      </c>
      <c r="F114" s="2" t="s">
        <v>17</v>
      </c>
      <c r="G114" s="2" t="s">
        <v>80</v>
      </c>
      <c r="H114" s="2" t="s">
        <v>23</v>
      </c>
      <c r="I114" s="2" t="s">
        <v>17</v>
      </c>
      <c r="J114" s="2" t="s">
        <v>17</v>
      </c>
      <c r="K114" s="2" t="s">
        <v>17</v>
      </c>
      <c r="L114" s="2" t="s">
        <v>26</v>
      </c>
      <c r="M114" s="2" t="s">
        <v>19</v>
      </c>
      <c r="N114" s="2" t="s">
        <v>1184</v>
      </c>
      <c r="O114" s="2" t="s">
        <v>17</v>
      </c>
      <c r="P114" s="2" t="s">
        <v>17</v>
      </c>
      <c r="Q114" s="2" t="s">
        <v>17</v>
      </c>
    </row>
    <row r="115" spans="1:17" hidden="1">
      <c r="A115" s="2">
        <v>12305</v>
      </c>
      <c r="B115" s="2" t="s">
        <v>173</v>
      </c>
      <c r="C115" s="2" t="s">
        <v>174</v>
      </c>
      <c r="D115" s="3">
        <v>46114.803472222222</v>
      </c>
      <c r="E115" s="2" t="s">
        <v>57</v>
      </c>
      <c r="F115" s="2" t="s">
        <v>5</v>
      </c>
      <c r="G115" s="2" t="s">
        <v>18</v>
      </c>
      <c r="H115" s="2" t="s">
        <v>23</v>
      </c>
      <c r="I115" s="2" t="s">
        <v>88</v>
      </c>
      <c r="J115" s="2" t="s">
        <v>175</v>
      </c>
      <c r="K115" s="2" t="s">
        <v>176</v>
      </c>
      <c r="L115" s="2" t="s">
        <v>26</v>
      </c>
      <c r="M115" s="2" t="s">
        <v>27</v>
      </c>
      <c r="N115" s="2" t="s">
        <v>177</v>
      </c>
      <c r="O115" s="2" t="s">
        <v>107</v>
      </c>
      <c r="P115" s="2" t="s">
        <v>36</v>
      </c>
      <c r="Q115" s="2" t="s">
        <v>17</v>
      </c>
    </row>
    <row r="116" spans="1:17" hidden="1">
      <c r="A116" s="2">
        <v>12776</v>
      </c>
      <c r="B116" s="2" t="s">
        <v>899</v>
      </c>
      <c r="C116" s="2" t="s">
        <v>899</v>
      </c>
      <c r="D116" s="3">
        <v>46127.094444444447</v>
      </c>
      <c r="E116" s="2" t="s">
        <v>900</v>
      </c>
      <c r="F116" s="2" t="s">
        <v>5</v>
      </c>
      <c r="G116" s="2" t="s">
        <v>80</v>
      </c>
      <c r="H116" s="2" t="s">
        <v>23</v>
      </c>
      <c r="I116" s="2" t="s">
        <v>81</v>
      </c>
      <c r="J116" s="2" t="s">
        <v>901</v>
      </c>
      <c r="K116" s="2" t="s">
        <v>902</v>
      </c>
      <c r="L116" s="2" t="s">
        <v>84</v>
      </c>
      <c r="M116" s="2" t="s">
        <v>27</v>
      </c>
      <c r="N116" s="2" t="s">
        <v>903</v>
      </c>
      <c r="O116" s="2" t="s">
        <v>17</v>
      </c>
      <c r="P116" s="2" t="s">
        <v>36</v>
      </c>
      <c r="Q116" s="2" t="s">
        <v>17</v>
      </c>
    </row>
    <row r="117" spans="1:17" hidden="1">
      <c r="A117" s="2">
        <v>12817</v>
      </c>
      <c r="B117" s="2" t="s">
        <v>937</v>
      </c>
      <c r="C117" s="2" t="s">
        <v>938</v>
      </c>
      <c r="D117" s="3">
        <v>46128.507638888885</v>
      </c>
      <c r="E117" s="2" t="s">
        <v>276</v>
      </c>
      <c r="F117" s="2" t="s">
        <v>5</v>
      </c>
      <c r="G117" s="2" t="s">
        <v>80</v>
      </c>
      <c r="H117" s="2" t="s">
        <v>23</v>
      </c>
      <c r="I117" s="2" t="s">
        <v>17</v>
      </c>
      <c r="J117" s="2" t="s">
        <v>17</v>
      </c>
      <c r="K117" s="2" t="s">
        <v>17</v>
      </c>
      <c r="L117" s="2" t="s">
        <v>26</v>
      </c>
      <c r="M117" s="2" t="s">
        <v>19</v>
      </c>
      <c r="N117" s="2" t="s">
        <v>939</v>
      </c>
      <c r="O117" s="2" t="s">
        <v>17</v>
      </c>
      <c r="P117" s="2" t="s">
        <v>49</v>
      </c>
      <c r="Q117" s="2" t="s">
        <v>17</v>
      </c>
    </row>
    <row r="118" spans="1:17" hidden="1">
      <c r="A118" s="2">
        <v>12433</v>
      </c>
      <c r="B118" s="2" t="s">
        <v>414</v>
      </c>
      <c r="C118" s="2" t="s">
        <v>415</v>
      </c>
      <c r="D118" s="3">
        <v>46118.623611111107</v>
      </c>
      <c r="E118" s="2" t="s">
        <v>57</v>
      </c>
      <c r="F118" s="2" t="s">
        <v>17</v>
      </c>
      <c r="G118" s="2" t="s">
        <v>18</v>
      </c>
      <c r="H118" s="2" t="s">
        <v>23</v>
      </c>
      <c r="I118" s="2" t="s">
        <v>380</v>
      </c>
      <c r="J118" s="2" t="s">
        <v>324</v>
      </c>
      <c r="K118" s="2" t="s">
        <v>17</v>
      </c>
      <c r="L118" s="2" t="s">
        <v>26</v>
      </c>
      <c r="M118" s="2" t="s">
        <v>27</v>
      </c>
      <c r="N118" s="2" t="s">
        <v>416</v>
      </c>
      <c r="O118" s="2" t="s">
        <v>107</v>
      </c>
      <c r="P118" s="2" t="s">
        <v>29</v>
      </c>
      <c r="Q118" s="2" t="s">
        <v>17</v>
      </c>
    </row>
    <row r="119" spans="1:17" hidden="1">
      <c r="A119" s="2">
        <v>12330</v>
      </c>
      <c r="B119" s="2" t="s">
        <v>204</v>
      </c>
      <c r="C119" s="2" t="s">
        <v>204</v>
      </c>
      <c r="D119" s="3">
        <v>46115.010416666672</v>
      </c>
      <c r="E119" s="2" t="s">
        <v>57</v>
      </c>
      <c r="F119" s="2" t="s">
        <v>5</v>
      </c>
      <c r="G119" s="2" t="s">
        <v>22</v>
      </c>
      <c r="H119" s="2" t="s">
        <v>43</v>
      </c>
      <c r="I119" s="2" t="s">
        <v>187</v>
      </c>
      <c r="J119" s="2" t="s">
        <v>205</v>
      </c>
      <c r="K119" s="2" t="s">
        <v>206</v>
      </c>
      <c r="L119" s="2" t="s">
        <v>26</v>
      </c>
      <c r="M119" s="2" t="s">
        <v>47</v>
      </c>
      <c r="N119" s="2" t="s">
        <v>207</v>
      </c>
      <c r="O119" s="2" t="s">
        <v>208</v>
      </c>
      <c r="P119" s="2" t="s">
        <v>36</v>
      </c>
      <c r="Q119" s="2" t="s">
        <v>17</v>
      </c>
    </row>
    <row r="120" spans="1:17" hidden="1">
      <c r="A120" s="2">
        <v>13043</v>
      </c>
      <c r="B120" s="2" t="s">
        <v>1196</v>
      </c>
      <c r="C120" s="2" t="s">
        <v>1197</v>
      </c>
      <c r="D120" s="3">
        <v>46134.340277777781</v>
      </c>
      <c r="E120" s="2" t="s">
        <v>905</v>
      </c>
      <c r="F120" s="2" t="s">
        <v>5</v>
      </c>
      <c r="G120" s="2" t="s">
        <v>18</v>
      </c>
      <c r="H120" s="2" t="s">
        <v>23</v>
      </c>
      <c r="I120" s="2" t="s">
        <v>256</v>
      </c>
      <c r="J120" s="2" t="s">
        <v>1198</v>
      </c>
      <c r="K120" s="2" t="s">
        <v>1199</v>
      </c>
      <c r="L120" s="2" t="s">
        <v>26</v>
      </c>
      <c r="M120" s="2" t="s">
        <v>27</v>
      </c>
      <c r="N120" s="2" t="s">
        <v>1200</v>
      </c>
      <c r="O120" s="2" t="s">
        <v>17</v>
      </c>
      <c r="P120" s="2" t="s">
        <v>1201</v>
      </c>
      <c r="Q120" s="2" t="s">
        <v>17</v>
      </c>
    </row>
    <row r="121" spans="1:17" hidden="1">
      <c r="A121" s="2">
        <v>13186</v>
      </c>
      <c r="B121" s="2" t="s">
        <v>1352</v>
      </c>
      <c r="C121" s="2" t="s">
        <v>1352</v>
      </c>
      <c r="D121" s="3">
        <v>46137.358333333337</v>
      </c>
      <c r="E121" s="2" t="s">
        <v>57</v>
      </c>
      <c r="F121" s="2" t="s">
        <v>5</v>
      </c>
      <c r="G121" s="2" t="s">
        <v>22</v>
      </c>
      <c r="H121" s="2" t="s">
        <v>43</v>
      </c>
      <c r="I121" s="2" t="s">
        <v>684</v>
      </c>
      <c r="J121" s="2" t="s">
        <v>1353</v>
      </c>
      <c r="K121" s="2" t="s">
        <v>1354</v>
      </c>
      <c r="L121" s="2" t="s">
        <v>26</v>
      </c>
      <c r="M121" s="2" t="s">
        <v>47</v>
      </c>
      <c r="N121" s="2" t="s">
        <v>1355</v>
      </c>
      <c r="O121" s="2" t="s">
        <v>107</v>
      </c>
      <c r="P121" s="2" t="s">
        <v>36</v>
      </c>
      <c r="Q121" s="2" t="s">
        <v>17</v>
      </c>
    </row>
    <row r="122" spans="1:17" hidden="1">
      <c r="A122" s="2">
        <v>13166</v>
      </c>
      <c r="B122" s="2" t="s">
        <v>1323</v>
      </c>
      <c r="C122" s="2" t="s">
        <v>1323</v>
      </c>
      <c r="D122" s="3">
        <v>46136.728472222225</v>
      </c>
      <c r="E122" s="2" t="s">
        <v>1324</v>
      </c>
      <c r="F122" s="2" t="s">
        <v>5</v>
      </c>
      <c r="G122" s="2" t="s">
        <v>80</v>
      </c>
      <c r="H122" s="2" t="s">
        <v>23</v>
      </c>
      <c r="I122" s="2" t="s">
        <v>110</v>
      </c>
      <c r="J122" s="2" t="s">
        <v>1325</v>
      </c>
      <c r="K122" s="2" t="s">
        <v>1326</v>
      </c>
      <c r="L122" s="2" t="s">
        <v>26</v>
      </c>
      <c r="M122" s="2" t="s">
        <v>27</v>
      </c>
      <c r="N122" s="2" t="s">
        <v>1327</v>
      </c>
      <c r="O122" s="2" t="s">
        <v>17</v>
      </c>
      <c r="P122" s="2" t="s">
        <v>1328</v>
      </c>
      <c r="Q122" s="2" t="s">
        <v>17</v>
      </c>
    </row>
    <row r="123" spans="1:17" hidden="1">
      <c r="A123" s="2">
        <v>12284</v>
      </c>
      <c r="B123" s="2" t="s">
        <v>128</v>
      </c>
      <c r="C123" s="2" t="s">
        <v>128</v>
      </c>
      <c r="D123" s="3">
        <v>46114.592361111107</v>
      </c>
      <c r="E123" s="2" t="s">
        <v>16</v>
      </c>
      <c r="F123" s="2" t="s">
        <v>17</v>
      </c>
      <c r="G123" s="2" t="s">
        <v>18</v>
      </c>
      <c r="H123" s="2" t="s">
        <v>17</v>
      </c>
      <c r="I123" s="2" t="s">
        <v>17</v>
      </c>
      <c r="J123" s="2" t="s">
        <v>17</v>
      </c>
      <c r="K123" s="2" t="s">
        <v>17</v>
      </c>
      <c r="L123" s="2" t="s">
        <v>17</v>
      </c>
      <c r="M123" s="2" t="s">
        <v>27</v>
      </c>
      <c r="N123" s="2" t="s">
        <v>129</v>
      </c>
      <c r="O123" s="2" t="s">
        <v>17</v>
      </c>
      <c r="P123" s="2" t="s">
        <v>17</v>
      </c>
      <c r="Q123" s="2" t="s">
        <v>17</v>
      </c>
    </row>
    <row r="124" spans="1:17" hidden="1">
      <c r="A124" s="2">
        <v>12665</v>
      </c>
      <c r="B124" s="2" t="s">
        <v>748</v>
      </c>
      <c r="C124" s="2" t="s">
        <v>749</v>
      </c>
      <c r="D124" s="3">
        <v>46124.492361111115</v>
      </c>
      <c r="E124" s="2" t="s">
        <v>57</v>
      </c>
      <c r="F124" s="2" t="s">
        <v>230</v>
      </c>
      <c r="G124" s="2" t="s">
        <v>18</v>
      </c>
      <c r="H124" s="2" t="s">
        <v>23</v>
      </c>
      <c r="I124" s="2" t="s">
        <v>256</v>
      </c>
      <c r="J124" s="2" t="s">
        <v>246</v>
      </c>
      <c r="K124" s="2" t="s">
        <v>750</v>
      </c>
      <c r="L124" s="2" t="s">
        <v>26</v>
      </c>
      <c r="M124" s="2" t="s">
        <v>27</v>
      </c>
      <c r="N124" s="2" t="s">
        <v>751</v>
      </c>
      <c r="O124" s="2" t="s">
        <v>126</v>
      </c>
      <c r="P124" s="2" t="s">
        <v>101</v>
      </c>
      <c r="Q124" s="2" t="s">
        <v>17</v>
      </c>
    </row>
    <row r="125" spans="1:17" hidden="1">
      <c r="A125" s="2">
        <v>13321</v>
      </c>
      <c r="B125" s="2" t="s">
        <v>1556</v>
      </c>
      <c r="C125" s="2" t="s">
        <v>1556</v>
      </c>
      <c r="D125" s="3">
        <v>46140.930555555555</v>
      </c>
      <c r="E125" s="2" t="s">
        <v>57</v>
      </c>
      <c r="F125" s="2" t="s">
        <v>5</v>
      </c>
      <c r="G125" s="2" t="s">
        <v>18</v>
      </c>
      <c r="H125" s="2" t="s">
        <v>23</v>
      </c>
      <c r="I125" s="2" t="s">
        <v>110</v>
      </c>
      <c r="J125" s="2" t="s">
        <v>449</v>
      </c>
      <c r="K125" s="2" t="s">
        <v>17</v>
      </c>
      <c r="L125" s="2" t="s">
        <v>26</v>
      </c>
      <c r="M125" s="2" t="s">
        <v>27</v>
      </c>
      <c r="N125" s="2" t="s">
        <v>1557</v>
      </c>
      <c r="O125" s="2" t="s">
        <v>62</v>
      </c>
      <c r="P125" s="2" t="s">
        <v>29</v>
      </c>
      <c r="Q125" s="2" t="s">
        <v>17</v>
      </c>
    </row>
    <row r="126" spans="1:17" hidden="1">
      <c r="A126" s="2">
        <v>12720</v>
      </c>
      <c r="B126" s="2" t="s">
        <v>825</v>
      </c>
      <c r="C126" s="2" t="s">
        <v>826</v>
      </c>
      <c r="D126" s="3">
        <v>46126.193749999999</v>
      </c>
      <c r="E126" s="2" t="s">
        <v>57</v>
      </c>
      <c r="F126" s="2" t="s">
        <v>17</v>
      </c>
      <c r="G126" s="2" t="s">
        <v>18</v>
      </c>
      <c r="H126" s="2" t="s">
        <v>23</v>
      </c>
      <c r="I126" s="2" t="s">
        <v>88</v>
      </c>
      <c r="J126" s="2" t="s">
        <v>827</v>
      </c>
      <c r="K126" s="2" t="s">
        <v>828</v>
      </c>
      <c r="L126" s="2" t="s">
        <v>26</v>
      </c>
      <c r="M126" s="2" t="s">
        <v>27</v>
      </c>
      <c r="N126" s="2" t="s">
        <v>829</v>
      </c>
      <c r="O126" s="2" t="s">
        <v>78</v>
      </c>
      <c r="P126" s="2" t="s">
        <v>36</v>
      </c>
      <c r="Q126" s="2" t="s">
        <v>17</v>
      </c>
    </row>
    <row r="127" spans="1:17" hidden="1">
      <c r="A127" s="2">
        <v>12261</v>
      </c>
      <c r="B127" s="2" t="s">
        <v>108</v>
      </c>
      <c r="C127" s="2" t="s">
        <v>109</v>
      </c>
      <c r="D127" s="3">
        <v>46114.123611111107</v>
      </c>
      <c r="E127" s="2" t="s">
        <v>57</v>
      </c>
      <c r="F127" s="2" t="s">
        <v>5</v>
      </c>
      <c r="G127" s="2" t="s">
        <v>18</v>
      </c>
      <c r="H127" s="2" t="s">
        <v>23</v>
      </c>
      <c r="I127" s="2" t="s">
        <v>110</v>
      </c>
      <c r="J127" s="2" t="s">
        <v>111</v>
      </c>
      <c r="K127" s="2" t="s">
        <v>112</v>
      </c>
      <c r="L127" s="2" t="s">
        <v>26</v>
      </c>
      <c r="M127" s="2" t="s">
        <v>27</v>
      </c>
      <c r="N127" s="2" t="s">
        <v>113</v>
      </c>
      <c r="O127" s="2" t="s">
        <v>78</v>
      </c>
      <c r="P127" s="2" t="s">
        <v>36</v>
      </c>
      <c r="Q127" s="2" t="s">
        <v>17</v>
      </c>
    </row>
    <row r="128" spans="1:17" hidden="1">
      <c r="A128" s="2">
        <v>12364</v>
      </c>
      <c r="B128" s="2" t="s">
        <v>243</v>
      </c>
      <c r="C128" s="2" t="s">
        <v>243</v>
      </c>
      <c r="D128" s="3">
        <v>46115.724305555559</v>
      </c>
      <c r="E128" s="2" t="s">
        <v>57</v>
      </c>
      <c r="F128" s="2" t="s">
        <v>5</v>
      </c>
      <c r="G128" s="2" t="s">
        <v>22</v>
      </c>
      <c r="H128" s="2" t="s">
        <v>244</v>
      </c>
      <c r="I128" s="2" t="s">
        <v>245</v>
      </c>
      <c r="J128" s="2" t="s">
        <v>246</v>
      </c>
      <c r="K128" s="2" t="s">
        <v>247</v>
      </c>
      <c r="L128" s="2" t="s">
        <v>26</v>
      </c>
      <c r="M128" s="2" t="s">
        <v>27</v>
      </c>
      <c r="N128" s="2" t="s">
        <v>248</v>
      </c>
      <c r="O128" s="2" t="s">
        <v>78</v>
      </c>
      <c r="P128" s="2" t="s">
        <v>101</v>
      </c>
      <c r="Q128" s="2" t="s">
        <v>17</v>
      </c>
    </row>
    <row r="129" spans="1:17" hidden="1">
      <c r="A129" s="2">
        <v>13282</v>
      </c>
      <c r="B129" s="2" t="s">
        <v>1528</v>
      </c>
      <c r="C129" s="2" t="s">
        <v>1528</v>
      </c>
      <c r="D129" s="3">
        <v>46140.104166666672</v>
      </c>
      <c r="E129" s="2" t="s">
        <v>1186</v>
      </c>
      <c r="F129" s="2" t="s">
        <v>5</v>
      </c>
      <c r="G129" s="2" t="s">
        <v>22</v>
      </c>
      <c r="H129" s="2" t="s">
        <v>39</v>
      </c>
      <c r="I129" s="2" t="s">
        <v>256</v>
      </c>
      <c r="J129" s="2" t="s">
        <v>17</v>
      </c>
      <c r="K129" s="2" t="s">
        <v>17</v>
      </c>
      <c r="L129" s="2" t="s">
        <v>26</v>
      </c>
      <c r="M129" s="2" t="s">
        <v>27</v>
      </c>
      <c r="N129" s="2" t="s">
        <v>1529</v>
      </c>
      <c r="O129" s="2" t="s">
        <v>17</v>
      </c>
      <c r="P129" s="2" t="s">
        <v>127</v>
      </c>
      <c r="Q129" s="2" t="s">
        <v>17</v>
      </c>
    </row>
    <row r="130" spans="1:17" hidden="1">
      <c r="A130" s="2">
        <v>13100</v>
      </c>
      <c r="B130" s="2" t="s">
        <v>1279</v>
      </c>
      <c r="C130" s="2" t="s">
        <v>1279</v>
      </c>
      <c r="D130" s="3">
        <v>46135.461805555555</v>
      </c>
      <c r="E130" s="2" t="s">
        <v>647</v>
      </c>
      <c r="F130" s="2" t="s">
        <v>5</v>
      </c>
      <c r="G130" s="2" t="s">
        <v>22</v>
      </c>
      <c r="H130" s="2" t="s">
        <v>43</v>
      </c>
      <c r="I130" s="2" t="s">
        <v>74</v>
      </c>
      <c r="J130" s="2" t="s">
        <v>1280</v>
      </c>
      <c r="K130" s="2" t="s">
        <v>1281</v>
      </c>
      <c r="L130" s="2" t="s">
        <v>26</v>
      </c>
      <c r="M130" s="2" t="s">
        <v>47</v>
      </c>
      <c r="N130" s="2" t="s">
        <v>1282</v>
      </c>
      <c r="O130" s="2" t="s">
        <v>17</v>
      </c>
      <c r="P130" s="2" t="s">
        <v>36</v>
      </c>
      <c r="Q130" s="2" t="s">
        <v>17</v>
      </c>
    </row>
    <row r="131" spans="1:17" hidden="1">
      <c r="A131" s="2">
        <v>12283</v>
      </c>
      <c r="B131" s="2" t="s">
        <v>124</v>
      </c>
      <c r="C131" s="2" t="s">
        <v>124</v>
      </c>
      <c r="D131" s="3">
        <v>46114.520833333328</v>
      </c>
      <c r="E131" s="2" t="s">
        <v>57</v>
      </c>
      <c r="F131" s="2" t="s">
        <v>17</v>
      </c>
      <c r="G131" s="2" t="s">
        <v>18</v>
      </c>
      <c r="H131" s="2" t="s">
        <v>17</v>
      </c>
      <c r="I131" s="2" t="s">
        <v>17</v>
      </c>
      <c r="J131" s="2" t="s">
        <v>17</v>
      </c>
      <c r="K131" s="2" t="s">
        <v>17</v>
      </c>
      <c r="L131" s="2" t="s">
        <v>17</v>
      </c>
      <c r="M131" s="2" t="s">
        <v>27</v>
      </c>
      <c r="N131" s="2" t="s">
        <v>125</v>
      </c>
      <c r="O131" s="2" t="s">
        <v>126</v>
      </c>
      <c r="P131" s="2" t="s">
        <v>127</v>
      </c>
      <c r="Q131" s="2" t="s">
        <v>17</v>
      </c>
    </row>
    <row r="132" spans="1:17" hidden="1">
      <c r="A132" s="2">
        <v>12722</v>
      </c>
      <c r="B132" s="2" t="s">
        <v>835</v>
      </c>
      <c r="C132" s="2" t="s">
        <v>835</v>
      </c>
      <c r="D132" s="3">
        <v>46126.242361111115</v>
      </c>
      <c r="E132" s="2" t="s">
        <v>21</v>
      </c>
      <c r="F132" s="2" t="s">
        <v>5</v>
      </c>
      <c r="G132" s="2" t="s">
        <v>80</v>
      </c>
      <c r="H132" s="2" t="s">
        <v>23</v>
      </c>
      <c r="I132" s="2" t="s">
        <v>81</v>
      </c>
      <c r="J132" s="2" t="s">
        <v>420</v>
      </c>
      <c r="K132" s="2" t="s">
        <v>836</v>
      </c>
      <c r="L132" s="2" t="s">
        <v>84</v>
      </c>
      <c r="M132" s="2" t="s">
        <v>27</v>
      </c>
      <c r="N132" s="2" t="s">
        <v>837</v>
      </c>
      <c r="O132" s="2" t="s">
        <v>17</v>
      </c>
      <c r="P132" s="2" t="s">
        <v>101</v>
      </c>
      <c r="Q132" s="2" t="s">
        <v>17</v>
      </c>
    </row>
    <row r="133" spans="1:17" hidden="1">
      <c r="A133" s="2">
        <v>13063</v>
      </c>
      <c r="B133" s="2" t="s">
        <v>1226</v>
      </c>
      <c r="C133" s="2" t="s">
        <v>1226</v>
      </c>
      <c r="D133" s="3">
        <v>46134.708333333328</v>
      </c>
      <c r="E133" s="2" t="s">
        <v>57</v>
      </c>
      <c r="F133" s="2" t="s">
        <v>5</v>
      </c>
      <c r="G133" s="2" t="s">
        <v>18</v>
      </c>
      <c r="H133" s="2" t="s">
        <v>23</v>
      </c>
      <c r="I133" s="2" t="s">
        <v>88</v>
      </c>
      <c r="J133" s="2" t="s">
        <v>1227</v>
      </c>
      <c r="K133" s="2" t="s">
        <v>1228</v>
      </c>
      <c r="L133" s="2" t="s">
        <v>26</v>
      </c>
      <c r="M133" s="2" t="s">
        <v>27</v>
      </c>
      <c r="N133" s="2" t="s">
        <v>1229</v>
      </c>
      <c r="O133" s="2" t="s">
        <v>62</v>
      </c>
      <c r="P133" s="2" t="s">
        <v>1201</v>
      </c>
      <c r="Q133" s="2" t="s">
        <v>17</v>
      </c>
    </row>
    <row r="134" spans="1:17" hidden="1">
      <c r="A134" s="2">
        <v>13183</v>
      </c>
      <c r="B134" s="2" t="s">
        <v>1342</v>
      </c>
      <c r="C134" s="2" t="s">
        <v>1342</v>
      </c>
      <c r="D134" s="3">
        <v>46137.022222222222</v>
      </c>
      <c r="E134" s="2" t="s">
        <v>1186</v>
      </c>
      <c r="F134" s="2" t="s">
        <v>5</v>
      </c>
      <c r="G134" s="2" t="s">
        <v>80</v>
      </c>
      <c r="H134" s="2" t="s">
        <v>23</v>
      </c>
      <c r="I134" s="2" t="s">
        <v>81</v>
      </c>
      <c r="J134" s="2" t="s">
        <v>1343</v>
      </c>
      <c r="K134" s="2" t="s">
        <v>1344</v>
      </c>
      <c r="L134" s="2" t="s">
        <v>84</v>
      </c>
      <c r="M134" s="2" t="s">
        <v>27</v>
      </c>
      <c r="N134" s="2" t="s">
        <v>1345</v>
      </c>
      <c r="O134" s="2" t="s">
        <v>17</v>
      </c>
      <c r="P134" s="2" t="s">
        <v>36</v>
      </c>
      <c r="Q134" s="2" t="s">
        <v>17</v>
      </c>
    </row>
    <row r="135" spans="1:17" hidden="1">
      <c r="A135" s="2">
        <v>12318</v>
      </c>
      <c r="B135" s="2" t="s">
        <v>196</v>
      </c>
      <c r="C135" s="2" t="s">
        <v>196</v>
      </c>
      <c r="D135" s="3">
        <v>46114.931944444441</v>
      </c>
      <c r="E135" s="2" t="s">
        <v>57</v>
      </c>
      <c r="F135" s="2" t="s">
        <v>5</v>
      </c>
      <c r="G135" s="2" t="s">
        <v>80</v>
      </c>
      <c r="H135" s="2" t="s">
        <v>23</v>
      </c>
      <c r="I135" s="2" t="s">
        <v>81</v>
      </c>
      <c r="J135" s="2" t="s">
        <v>197</v>
      </c>
      <c r="K135" s="2" t="s">
        <v>198</v>
      </c>
      <c r="L135" s="2" t="s">
        <v>84</v>
      </c>
      <c r="M135" s="2" t="s">
        <v>27</v>
      </c>
      <c r="N135" s="2" t="s">
        <v>199</v>
      </c>
      <c r="O135" s="2" t="s">
        <v>78</v>
      </c>
      <c r="P135" s="2" t="s">
        <v>36</v>
      </c>
      <c r="Q135" s="2" t="s">
        <v>17</v>
      </c>
    </row>
    <row r="136" spans="1:17" hidden="1">
      <c r="A136" s="2">
        <v>12646</v>
      </c>
      <c r="B136" s="2" t="s">
        <v>688</v>
      </c>
      <c r="C136" s="2" t="s">
        <v>689</v>
      </c>
      <c r="D136" s="3">
        <v>46123.426388888889</v>
      </c>
      <c r="E136" s="2" t="s">
        <v>57</v>
      </c>
      <c r="F136" s="2" t="s">
        <v>5</v>
      </c>
      <c r="G136" s="2" t="s">
        <v>22</v>
      </c>
      <c r="H136" s="2" t="s">
        <v>43</v>
      </c>
      <c r="I136" s="2" t="s">
        <v>74</v>
      </c>
      <c r="J136" s="2" t="s">
        <v>690</v>
      </c>
      <c r="K136" s="2" t="s">
        <v>691</v>
      </c>
      <c r="L136" s="2" t="s">
        <v>26</v>
      </c>
      <c r="M136" s="2" t="s">
        <v>47</v>
      </c>
      <c r="N136" s="2" t="s">
        <v>692</v>
      </c>
      <c r="O136" s="2" t="s">
        <v>78</v>
      </c>
      <c r="P136" s="2" t="s">
        <v>36</v>
      </c>
      <c r="Q136" s="2" t="s">
        <v>17</v>
      </c>
    </row>
    <row r="137" spans="1:17" hidden="1">
      <c r="A137" s="2">
        <v>13156</v>
      </c>
      <c r="B137" s="2" t="s">
        <v>1311</v>
      </c>
      <c r="C137" s="2" t="s">
        <v>1311</v>
      </c>
      <c r="D137" s="3">
        <v>46136.554861111115</v>
      </c>
      <c r="E137" s="2" t="s">
        <v>1008</v>
      </c>
      <c r="F137" s="2" t="s">
        <v>5</v>
      </c>
      <c r="G137" s="2" t="s">
        <v>22</v>
      </c>
      <c r="H137" s="2" t="s">
        <v>43</v>
      </c>
      <c r="I137" s="2" t="s">
        <v>74</v>
      </c>
      <c r="J137" s="2" t="s">
        <v>1312</v>
      </c>
      <c r="K137" s="2" t="s">
        <v>1313</v>
      </c>
      <c r="L137" s="2" t="s">
        <v>26</v>
      </c>
      <c r="M137" s="2" t="s">
        <v>47</v>
      </c>
      <c r="N137" s="2" t="s">
        <v>1314</v>
      </c>
      <c r="O137" s="2" t="s">
        <v>17</v>
      </c>
      <c r="P137" s="2" t="s">
        <v>36</v>
      </c>
      <c r="Q137" s="2" t="s">
        <v>17</v>
      </c>
    </row>
    <row r="138" spans="1:17" hidden="1">
      <c r="A138" s="2">
        <v>12436</v>
      </c>
      <c r="B138" s="2" t="s">
        <v>418</v>
      </c>
      <c r="C138" s="2" t="s">
        <v>419</v>
      </c>
      <c r="D138" s="3">
        <v>46118.654861111107</v>
      </c>
      <c r="E138" s="2" t="s">
        <v>57</v>
      </c>
      <c r="F138" s="2" t="s">
        <v>5</v>
      </c>
      <c r="G138" s="2" t="s">
        <v>18</v>
      </c>
      <c r="H138" s="2" t="s">
        <v>23</v>
      </c>
      <c r="I138" s="2" t="s">
        <v>88</v>
      </c>
      <c r="J138" s="2" t="s">
        <v>420</v>
      </c>
      <c r="K138" s="2" t="s">
        <v>421</v>
      </c>
      <c r="L138" s="2" t="s">
        <v>26</v>
      </c>
      <c r="M138" s="2" t="s">
        <v>27</v>
      </c>
      <c r="N138" s="2" t="s">
        <v>422</v>
      </c>
      <c r="O138" s="2" t="s">
        <v>62</v>
      </c>
      <c r="P138" s="2" t="s">
        <v>101</v>
      </c>
      <c r="Q138" s="2" t="s">
        <v>17</v>
      </c>
    </row>
    <row r="139" spans="1:17" hidden="1">
      <c r="A139" s="2">
        <v>12553</v>
      </c>
      <c r="B139" s="2" t="s">
        <v>555</v>
      </c>
      <c r="C139" s="2" t="s">
        <v>555</v>
      </c>
      <c r="D139" s="3">
        <v>46120.811111111107</v>
      </c>
      <c r="E139" s="2" t="s">
        <v>21</v>
      </c>
      <c r="F139" s="2" t="s">
        <v>5</v>
      </c>
      <c r="G139" s="2" t="s">
        <v>22</v>
      </c>
      <c r="H139" s="2" t="s">
        <v>23</v>
      </c>
      <c r="I139" s="2" t="s">
        <v>556</v>
      </c>
      <c r="J139" s="2" t="s">
        <v>420</v>
      </c>
      <c r="K139" s="2" t="s">
        <v>17</v>
      </c>
      <c r="L139" s="2" t="s">
        <v>54</v>
      </c>
      <c r="M139" s="2" t="s">
        <v>27</v>
      </c>
      <c r="N139" s="2" t="s">
        <v>557</v>
      </c>
      <c r="O139" s="2" t="s">
        <v>17</v>
      </c>
      <c r="P139" s="2" t="s">
        <v>101</v>
      </c>
      <c r="Q139" s="2" t="s">
        <v>17</v>
      </c>
    </row>
    <row r="140" spans="1:17" hidden="1">
      <c r="A140" s="2">
        <v>13020</v>
      </c>
      <c r="B140" s="2" t="s">
        <v>1167</v>
      </c>
      <c r="C140" s="2" t="s">
        <v>1167</v>
      </c>
      <c r="D140" s="3">
        <v>46133.745138888888</v>
      </c>
      <c r="E140" s="2" t="s">
        <v>905</v>
      </c>
      <c r="F140" s="2" t="s">
        <v>5</v>
      </c>
      <c r="G140" s="2" t="s">
        <v>22</v>
      </c>
      <c r="H140" s="2" t="s">
        <v>43</v>
      </c>
      <c r="I140" s="2" t="s">
        <v>148</v>
      </c>
      <c r="J140" s="2" t="s">
        <v>1168</v>
      </c>
      <c r="K140" s="2" t="s">
        <v>1169</v>
      </c>
      <c r="L140" s="2" t="s">
        <v>26</v>
      </c>
      <c r="M140" s="2" t="s">
        <v>47</v>
      </c>
      <c r="N140" s="2" t="s">
        <v>1170</v>
      </c>
      <c r="O140" s="2" t="s">
        <v>17</v>
      </c>
      <c r="P140" s="2" t="s">
        <v>36</v>
      </c>
      <c r="Q140" s="2" t="s">
        <v>17</v>
      </c>
    </row>
    <row r="141" spans="1:17" hidden="1">
      <c r="A141" s="2">
        <v>12527</v>
      </c>
      <c r="B141" s="2" t="s">
        <v>530</v>
      </c>
      <c r="C141" s="2" t="s">
        <v>530</v>
      </c>
      <c r="D141" s="3">
        <v>46120.498611111107</v>
      </c>
      <c r="E141" s="2" t="s">
        <v>21</v>
      </c>
      <c r="F141" s="2" t="s">
        <v>5</v>
      </c>
      <c r="G141" s="2" t="s">
        <v>22</v>
      </c>
      <c r="H141" s="2" t="s">
        <v>43</v>
      </c>
      <c r="I141" s="2" t="s">
        <v>531</v>
      </c>
      <c r="J141" s="2" t="s">
        <v>532</v>
      </c>
      <c r="K141" s="2" t="s">
        <v>533</v>
      </c>
      <c r="L141" s="2" t="s">
        <v>26</v>
      </c>
      <c r="M141" s="2" t="s">
        <v>47</v>
      </c>
      <c r="N141" s="2" t="s">
        <v>534</v>
      </c>
      <c r="O141" s="2" t="s">
        <v>17</v>
      </c>
      <c r="P141" s="2" t="s">
        <v>36</v>
      </c>
      <c r="Q141" s="2" t="s">
        <v>17</v>
      </c>
    </row>
    <row r="142" spans="1:17" hidden="1">
      <c r="A142" s="2">
        <v>13410</v>
      </c>
      <c r="B142" s="2" t="s">
        <v>1634</v>
      </c>
      <c r="C142" s="2" t="s">
        <v>1634</v>
      </c>
      <c r="D142" s="3">
        <v>46142.780555555553</v>
      </c>
      <c r="E142" s="2" t="s">
        <v>948</v>
      </c>
      <c r="F142" s="2" t="s">
        <v>5</v>
      </c>
      <c r="G142" s="2" t="s">
        <v>80</v>
      </c>
      <c r="H142" s="2" t="s">
        <v>23</v>
      </c>
      <c r="I142" s="2" t="s">
        <v>81</v>
      </c>
      <c r="J142" s="2" t="s">
        <v>17</v>
      </c>
      <c r="K142" s="2" t="s">
        <v>17</v>
      </c>
      <c r="L142" s="2" t="s">
        <v>84</v>
      </c>
      <c r="M142" s="2" t="s">
        <v>19</v>
      </c>
      <c r="N142" s="2" t="s">
        <v>1635</v>
      </c>
      <c r="O142" s="2" t="s">
        <v>17</v>
      </c>
      <c r="P142" s="2" t="s">
        <v>49</v>
      </c>
      <c r="Q142" s="2" t="s">
        <v>17</v>
      </c>
    </row>
    <row r="143" spans="1:17" hidden="1">
      <c r="A143" s="2">
        <v>12933</v>
      </c>
      <c r="B143" s="2" t="s">
        <v>1096</v>
      </c>
      <c r="C143" s="2" t="s">
        <v>1096</v>
      </c>
      <c r="D143" s="3">
        <v>46132.319444444445</v>
      </c>
      <c r="E143" s="2" t="s">
        <v>905</v>
      </c>
      <c r="F143" s="2" t="s">
        <v>5</v>
      </c>
      <c r="G143" s="2" t="s">
        <v>80</v>
      </c>
      <c r="H143" s="2" t="s">
        <v>23</v>
      </c>
      <c r="I143" s="2" t="s">
        <v>983</v>
      </c>
      <c r="J143" s="2" t="s">
        <v>1097</v>
      </c>
      <c r="K143" s="2" t="s">
        <v>1098</v>
      </c>
      <c r="L143" s="2" t="s">
        <v>100</v>
      </c>
      <c r="M143" s="2" t="s">
        <v>27</v>
      </c>
      <c r="N143" s="2" t="s">
        <v>1099</v>
      </c>
      <c r="O143" s="2" t="s">
        <v>17</v>
      </c>
      <c r="P143" s="2" t="s">
        <v>36</v>
      </c>
      <c r="Q143" s="2" t="s">
        <v>17</v>
      </c>
    </row>
    <row r="144" spans="1:17" hidden="1">
      <c r="A144" s="2">
        <v>13221</v>
      </c>
      <c r="B144" s="2" t="s">
        <v>1430</v>
      </c>
      <c r="C144" s="2" t="s">
        <v>1430</v>
      </c>
      <c r="D144" s="3">
        <v>46138.945833333331</v>
      </c>
      <c r="E144" s="2" t="s">
        <v>1324</v>
      </c>
      <c r="F144" s="2" t="s">
        <v>5</v>
      </c>
      <c r="G144" s="2" t="s">
        <v>80</v>
      </c>
      <c r="H144" s="2" t="s">
        <v>23</v>
      </c>
      <c r="I144" s="2" t="s">
        <v>88</v>
      </c>
      <c r="J144" s="2" t="s">
        <v>1431</v>
      </c>
      <c r="K144" s="2" t="s">
        <v>1432</v>
      </c>
      <c r="L144" s="2" t="s">
        <v>26</v>
      </c>
      <c r="M144" s="2" t="s">
        <v>27</v>
      </c>
      <c r="N144" s="2" t="s">
        <v>1433</v>
      </c>
      <c r="O144" s="2" t="s">
        <v>17</v>
      </c>
      <c r="P144" s="2" t="s">
        <v>36</v>
      </c>
      <c r="Q144" s="2" t="s">
        <v>17</v>
      </c>
    </row>
    <row r="145" spans="1:17" hidden="1">
      <c r="A145" s="2">
        <v>13046</v>
      </c>
      <c r="B145" s="2" t="s">
        <v>1202</v>
      </c>
      <c r="C145" s="2" t="s">
        <v>1202</v>
      </c>
      <c r="D145" s="3">
        <v>46134.40347222222</v>
      </c>
      <c r="E145" s="2" t="s">
        <v>57</v>
      </c>
      <c r="F145" s="2" t="s">
        <v>5</v>
      </c>
      <c r="G145" s="2" t="s">
        <v>18</v>
      </c>
      <c r="H145" s="2" t="s">
        <v>168</v>
      </c>
      <c r="I145" s="2" t="s">
        <v>187</v>
      </c>
      <c r="J145" s="2" t="s">
        <v>1203</v>
      </c>
      <c r="K145" s="2" t="s">
        <v>1204</v>
      </c>
      <c r="L145" s="2" t="s">
        <v>26</v>
      </c>
      <c r="M145" s="2" t="s">
        <v>47</v>
      </c>
      <c r="N145" s="2" t="s">
        <v>1205</v>
      </c>
      <c r="O145" s="2" t="s">
        <v>62</v>
      </c>
      <c r="P145" s="2" t="s">
        <v>29</v>
      </c>
      <c r="Q145" s="2" t="s">
        <v>17</v>
      </c>
    </row>
    <row r="146" spans="1:17" hidden="1">
      <c r="A146" s="2">
        <v>12787</v>
      </c>
      <c r="B146" s="2" t="s">
        <v>909</v>
      </c>
      <c r="C146" s="2" t="s">
        <v>909</v>
      </c>
      <c r="D146" s="3">
        <v>46127.568055555559</v>
      </c>
      <c r="E146" s="2" t="s">
        <v>57</v>
      </c>
      <c r="F146" s="2" t="s">
        <v>17</v>
      </c>
      <c r="G146" s="2" t="s">
        <v>22</v>
      </c>
      <c r="H146" s="2" t="s">
        <v>23</v>
      </c>
      <c r="I146" s="2" t="s">
        <v>910</v>
      </c>
      <c r="J146" s="2" t="s">
        <v>193</v>
      </c>
      <c r="K146" s="2" t="s">
        <v>911</v>
      </c>
      <c r="L146" s="2" t="s">
        <v>54</v>
      </c>
      <c r="M146" s="2" t="s">
        <v>27</v>
      </c>
      <c r="N146" s="2" t="s">
        <v>912</v>
      </c>
      <c r="O146" s="2" t="s">
        <v>382</v>
      </c>
      <c r="P146" s="2" t="s">
        <v>29</v>
      </c>
      <c r="Q146" s="2" t="s">
        <v>17</v>
      </c>
    </row>
    <row r="147" spans="1:17" hidden="1">
      <c r="A147" s="2">
        <v>13220</v>
      </c>
      <c r="B147" s="2" t="s">
        <v>1426</v>
      </c>
      <c r="C147" s="2" t="s">
        <v>1426</v>
      </c>
      <c r="D147" s="3">
        <v>46138.911805555559</v>
      </c>
      <c r="E147" s="2" t="s">
        <v>21</v>
      </c>
      <c r="F147" s="2" t="s">
        <v>5</v>
      </c>
      <c r="G147" s="2" t="s">
        <v>80</v>
      </c>
      <c r="H147" s="2" t="s">
        <v>23</v>
      </c>
      <c r="I147" s="2" t="s">
        <v>98</v>
      </c>
      <c r="J147" s="2" t="s">
        <v>1427</v>
      </c>
      <c r="K147" s="2" t="s">
        <v>1428</v>
      </c>
      <c r="L147" s="2" t="s">
        <v>100</v>
      </c>
      <c r="M147" s="2" t="s">
        <v>27</v>
      </c>
      <c r="N147" s="2" t="s">
        <v>1429</v>
      </c>
      <c r="O147" s="2" t="s">
        <v>17</v>
      </c>
      <c r="P147" s="2" t="s">
        <v>36</v>
      </c>
      <c r="Q147" s="2" t="s">
        <v>17</v>
      </c>
    </row>
    <row r="148" spans="1:17">
      <c r="A148" s="2">
        <v>13367</v>
      </c>
      <c r="B148" s="2" t="s">
        <v>1617</v>
      </c>
      <c r="C148" s="2" t="s">
        <v>1617</v>
      </c>
      <c r="D148" s="3">
        <v>46142.326388888891</v>
      </c>
      <c r="E148" s="2" t="s">
        <v>1324</v>
      </c>
      <c r="F148" s="2" t="s">
        <v>17</v>
      </c>
      <c r="G148" s="2" t="s">
        <v>22</v>
      </c>
      <c r="H148" s="2" t="s">
        <v>503</v>
      </c>
      <c r="I148" s="2" t="s">
        <v>142</v>
      </c>
      <c r="J148" s="2" t="s">
        <v>1618</v>
      </c>
      <c r="K148" s="2" t="s">
        <v>1619</v>
      </c>
      <c r="L148" s="2" t="s">
        <v>26</v>
      </c>
      <c r="M148" s="2" t="s">
        <v>47</v>
      </c>
      <c r="N148" s="2" t="s">
        <v>1620</v>
      </c>
      <c r="O148" s="2" t="s">
        <v>17</v>
      </c>
      <c r="P148" s="2" t="s">
        <v>36</v>
      </c>
      <c r="Q148" s="2" t="s">
        <v>17</v>
      </c>
    </row>
    <row r="149" spans="1:17" hidden="1">
      <c r="A149" s="2">
        <v>12786</v>
      </c>
      <c r="B149" s="2" t="s">
        <v>904</v>
      </c>
      <c r="C149" s="2" t="s">
        <v>904</v>
      </c>
      <c r="D149" s="3">
        <v>46127.557638888888</v>
      </c>
      <c r="E149" s="2" t="s">
        <v>905</v>
      </c>
      <c r="F149" s="2" t="s">
        <v>17</v>
      </c>
      <c r="G149" s="2" t="s">
        <v>80</v>
      </c>
      <c r="H149" s="2" t="s">
        <v>23</v>
      </c>
      <c r="I149" s="2" t="s">
        <v>88</v>
      </c>
      <c r="J149" s="2" t="s">
        <v>906</v>
      </c>
      <c r="K149" s="2" t="s">
        <v>907</v>
      </c>
      <c r="L149" s="2" t="s">
        <v>26</v>
      </c>
      <c r="M149" s="2" t="s">
        <v>27</v>
      </c>
      <c r="N149" s="2" t="s">
        <v>908</v>
      </c>
      <c r="O149" s="2" t="s">
        <v>17</v>
      </c>
      <c r="P149" s="2" t="s">
        <v>36</v>
      </c>
      <c r="Q149" s="2" t="s">
        <v>17</v>
      </c>
    </row>
    <row r="150" spans="1:17" hidden="1">
      <c r="A150" s="2">
        <v>12609</v>
      </c>
      <c r="B150" s="2" t="s">
        <v>637</v>
      </c>
      <c r="C150" s="2" t="s">
        <v>637</v>
      </c>
      <c r="D150" s="3">
        <v>46122.154861111107</v>
      </c>
      <c r="E150" s="2" t="s">
        <v>57</v>
      </c>
      <c r="F150" s="2" t="s">
        <v>5</v>
      </c>
      <c r="G150" s="2" t="s">
        <v>18</v>
      </c>
      <c r="H150" s="2" t="s">
        <v>168</v>
      </c>
      <c r="I150" s="2" t="s">
        <v>187</v>
      </c>
      <c r="J150" s="2" t="s">
        <v>638</v>
      </c>
      <c r="K150" s="2" t="s">
        <v>639</v>
      </c>
      <c r="L150" s="2" t="s">
        <v>26</v>
      </c>
      <c r="M150" s="2" t="s">
        <v>47</v>
      </c>
      <c r="N150" s="2" t="s">
        <v>640</v>
      </c>
      <c r="O150" s="2" t="s">
        <v>62</v>
      </c>
      <c r="P150" s="2" t="s">
        <v>36</v>
      </c>
      <c r="Q150" s="2" t="s">
        <v>17</v>
      </c>
    </row>
    <row r="151" spans="1:17" hidden="1">
      <c r="A151" s="2">
        <v>12664</v>
      </c>
      <c r="B151" s="2" t="s">
        <v>743</v>
      </c>
      <c r="C151" s="2" t="s">
        <v>744</v>
      </c>
      <c r="D151" s="3">
        <v>46124.30069444445</v>
      </c>
      <c r="E151" s="2" t="s">
        <v>57</v>
      </c>
      <c r="F151" s="2" t="s">
        <v>5</v>
      </c>
      <c r="G151" s="2" t="s">
        <v>18</v>
      </c>
      <c r="H151" s="2" t="s">
        <v>23</v>
      </c>
      <c r="I151" s="2" t="s">
        <v>159</v>
      </c>
      <c r="J151" s="2" t="s">
        <v>745</v>
      </c>
      <c r="K151" s="2" t="s">
        <v>746</v>
      </c>
      <c r="L151" s="2" t="s">
        <v>26</v>
      </c>
      <c r="M151" s="2" t="s">
        <v>27</v>
      </c>
      <c r="N151" s="2" t="s">
        <v>747</v>
      </c>
      <c r="O151" s="2" t="s">
        <v>78</v>
      </c>
      <c r="P151" s="2" t="s">
        <v>36</v>
      </c>
      <c r="Q151" s="2" t="s">
        <v>17</v>
      </c>
    </row>
    <row r="152" spans="1:17" hidden="1">
      <c r="A152" s="2">
        <v>12230</v>
      </c>
      <c r="B152" s="2" t="s">
        <v>50</v>
      </c>
      <c r="C152" s="2" t="s">
        <v>50</v>
      </c>
      <c r="D152" s="3">
        <v>46113.709722222222</v>
      </c>
      <c r="E152" s="2" t="s">
        <v>21</v>
      </c>
      <c r="F152" s="2" t="s">
        <v>5</v>
      </c>
      <c r="G152" s="2" t="s">
        <v>22</v>
      </c>
      <c r="H152" s="2" t="s">
        <v>23</v>
      </c>
      <c r="I152" s="2" t="s">
        <v>51</v>
      </c>
      <c r="J152" s="2" t="s">
        <v>52</v>
      </c>
      <c r="K152" s="2" t="s">
        <v>53</v>
      </c>
      <c r="L152" s="2" t="s">
        <v>54</v>
      </c>
      <c r="M152" s="2" t="s">
        <v>27</v>
      </c>
      <c r="N152" s="2" t="s">
        <v>55</v>
      </c>
      <c r="O152" s="2" t="s">
        <v>17</v>
      </c>
      <c r="P152" s="2" t="s">
        <v>36</v>
      </c>
      <c r="Q152" s="2" t="s">
        <v>17</v>
      </c>
    </row>
    <row r="153" spans="1:17" hidden="1">
      <c r="A153" s="2">
        <v>13254</v>
      </c>
      <c r="B153" s="2" t="s">
        <v>1482</v>
      </c>
      <c r="C153" s="2" t="s">
        <v>1482</v>
      </c>
      <c r="D153" s="3">
        <v>46139.68472222222</v>
      </c>
      <c r="E153" s="2" t="s">
        <v>21</v>
      </c>
      <c r="F153" s="2" t="s">
        <v>5</v>
      </c>
      <c r="G153" s="2" t="s">
        <v>80</v>
      </c>
      <c r="H153" s="2" t="s">
        <v>23</v>
      </c>
      <c r="I153" s="2" t="s">
        <v>81</v>
      </c>
      <c r="J153" s="2" t="s">
        <v>1483</v>
      </c>
      <c r="K153" s="2" t="s">
        <v>17</v>
      </c>
      <c r="L153" s="2" t="s">
        <v>84</v>
      </c>
      <c r="M153" s="2" t="s">
        <v>27</v>
      </c>
      <c r="N153" s="2" t="s">
        <v>1484</v>
      </c>
      <c r="O153" s="2" t="s">
        <v>17</v>
      </c>
      <c r="P153" s="2" t="s">
        <v>29</v>
      </c>
      <c r="Q153" s="2" t="s">
        <v>17</v>
      </c>
    </row>
    <row r="154" spans="1:17" hidden="1">
      <c r="A154" s="2">
        <v>12873</v>
      </c>
      <c r="B154" s="2" t="s">
        <v>978</v>
      </c>
      <c r="C154" s="2" t="s">
        <v>978</v>
      </c>
      <c r="D154" s="3">
        <v>46129.802083333328</v>
      </c>
      <c r="E154" s="2" t="s">
        <v>21</v>
      </c>
      <c r="F154" s="2" t="s">
        <v>5</v>
      </c>
      <c r="G154" s="2" t="s">
        <v>80</v>
      </c>
      <c r="H154" s="2" t="s">
        <v>23</v>
      </c>
      <c r="I154" s="2" t="s">
        <v>81</v>
      </c>
      <c r="J154" s="2" t="s">
        <v>979</v>
      </c>
      <c r="K154" s="2" t="s">
        <v>980</v>
      </c>
      <c r="L154" s="2" t="s">
        <v>84</v>
      </c>
      <c r="M154" s="2" t="s">
        <v>27</v>
      </c>
      <c r="N154" s="2" t="s">
        <v>981</v>
      </c>
      <c r="O154" s="2" t="s">
        <v>17</v>
      </c>
      <c r="P154" s="2" t="s">
        <v>36</v>
      </c>
      <c r="Q154" s="2" t="s">
        <v>17</v>
      </c>
    </row>
    <row r="155" spans="1:17" hidden="1">
      <c r="A155" s="2">
        <v>13243</v>
      </c>
      <c r="B155" s="2" t="s">
        <v>1467</v>
      </c>
      <c r="C155" s="2" t="s">
        <v>1467</v>
      </c>
      <c r="D155" s="3">
        <v>46139.5625</v>
      </c>
      <c r="E155" s="2" t="s">
        <v>1186</v>
      </c>
      <c r="F155" s="2" t="s">
        <v>230</v>
      </c>
      <c r="G155" s="2" t="s">
        <v>22</v>
      </c>
      <c r="H155" s="2" t="s">
        <v>235</v>
      </c>
      <c r="I155" s="2" t="s">
        <v>17</v>
      </c>
      <c r="J155" s="2" t="s">
        <v>17</v>
      </c>
      <c r="K155" s="2" t="s">
        <v>17</v>
      </c>
      <c r="L155" s="2" t="s">
        <v>26</v>
      </c>
      <c r="M155" s="2" t="s">
        <v>27</v>
      </c>
      <c r="N155" s="2" t="s">
        <v>1468</v>
      </c>
      <c r="O155" s="2" t="s">
        <v>17</v>
      </c>
      <c r="P155" s="2" t="s">
        <v>127</v>
      </c>
      <c r="Q155" s="2" t="s">
        <v>17</v>
      </c>
    </row>
    <row r="156" spans="1:17" hidden="1">
      <c r="A156" s="2">
        <v>12599</v>
      </c>
      <c r="B156" s="2" t="s">
        <v>615</v>
      </c>
      <c r="C156" s="2" t="s">
        <v>615</v>
      </c>
      <c r="D156" s="3">
        <v>46121.838194444441</v>
      </c>
      <c r="E156" s="2" t="s">
        <v>57</v>
      </c>
      <c r="F156" s="2" t="s">
        <v>230</v>
      </c>
      <c r="G156" s="2" t="s">
        <v>22</v>
      </c>
      <c r="H156" s="2" t="s">
        <v>235</v>
      </c>
      <c r="I156" s="2" t="s">
        <v>616</v>
      </c>
      <c r="J156" s="2" t="s">
        <v>617</v>
      </c>
      <c r="K156" s="2" t="s">
        <v>66</v>
      </c>
      <c r="L156" s="2" t="s">
        <v>26</v>
      </c>
      <c r="M156" s="2" t="s">
        <v>27</v>
      </c>
      <c r="N156" s="2" t="s">
        <v>618</v>
      </c>
      <c r="O156" s="2" t="s">
        <v>78</v>
      </c>
      <c r="P156" s="2" t="s">
        <v>36</v>
      </c>
      <c r="Q156" s="2" t="s">
        <v>17</v>
      </c>
    </row>
    <row r="157" spans="1:17" hidden="1">
      <c r="A157" s="2">
        <v>12368</v>
      </c>
      <c r="B157" s="2" t="s">
        <v>254</v>
      </c>
      <c r="C157" s="2" t="s">
        <v>255</v>
      </c>
      <c r="D157" s="3">
        <v>46115.802083333328</v>
      </c>
      <c r="E157" s="2" t="s">
        <v>57</v>
      </c>
      <c r="F157" s="2" t="s">
        <v>5</v>
      </c>
      <c r="G157" s="2" t="s">
        <v>18</v>
      </c>
      <c r="H157" s="2" t="s">
        <v>23</v>
      </c>
      <c r="I157" s="2" t="s">
        <v>256</v>
      </c>
      <c r="J157" s="2" t="s">
        <v>257</v>
      </c>
      <c r="K157" s="2" t="s">
        <v>17</v>
      </c>
      <c r="L157" s="2" t="s">
        <v>26</v>
      </c>
      <c r="M157" s="2" t="s">
        <v>27</v>
      </c>
      <c r="N157" s="2" t="s">
        <v>258</v>
      </c>
      <c r="O157" s="2" t="s">
        <v>78</v>
      </c>
      <c r="P157" s="2" t="s">
        <v>36</v>
      </c>
      <c r="Q157" s="2" t="s">
        <v>17</v>
      </c>
    </row>
    <row r="158" spans="1:17" hidden="1">
      <c r="A158" s="2">
        <v>13210</v>
      </c>
      <c r="B158" s="2" t="s">
        <v>1397</v>
      </c>
      <c r="C158" s="2" t="s">
        <v>1397</v>
      </c>
      <c r="D158" s="3">
        <v>46138.5625</v>
      </c>
      <c r="E158" s="2" t="s">
        <v>1186</v>
      </c>
      <c r="F158" s="2" t="s">
        <v>17</v>
      </c>
      <c r="G158" s="2" t="s">
        <v>22</v>
      </c>
      <c r="H158" s="2" t="s">
        <v>244</v>
      </c>
      <c r="I158" s="2" t="s">
        <v>350</v>
      </c>
      <c r="J158" s="2" t="s">
        <v>1398</v>
      </c>
      <c r="K158" s="2" t="s">
        <v>1399</v>
      </c>
      <c r="L158" s="2" t="s">
        <v>26</v>
      </c>
      <c r="M158" s="2" t="s">
        <v>27</v>
      </c>
      <c r="N158" s="2" t="s">
        <v>1400</v>
      </c>
      <c r="O158" s="2" t="s">
        <v>17</v>
      </c>
      <c r="P158" s="2" t="s">
        <v>97</v>
      </c>
      <c r="Q158" s="2" t="s">
        <v>17</v>
      </c>
    </row>
    <row r="159" spans="1:17" hidden="1">
      <c r="A159" s="2">
        <v>12508</v>
      </c>
      <c r="B159" s="2" t="s">
        <v>512</v>
      </c>
      <c r="C159" s="2" t="s">
        <v>513</v>
      </c>
      <c r="D159" s="3">
        <v>46119.946527777778</v>
      </c>
      <c r="E159" s="2" t="s">
        <v>21</v>
      </c>
      <c r="F159" s="2" t="s">
        <v>5</v>
      </c>
      <c r="G159" s="2" t="s">
        <v>22</v>
      </c>
      <c r="H159" s="2" t="s">
        <v>43</v>
      </c>
      <c r="I159" s="2" t="s">
        <v>187</v>
      </c>
      <c r="J159" s="2" t="s">
        <v>514</v>
      </c>
      <c r="K159" s="2" t="s">
        <v>515</v>
      </c>
      <c r="L159" s="2" t="s">
        <v>26</v>
      </c>
      <c r="M159" s="2" t="s">
        <v>47</v>
      </c>
      <c r="N159" s="2" t="s">
        <v>516</v>
      </c>
      <c r="O159" s="2" t="s">
        <v>17</v>
      </c>
      <c r="P159" s="2" t="s">
        <v>36</v>
      </c>
      <c r="Q159" s="2" t="s">
        <v>17</v>
      </c>
    </row>
    <row r="160" spans="1:17" hidden="1">
      <c r="A160" s="2">
        <v>12638</v>
      </c>
      <c r="B160" s="2" t="s">
        <v>671</v>
      </c>
      <c r="C160" s="2" t="s">
        <v>672</v>
      </c>
      <c r="D160" s="3">
        <v>46123.048611111109</v>
      </c>
      <c r="E160" s="2" t="s">
        <v>57</v>
      </c>
      <c r="F160" s="2" t="s">
        <v>5</v>
      </c>
      <c r="G160" s="2" t="s">
        <v>18</v>
      </c>
      <c r="H160" s="2" t="s">
        <v>23</v>
      </c>
      <c r="I160" s="2" t="s">
        <v>88</v>
      </c>
      <c r="J160" s="2" t="s">
        <v>673</v>
      </c>
      <c r="K160" s="2" t="s">
        <v>66</v>
      </c>
      <c r="L160" s="2" t="s">
        <v>26</v>
      </c>
      <c r="M160" s="2" t="s">
        <v>27</v>
      </c>
      <c r="N160" s="2" t="s">
        <v>674</v>
      </c>
      <c r="O160" s="2" t="s">
        <v>62</v>
      </c>
      <c r="P160" s="2" t="s">
        <v>97</v>
      </c>
      <c r="Q160" s="2" t="s">
        <v>17</v>
      </c>
    </row>
    <row r="161" spans="1:17" hidden="1">
      <c r="A161" s="2">
        <v>13225</v>
      </c>
      <c r="B161" s="2" t="s">
        <v>1446</v>
      </c>
      <c r="C161" s="2" t="s">
        <v>1446</v>
      </c>
      <c r="D161" s="3">
        <v>46139.252083333333</v>
      </c>
      <c r="E161" s="2" t="s">
        <v>21</v>
      </c>
      <c r="F161" s="2" t="s">
        <v>5</v>
      </c>
      <c r="G161" s="2" t="s">
        <v>80</v>
      </c>
      <c r="H161" s="2" t="s">
        <v>23</v>
      </c>
      <c r="I161" s="2" t="s">
        <v>88</v>
      </c>
      <c r="J161" s="2" t="s">
        <v>1447</v>
      </c>
      <c r="K161" s="2" t="s">
        <v>1448</v>
      </c>
      <c r="L161" s="2" t="s">
        <v>26</v>
      </c>
      <c r="M161" s="2" t="s">
        <v>27</v>
      </c>
      <c r="N161" s="2" t="s">
        <v>1449</v>
      </c>
      <c r="O161" s="2" t="s">
        <v>17</v>
      </c>
      <c r="P161" s="2" t="s">
        <v>101</v>
      </c>
      <c r="Q161" s="2" t="s">
        <v>17</v>
      </c>
    </row>
    <row r="162" spans="1:17" hidden="1">
      <c r="A162" s="2">
        <v>13172</v>
      </c>
      <c r="B162" s="2" t="s">
        <v>1333</v>
      </c>
      <c r="C162" s="2" t="s">
        <v>1333</v>
      </c>
      <c r="D162" s="3">
        <v>46136.763888888891</v>
      </c>
      <c r="E162" s="2" t="s">
        <v>21</v>
      </c>
      <c r="F162" s="2" t="s">
        <v>5</v>
      </c>
      <c r="G162" s="2" t="s">
        <v>80</v>
      </c>
      <c r="H162" s="2" t="s">
        <v>23</v>
      </c>
      <c r="I162" s="2" t="s">
        <v>110</v>
      </c>
      <c r="J162" s="2" t="s">
        <v>1334</v>
      </c>
      <c r="K162" s="2" t="s">
        <v>1335</v>
      </c>
      <c r="L162" s="2" t="s">
        <v>26</v>
      </c>
      <c r="M162" s="2" t="s">
        <v>27</v>
      </c>
      <c r="N162" s="2" t="s">
        <v>1336</v>
      </c>
      <c r="O162" s="2" t="s">
        <v>17</v>
      </c>
      <c r="P162" s="2" t="s">
        <v>36</v>
      </c>
      <c r="Q162" s="2" t="s">
        <v>17</v>
      </c>
    </row>
    <row r="163" spans="1:17" hidden="1">
      <c r="A163" s="2">
        <v>12379</v>
      </c>
      <c r="B163" s="2" t="s">
        <v>293</v>
      </c>
      <c r="C163" s="2" t="s">
        <v>294</v>
      </c>
      <c r="D163" s="3">
        <v>46116.272916666669</v>
      </c>
      <c r="E163" s="2" t="s">
        <v>57</v>
      </c>
      <c r="F163" s="2" t="s">
        <v>5</v>
      </c>
      <c r="G163" s="2" t="s">
        <v>18</v>
      </c>
      <c r="H163" s="2" t="s">
        <v>23</v>
      </c>
      <c r="I163" s="2" t="s">
        <v>88</v>
      </c>
      <c r="J163" s="2" t="s">
        <v>295</v>
      </c>
      <c r="K163" s="2" t="s">
        <v>296</v>
      </c>
      <c r="L163" s="2" t="s">
        <v>26</v>
      </c>
      <c r="M163" s="2" t="s">
        <v>27</v>
      </c>
      <c r="N163" s="2" t="s">
        <v>297</v>
      </c>
      <c r="O163" s="2" t="s">
        <v>78</v>
      </c>
      <c r="P163" s="2" t="s">
        <v>97</v>
      </c>
      <c r="Q163" s="2" t="s">
        <v>17</v>
      </c>
    </row>
    <row r="164" spans="1:17" hidden="1">
      <c r="A164" s="2">
        <v>13316</v>
      </c>
      <c r="B164" s="2" t="s">
        <v>1553</v>
      </c>
      <c r="C164" s="2" t="s">
        <v>1553</v>
      </c>
      <c r="D164" s="3">
        <v>46140.816666666666</v>
      </c>
      <c r="E164" s="2" t="s">
        <v>582</v>
      </c>
      <c r="F164" s="2" t="s">
        <v>5</v>
      </c>
      <c r="G164" s="2" t="s">
        <v>22</v>
      </c>
      <c r="H164" s="2" t="s">
        <v>43</v>
      </c>
      <c r="I164" s="2" t="s">
        <v>142</v>
      </c>
      <c r="J164" s="2" t="s">
        <v>1554</v>
      </c>
      <c r="K164" s="2" t="s">
        <v>17</v>
      </c>
      <c r="L164" s="2" t="s">
        <v>26</v>
      </c>
      <c r="M164" s="2" t="s">
        <v>47</v>
      </c>
      <c r="N164" s="2" t="s">
        <v>1555</v>
      </c>
      <c r="O164" s="2" t="s">
        <v>17</v>
      </c>
      <c r="P164" s="2" t="s">
        <v>36</v>
      </c>
      <c r="Q164" s="2" t="s">
        <v>17</v>
      </c>
    </row>
    <row r="165" spans="1:17" hidden="1">
      <c r="A165" s="2">
        <v>13008</v>
      </c>
      <c r="B165" s="2" t="s">
        <v>1156</v>
      </c>
      <c r="C165" s="2" t="s">
        <v>1156</v>
      </c>
      <c r="D165" s="3">
        <v>46133.638888888891</v>
      </c>
      <c r="E165" s="2" t="s">
        <v>21</v>
      </c>
      <c r="F165" s="2" t="s">
        <v>5</v>
      </c>
      <c r="G165" s="2" t="s">
        <v>22</v>
      </c>
      <c r="H165" s="2" t="s">
        <v>23</v>
      </c>
      <c r="I165" s="2" t="s">
        <v>245</v>
      </c>
      <c r="J165" s="2" t="s">
        <v>193</v>
      </c>
      <c r="K165" s="2" t="s">
        <v>1157</v>
      </c>
      <c r="L165" s="2" t="s">
        <v>54</v>
      </c>
      <c r="M165" s="2" t="s">
        <v>27</v>
      </c>
      <c r="N165" s="2" t="s">
        <v>1158</v>
      </c>
      <c r="O165" s="2" t="s">
        <v>17</v>
      </c>
      <c r="P165" s="2" t="s">
        <v>29</v>
      </c>
      <c r="Q165" s="2" t="s">
        <v>17</v>
      </c>
    </row>
    <row r="166" spans="1:17" hidden="1">
      <c r="A166" s="2">
        <v>12363</v>
      </c>
      <c r="B166" s="2" t="s">
        <v>238</v>
      </c>
      <c r="C166" s="2" t="s">
        <v>238</v>
      </c>
      <c r="D166" s="3">
        <v>46115.711111111115</v>
      </c>
      <c r="E166" s="2" t="s">
        <v>21</v>
      </c>
      <c r="F166" s="2" t="s">
        <v>5</v>
      </c>
      <c r="G166" s="2" t="s">
        <v>22</v>
      </c>
      <c r="H166" s="2" t="s">
        <v>43</v>
      </c>
      <c r="I166" s="2" t="s">
        <v>239</v>
      </c>
      <c r="J166" s="2" t="s">
        <v>240</v>
      </c>
      <c r="K166" s="2" t="s">
        <v>241</v>
      </c>
      <c r="L166" s="2" t="s">
        <v>26</v>
      </c>
      <c r="M166" s="2" t="s">
        <v>47</v>
      </c>
      <c r="N166" s="2" t="s">
        <v>242</v>
      </c>
      <c r="O166" s="2" t="s">
        <v>17</v>
      </c>
      <c r="P166" s="2" t="s">
        <v>101</v>
      </c>
      <c r="Q166" s="2" t="s">
        <v>17</v>
      </c>
    </row>
    <row r="167" spans="1:17" hidden="1">
      <c r="A167" s="2">
        <v>12354</v>
      </c>
      <c r="B167" s="2" t="s">
        <v>229</v>
      </c>
      <c r="C167" s="2" t="s">
        <v>229</v>
      </c>
      <c r="D167" s="3">
        <v>46115.520833333328</v>
      </c>
      <c r="E167" s="2" t="s">
        <v>57</v>
      </c>
      <c r="F167" s="2" t="s">
        <v>230</v>
      </c>
      <c r="G167" s="2" t="s">
        <v>18</v>
      </c>
      <c r="H167" s="2" t="s">
        <v>17</v>
      </c>
      <c r="I167" s="2" t="s">
        <v>17</v>
      </c>
      <c r="J167" s="2" t="s">
        <v>17</v>
      </c>
      <c r="K167" s="2" t="s">
        <v>17</v>
      </c>
      <c r="L167" s="2" t="s">
        <v>17</v>
      </c>
      <c r="M167" s="2" t="s">
        <v>27</v>
      </c>
      <c r="N167" s="2" t="s">
        <v>231</v>
      </c>
      <c r="O167" s="2" t="s">
        <v>126</v>
      </c>
      <c r="P167" s="2" t="s">
        <v>127</v>
      </c>
      <c r="Q167" s="2" t="s">
        <v>17</v>
      </c>
    </row>
    <row r="168" spans="1:17" hidden="1">
      <c r="A168" s="2">
        <v>12290</v>
      </c>
      <c r="B168" s="2" t="s">
        <v>136</v>
      </c>
      <c r="C168" s="2" t="s">
        <v>137</v>
      </c>
      <c r="D168" s="3">
        <v>46114.680555555555</v>
      </c>
      <c r="E168" s="2" t="s">
        <v>57</v>
      </c>
      <c r="F168" s="2" t="s">
        <v>5</v>
      </c>
      <c r="G168" s="2" t="s">
        <v>18</v>
      </c>
      <c r="H168" s="2" t="s">
        <v>23</v>
      </c>
      <c r="I168" s="2" t="s">
        <v>88</v>
      </c>
      <c r="J168" s="2" t="s">
        <v>138</v>
      </c>
      <c r="K168" s="2" t="s">
        <v>139</v>
      </c>
      <c r="L168" s="2" t="s">
        <v>26</v>
      </c>
      <c r="M168" s="2" t="s">
        <v>27</v>
      </c>
      <c r="N168" s="2" t="s">
        <v>140</v>
      </c>
      <c r="O168" s="2" t="s">
        <v>78</v>
      </c>
      <c r="P168" s="2" t="s">
        <v>36</v>
      </c>
      <c r="Q168" s="2" t="s">
        <v>17</v>
      </c>
    </row>
    <row r="169" spans="1:17" hidden="1">
      <c r="A169" s="2">
        <v>12251</v>
      </c>
      <c r="B169" s="2" t="s">
        <v>86</v>
      </c>
      <c r="C169" s="2" t="s">
        <v>87</v>
      </c>
      <c r="D169" s="3">
        <v>46113.915277777778</v>
      </c>
      <c r="E169" s="2" t="s">
        <v>57</v>
      </c>
      <c r="F169" s="2" t="s">
        <v>5</v>
      </c>
      <c r="G169" s="2" t="s">
        <v>18</v>
      </c>
      <c r="H169" s="2" t="s">
        <v>23</v>
      </c>
      <c r="I169" s="2" t="s">
        <v>88</v>
      </c>
      <c r="J169" s="2" t="s">
        <v>89</v>
      </c>
      <c r="K169" s="2" t="s">
        <v>90</v>
      </c>
      <c r="L169" s="2" t="s">
        <v>26</v>
      </c>
      <c r="M169" s="2" t="s">
        <v>27</v>
      </c>
      <c r="N169" s="2" t="s">
        <v>91</v>
      </c>
      <c r="O169" s="2" t="s">
        <v>78</v>
      </c>
      <c r="P169" s="2" t="s">
        <v>36</v>
      </c>
      <c r="Q169" s="2" t="s">
        <v>17</v>
      </c>
    </row>
    <row r="170" spans="1:17" hidden="1">
      <c r="A170" s="2">
        <v>12520</v>
      </c>
      <c r="B170" s="2" t="s">
        <v>526</v>
      </c>
      <c r="C170" s="2" t="s">
        <v>526</v>
      </c>
      <c r="D170" s="3">
        <v>46120.418749999997</v>
      </c>
      <c r="E170" s="2" t="s">
        <v>57</v>
      </c>
      <c r="F170" s="2" t="s">
        <v>5</v>
      </c>
      <c r="G170" s="2" t="s">
        <v>22</v>
      </c>
      <c r="H170" s="2" t="s">
        <v>235</v>
      </c>
      <c r="I170" s="2" t="s">
        <v>88</v>
      </c>
      <c r="J170" s="2" t="s">
        <v>527</v>
      </c>
      <c r="K170" s="2" t="s">
        <v>528</v>
      </c>
      <c r="L170" s="2" t="s">
        <v>26</v>
      </c>
      <c r="M170" s="2" t="s">
        <v>27</v>
      </c>
      <c r="N170" s="2" t="s">
        <v>529</v>
      </c>
      <c r="O170" s="2" t="s">
        <v>78</v>
      </c>
      <c r="P170" s="2" t="s">
        <v>36</v>
      </c>
      <c r="Q170" s="2" t="s">
        <v>17</v>
      </c>
    </row>
    <row r="171" spans="1:17" hidden="1">
      <c r="A171" s="2">
        <v>12861</v>
      </c>
      <c r="B171" s="2" t="s">
        <v>968</v>
      </c>
      <c r="C171" s="2" t="s">
        <v>968</v>
      </c>
      <c r="D171" s="3">
        <v>46129.673611111109</v>
      </c>
      <c r="E171" s="2" t="s">
        <v>900</v>
      </c>
      <c r="F171" s="2" t="s">
        <v>5</v>
      </c>
      <c r="G171" s="2" t="s">
        <v>22</v>
      </c>
      <c r="H171" s="2" t="s">
        <v>43</v>
      </c>
      <c r="I171" s="2" t="s">
        <v>969</v>
      </c>
      <c r="J171" s="2" t="s">
        <v>970</v>
      </c>
      <c r="K171" s="2" t="s">
        <v>971</v>
      </c>
      <c r="L171" s="2" t="s">
        <v>26</v>
      </c>
      <c r="M171" s="2" t="s">
        <v>47</v>
      </c>
      <c r="N171" s="2" t="s">
        <v>972</v>
      </c>
      <c r="O171" s="2" t="s">
        <v>17</v>
      </c>
      <c r="P171" s="2" t="s">
        <v>36</v>
      </c>
      <c r="Q171" s="2" t="s">
        <v>17</v>
      </c>
    </row>
    <row r="172" spans="1:17" hidden="1">
      <c r="A172" s="2">
        <v>13326</v>
      </c>
      <c r="B172" s="2" t="s">
        <v>1558</v>
      </c>
      <c r="C172" s="2" t="s">
        <v>1558</v>
      </c>
      <c r="D172" s="3">
        <v>46141.015277777777</v>
      </c>
      <c r="E172" s="2" t="s">
        <v>57</v>
      </c>
      <c r="F172" s="2" t="s">
        <v>17</v>
      </c>
      <c r="G172" s="2" t="s">
        <v>18</v>
      </c>
      <c r="H172" s="2" t="s">
        <v>17</v>
      </c>
      <c r="I172" s="2" t="s">
        <v>17</v>
      </c>
      <c r="J172" s="2" t="s">
        <v>17</v>
      </c>
      <c r="K172" s="2" t="s">
        <v>17</v>
      </c>
      <c r="L172" s="2" t="s">
        <v>17</v>
      </c>
      <c r="M172" s="2" t="s">
        <v>19</v>
      </c>
      <c r="N172" s="2" t="s">
        <v>1559</v>
      </c>
      <c r="O172" s="2" t="s">
        <v>284</v>
      </c>
      <c r="P172" s="2" t="s">
        <v>17</v>
      </c>
      <c r="Q172" s="2" t="s">
        <v>17</v>
      </c>
    </row>
    <row r="173" spans="1:17" hidden="1">
      <c r="A173" s="2">
        <v>12429</v>
      </c>
      <c r="B173" s="2" t="s">
        <v>411</v>
      </c>
      <c r="C173" s="2" t="s">
        <v>411</v>
      </c>
      <c r="D173" s="3">
        <v>46118.602777777778</v>
      </c>
      <c r="E173" s="2" t="s">
        <v>21</v>
      </c>
      <c r="F173" s="2" t="s">
        <v>5</v>
      </c>
      <c r="G173" s="2" t="s">
        <v>22</v>
      </c>
      <c r="H173" s="2" t="s">
        <v>43</v>
      </c>
      <c r="I173" s="2" t="s">
        <v>44</v>
      </c>
      <c r="J173" s="2" t="s">
        <v>251</v>
      </c>
      <c r="K173" s="2" t="s">
        <v>412</v>
      </c>
      <c r="L173" s="2" t="s">
        <v>26</v>
      </c>
      <c r="M173" s="2" t="s">
        <v>47</v>
      </c>
      <c r="N173" s="2" t="s">
        <v>413</v>
      </c>
      <c r="O173" s="2" t="s">
        <v>17</v>
      </c>
      <c r="P173" s="2" t="s">
        <v>101</v>
      </c>
      <c r="Q173" s="2" t="s">
        <v>17</v>
      </c>
    </row>
    <row r="174" spans="1:17" hidden="1">
      <c r="A174" s="2">
        <v>12470</v>
      </c>
      <c r="B174" s="2" t="s">
        <v>487</v>
      </c>
      <c r="C174" s="2" t="s">
        <v>487</v>
      </c>
      <c r="D174" s="3">
        <v>46119.458333333328</v>
      </c>
      <c r="E174" s="2" t="s">
        <v>167</v>
      </c>
      <c r="F174" s="2" t="s">
        <v>17</v>
      </c>
      <c r="G174" s="2" t="s">
        <v>22</v>
      </c>
      <c r="H174" s="2" t="s">
        <v>488</v>
      </c>
      <c r="I174" s="2" t="s">
        <v>489</v>
      </c>
      <c r="J174" s="2" t="s">
        <v>490</v>
      </c>
      <c r="K174" s="2" t="s">
        <v>491</v>
      </c>
      <c r="L174" s="2" t="s">
        <v>26</v>
      </c>
      <c r="M174" s="2" t="s">
        <v>47</v>
      </c>
      <c r="N174" s="2" t="s">
        <v>492</v>
      </c>
      <c r="O174" s="2" t="s">
        <v>17</v>
      </c>
      <c r="P174" s="2" t="s">
        <v>493</v>
      </c>
      <c r="Q174" s="2" t="s">
        <v>17</v>
      </c>
    </row>
    <row r="175" spans="1:17" hidden="1">
      <c r="A175" s="2">
        <v>12756</v>
      </c>
      <c r="B175" s="2" t="s">
        <v>869</v>
      </c>
      <c r="C175" s="2" t="s">
        <v>869</v>
      </c>
      <c r="D175" s="3">
        <v>46126.833333333328</v>
      </c>
      <c r="E175" s="2" t="s">
        <v>16</v>
      </c>
      <c r="F175" s="2" t="s">
        <v>230</v>
      </c>
      <c r="G175" s="2" t="s">
        <v>308</v>
      </c>
      <c r="H175" s="2" t="s">
        <v>235</v>
      </c>
      <c r="I175" s="2" t="s">
        <v>870</v>
      </c>
      <c r="J175" s="2" t="s">
        <v>17</v>
      </c>
      <c r="K175" s="2" t="s">
        <v>17</v>
      </c>
      <c r="L175" s="2" t="s">
        <v>17</v>
      </c>
      <c r="M175" s="2" t="s">
        <v>27</v>
      </c>
      <c r="N175" s="2" t="s">
        <v>871</v>
      </c>
      <c r="O175" s="2" t="s">
        <v>17</v>
      </c>
      <c r="P175" s="2" t="s">
        <v>127</v>
      </c>
      <c r="Q175" s="2" t="s">
        <v>17</v>
      </c>
    </row>
    <row r="176" spans="1:17" hidden="1">
      <c r="A176" s="2">
        <v>12923</v>
      </c>
      <c r="B176" s="2" t="s">
        <v>1067</v>
      </c>
      <c r="C176" s="2" t="s">
        <v>1068</v>
      </c>
      <c r="D176" s="3">
        <v>46131.925000000003</v>
      </c>
      <c r="E176" s="2" t="s">
        <v>21</v>
      </c>
      <c r="F176" s="2" t="s">
        <v>5</v>
      </c>
      <c r="G176" s="2" t="s">
        <v>18</v>
      </c>
      <c r="H176" s="2" t="s">
        <v>23</v>
      </c>
      <c r="I176" s="2" t="s">
        <v>88</v>
      </c>
      <c r="J176" s="2" t="s">
        <v>1069</v>
      </c>
      <c r="K176" s="2" t="s">
        <v>1070</v>
      </c>
      <c r="L176" s="2" t="s">
        <v>26</v>
      </c>
      <c r="M176" s="2" t="s">
        <v>27</v>
      </c>
      <c r="N176" s="2" t="s">
        <v>1071</v>
      </c>
      <c r="O176" s="2" t="s">
        <v>17</v>
      </c>
      <c r="P176" s="2" t="s">
        <v>36</v>
      </c>
      <c r="Q176" s="2" t="s">
        <v>17</v>
      </c>
    </row>
    <row r="177" spans="1:17" hidden="1">
      <c r="A177" s="2">
        <v>12627</v>
      </c>
      <c r="B177" s="2" t="s">
        <v>653</v>
      </c>
      <c r="C177" s="2" t="s">
        <v>653</v>
      </c>
      <c r="D177" s="3">
        <v>46122.707638888889</v>
      </c>
      <c r="E177" s="2" t="s">
        <v>21</v>
      </c>
      <c r="F177" s="2" t="s">
        <v>5</v>
      </c>
      <c r="G177" s="2" t="s">
        <v>80</v>
      </c>
      <c r="H177" s="2" t="s">
        <v>23</v>
      </c>
      <c r="I177" s="2" t="s">
        <v>98</v>
      </c>
      <c r="J177" s="2" t="s">
        <v>654</v>
      </c>
      <c r="K177" s="2" t="s">
        <v>655</v>
      </c>
      <c r="L177" s="2" t="s">
        <v>100</v>
      </c>
      <c r="M177" s="2" t="s">
        <v>27</v>
      </c>
      <c r="N177" s="2" t="s">
        <v>656</v>
      </c>
      <c r="O177" s="2" t="s">
        <v>17</v>
      </c>
      <c r="P177" s="2" t="s">
        <v>29</v>
      </c>
      <c r="Q177" s="2" t="s">
        <v>17</v>
      </c>
    </row>
    <row r="178" spans="1:17" hidden="1">
      <c r="A178" s="2">
        <v>13077</v>
      </c>
      <c r="B178" s="2" t="s">
        <v>1261</v>
      </c>
      <c r="C178" s="2" t="s">
        <v>1262</v>
      </c>
      <c r="D178" s="3">
        <v>46135.057638888888</v>
      </c>
      <c r="E178" s="2" t="s">
        <v>905</v>
      </c>
      <c r="F178" s="2" t="s">
        <v>5</v>
      </c>
      <c r="G178" s="2" t="s">
        <v>18</v>
      </c>
      <c r="H178" s="2" t="s">
        <v>23</v>
      </c>
      <c r="I178" s="2" t="s">
        <v>88</v>
      </c>
      <c r="J178" s="2" t="s">
        <v>1263</v>
      </c>
      <c r="K178" s="2" t="s">
        <v>1264</v>
      </c>
      <c r="L178" s="2" t="s">
        <v>26</v>
      </c>
      <c r="M178" s="2" t="s">
        <v>27</v>
      </c>
      <c r="N178" s="2" t="s">
        <v>1265</v>
      </c>
      <c r="O178" s="2" t="s">
        <v>17</v>
      </c>
      <c r="P178" s="2" t="s">
        <v>1201</v>
      </c>
      <c r="Q178" s="2" t="s">
        <v>17</v>
      </c>
    </row>
    <row r="179" spans="1:17" hidden="1">
      <c r="A179" s="2">
        <v>13036</v>
      </c>
      <c r="B179" s="2" t="s">
        <v>1185</v>
      </c>
      <c r="C179" s="2" t="s">
        <v>1185</v>
      </c>
      <c r="D179" s="3">
        <v>46134.033333333333</v>
      </c>
      <c r="E179" s="2" t="s">
        <v>1186</v>
      </c>
      <c r="F179" s="2" t="s">
        <v>17</v>
      </c>
      <c r="G179" s="2" t="s">
        <v>80</v>
      </c>
      <c r="H179" s="2" t="s">
        <v>235</v>
      </c>
      <c r="I179" s="2" t="s">
        <v>256</v>
      </c>
      <c r="J179" s="2" t="s">
        <v>246</v>
      </c>
      <c r="K179" s="2" t="s">
        <v>1187</v>
      </c>
      <c r="L179" s="2" t="s">
        <v>26</v>
      </c>
      <c r="M179" s="2" t="s">
        <v>27</v>
      </c>
      <c r="N179" s="2" t="s">
        <v>1188</v>
      </c>
      <c r="O179" s="2" t="s">
        <v>17</v>
      </c>
      <c r="P179" s="2" t="s">
        <v>101</v>
      </c>
      <c r="Q179" s="2" t="s">
        <v>17</v>
      </c>
    </row>
    <row r="180" spans="1:17" hidden="1">
      <c r="A180" s="2">
        <v>13209</v>
      </c>
      <c r="B180" s="2" t="s">
        <v>1393</v>
      </c>
      <c r="C180" s="2" t="s">
        <v>1393</v>
      </c>
      <c r="D180" s="3">
        <v>46138.233333333337</v>
      </c>
      <c r="E180" s="2" t="s">
        <v>647</v>
      </c>
      <c r="F180" s="2" t="s">
        <v>5</v>
      </c>
      <c r="G180" s="2" t="s">
        <v>80</v>
      </c>
      <c r="H180" s="2" t="s">
        <v>23</v>
      </c>
      <c r="I180" s="2" t="s">
        <v>81</v>
      </c>
      <c r="J180" s="2" t="s">
        <v>1394</v>
      </c>
      <c r="K180" s="2" t="s">
        <v>1395</v>
      </c>
      <c r="L180" s="2" t="s">
        <v>84</v>
      </c>
      <c r="M180" s="2" t="s">
        <v>27</v>
      </c>
      <c r="N180" s="2" t="s">
        <v>1396</v>
      </c>
      <c r="O180" s="2" t="s">
        <v>17</v>
      </c>
      <c r="P180" s="2" t="s">
        <v>36</v>
      </c>
      <c r="Q180" s="2" t="s">
        <v>17</v>
      </c>
    </row>
    <row r="181" spans="1:17" hidden="1">
      <c r="A181" s="2">
        <v>13192</v>
      </c>
      <c r="B181" s="2" t="s">
        <v>1356</v>
      </c>
      <c r="C181" s="2" t="s">
        <v>1356</v>
      </c>
      <c r="D181" s="3">
        <v>46137.472222222219</v>
      </c>
      <c r="E181" s="2" t="s">
        <v>1324</v>
      </c>
      <c r="F181" s="2" t="s">
        <v>17</v>
      </c>
      <c r="G181" s="2" t="s">
        <v>80</v>
      </c>
      <c r="H181" s="2" t="s">
        <v>235</v>
      </c>
      <c r="I181" s="2" t="s">
        <v>159</v>
      </c>
      <c r="J181" s="2" t="s">
        <v>1357</v>
      </c>
      <c r="K181" s="2" t="s">
        <v>1358</v>
      </c>
      <c r="L181" s="2" t="s">
        <v>26</v>
      </c>
      <c r="M181" s="2" t="s">
        <v>27</v>
      </c>
      <c r="N181" s="2" t="s">
        <v>1359</v>
      </c>
      <c r="O181" s="2" t="s">
        <v>17</v>
      </c>
      <c r="P181" s="2" t="s">
        <v>97</v>
      </c>
      <c r="Q181" s="2" t="s">
        <v>17</v>
      </c>
    </row>
    <row r="182" spans="1:17" hidden="1">
      <c r="A182" s="2">
        <v>13184</v>
      </c>
      <c r="B182" s="2" t="s">
        <v>1346</v>
      </c>
      <c r="C182" s="2" t="s">
        <v>1346</v>
      </c>
      <c r="D182" s="3">
        <v>46137.120833333334</v>
      </c>
      <c r="E182" s="2" t="s">
        <v>1186</v>
      </c>
      <c r="F182" s="2" t="s">
        <v>17</v>
      </c>
      <c r="G182" s="2" t="s">
        <v>80</v>
      </c>
      <c r="H182" s="2" t="s">
        <v>23</v>
      </c>
      <c r="I182" s="2" t="s">
        <v>81</v>
      </c>
      <c r="J182" s="2" t="s">
        <v>1347</v>
      </c>
      <c r="K182" s="2" t="s">
        <v>1348</v>
      </c>
      <c r="L182" s="2" t="s">
        <v>84</v>
      </c>
      <c r="M182" s="2" t="s">
        <v>27</v>
      </c>
      <c r="N182" s="2" t="s">
        <v>1349</v>
      </c>
      <c r="O182" s="2" t="s">
        <v>17</v>
      </c>
      <c r="P182" s="2" t="s">
        <v>36</v>
      </c>
      <c r="Q182" s="2" t="s">
        <v>17</v>
      </c>
    </row>
    <row r="183" spans="1:17" hidden="1">
      <c r="A183" s="2">
        <v>12674</v>
      </c>
      <c r="B183" s="2" t="s">
        <v>774</v>
      </c>
      <c r="C183" s="2" t="s">
        <v>775</v>
      </c>
      <c r="D183" s="3">
        <v>46124.665277777778</v>
      </c>
      <c r="E183" s="2" t="s">
        <v>21</v>
      </c>
      <c r="F183" s="2" t="s">
        <v>5</v>
      </c>
      <c r="G183" s="2" t="s">
        <v>18</v>
      </c>
      <c r="H183" s="2" t="s">
        <v>23</v>
      </c>
      <c r="I183" s="2" t="s">
        <v>776</v>
      </c>
      <c r="J183" s="2" t="s">
        <v>324</v>
      </c>
      <c r="K183" s="2" t="s">
        <v>17</v>
      </c>
      <c r="L183" s="2" t="s">
        <v>26</v>
      </c>
      <c r="M183" s="2" t="s">
        <v>27</v>
      </c>
      <c r="N183" s="2" t="s">
        <v>777</v>
      </c>
      <c r="O183" s="2" t="s">
        <v>17</v>
      </c>
      <c r="P183" s="2" t="s">
        <v>29</v>
      </c>
      <c r="Q183" s="2" t="s">
        <v>17</v>
      </c>
    </row>
    <row r="184" spans="1:17" hidden="1">
      <c r="A184" s="2">
        <v>12649</v>
      </c>
      <c r="B184" s="2" t="s">
        <v>704</v>
      </c>
      <c r="C184" s="2" t="s">
        <v>704</v>
      </c>
      <c r="D184" s="3">
        <v>46123.565972222219</v>
      </c>
      <c r="E184" s="2" t="s">
        <v>167</v>
      </c>
      <c r="F184" s="2" t="s">
        <v>5</v>
      </c>
      <c r="G184" s="2" t="s">
        <v>18</v>
      </c>
      <c r="H184" s="2" t="s">
        <v>168</v>
      </c>
      <c r="I184" s="2" t="s">
        <v>148</v>
      </c>
      <c r="J184" s="2" t="s">
        <v>705</v>
      </c>
      <c r="K184" s="2" t="s">
        <v>706</v>
      </c>
      <c r="L184" s="2" t="s">
        <v>26</v>
      </c>
      <c r="M184" s="2" t="s">
        <v>47</v>
      </c>
      <c r="N184" s="2" t="s">
        <v>707</v>
      </c>
      <c r="O184" s="2" t="s">
        <v>17</v>
      </c>
      <c r="P184" s="2" t="s">
        <v>36</v>
      </c>
      <c r="Q184" s="2" t="s">
        <v>17</v>
      </c>
    </row>
    <row r="185" spans="1:17" hidden="1">
      <c r="A185" s="2">
        <v>12445</v>
      </c>
      <c r="B185" s="2" t="s">
        <v>430</v>
      </c>
      <c r="C185" s="2" t="s">
        <v>431</v>
      </c>
      <c r="D185" s="3">
        <v>46118.852083333331</v>
      </c>
      <c r="E185" s="2" t="s">
        <v>57</v>
      </c>
      <c r="F185" s="2" t="s">
        <v>5</v>
      </c>
      <c r="G185" s="2" t="s">
        <v>18</v>
      </c>
      <c r="H185" s="2" t="s">
        <v>23</v>
      </c>
      <c r="I185" s="2" t="s">
        <v>88</v>
      </c>
      <c r="J185" s="2" t="s">
        <v>432</v>
      </c>
      <c r="K185" s="2" t="s">
        <v>433</v>
      </c>
      <c r="L185" s="2" t="s">
        <v>26</v>
      </c>
      <c r="M185" s="2" t="s">
        <v>27</v>
      </c>
      <c r="N185" s="2" t="s">
        <v>434</v>
      </c>
      <c r="O185" s="2" t="s">
        <v>62</v>
      </c>
      <c r="P185" s="2" t="s">
        <v>36</v>
      </c>
      <c r="Q185" s="2" t="s">
        <v>17</v>
      </c>
    </row>
    <row r="186" spans="1:17" hidden="1">
      <c r="A186" s="2">
        <v>13106</v>
      </c>
      <c r="B186" s="2" t="s">
        <v>1283</v>
      </c>
      <c r="C186" s="2" t="s">
        <v>1284</v>
      </c>
      <c r="D186" s="3">
        <v>46135.559027777781</v>
      </c>
      <c r="E186" s="2" t="s">
        <v>21</v>
      </c>
      <c r="F186" s="2" t="s">
        <v>5</v>
      </c>
      <c r="G186" s="2" t="s">
        <v>18</v>
      </c>
      <c r="H186" s="2" t="s">
        <v>23</v>
      </c>
      <c r="I186" s="2" t="s">
        <v>88</v>
      </c>
      <c r="J186" s="2" t="s">
        <v>1285</v>
      </c>
      <c r="K186" s="2" t="s">
        <v>1286</v>
      </c>
      <c r="L186" s="2" t="s">
        <v>26</v>
      </c>
      <c r="M186" s="2" t="s">
        <v>27</v>
      </c>
      <c r="N186" s="2" t="s">
        <v>1287</v>
      </c>
      <c r="O186" s="2" t="s">
        <v>17</v>
      </c>
      <c r="P186" s="2" t="s">
        <v>36</v>
      </c>
      <c r="Q186" s="2" t="s">
        <v>17</v>
      </c>
    </row>
    <row r="187" spans="1:17" hidden="1">
      <c r="A187" s="2">
        <v>13071</v>
      </c>
      <c r="B187" s="2" t="s">
        <v>1250</v>
      </c>
      <c r="C187" s="2" t="s">
        <v>1250</v>
      </c>
      <c r="D187" s="3">
        <v>46134.9375</v>
      </c>
      <c r="E187" s="2" t="s">
        <v>21</v>
      </c>
      <c r="F187" s="2" t="s">
        <v>5</v>
      </c>
      <c r="G187" s="2" t="s">
        <v>80</v>
      </c>
      <c r="H187" s="2" t="s">
        <v>244</v>
      </c>
      <c r="I187" s="2" t="s">
        <v>1013</v>
      </c>
      <c r="J187" s="2" t="s">
        <v>17</v>
      </c>
      <c r="K187" s="2" t="s">
        <v>17</v>
      </c>
      <c r="L187" s="2" t="s">
        <v>26</v>
      </c>
      <c r="M187" s="2" t="s">
        <v>27</v>
      </c>
      <c r="N187" s="2" t="s">
        <v>1251</v>
      </c>
      <c r="O187" s="2" t="s">
        <v>17</v>
      </c>
      <c r="P187" s="2" t="s">
        <v>127</v>
      </c>
      <c r="Q187" s="2" t="s">
        <v>17</v>
      </c>
    </row>
    <row r="188" spans="1:17" hidden="1">
      <c r="A188" s="2">
        <v>12625</v>
      </c>
      <c r="B188" s="2" t="s">
        <v>651</v>
      </c>
      <c r="C188" s="2" t="s">
        <v>651</v>
      </c>
      <c r="D188" s="3">
        <v>46122.702083333337</v>
      </c>
      <c r="E188" s="2" t="s">
        <v>57</v>
      </c>
      <c r="F188" s="2" t="s">
        <v>5</v>
      </c>
      <c r="G188" s="2" t="s">
        <v>18</v>
      </c>
      <c r="H188" s="2" t="s">
        <v>23</v>
      </c>
      <c r="I188" s="2" t="s">
        <v>110</v>
      </c>
      <c r="J188" s="2" t="s">
        <v>324</v>
      </c>
      <c r="K188" s="2" t="s">
        <v>17</v>
      </c>
      <c r="L188" s="2" t="s">
        <v>26</v>
      </c>
      <c r="M188" s="2" t="s">
        <v>27</v>
      </c>
      <c r="N188" s="2" t="s">
        <v>652</v>
      </c>
      <c r="O188" s="2" t="s">
        <v>126</v>
      </c>
      <c r="P188" s="2" t="s">
        <v>29</v>
      </c>
      <c r="Q188" s="2" t="s">
        <v>17</v>
      </c>
    </row>
    <row r="189" spans="1:17" hidden="1">
      <c r="A189" s="2">
        <v>12552</v>
      </c>
      <c r="B189" s="2" t="s">
        <v>552</v>
      </c>
      <c r="C189" s="2" t="s">
        <v>552</v>
      </c>
      <c r="D189" s="3">
        <v>46120.762499999997</v>
      </c>
      <c r="E189" s="2" t="s">
        <v>57</v>
      </c>
      <c r="F189" s="2" t="s">
        <v>17</v>
      </c>
      <c r="G189" s="2" t="s">
        <v>80</v>
      </c>
      <c r="H189" s="2" t="s">
        <v>23</v>
      </c>
      <c r="I189" s="2" t="s">
        <v>98</v>
      </c>
      <c r="J189" s="2" t="s">
        <v>553</v>
      </c>
      <c r="K189" s="2" t="s">
        <v>66</v>
      </c>
      <c r="L189" s="2" t="s">
        <v>100</v>
      </c>
      <c r="M189" s="2" t="s">
        <v>27</v>
      </c>
      <c r="N189" s="2" t="s">
        <v>554</v>
      </c>
      <c r="O189" s="2" t="s">
        <v>78</v>
      </c>
      <c r="P189" s="2" t="s">
        <v>36</v>
      </c>
      <c r="Q189" s="2" t="s">
        <v>17</v>
      </c>
    </row>
    <row r="190" spans="1:17" hidden="1">
      <c r="A190" s="2">
        <v>13252</v>
      </c>
      <c r="B190" s="2" t="s">
        <v>1479</v>
      </c>
      <c r="C190" s="2" t="s">
        <v>1479</v>
      </c>
      <c r="D190" s="3">
        <v>46139.663888888885</v>
      </c>
      <c r="E190" s="2" t="s">
        <v>57</v>
      </c>
      <c r="F190" s="2" t="s">
        <v>17</v>
      </c>
      <c r="G190" s="2" t="s">
        <v>22</v>
      </c>
      <c r="H190" s="2" t="s">
        <v>235</v>
      </c>
      <c r="I190" s="2" t="s">
        <v>1423</v>
      </c>
      <c r="J190" s="2" t="s">
        <v>449</v>
      </c>
      <c r="K190" s="2" t="s">
        <v>1480</v>
      </c>
      <c r="L190" s="2" t="s">
        <v>26</v>
      </c>
      <c r="M190" s="2" t="s">
        <v>27</v>
      </c>
      <c r="N190" s="2" t="s">
        <v>1481</v>
      </c>
      <c r="O190" s="2" t="s">
        <v>126</v>
      </c>
      <c r="P190" s="2" t="s">
        <v>101</v>
      </c>
      <c r="Q190" s="2" t="s">
        <v>17</v>
      </c>
    </row>
    <row r="191" spans="1:17" hidden="1">
      <c r="A191" s="2">
        <v>12716</v>
      </c>
      <c r="B191" s="2" t="s">
        <v>814</v>
      </c>
      <c r="C191" s="2" t="s">
        <v>815</v>
      </c>
      <c r="D191" s="3">
        <v>46125.923611111109</v>
      </c>
      <c r="E191" s="2" t="s">
        <v>57</v>
      </c>
      <c r="F191" s="2" t="s">
        <v>5</v>
      </c>
      <c r="G191" s="2" t="s">
        <v>18</v>
      </c>
      <c r="H191" s="2" t="s">
        <v>23</v>
      </c>
      <c r="I191" s="2" t="s">
        <v>88</v>
      </c>
      <c r="J191" s="2" t="s">
        <v>324</v>
      </c>
      <c r="K191" s="2" t="s">
        <v>17</v>
      </c>
      <c r="L191" s="2" t="s">
        <v>26</v>
      </c>
      <c r="M191" s="2" t="s">
        <v>27</v>
      </c>
      <c r="N191" s="2" t="s">
        <v>816</v>
      </c>
      <c r="O191" s="2" t="s">
        <v>107</v>
      </c>
      <c r="P191" s="2" t="s">
        <v>29</v>
      </c>
      <c r="Q191" s="2" t="s">
        <v>17</v>
      </c>
    </row>
    <row r="192" spans="1:17" hidden="1">
      <c r="A192" s="2">
        <v>13349</v>
      </c>
      <c r="B192" s="2" t="s">
        <v>1582</v>
      </c>
      <c r="C192" s="2" t="s">
        <v>1582</v>
      </c>
      <c r="D192" s="3">
        <v>46141.754166666666</v>
      </c>
      <c r="E192" s="2" t="s">
        <v>1324</v>
      </c>
      <c r="F192" s="2" t="s">
        <v>5</v>
      </c>
      <c r="G192" s="2" t="s">
        <v>80</v>
      </c>
      <c r="H192" s="2" t="s">
        <v>23</v>
      </c>
      <c r="I192" s="2" t="s">
        <v>98</v>
      </c>
      <c r="J192" s="2" t="s">
        <v>1583</v>
      </c>
      <c r="K192" s="2" t="s">
        <v>1584</v>
      </c>
      <c r="L192" s="2" t="s">
        <v>100</v>
      </c>
      <c r="M192" s="2" t="s">
        <v>27</v>
      </c>
      <c r="N192" s="2" t="s">
        <v>1585</v>
      </c>
      <c r="O192" s="2" t="s">
        <v>17</v>
      </c>
      <c r="P192" s="2" t="s">
        <v>36</v>
      </c>
      <c r="Q192" s="2" t="s">
        <v>17</v>
      </c>
    </row>
    <row r="193" spans="1:17" hidden="1">
      <c r="A193" s="2">
        <v>12391</v>
      </c>
      <c r="B193" s="2" t="s">
        <v>331</v>
      </c>
      <c r="C193" s="2" t="s">
        <v>331</v>
      </c>
      <c r="D193" s="3">
        <v>46117.031944444447</v>
      </c>
      <c r="E193" s="2" t="s">
        <v>57</v>
      </c>
      <c r="F193" s="2" t="s">
        <v>5</v>
      </c>
      <c r="G193" s="2" t="s">
        <v>18</v>
      </c>
      <c r="H193" s="2" t="s">
        <v>23</v>
      </c>
      <c r="I193" s="2" t="s">
        <v>88</v>
      </c>
      <c r="J193" s="2" t="s">
        <v>332</v>
      </c>
      <c r="K193" s="2" t="s">
        <v>333</v>
      </c>
      <c r="L193" s="2" t="s">
        <v>26</v>
      </c>
      <c r="M193" s="2" t="s">
        <v>27</v>
      </c>
      <c r="N193" s="2" t="s">
        <v>334</v>
      </c>
      <c r="O193" s="2" t="s">
        <v>78</v>
      </c>
      <c r="P193" s="2" t="s">
        <v>36</v>
      </c>
      <c r="Q193" s="2" t="s">
        <v>17</v>
      </c>
    </row>
    <row r="194" spans="1:17" hidden="1">
      <c r="A194" s="2">
        <v>12298</v>
      </c>
      <c r="B194" s="2" t="s">
        <v>152</v>
      </c>
      <c r="C194" s="2" t="s">
        <v>153</v>
      </c>
      <c r="D194" s="3">
        <v>46114.741666666669</v>
      </c>
      <c r="E194" s="2" t="s">
        <v>21</v>
      </c>
      <c r="F194" s="2" t="s">
        <v>5</v>
      </c>
      <c r="G194" s="2" t="s">
        <v>18</v>
      </c>
      <c r="H194" s="2" t="s">
        <v>23</v>
      </c>
      <c r="I194" s="2" t="s">
        <v>88</v>
      </c>
      <c r="J194" s="2" t="s">
        <v>154</v>
      </c>
      <c r="K194" s="2" t="s">
        <v>155</v>
      </c>
      <c r="L194" s="2" t="s">
        <v>26</v>
      </c>
      <c r="M194" s="2" t="s">
        <v>27</v>
      </c>
      <c r="N194" s="2" t="s">
        <v>156</v>
      </c>
      <c r="O194" s="2" t="s">
        <v>17</v>
      </c>
      <c r="P194" s="2" t="s">
        <v>36</v>
      </c>
      <c r="Q194" s="2" t="s">
        <v>17</v>
      </c>
    </row>
    <row r="195" spans="1:17" hidden="1">
      <c r="A195" s="2">
        <v>13194</v>
      </c>
      <c r="B195" s="2" t="s">
        <v>1360</v>
      </c>
      <c r="C195" s="2" t="s">
        <v>1360</v>
      </c>
      <c r="D195" s="3">
        <v>46137.658333333333</v>
      </c>
      <c r="E195" s="2" t="s">
        <v>21</v>
      </c>
      <c r="F195" s="2" t="s">
        <v>5</v>
      </c>
      <c r="G195" s="2" t="s">
        <v>22</v>
      </c>
      <c r="H195" s="2" t="s">
        <v>43</v>
      </c>
      <c r="I195" s="2" t="s">
        <v>74</v>
      </c>
      <c r="J195" s="2" t="s">
        <v>1361</v>
      </c>
      <c r="K195" s="2" t="s">
        <v>1362</v>
      </c>
      <c r="L195" s="2" t="s">
        <v>26</v>
      </c>
      <c r="M195" s="2" t="s">
        <v>47</v>
      </c>
      <c r="N195" s="2" t="s">
        <v>1363</v>
      </c>
      <c r="O195" s="2" t="s">
        <v>17</v>
      </c>
      <c r="P195" s="2" t="s">
        <v>36</v>
      </c>
      <c r="Q195" s="2" t="s">
        <v>17</v>
      </c>
    </row>
    <row r="196" spans="1:17" hidden="1">
      <c r="A196" s="2">
        <v>12387</v>
      </c>
      <c r="B196" s="2" t="s">
        <v>313</v>
      </c>
      <c r="C196" s="2" t="s">
        <v>313</v>
      </c>
      <c r="D196" s="3">
        <v>46116.692361111112</v>
      </c>
      <c r="E196" s="2" t="s">
        <v>16</v>
      </c>
      <c r="F196" s="2" t="s">
        <v>230</v>
      </c>
      <c r="G196" s="2" t="s">
        <v>308</v>
      </c>
      <c r="H196" s="2" t="s">
        <v>235</v>
      </c>
      <c r="I196" s="2" t="s">
        <v>314</v>
      </c>
      <c r="J196" s="2" t="s">
        <v>188</v>
      </c>
      <c r="K196" s="2" t="s">
        <v>315</v>
      </c>
      <c r="L196" s="2" t="s">
        <v>17</v>
      </c>
      <c r="M196" s="2" t="s">
        <v>47</v>
      </c>
      <c r="N196" s="2" t="s">
        <v>316</v>
      </c>
      <c r="O196" s="2" t="s">
        <v>17</v>
      </c>
      <c r="P196" s="2" t="s">
        <v>29</v>
      </c>
      <c r="Q196" s="2" t="s">
        <v>17</v>
      </c>
    </row>
    <row r="197" spans="1:17" hidden="1">
      <c r="A197" s="2">
        <v>12698</v>
      </c>
      <c r="B197" s="2" t="s">
        <v>802</v>
      </c>
      <c r="C197" s="2" t="s">
        <v>803</v>
      </c>
      <c r="D197" s="3">
        <v>46125.65</v>
      </c>
      <c r="E197" s="2" t="s">
        <v>16</v>
      </c>
      <c r="F197" s="2" t="s">
        <v>5</v>
      </c>
      <c r="G197" s="2" t="s">
        <v>22</v>
      </c>
      <c r="H197" s="2" t="s">
        <v>23</v>
      </c>
      <c r="I197" s="2" t="s">
        <v>17</v>
      </c>
      <c r="J197" s="2" t="s">
        <v>17</v>
      </c>
      <c r="K197" s="2" t="s">
        <v>17</v>
      </c>
      <c r="L197" s="2" t="s">
        <v>54</v>
      </c>
      <c r="M197" s="2" t="s">
        <v>19</v>
      </c>
      <c r="N197" s="2" t="s">
        <v>804</v>
      </c>
      <c r="O197" s="2" t="s">
        <v>17</v>
      </c>
      <c r="P197" s="2" t="s">
        <v>41</v>
      </c>
      <c r="Q197" s="2" t="s">
        <v>17</v>
      </c>
    </row>
    <row r="198" spans="1:17" hidden="1">
      <c r="A198" s="2">
        <v>12560</v>
      </c>
      <c r="B198" s="2" t="s">
        <v>577</v>
      </c>
      <c r="C198" s="2" t="s">
        <v>578</v>
      </c>
      <c r="D198" s="3">
        <v>46121.013888888891</v>
      </c>
      <c r="E198" s="2" t="s">
        <v>57</v>
      </c>
      <c r="F198" s="2" t="s">
        <v>17</v>
      </c>
      <c r="G198" s="2" t="s">
        <v>80</v>
      </c>
      <c r="H198" s="2" t="s">
        <v>23</v>
      </c>
      <c r="I198" s="2" t="s">
        <v>17</v>
      </c>
      <c r="J198" s="2" t="s">
        <v>17</v>
      </c>
      <c r="K198" s="2" t="s">
        <v>17</v>
      </c>
      <c r="L198" s="2" t="s">
        <v>26</v>
      </c>
      <c r="M198" s="2" t="s">
        <v>19</v>
      </c>
      <c r="N198" s="2" t="s">
        <v>579</v>
      </c>
      <c r="O198" s="2" t="s">
        <v>78</v>
      </c>
      <c r="P198" s="2" t="s">
        <v>17</v>
      </c>
      <c r="Q198" s="2" t="s">
        <v>17</v>
      </c>
    </row>
    <row r="199" spans="1:17" hidden="1">
      <c r="A199" s="2">
        <v>12765</v>
      </c>
      <c r="B199" s="2" t="s">
        <v>888</v>
      </c>
      <c r="C199" s="2" t="s">
        <v>888</v>
      </c>
      <c r="D199" s="3">
        <v>46126.975694444445</v>
      </c>
      <c r="E199" s="2" t="s">
        <v>57</v>
      </c>
      <c r="F199" s="2" t="s">
        <v>17</v>
      </c>
      <c r="G199" s="2" t="s">
        <v>22</v>
      </c>
      <c r="H199" s="2" t="s">
        <v>23</v>
      </c>
      <c r="I199" s="2" t="s">
        <v>64</v>
      </c>
      <c r="J199" s="2" t="s">
        <v>721</v>
      </c>
      <c r="K199" s="2" t="s">
        <v>889</v>
      </c>
      <c r="L199" s="2" t="s">
        <v>54</v>
      </c>
      <c r="M199" s="2" t="s">
        <v>27</v>
      </c>
      <c r="N199" s="2" t="s">
        <v>890</v>
      </c>
      <c r="O199" s="2" t="s">
        <v>78</v>
      </c>
      <c r="P199" s="2" t="s">
        <v>36</v>
      </c>
      <c r="Q199" s="2" t="s">
        <v>17</v>
      </c>
    </row>
    <row r="200" spans="1:17" hidden="1">
      <c r="A200" s="2">
        <v>12680</v>
      </c>
      <c r="B200" s="2" t="s">
        <v>782</v>
      </c>
      <c r="C200" s="2" t="s">
        <v>782</v>
      </c>
      <c r="D200" s="3">
        <v>46125.241666666669</v>
      </c>
      <c r="E200" s="2" t="s">
        <v>167</v>
      </c>
      <c r="F200" s="2" t="s">
        <v>5</v>
      </c>
      <c r="G200" s="2" t="s">
        <v>18</v>
      </c>
      <c r="H200" s="2" t="s">
        <v>168</v>
      </c>
      <c r="I200" s="2" t="s">
        <v>187</v>
      </c>
      <c r="J200" s="2" t="s">
        <v>783</v>
      </c>
      <c r="K200" s="2" t="s">
        <v>784</v>
      </c>
      <c r="L200" s="2" t="s">
        <v>26</v>
      </c>
      <c r="M200" s="2" t="s">
        <v>47</v>
      </c>
      <c r="N200" s="2" t="s">
        <v>785</v>
      </c>
      <c r="O200" s="2" t="s">
        <v>17</v>
      </c>
      <c r="P200" s="2" t="s">
        <v>29</v>
      </c>
      <c r="Q200" s="2" t="s">
        <v>17</v>
      </c>
    </row>
    <row r="201" spans="1:17" hidden="1">
      <c r="A201" s="2">
        <v>12384</v>
      </c>
      <c r="B201" s="2" t="s">
        <v>302</v>
      </c>
      <c r="C201" s="2" t="s">
        <v>302</v>
      </c>
      <c r="D201" s="3">
        <v>46116.622916666667</v>
      </c>
      <c r="E201" s="2" t="s">
        <v>21</v>
      </c>
      <c r="F201" s="2" t="s">
        <v>5</v>
      </c>
      <c r="G201" s="2" t="s">
        <v>22</v>
      </c>
      <c r="H201" s="2" t="s">
        <v>43</v>
      </c>
      <c r="I201" s="2" t="s">
        <v>303</v>
      </c>
      <c r="J201" s="2" t="s">
        <v>304</v>
      </c>
      <c r="K201" s="2" t="s">
        <v>305</v>
      </c>
      <c r="L201" s="2" t="s">
        <v>26</v>
      </c>
      <c r="M201" s="2" t="s">
        <v>47</v>
      </c>
      <c r="N201" s="2" t="s">
        <v>306</v>
      </c>
      <c r="O201" s="2" t="s">
        <v>17</v>
      </c>
      <c r="P201" s="2" t="s">
        <v>36</v>
      </c>
      <c r="Q201" s="2" t="s">
        <v>17</v>
      </c>
    </row>
    <row r="202" spans="1:17" hidden="1">
      <c r="A202" s="2">
        <v>12867</v>
      </c>
      <c r="B202" s="2" t="s">
        <v>973</v>
      </c>
      <c r="C202" s="2" t="s">
        <v>974</v>
      </c>
      <c r="D202" s="3">
        <v>46129.736111111109</v>
      </c>
      <c r="E202" s="2" t="s">
        <v>21</v>
      </c>
      <c r="F202" s="2" t="s">
        <v>5</v>
      </c>
      <c r="G202" s="2" t="s">
        <v>80</v>
      </c>
      <c r="H202" s="2" t="s">
        <v>43</v>
      </c>
      <c r="I202" s="2" t="s">
        <v>142</v>
      </c>
      <c r="J202" s="2" t="s">
        <v>975</v>
      </c>
      <c r="K202" s="2" t="s">
        <v>976</v>
      </c>
      <c r="L202" s="2" t="s">
        <v>26</v>
      </c>
      <c r="M202" s="2" t="s">
        <v>47</v>
      </c>
      <c r="N202" s="2" t="s">
        <v>977</v>
      </c>
      <c r="O202" s="2" t="s">
        <v>17</v>
      </c>
      <c r="P202" s="2" t="s">
        <v>36</v>
      </c>
      <c r="Q202" s="2" t="s">
        <v>17</v>
      </c>
    </row>
    <row r="203" spans="1:17" hidden="1">
      <c r="A203" s="2">
        <v>13346</v>
      </c>
      <c r="B203" s="2" t="s">
        <v>1575</v>
      </c>
      <c r="C203" s="2" t="s">
        <v>1575</v>
      </c>
      <c r="D203" s="3">
        <v>46141.634722222225</v>
      </c>
      <c r="E203" s="2" t="s">
        <v>1186</v>
      </c>
      <c r="F203" s="2" t="s">
        <v>5</v>
      </c>
      <c r="G203" s="2" t="s">
        <v>22</v>
      </c>
      <c r="H203" s="2" t="s">
        <v>23</v>
      </c>
      <c r="I203" s="2" t="s">
        <v>499</v>
      </c>
      <c r="J203" s="2" t="s">
        <v>1576</v>
      </c>
      <c r="K203" s="2" t="s">
        <v>1577</v>
      </c>
      <c r="L203" s="2" t="s">
        <v>54</v>
      </c>
      <c r="M203" s="2" t="s">
        <v>27</v>
      </c>
      <c r="N203" s="2" t="s">
        <v>1578</v>
      </c>
      <c r="O203" s="2" t="s">
        <v>17</v>
      </c>
      <c r="P203" s="2" t="s">
        <v>36</v>
      </c>
      <c r="Q203" s="2" t="s">
        <v>17</v>
      </c>
    </row>
    <row r="204" spans="1:17" hidden="1">
      <c r="A204" s="2">
        <v>13066</v>
      </c>
      <c r="B204" s="2" t="s">
        <v>1234</v>
      </c>
      <c r="C204" s="2" t="s">
        <v>1234</v>
      </c>
      <c r="D204" s="3">
        <v>46134.81527777778</v>
      </c>
      <c r="E204" s="2" t="s">
        <v>21</v>
      </c>
      <c r="F204" s="2" t="s">
        <v>5</v>
      </c>
      <c r="G204" s="2" t="s">
        <v>18</v>
      </c>
      <c r="H204" s="2" t="s">
        <v>23</v>
      </c>
      <c r="I204" s="2" t="s">
        <v>88</v>
      </c>
      <c r="J204" s="2" t="s">
        <v>1235</v>
      </c>
      <c r="K204" s="2" t="s">
        <v>1236</v>
      </c>
      <c r="L204" s="2" t="s">
        <v>26</v>
      </c>
      <c r="M204" s="2" t="s">
        <v>27</v>
      </c>
      <c r="N204" s="2" t="s">
        <v>1237</v>
      </c>
      <c r="O204" s="2" t="s">
        <v>17</v>
      </c>
      <c r="P204" s="2" t="s">
        <v>1201</v>
      </c>
      <c r="Q204" s="2" t="s">
        <v>17</v>
      </c>
    </row>
    <row r="205" spans="1:17" hidden="1">
      <c r="A205" s="2">
        <v>13360</v>
      </c>
      <c r="B205" s="2" t="s">
        <v>1595</v>
      </c>
      <c r="C205" s="2" t="s">
        <v>1595</v>
      </c>
      <c r="D205" s="3">
        <v>46141.99722222222</v>
      </c>
      <c r="E205" s="2" t="s">
        <v>21</v>
      </c>
      <c r="F205" s="2" t="s">
        <v>5</v>
      </c>
      <c r="G205" s="2" t="s">
        <v>22</v>
      </c>
      <c r="H205" s="2" t="s">
        <v>23</v>
      </c>
      <c r="I205" s="2" t="s">
        <v>58</v>
      </c>
      <c r="J205" s="2" t="s">
        <v>1596</v>
      </c>
      <c r="K205" s="2" t="s">
        <v>1597</v>
      </c>
      <c r="L205" s="2" t="s">
        <v>54</v>
      </c>
      <c r="M205" s="2" t="s">
        <v>27</v>
      </c>
      <c r="N205" s="2" t="s">
        <v>1598</v>
      </c>
      <c r="O205" s="2" t="s">
        <v>17</v>
      </c>
      <c r="P205" s="2" t="s">
        <v>36</v>
      </c>
      <c r="Q205" s="2" t="s">
        <v>17</v>
      </c>
    </row>
    <row r="206" spans="1:17" hidden="1">
      <c r="A206" s="2">
        <v>12383</v>
      </c>
      <c r="B206" s="2" t="s">
        <v>298</v>
      </c>
      <c r="C206" s="2" t="s">
        <v>299</v>
      </c>
      <c r="D206" s="3">
        <v>46116.516666666663</v>
      </c>
      <c r="E206" s="2" t="s">
        <v>21</v>
      </c>
      <c r="F206" s="2" t="s">
        <v>17</v>
      </c>
      <c r="G206" s="2" t="s">
        <v>22</v>
      </c>
      <c r="H206" s="2" t="s">
        <v>43</v>
      </c>
      <c r="I206" s="2" t="s">
        <v>250</v>
      </c>
      <c r="J206" s="2" t="s">
        <v>251</v>
      </c>
      <c r="K206" s="2" t="s">
        <v>300</v>
      </c>
      <c r="L206" s="2" t="s">
        <v>26</v>
      </c>
      <c r="M206" s="2" t="s">
        <v>47</v>
      </c>
      <c r="N206" s="2" t="s">
        <v>301</v>
      </c>
      <c r="O206" s="2" t="s">
        <v>17</v>
      </c>
      <c r="P206" s="2" t="s">
        <v>36</v>
      </c>
      <c r="Q206" s="2" t="s">
        <v>17</v>
      </c>
    </row>
    <row r="207" spans="1:17" hidden="1">
      <c r="A207" s="2">
        <v>13040</v>
      </c>
      <c r="B207" s="2" t="s">
        <v>1193</v>
      </c>
      <c r="C207" s="2" t="s">
        <v>1193</v>
      </c>
      <c r="D207" s="3">
        <v>46134.195833333331</v>
      </c>
      <c r="E207" s="2" t="s">
        <v>21</v>
      </c>
      <c r="F207" s="2" t="s">
        <v>5</v>
      </c>
      <c r="G207" s="2" t="s">
        <v>80</v>
      </c>
      <c r="H207" s="2" t="s">
        <v>23</v>
      </c>
      <c r="I207" s="2" t="s">
        <v>88</v>
      </c>
      <c r="J207" s="2" t="s">
        <v>364</v>
      </c>
      <c r="K207" s="2" t="s">
        <v>1194</v>
      </c>
      <c r="L207" s="2" t="s">
        <v>26</v>
      </c>
      <c r="M207" s="2" t="s">
        <v>27</v>
      </c>
      <c r="N207" s="2" t="s">
        <v>1195</v>
      </c>
      <c r="O207" s="2" t="s">
        <v>17</v>
      </c>
      <c r="P207" s="2" t="s">
        <v>36</v>
      </c>
      <c r="Q207" s="2" t="s">
        <v>17</v>
      </c>
    </row>
    <row r="208" spans="1:17" hidden="1">
      <c r="A208" s="2">
        <v>13195</v>
      </c>
      <c r="B208" s="2" t="s">
        <v>1364</v>
      </c>
      <c r="C208" s="2" t="s">
        <v>1364</v>
      </c>
      <c r="D208" s="3">
        <v>46137.710416666669</v>
      </c>
      <c r="E208" s="2" t="s">
        <v>647</v>
      </c>
      <c r="F208" s="2" t="s">
        <v>5</v>
      </c>
      <c r="G208" s="2" t="s">
        <v>22</v>
      </c>
      <c r="H208" s="2" t="s">
        <v>43</v>
      </c>
      <c r="I208" s="2" t="s">
        <v>1365</v>
      </c>
      <c r="J208" s="2" t="s">
        <v>731</v>
      </c>
      <c r="K208" s="2" t="s">
        <v>17</v>
      </c>
      <c r="L208" s="2" t="s">
        <v>26</v>
      </c>
      <c r="M208" s="2" t="s">
        <v>47</v>
      </c>
      <c r="N208" s="2" t="s">
        <v>1366</v>
      </c>
      <c r="O208" s="2" t="s">
        <v>17</v>
      </c>
      <c r="P208" s="2" t="s">
        <v>29</v>
      </c>
      <c r="Q208" s="2" t="s">
        <v>17</v>
      </c>
    </row>
    <row r="209" spans="1:17" hidden="1">
      <c r="A209" s="2">
        <v>12912</v>
      </c>
      <c r="B209" s="2" t="s">
        <v>1043</v>
      </c>
      <c r="C209" s="2" t="s">
        <v>1043</v>
      </c>
      <c r="D209" s="3">
        <v>46131.395138888889</v>
      </c>
      <c r="E209" s="2" t="s">
        <v>16</v>
      </c>
      <c r="F209" s="2" t="s">
        <v>17</v>
      </c>
      <c r="G209" s="2" t="s">
        <v>308</v>
      </c>
      <c r="H209" s="2" t="s">
        <v>17</v>
      </c>
      <c r="I209" s="2" t="s">
        <v>17</v>
      </c>
      <c r="J209" s="2" t="s">
        <v>17</v>
      </c>
      <c r="K209" s="2" t="s">
        <v>17</v>
      </c>
      <c r="L209" s="2" t="s">
        <v>17</v>
      </c>
      <c r="M209" s="2" t="s">
        <v>19</v>
      </c>
      <c r="N209" s="2" t="s">
        <v>1044</v>
      </c>
      <c r="O209" s="2" t="s">
        <v>17</v>
      </c>
      <c r="P209" s="2" t="s">
        <v>17</v>
      </c>
      <c r="Q209" s="2" t="s">
        <v>17</v>
      </c>
    </row>
    <row r="210" spans="1:17" hidden="1">
      <c r="A210" s="2">
        <v>12320</v>
      </c>
      <c r="B210" s="2" t="s">
        <v>200</v>
      </c>
      <c r="C210" s="2" t="s">
        <v>200</v>
      </c>
      <c r="D210" s="3">
        <v>46114.94930555555</v>
      </c>
      <c r="E210" s="2" t="s">
        <v>57</v>
      </c>
      <c r="F210" s="2" t="s">
        <v>5</v>
      </c>
      <c r="G210" s="2" t="s">
        <v>18</v>
      </c>
      <c r="H210" s="2" t="s">
        <v>23</v>
      </c>
      <c r="I210" s="2" t="s">
        <v>88</v>
      </c>
      <c r="J210" s="2" t="s">
        <v>201</v>
      </c>
      <c r="K210" s="2" t="s">
        <v>202</v>
      </c>
      <c r="L210" s="2" t="s">
        <v>26</v>
      </c>
      <c r="M210" s="2" t="s">
        <v>27</v>
      </c>
      <c r="N210" s="2" t="s">
        <v>203</v>
      </c>
      <c r="O210" s="2" t="s">
        <v>62</v>
      </c>
      <c r="P210" s="2" t="s">
        <v>97</v>
      </c>
      <c r="Q210" s="2" t="s">
        <v>17</v>
      </c>
    </row>
    <row r="211" spans="1:17" hidden="1">
      <c r="A211" s="2">
        <v>13219</v>
      </c>
      <c r="B211" s="2" t="s">
        <v>1422</v>
      </c>
      <c r="C211" s="2" t="s">
        <v>1422</v>
      </c>
      <c r="D211" s="3">
        <v>46138.873611111107</v>
      </c>
      <c r="E211" s="2" t="s">
        <v>1186</v>
      </c>
      <c r="F211" s="2" t="s">
        <v>5</v>
      </c>
      <c r="G211" s="2" t="s">
        <v>22</v>
      </c>
      <c r="H211" s="2" t="s">
        <v>23</v>
      </c>
      <c r="I211" s="2" t="s">
        <v>1423</v>
      </c>
      <c r="J211" s="2" t="s">
        <v>1424</v>
      </c>
      <c r="K211" s="2" t="s">
        <v>66</v>
      </c>
      <c r="L211" s="2" t="s">
        <v>54</v>
      </c>
      <c r="M211" s="2" t="s">
        <v>27</v>
      </c>
      <c r="N211" s="2" t="s">
        <v>1425</v>
      </c>
      <c r="O211" s="2" t="s">
        <v>17</v>
      </c>
      <c r="P211" s="2" t="s">
        <v>29</v>
      </c>
      <c r="Q211" s="2" t="s">
        <v>17</v>
      </c>
    </row>
    <row r="212" spans="1:17" hidden="1">
      <c r="A212" s="2">
        <v>12450</v>
      </c>
      <c r="B212" s="2" t="s">
        <v>448</v>
      </c>
      <c r="C212" s="2" t="s">
        <v>448</v>
      </c>
      <c r="D212" s="3">
        <v>46118.9375</v>
      </c>
      <c r="E212" s="2" t="s">
        <v>57</v>
      </c>
      <c r="F212" s="2" t="s">
        <v>17</v>
      </c>
      <c r="G212" s="2" t="s">
        <v>18</v>
      </c>
      <c r="H212" s="2" t="s">
        <v>17</v>
      </c>
      <c r="I212" s="2" t="s">
        <v>88</v>
      </c>
      <c r="J212" s="2" t="s">
        <v>449</v>
      </c>
      <c r="K212" s="2" t="s">
        <v>450</v>
      </c>
      <c r="L212" s="2" t="s">
        <v>17</v>
      </c>
      <c r="M212" s="2" t="s">
        <v>27</v>
      </c>
      <c r="N212" s="2" t="s">
        <v>451</v>
      </c>
      <c r="O212" s="2" t="s">
        <v>382</v>
      </c>
      <c r="P212" s="2" t="s">
        <v>17</v>
      </c>
      <c r="Q212" s="2" t="s">
        <v>17</v>
      </c>
    </row>
    <row r="213" spans="1:17" hidden="1">
      <c r="A213" s="2">
        <v>12462</v>
      </c>
      <c r="B213" s="2" t="s">
        <v>473</v>
      </c>
      <c r="C213" s="2" t="s">
        <v>448</v>
      </c>
      <c r="D213" s="3">
        <v>46119.1875</v>
      </c>
      <c r="E213" s="2" t="s">
        <v>474</v>
      </c>
      <c r="F213" s="2" t="s">
        <v>5</v>
      </c>
      <c r="G213" s="2" t="s">
        <v>22</v>
      </c>
      <c r="H213" s="2" t="s">
        <v>23</v>
      </c>
      <c r="I213" s="2" t="s">
        <v>17</v>
      </c>
      <c r="J213" s="2" t="s">
        <v>17</v>
      </c>
      <c r="K213" s="2" t="s">
        <v>17</v>
      </c>
      <c r="L213" s="2" t="s">
        <v>26</v>
      </c>
      <c r="M213" s="2" t="s">
        <v>27</v>
      </c>
      <c r="N213" s="253" t="s">
        <v>475</v>
      </c>
      <c r="O213" s="2" t="s">
        <v>17</v>
      </c>
      <c r="P213" s="2" t="s">
        <v>127</v>
      </c>
      <c r="Q213" s="2" t="s">
        <v>17</v>
      </c>
    </row>
    <row r="214" spans="1:17" hidden="1">
      <c r="A214" s="2">
        <v>12394</v>
      </c>
      <c r="B214" s="2" t="s">
        <v>344</v>
      </c>
      <c r="C214" s="2" t="s">
        <v>344</v>
      </c>
      <c r="D214" s="3">
        <v>46117.20694444445</v>
      </c>
      <c r="E214" s="2" t="s">
        <v>57</v>
      </c>
      <c r="F214" s="2" t="s">
        <v>230</v>
      </c>
      <c r="G214" s="2" t="s">
        <v>22</v>
      </c>
      <c r="H214" s="2" t="s">
        <v>43</v>
      </c>
      <c r="I214" s="2" t="s">
        <v>345</v>
      </c>
      <c r="J214" s="2" t="s">
        <v>346</v>
      </c>
      <c r="K214" s="2" t="s">
        <v>347</v>
      </c>
      <c r="L214" s="2" t="s">
        <v>26</v>
      </c>
      <c r="M214" s="2" t="s">
        <v>47</v>
      </c>
      <c r="N214" s="2" t="s">
        <v>348</v>
      </c>
      <c r="O214" s="2" t="s">
        <v>126</v>
      </c>
      <c r="P214" s="2" t="s">
        <v>36</v>
      </c>
      <c r="Q214" s="2" t="s">
        <v>17</v>
      </c>
    </row>
    <row r="215" spans="1:17" hidden="1">
      <c r="A215" s="2">
        <v>12775</v>
      </c>
      <c r="B215" s="2" t="s">
        <v>894</v>
      </c>
      <c r="C215" s="2" t="s">
        <v>895</v>
      </c>
      <c r="D215" s="3">
        <v>46127.049305555556</v>
      </c>
      <c r="E215" s="2" t="s">
        <v>57</v>
      </c>
      <c r="F215" s="2" t="s">
        <v>5</v>
      </c>
      <c r="G215" s="2" t="s">
        <v>18</v>
      </c>
      <c r="H215" s="2" t="s">
        <v>23</v>
      </c>
      <c r="I215" s="2" t="s">
        <v>88</v>
      </c>
      <c r="J215" s="2" t="s">
        <v>896</v>
      </c>
      <c r="K215" s="2" t="s">
        <v>897</v>
      </c>
      <c r="L215" s="2" t="s">
        <v>26</v>
      </c>
      <c r="M215" s="2" t="s">
        <v>27</v>
      </c>
      <c r="N215" s="2" t="s">
        <v>898</v>
      </c>
      <c r="O215" s="2" t="s">
        <v>62</v>
      </c>
      <c r="P215" s="2" t="s">
        <v>101</v>
      </c>
      <c r="Q215" s="2" t="s">
        <v>17</v>
      </c>
    </row>
    <row r="216" spans="1:17" hidden="1">
      <c r="A216" s="2">
        <v>12300</v>
      </c>
      <c r="B216" s="2" t="s">
        <v>157</v>
      </c>
      <c r="C216" s="2" t="s">
        <v>158</v>
      </c>
      <c r="D216" s="3">
        <v>46114.754861111112</v>
      </c>
      <c r="E216" s="2" t="s">
        <v>57</v>
      </c>
      <c r="F216" s="2" t="s">
        <v>17</v>
      </c>
      <c r="G216" s="2" t="s">
        <v>18</v>
      </c>
      <c r="H216" s="2" t="s">
        <v>23</v>
      </c>
      <c r="I216" s="2" t="s">
        <v>159</v>
      </c>
      <c r="J216" s="2" t="s">
        <v>160</v>
      </c>
      <c r="K216" s="2" t="s">
        <v>161</v>
      </c>
      <c r="L216" s="2" t="s">
        <v>26</v>
      </c>
      <c r="M216" s="2" t="s">
        <v>27</v>
      </c>
      <c r="N216" s="2" t="s">
        <v>162</v>
      </c>
      <c r="O216" s="2" t="s">
        <v>78</v>
      </c>
      <c r="P216" s="2" t="s">
        <v>36</v>
      </c>
      <c r="Q216" s="2" t="s">
        <v>17</v>
      </c>
    </row>
    <row r="217" spans="1:17" hidden="1">
      <c r="A217" s="2">
        <v>12262</v>
      </c>
      <c r="B217" s="2" t="s">
        <v>114</v>
      </c>
      <c r="C217" s="2" t="s">
        <v>114</v>
      </c>
      <c r="D217" s="3">
        <v>46114.167361111111</v>
      </c>
      <c r="E217" s="2" t="s">
        <v>21</v>
      </c>
      <c r="F217" s="2" t="s">
        <v>5</v>
      </c>
      <c r="G217" s="2" t="s">
        <v>80</v>
      </c>
      <c r="H217" s="2" t="s">
        <v>23</v>
      </c>
      <c r="I217" s="2" t="s">
        <v>98</v>
      </c>
      <c r="J217" s="2" t="s">
        <v>115</v>
      </c>
      <c r="K217" s="2" t="s">
        <v>116</v>
      </c>
      <c r="L217" s="2" t="s">
        <v>100</v>
      </c>
      <c r="M217" s="2" t="s">
        <v>27</v>
      </c>
      <c r="N217" s="2" t="s">
        <v>117</v>
      </c>
      <c r="O217" s="2" t="s">
        <v>17</v>
      </c>
      <c r="P217" s="2" t="s">
        <v>36</v>
      </c>
      <c r="Q217" s="2" t="s">
        <v>17</v>
      </c>
    </row>
    <row r="218" spans="1:17" hidden="1">
      <c r="A218" s="2">
        <v>12718</v>
      </c>
      <c r="B218" s="2" t="s">
        <v>817</v>
      </c>
      <c r="C218" s="2" t="s">
        <v>818</v>
      </c>
      <c r="D218" s="3">
        <v>46125.929861111115</v>
      </c>
      <c r="E218" s="2" t="s">
        <v>57</v>
      </c>
      <c r="F218" s="2" t="s">
        <v>230</v>
      </c>
      <c r="G218" s="2" t="s">
        <v>22</v>
      </c>
      <c r="H218" s="2" t="s">
        <v>244</v>
      </c>
      <c r="I218" s="2" t="s">
        <v>17</v>
      </c>
      <c r="J218" s="2" t="s">
        <v>17</v>
      </c>
      <c r="K218" s="2" t="s">
        <v>17</v>
      </c>
      <c r="L218" s="2" t="s">
        <v>26</v>
      </c>
      <c r="M218" s="2" t="s">
        <v>19</v>
      </c>
      <c r="N218" s="2" t="s">
        <v>819</v>
      </c>
      <c r="O218" s="2" t="s">
        <v>126</v>
      </c>
      <c r="P218" s="2" t="s">
        <v>49</v>
      </c>
      <c r="Q218" s="2" t="s">
        <v>17</v>
      </c>
    </row>
    <row r="219" spans="1:17" hidden="1">
      <c r="A219" s="2">
        <v>12670</v>
      </c>
      <c r="B219" s="2" t="s">
        <v>758</v>
      </c>
      <c r="C219" s="2" t="s">
        <v>759</v>
      </c>
      <c r="D219" s="3">
        <v>46124.611805555556</v>
      </c>
      <c r="E219" s="2" t="s">
        <v>57</v>
      </c>
      <c r="F219" s="2" t="s">
        <v>5</v>
      </c>
      <c r="G219" s="2" t="s">
        <v>18</v>
      </c>
      <c r="H219" s="2" t="s">
        <v>23</v>
      </c>
      <c r="I219" s="2" t="s">
        <v>159</v>
      </c>
      <c r="J219" s="2" t="s">
        <v>160</v>
      </c>
      <c r="K219" s="2" t="s">
        <v>760</v>
      </c>
      <c r="L219" s="2" t="s">
        <v>26</v>
      </c>
      <c r="M219" s="2" t="s">
        <v>27</v>
      </c>
      <c r="N219" s="2" t="s">
        <v>761</v>
      </c>
      <c r="O219" s="2" t="s">
        <v>78</v>
      </c>
      <c r="P219" s="2" t="s">
        <v>36</v>
      </c>
      <c r="Q219" s="2" t="s">
        <v>17</v>
      </c>
    </row>
    <row r="220" spans="1:17" hidden="1">
      <c r="A220" s="2">
        <v>12389</v>
      </c>
      <c r="B220" s="2" t="s">
        <v>322</v>
      </c>
      <c r="C220" s="2" t="s">
        <v>323</v>
      </c>
      <c r="D220" s="3">
        <v>46116.907638888893</v>
      </c>
      <c r="E220" s="2" t="s">
        <v>57</v>
      </c>
      <c r="F220" s="2" t="s">
        <v>5</v>
      </c>
      <c r="G220" s="2" t="s">
        <v>18</v>
      </c>
      <c r="H220" s="2" t="s">
        <v>23</v>
      </c>
      <c r="I220" s="2" t="s">
        <v>88</v>
      </c>
      <c r="J220" s="2" t="s">
        <v>324</v>
      </c>
      <c r="K220" s="2" t="s">
        <v>17</v>
      </c>
      <c r="L220" s="2" t="s">
        <v>26</v>
      </c>
      <c r="M220" s="2" t="s">
        <v>27</v>
      </c>
      <c r="N220" s="2" t="s">
        <v>325</v>
      </c>
      <c r="O220" s="2" t="s">
        <v>107</v>
      </c>
      <c r="P220" s="2" t="s">
        <v>29</v>
      </c>
      <c r="Q220" s="2" t="s">
        <v>17</v>
      </c>
    </row>
    <row r="221" spans="1:17" hidden="1">
      <c r="A221" s="2">
        <v>12584</v>
      </c>
      <c r="B221" s="2" t="s">
        <v>589</v>
      </c>
      <c r="C221" s="2" t="s">
        <v>590</v>
      </c>
      <c r="D221" s="3">
        <v>46121.717361111107</v>
      </c>
      <c r="E221" s="2" t="s">
        <v>21</v>
      </c>
      <c r="F221" s="2" t="s">
        <v>5</v>
      </c>
      <c r="G221" s="2" t="s">
        <v>18</v>
      </c>
      <c r="H221" s="2" t="s">
        <v>23</v>
      </c>
      <c r="I221" s="2" t="s">
        <v>88</v>
      </c>
      <c r="J221" s="2" t="s">
        <v>591</v>
      </c>
      <c r="K221" s="2" t="s">
        <v>592</v>
      </c>
      <c r="L221" s="2" t="s">
        <v>26</v>
      </c>
      <c r="M221" s="2" t="s">
        <v>27</v>
      </c>
      <c r="N221" s="2" t="s">
        <v>593</v>
      </c>
      <c r="O221" s="2" t="s">
        <v>17</v>
      </c>
      <c r="P221" s="2" t="s">
        <v>36</v>
      </c>
      <c r="Q221" s="2" t="s">
        <v>17</v>
      </c>
    </row>
    <row r="222" spans="1:17" hidden="1">
      <c r="A222" s="2">
        <v>12518</v>
      </c>
      <c r="B222" s="2" t="s">
        <v>517</v>
      </c>
      <c r="C222" s="2" t="s">
        <v>518</v>
      </c>
      <c r="D222" s="3">
        <v>46120.381944444445</v>
      </c>
      <c r="E222" s="2" t="s">
        <v>57</v>
      </c>
      <c r="F222" s="2" t="s">
        <v>5</v>
      </c>
      <c r="G222" s="2" t="s">
        <v>18</v>
      </c>
      <c r="H222" s="2" t="s">
        <v>23</v>
      </c>
      <c r="I222" s="2" t="s">
        <v>519</v>
      </c>
      <c r="J222" s="2" t="s">
        <v>520</v>
      </c>
      <c r="K222" s="2" t="s">
        <v>521</v>
      </c>
      <c r="L222" s="2" t="s">
        <v>26</v>
      </c>
      <c r="M222" s="2" t="s">
        <v>27</v>
      </c>
      <c r="N222" s="2" t="s">
        <v>522</v>
      </c>
      <c r="O222" s="2" t="s">
        <v>78</v>
      </c>
      <c r="P222" s="2" t="s">
        <v>36</v>
      </c>
      <c r="Q222" s="2" t="s">
        <v>17</v>
      </c>
    </row>
    <row r="223" spans="1:17" hidden="1">
      <c r="A223" s="2">
        <v>13062</v>
      </c>
      <c r="B223" s="2" t="s">
        <v>1222</v>
      </c>
      <c r="C223" s="2" t="s">
        <v>1222</v>
      </c>
      <c r="D223" s="3">
        <v>46134.697222222225</v>
      </c>
      <c r="E223" s="2" t="s">
        <v>905</v>
      </c>
      <c r="F223" s="2" t="s">
        <v>5</v>
      </c>
      <c r="G223" s="2" t="s">
        <v>18</v>
      </c>
      <c r="H223" s="2" t="s">
        <v>23</v>
      </c>
      <c r="I223" s="2" t="s">
        <v>110</v>
      </c>
      <c r="J223" s="2" t="s">
        <v>1223</v>
      </c>
      <c r="K223" s="2" t="s">
        <v>1224</v>
      </c>
      <c r="L223" s="2" t="s">
        <v>26</v>
      </c>
      <c r="M223" s="2" t="s">
        <v>27</v>
      </c>
      <c r="N223" s="2" t="s">
        <v>1225</v>
      </c>
      <c r="O223" s="2" t="s">
        <v>17</v>
      </c>
      <c r="P223" s="2" t="s">
        <v>1201</v>
      </c>
      <c r="Q223" s="2" t="s">
        <v>17</v>
      </c>
    </row>
    <row r="224" spans="1:17" hidden="1">
      <c r="A224" s="2">
        <v>13400</v>
      </c>
      <c r="B224" s="2" t="s">
        <v>1630</v>
      </c>
      <c r="C224" s="2" t="s">
        <v>1630</v>
      </c>
      <c r="D224" s="3">
        <v>46142.66805555555</v>
      </c>
      <c r="E224" s="2" t="s">
        <v>1324</v>
      </c>
      <c r="F224" s="2" t="s">
        <v>5</v>
      </c>
      <c r="G224" s="2" t="s">
        <v>80</v>
      </c>
      <c r="H224" s="2" t="s">
        <v>23</v>
      </c>
      <c r="I224" s="2" t="s">
        <v>81</v>
      </c>
      <c r="J224" s="2" t="s">
        <v>1631</v>
      </c>
      <c r="K224" s="2" t="s">
        <v>1632</v>
      </c>
      <c r="L224" s="2" t="s">
        <v>84</v>
      </c>
      <c r="M224" s="2" t="s">
        <v>27</v>
      </c>
      <c r="N224" s="2" t="s">
        <v>1633</v>
      </c>
      <c r="O224" s="2" t="s">
        <v>17</v>
      </c>
      <c r="P224" s="2" t="s">
        <v>36</v>
      </c>
      <c r="Q224" s="2" t="s">
        <v>17</v>
      </c>
    </row>
    <row r="225" spans="1:17" hidden="1">
      <c r="A225" s="2">
        <v>12249</v>
      </c>
      <c r="B225" s="2" t="s">
        <v>79</v>
      </c>
      <c r="C225" s="2" t="s">
        <v>79</v>
      </c>
      <c r="D225" s="3">
        <v>46113.911111111112</v>
      </c>
      <c r="E225" s="2" t="s">
        <v>57</v>
      </c>
      <c r="F225" s="2" t="s">
        <v>5</v>
      </c>
      <c r="G225" s="2" t="s">
        <v>80</v>
      </c>
      <c r="H225" s="2" t="s">
        <v>23</v>
      </c>
      <c r="I225" s="2" t="s">
        <v>81</v>
      </c>
      <c r="J225" s="2" t="s">
        <v>82</v>
      </c>
      <c r="K225" s="2" t="s">
        <v>83</v>
      </c>
      <c r="L225" s="2" t="s">
        <v>84</v>
      </c>
      <c r="M225" s="2" t="s">
        <v>27</v>
      </c>
      <c r="N225" s="2" t="s">
        <v>85</v>
      </c>
      <c r="O225" s="2" t="s">
        <v>78</v>
      </c>
      <c r="P225" s="2" t="s">
        <v>36</v>
      </c>
      <c r="Q225" s="2" t="s">
        <v>17</v>
      </c>
    </row>
    <row r="226" spans="1:17" hidden="1">
      <c r="A226" s="2">
        <v>12613</v>
      </c>
      <c r="B226" s="2" t="s">
        <v>644</v>
      </c>
      <c r="C226" s="2" t="s">
        <v>644</v>
      </c>
      <c r="D226" s="3">
        <v>46122.192361111112</v>
      </c>
      <c r="E226" s="2" t="s">
        <v>57</v>
      </c>
      <c r="F226" s="2" t="s">
        <v>5</v>
      </c>
      <c r="G226" s="2" t="s">
        <v>80</v>
      </c>
      <c r="H226" s="2" t="s">
        <v>23</v>
      </c>
      <c r="I226" s="2" t="s">
        <v>81</v>
      </c>
      <c r="J226" s="2" t="s">
        <v>324</v>
      </c>
      <c r="K226" s="2" t="s">
        <v>17</v>
      </c>
      <c r="L226" s="2" t="s">
        <v>26</v>
      </c>
      <c r="M226" s="2" t="s">
        <v>27</v>
      </c>
      <c r="N226" s="2" t="s">
        <v>645</v>
      </c>
      <c r="O226" s="2" t="s">
        <v>78</v>
      </c>
      <c r="P226" s="2" t="s">
        <v>29</v>
      </c>
      <c r="Q226" s="2" t="s">
        <v>17</v>
      </c>
    </row>
    <row r="227" spans="1:17" hidden="1">
      <c r="A227" s="2">
        <v>13233</v>
      </c>
      <c r="B227" s="2" t="s">
        <v>1458</v>
      </c>
      <c r="C227" s="2" t="s">
        <v>1459</v>
      </c>
      <c r="D227" s="3">
        <v>46139.327083333337</v>
      </c>
      <c r="E227" s="2" t="s">
        <v>21</v>
      </c>
      <c r="F227" s="2" t="s">
        <v>5</v>
      </c>
      <c r="G227" s="2" t="s">
        <v>80</v>
      </c>
      <c r="H227" s="2" t="s">
        <v>23</v>
      </c>
      <c r="I227" s="2" t="s">
        <v>17</v>
      </c>
      <c r="J227" s="2" t="s">
        <v>17</v>
      </c>
      <c r="K227" s="2" t="s">
        <v>17</v>
      </c>
      <c r="L227" s="2" t="s">
        <v>26</v>
      </c>
      <c r="M227" s="2" t="s">
        <v>19</v>
      </c>
      <c r="N227" s="2" t="s">
        <v>1460</v>
      </c>
      <c r="O227" s="2" t="s">
        <v>17</v>
      </c>
      <c r="P227" s="2" t="s">
        <v>49</v>
      </c>
      <c r="Q227" s="2" t="s">
        <v>17</v>
      </c>
    </row>
    <row r="228" spans="1:17" hidden="1">
      <c r="A228" s="2">
        <v>12611</v>
      </c>
      <c r="B228" s="2" t="s">
        <v>641</v>
      </c>
      <c r="C228" s="2" t="s">
        <v>641</v>
      </c>
      <c r="D228" s="3">
        <v>46122.162499999999</v>
      </c>
      <c r="E228" s="2" t="s">
        <v>57</v>
      </c>
      <c r="F228" s="2" t="s">
        <v>17</v>
      </c>
      <c r="G228" s="2" t="s">
        <v>80</v>
      </c>
      <c r="H228" s="2" t="s">
        <v>23</v>
      </c>
      <c r="I228" s="2" t="s">
        <v>98</v>
      </c>
      <c r="J228" s="2" t="s">
        <v>99</v>
      </c>
      <c r="K228" s="2" t="s">
        <v>642</v>
      </c>
      <c r="L228" s="2" t="s">
        <v>100</v>
      </c>
      <c r="M228" s="2" t="s">
        <v>27</v>
      </c>
      <c r="N228" s="2" t="s">
        <v>643</v>
      </c>
      <c r="O228" s="2" t="s">
        <v>78</v>
      </c>
      <c r="P228" s="2" t="s">
        <v>101</v>
      </c>
      <c r="Q228" s="2" t="s">
        <v>17</v>
      </c>
    </row>
    <row r="229" spans="1:17" hidden="1">
      <c r="A229" s="2">
        <v>12365</v>
      </c>
      <c r="B229" s="2" t="s">
        <v>249</v>
      </c>
      <c r="C229" s="2" t="s">
        <v>249</v>
      </c>
      <c r="D229" s="3">
        <v>46115.745833333334</v>
      </c>
      <c r="E229" s="2" t="s">
        <v>57</v>
      </c>
      <c r="F229" s="2" t="s">
        <v>5</v>
      </c>
      <c r="G229" s="2" t="s">
        <v>22</v>
      </c>
      <c r="H229" s="2" t="s">
        <v>43</v>
      </c>
      <c r="I229" s="2" t="s">
        <v>250</v>
      </c>
      <c r="J229" s="2" t="s">
        <v>251</v>
      </c>
      <c r="K229" s="2" t="s">
        <v>252</v>
      </c>
      <c r="L229" s="2" t="s">
        <v>26</v>
      </c>
      <c r="M229" s="2" t="s">
        <v>47</v>
      </c>
      <c r="N229" s="2" t="s">
        <v>253</v>
      </c>
      <c r="O229" s="2" t="s">
        <v>78</v>
      </c>
      <c r="P229" s="2" t="s">
        <v>101</v>
      </c>
      <c r="Q229" s="2" t="s">
        <v>17</v>
      </c>
    </row>
    <row r="230" spans="1:17" hidden="1">
      <c r="A230" s="2">
        <v>12406</v>
      </c>
      <c r="B230" s="2" t="s">
        <v>379</v>
      </c>
      <c r="C230" s="2" t="s">
        <v>379</v>
      </c>
      <c r="D230" s="4">
        <v>46118</v>
      </c>
      <c r="E230" s="2" t="s">
        <v>179</v>
      </c>
      <c r="F230" s="2" t="s">
        <v>5</v>
      </c>
      <c r="G230" s="2" t="s">
        <v>22</v>
      </c>
      <c r="H230" s="2" t="s">
        <v>39</v>
      </c>
      <c r="I230" s="2" t="s">
        <v>380</v>
      </c>
      <c r="J230" s="2" t="s">
        <v>17</v>
      </c>
      <c r="K230" s="2" t="s">
        <v>17</v>
      </c>
      <c r="L230" s="2" t="s">
        <v>26</v>
      </c>
      <c r="M230" s="2" t="s">
        <v>27</v>
      </c>
      <c r="N230" s="2" t="s">
        <v>381</v>
      </c>
      <c r="O230" s="2" t="s">
        <v>17</v>
      </c>
      <c r="P230" s="2" t="s">
        <v>127</v>
      </c>
      <c r="Q230" s="2" t="s">
        <v>17</v>
      </c>
    </row>
    <row r="231" spans="1:17" hidden="1">
      <c r="A231" s="2">
        <v>12880</v>
      </c>
      <c r="B231" s="2" t="s">
        <v>997</v>
      </c>
      <c r="C231" s="2" t="s">
        <v>997</v>
      </c>
      <c r="D231" s="3">
        <v>46129.911805555559</v>
      </c>
      <c r="E231" s="2" t="s">
        <v>16</v>
      </c>
      <c r="F231" s="2" t="s">
        <v>230</v>
      </c>
      <c r="G231" s="2" t="s">
        <v>308</v>
      </c>
      <c r="H231" s="2" t="s">
        <v>235</v>
      </c>
      <c r="I231" s="2" t="s">
        <v>110</v>
      </c>
      <c r="J231" s="2" t="s">
        <v>998</v>
      </c>
      <c r="K231" s="2" t="s">
        <v>66</v>
      </c>
      <c r="L231" s="2" t="s">
        <v>26</v>
      </c>
      <c r="M231" s="2" t="s">
        <v>27</v>
      </c>
      <c r="N231" s="2" t="s">
        <v>999</v>
      </c>
      <c r="O231" s="2" t="s">
        <v>17</v>
      </c>
      <c r="P231" s="2" t="s">
        <v>36</v>
      </c>
      <c r="Q231" s="2" t="s">
        <v>17</v>
      </c>
    </row>
    <row r="232" spans="1:17" hidden="1">
      <c r="A232" s="2">
        <v>12608</v>
      </c>
      <c r="B232" s="2" t="s">
        <v>632</v>
      </c>
      <c r="C232" s="2" t="s">
        <v>632</v>
      </c>
      <c r="D232" s="3">
        <v>46121.95</v>
      </c>
      <c r="E232" s="2" t="s">
        <v>57</v>
      </c>
      <c r="F232" s="2" t="s">
        <v>5</v>
      </c>
      <c r="G232" s="2" t="s">
        <v>22</v>
      </c>
      <c r="H232" s="2" t="s">
        <v>43</v>
      </c>
      <c r="I232" s="2" t="s">
        <v>633</v>
      </c>
      <c r="J232" s="2" t="s">
        <v>634</v>
      </c>
      <c r="K232" s="2" t="s">
        <v>635</v>
      </c>
      <c r="L232" s="2" t="s">
        <v>26</v>
      </c>
      <c r="M232" s="2" t="s">
        <v>47</v>
      </c>
      <c r="N232" s="2" t="s">
        <v>636</v>
      </c>
      <c r="O232" s="2" t="s">
        <v>78</v>
      </c>
      <c r="P232" s="2" t="s">
        <v>36</v>
      </c>
      <c r="Q232" s="2" t="s">
        <v>17</v>
      </c>
    </row>
    <row r="233" spans="1:17" hidden="1">
      <c r="A233" s="2">
        <v>13412</v>
      </c>
      <c r="B233" s="2" t="s">
        <v>1636</v>
      </c>
      <c r="C233" s="2" t="s">
        <v>1636</v>
      </c>
      <c r="D233" s="3">
        <v>46142.798611111109</v>
      </c>
      <c r="E233" s="2" t="s">
        <v>1324</v>
      </c>
      <c r="F233" s="2" t="s">
        <v>5</v>
      </c>
      <c r="G233" s="2" t="s">
        <v>22</v>
      </c>
      <c r="H233" s="2" t="s">
        <v>23</v>
      </c>
      <c r="I233" s="2" t="s">
        <v>1423</v>
      </c>
      <c r="J233" s="2" t="s">
        <v>420</v>
      </c>
      <c r="K233" s="2" t="s">
        <v>1637</v>
      </c>
      <c r="L233" s="2" t="s">
        <v>26</v>
      </c>
      <c r="M233" s="2" t="s">
        <v>27</v>
      </c>
      <c r="N233" s="253" t="s">
        <v>1638</v>
      </c>
      <c r="O233" s="2" t="s">
        <v>17</v>
      </c>
      <c r="P233" s="2" t="s">
        <v>29</v>
      </c>
      <c r="Q233" s="2" t="s">
        <v>17</v>
      </c>
    </row>
    <row r="234" spans="1:17" hidden="1">
      <c r="A234" s="2">
        <v>12745</v>
      </c>
      <c r="B234" s="2" t="s">
        <v>854</v>
      </c>
      <c r="C234" s="2" t="s">
        <v>855</v>
      </c>
      <c r="D234" s="3">
        <v>46126.588194444441</v>
      </c>
      <c r="E234" s="2" t="s">
        <v>57</v>
      </c>
      <c r="F234" s="2" t="s">
        <v>5</v>
      </c>
      <c r="G234" s="2" t="s">
        <v>18</v>
      </c>
      <c r="H234" s="2" t="s">
        <v>23</v>
      </c>
      <c r="I234" s="2" t="s">
        <v>88</v>
      </c>
      <c r="J234" s="2" t="s">
        <v>856</v>
      </c>
      <c r="K234" s="2" t="s">
        <v>857</v>
      </c>
      <c r="L234" s="2" t="s">
        <v>26</v>
      </c>
      <c r="M234" s="2" t="s">
        <v>27</v>
      </c>
      <c r="N234" s="2" t="s">
        <v>858</v>
      </c>
      <c r="O234" s="2" t="s">
        <v>78</v>
      </c>
      <c r="P234" s="2" t="s">
        <v>36</v>
      </c>
      <c r="Q234" s="2" t="s">
        <v>17</v>
      </c>
    </row>
    <row r="235" spans="1:17" hidden="1">
      <c r="A235" s="2">
        <v>13076</v>
      </c>
      <c r="B235" s="2" t="s">
        <v>1256</v>
      </c>
      <c r="C235" s="2" t="s">
        <v>1257</v>
      </c>
      <c r="D235" s="3">
        <v>46135.020138888889</v>
      </c>
      <c r="E235" s="2" t="s">
        <v>57</v>
      </c>
      <c r="F235" s="2" t="s">
        <v>5</v>
      </c>
      <c r="G235" s="2" t="s">
        <v>18</v>
      </c>
      <c r="H235" s="2" t="s">
        <v>23</v>
      </c>
      <c r="I235" s="2" t="s">
        <v>88</v>
      </c>
      <c r="J235" s="2" t="s">
        <v>1258</v>
      </c>
      <c r="K235" s="2" t="s">
        <v>1259</v>
      </c>
      <c r="L235" s="2" t="s">
        <v>26</v>
      </c>
      <c r="M235" s="2" t="s">
        <v>27</v>
      </c>
      <c r="N235" s="2" t="s">
        <v>1260</v>
      </c>
      <c r="O235" s="2" t="s">
        <v>62</v>
      </c>
      <c r="P235" s="2" t="s">
        <v>101</v>
      </c>
      <c r="Q235" s="2" t="s">
        <v>17</v>
      </c>
    </row>
    <row r="236" spans="1:17" hidden="1">
      <c r="A236" s="2">
        <v>13370</v>
      </c>
      <c r="B236" s="2" t="s">
        <v>1621</v>
      </c>
      <c r="C236" s="2" t="s">
        <v>1621</v>
      </c>
      <c r="D236" s="3">
        <v>46142.366666666669</v>
      </c>
      <c r="E236" s="2" t="s">
        <v>21</v>
      </c>
      <c r="F236" s="2" t="s">
        <v>5</v>
      </c>
      <c r="G236" s="2" t="s">
        <v>22</v>
      </c>
      <c r="H236" s="2" t="s">
        <v>23</v>
      </c>
      <c r="I236" s="2" t="s">
        <v>380</v>
      </c>
      <c r="J236" s="2" t="s">
        <v>1316</v>
      </c>
      <c r="K236" s="2" t="s">
        <v>1622</v>
      </c>
      <c r="L236" s="2" t="s">
        <v>54</v>
      </c>
      <c r="M236" s="2" t="s">
        <v>27</v>
      </c>
      <c r="N236" s="2" t="s">
        <v>1623</v>
      </c>
      <c r="O236" s="2" t="s">
        <v>17</v>
      </c>
      <c r="P236" s="2" t="s">
        <v>29</v>
      </c>
      <c r="Q236" s="2" t="s">
        <v>17</v>
      </c>
    </row>
    <row r="237" spans="1:17" hidden="1">
      <c r="A237" s="2">
        <v>12647</v>
      </c>
      <c r="B237" s="2" t="s">
        <v>693</v>
      </c>
      <c r="C237" s="2" t="s">
        <v>694</v>
      </c>
      <c r="D237" s="3">
        <v>46123.4375</v>
      </c>
      <c r="E237" s="2" t="s">
        <v>57</v>
      </c>
      <c r="F237" s="2" t="s">
        <v>5</v>
      </c>
      <c r="G237" s="2" t="s">
        <v>18</v>
      </c>
      <c r="H237" s="2" t="s">
        <v>23</v>
      </c>
      <c r="I237" s="2" t="s">
        <v>695</v>
      </c>
      <c r="J237" s="2" t="s">
        <v>696</v>
      </c>
      <c r="K237" s="2" t="s">
        <v>697</v>
      </c>
      <c r="L237" s="2" t="s">
        <v>26</v>
      </c>
      <c r="M237" s="2" t="s">
        <v>27</v>
      </c>
      <c r="N237" s="2" t="s">
        <v>698</v>
      </c>
      <c r="O237" s="2" t="s">
        <v>78</v>
      </c>
      <c r="P237" s="2" t="s">
        <v>36</v>
      </c>
      <c r="Q237" s="2" t="s">
        <v>17</v>
      </c>
    </row>
    <row r="238" spans="1:17" hidden="1">
      <c r="A238" s="2">
        <v>12881</v>
      </c>
      <c r="B238" s="2" t="s">
        <v>1000</v>
      </c>
      <c r="C238" s="2" t="s">
        <v>1000</v>
      </c>
      <c r="D238" s="3">
        <v>46129.935416666667</v>
      </c>
      <c r="E238" s="2" t="s">
        <v>647</v>
      </c>
      <c r="F238" s="2" t="s">
        <v>5</v>
      </c>
      <c r="G238" s="2" t="s">
        <v>80</v>
      </c>
      <c r="H238" s="2" t="s">
        <v>23</v>
      </c>
      <c r="I238" s="2" t="s">
        <v>81</v>
      </c>
      <c r="J238" s="2" t="s">
        <v>277</v>
      </c>
      <c r="K238" s="2" t="s">
        <v>1001</v>
      </c>
      <c r="L238" s="2" t="s">
        <v>84</v>
      </c>
      <c r="M238" s="2" t="s">
        <v>27</v>
      </c>
      <c r="N238" s="2" t="s">
        <v>1002</v>
      </c>
      <c r="O238" s="2" t="s">
        <v>17</v>
      </c>
      <c r="P238" s="2" t="s">
        <v>101</v>
      </c>
      <c r="Q238" s="2" t="s">
        <v>17</v>
      </c>
    </row>
    <row r="239" spans="1:17" hidden="1">
      <c r="A239" s="2">
        <v>13363</v>
      </c>
      <c r="B239" s="2" t="s">
        <v>1603</v>
      </c>
      <c r="C239" s="2" t="s">
        <v>1603</v>
      </c>
      <c r="D239" s="3">
        <v>46142.072916666672</v>
      </c>
      <c r="E239" s="2" t="s">
        <v>1324</v>
      </c>
      <c r="F239" s="2" t="s">
        <v>5</v>
      </c>
      <c r="G239" s="2" t="s">
        <v>80</v>
      </c>
      <c r="H239" s="2" t="s">
        <v>23</v>
      </c>
      <c r="I239" s="2" t="s">
        <v>81</v>
      </c>
      <c r="J239" s="2" t="s">
        <v>1604</v>
      </c>
      <c r="K239" s="2" t="s">
        <v>1605</v>
      </c>
      <c r="L239" s="2" t="s">
        <v>84</v>
      </c>
      <c r="M239" s="2" t="s">
        <v>27</v>
      </c>
      <c r="N239" s="2" t="s">
        <v>1606</v>
      </c>
      <c r="O239" s="2" t="s">
        <v>17</v>
      </c>
      <c r="P239" s="2" t="s">
        <v>36</v>
      </c>
      <c r="Q239" s="2" t="s">
        <v>17</v>
      </c>
    </row>
    <row r="240" spans="1:17" hidden="1">
      <c r="A240" s="2">
        <v>13348</v>
      </c>
      <c r="B240" s="2" t="s">
        <v>1579</v>
      </c>
      <c r="C240" s="2" t="s">
        <v>1579</v>
      </c>
      <c r="D240" s="3">
        <v>46141.708333333328</v>
      </c>
      <c r="E240" s="2" t="s">
        <v>21</v>
      </c>
      <c r="F240" s="2" t="s">
        <v>5</v>
      </c>
      <c r="G240" s="2" t="s">
        <v>22</v>
      </c>
      <c r="H240" s="2" t="s">
        <v>39</v>
      </c>
      <c r="I240" s="2" t="s">
        <v>1580</v>
      </c>
      <c r="J240" s="2" t="s">
        <v>17</v>
      </c>
      <c r="K240" s="2" t="s">
        <v>17</v>
      </c>
      <c r="L240" s="2" t="s">
        <v>26</v>
      </c>
      <c r="M240" s="2" t="s">
        <v>27</v>
      </c>
      <c r="N240" s="2" t="s">
        <v>1581</v>
      </c>
      <c r="O240" s="2" t="s">
        <v>17</v>
      </c>
      <c r="P240" s="2" t="s">
        <v>127</v>
      </c>
      <c r="Q240" s="2" t="s">
        <v>17</v>
      </c>
    </row>
    <row r="241" spans="1:17" hidden="1">
      <c r="A241" s="2">
        <v>12901</v>
      </c>
      <c r="B241" s="2" t="s">
        <v>1028</v>
      </c>
      <c r="C241" s="2" t="s">
        <v>1028</v>
      </c>
      <c r="D241" s="3">
        <v>46130.803472222222</v>
      </c>
      <c r="E241" s="2" t="s">
        <v>900</v>
      </c>
      <c r="F241" s="2" t="s">
        <v>5</v>
      </c>
      <c r="G241" s="2" t="s">
        <v>22</v>
      </c>
      <c r="H241" s="2" t="s">
        <v>43</v>
      </c>
      <c r="I241" s="2" t="s">
        <v>187</v>
      </c>
      <c r="J241" s="2" t="s">
        <v>1029</v>
      </c>
      <c r="K241" s="2" t="s">
        <v>1030</v>
      </c>
      <c r="L241" s="2" t="s">
        <v>26</v>
      </c>
      <c r="M241" s="2" t="s">
        <v>47</v>
      </c>
      <c r="N241" s="2" t="s">
        <v>1031</v>
      </c>
      <c r="O241" s="2" t="s">
        <v>17</v>
      </c>
      <c r="P241" s="2" t="s">
        <v>36</v>
      </c>
      <c r="Q241" s="2" t="s">
        <v>17</v>
      </c>
    </row>
    <row r="242" spans="1:17" hidden="1">
      <c r="A242" s="2">
        <v>12392</v>
      </c>
      <c r="B242" s="2" t="s">
        <v>335</v>
      </c>
      <c r="C242" s="2" t="s">
        <v>335</v>
      </c>
      <c r="D242" s="3">
        <v>46117.06527777778</v>
      </c>
      <c r="E242" s="2" t="s">
        <v>21</v>
      </c>
      <c r="F242" s="2" t="s">
        <v>5</v>
      </c>
      <c r="G242" s="2" t="s">
        <v>80</v>
      </c>
      <c r="H242" s="2" t="s">
        <v>23</v>
      </c>
      <c r="I242" s="2" t="s">
        <v>81</v>
      </c>
      <c r="J242" s="2" t="s">
        <v>336</v>
      </c>
      <c r="K242" s="2" t="s">
        <v>337</v>
      </c>
      <c r="L242" s="2" t="s">
        <v>84</v>
      </c>
      <c r="M242" s="2" t="s">
        <v>27</v>
      </c>
      <c r="N242" s="2" t="s">
        <v>338</v>
      </c>
      <c r="O242" s="2" t="s">
        <v>17</v>
      </c>
      <c r="P242" s="2" t="s">
        <v>36</v>
      </c>
      <c r="Q242" s="2" t="s">
        <v>17</v>
      </c>
    </row>
    <row r="243" spans="1:17" hidden="1">
      <c r="A243" s="2">
        <v>12548</v>
      </c>
      <c r="B243" s="2" t="s">
        <v>549</v>
      </c>
      <c r="C243" s="2" t="s">
        <v>549</v>
      </c>
      <c r="D243" s="3">
        <v>46120.704861111109</v>
      </c>
      <c r="E243" s="2" t="s">
        <v>21</v>
      </c>
      <c r="F243" s="2" t="s">
        <v>5</v>
      </c>
      <c r="G243" s="2" t="s">
        <v>22</v>
      </c>
      <c r="H243" s="2" t="s">
        <v>23</v>
      </c>
      <c r="I243" s="2" t="s">
        <v>17</v>
      </c>
      <c r="J243" s="2" t="s">
        <v>17</v>
      </c>
      <c r="K243" s="2" t="s">
        <v>17</v>
      </c>
      <c r="L243" s="2" t="s">
        <v>54</v>
      </c>
      <c r="M243" s="2" t="s">
        <v>27</v>
      </c>
      <c r="N243" s="2" t="s">
        <v>550</v>
      </c>
      <c r="O243" s="2" t="s">
        <v>17</v>
      </c>
      <c r="P243" s="254" t="s">
        <v>41</v>
      </c>
      <c r="Q243" s="2" t="s">
        <v>17</v>
      </c>
    </row>
    <row r="244" spans="1:17" hidden="1">
      <c r="A244" s="2">
        <v>12672</v>
      </c>
      <c r="B244" s="2" t="s">
        <v>766</v>
      </c>
      <c r="C244" s="2" t="s">
        <v>767</v>
      </c>
      <c r="D244" s="3">
        <v>46124.631944444445</v>
      </c>
      <c r="E244" s="2" t="s">
        <v>57</v>
      </c>
      <c r="F244" s="2" t="s">
        <v>5</v>
      </c>
      <c r="G244" s="2" t="s">
        <v>22</v>
      </c>
      <c r="H244" s="2" t="s">
        <v>23</v>
      </c>
      <c r="I244" s="2" t="s">
        <v>658</v>
      </c>
      <c r="J244" s="2" t="s">
        <v>17</v>
      </c>
      <c r="K244" s="2" t="s">
        <v>17</v>
      </c>
      <c r="L244" s="2" t="s">
        <v>54</v>
      </c>
      <c r="M244" s="2" t="s">
        <v>27</v>
      </c>
      <c r="N244" s="2" t="s">
        <v>768</v>
      </c>
      <c r="O244" s="2" t="s">
        <v>107</v>
      </c>
      <c r="P244" s="2" t="s">
        <v>41</v>
      </c>
      <c r="Q244" s="2" t="s">
        <v>17</v>
      </c>
    </row>
    <row r="245" spans="1:17" hidden="1">
      <c r="A245" s="2">
        <v>13223</v>
      </c>
      <c r="B245" s="2" t="s">
        <v>1438</v>
      </c>
      <c r="C245" s="2" t="s">
        <v>1438</v>
      </c>
      <c r="D245" s="3">
        <v>46139.111111111109</v>
      </c>
      <c r="E245" s="2" t="s">
        <v>21</v>
      </c>
      <c r="F245" s="2" t="s">
        <v>5</v>
      </c>
      <c r="G245" s="2" t="s">
        <v>80</v>
      </c>
      <c r="H245" s="2" t="s">
        <v>23</v>
      </c>
      <c r="I245" s="2" t="s">
        <v>88</v>
      </c>
      <c r="J245" s="2" t="s">
        <v>1439</v>
      </c>
      <c r="K245" s="2" t="s">
        <v>1440</v>
      </c>
      <c r="L245" s="2" t="s">
        <v>26</v>
      </c>
      <c r="M245" s="2" t="s">
        <v>27</v>
      </c>
      <c r="N245" s="2" t="s">
        <v>1441</v>
      </c>
      <c r="O245" s="2" t="s">
        <v>17</v>
      </c>
      <c r="P245" s="2" t="s">
        <v>36</v>
      </c>
      <c r="Q245" s="2" t="s">
        <v>17</v>
      </c>
    </row>
    <row r="246" spans="1:17" hidden="1">
      <c r="A246" s="2">
        <v>12897</v>
      </c>
      <c r="B246" s="2" t="s">
        <v>1022</v>
      </c>
      <c r="C246" s="2" t="s">
        <v>1022</v>
      </c>
      <c r="D246" s="3">
        <v>46130.645833333328</v>
      </c>
      <c r="E246" s="2" t="s">
        <v>57</v>
      </c>
      <c r="F246" s="2" t="s">
        <v>5</v>
      </c>
      <c r="G246" s="2" t="s">
        <v>22</v>
      </c>
      <c r="H246" s="2" t="s">
        <v>235</v>
      </c>
      <c r="I246" s="2" t="s">
        <v>17</v>
      </c>
      <c r="J246" s="2" t="s">
        <v>17</v>
      </c>
      <c r="K246" s="2" t="s">
        <v>17</v>
      </c>
      <c r="L246" s="2" t="s">
        <v>26</v>
      </c>
      <c r="M246" s="2" t="s">
        <v>27</v>
      </c>
      <c r="N246" s="2" t="s">
        <v>1023</v>
      </c>
      <c r="O246" s="2" t="s">
        <v>107</v>
      </c>
      <c r="P246" s="2" t="s">
        <v>127</v>
      </c>
      <c r="Q246" s="2" t="s">
        <v>17</v>
      </c>
    </row>
    <row r="247" spans="1:17" hidden="1">
      <c r="A247" s="2">
        <v>12905</v>
      </c>
      <c r="B247" s="2" t="s">
        <v>1037</v>
      </c>
      <c r="C247" s="2" t="s">
        <v>1037</v>
      </c>
      <c r="D247" s="3">
        <v>46131.024305555555</v>
      </c>
      <c r="E247" s="2" t="s">
        <v>21</v>
      </c>
      <c r="F247" s="2" t="s">
        <v>5</v>
      </c>
      <c r="G247" s="2" t="s">
        <v>80</v>
      </c>
      <c r="H247" s="2" t="s">
        <v>23</v>
      </c>
      <c r="I247" s="2" t="s">
        <v>88</v>
      </c>
      <c r="J247" s="2" t="s">
        <v>1038</v>
      </c>
      <c r="K247" s="2" t="s">
        <v>1039</v>
      </c>
      <c r="L247" s="2" t="s">
        <v>26</v>
      </c>
      <c r="M247" s="2" t="s">
        <v>27</v>
      </c>
      <c r="N247" s="2" t="s">
        <v>1040</v>
      </c>
      <c r="O247" s="2" t="s">
        <v>17</v>
      </c>
      <c r="P247" s="2" t="s">
        <v>36</v>
      </c>
      <c r="Q247" s="2" t="s">
        <v>17</v>
      </c>
    </row>
    <row r="248" spans="1:17" hidden="1">
      <c r="A248" s="2">
        <v>12859</v>
      </c>
      <c r="B248" s="2" t="s">
        <v>966</v>
      </c>
      <c r="C248" s="2" t="s">
        <v>966</v>
      </c>
      <c r="D248" s="3">
        <v>46129.645833333328</v>
      </c>
      <c r="E248" s="2" t="s">
        <v>900</v>
      </c>
      <c r="F248" s="2" t="s">
        <v>5</v>
      </c>
      <c r="G248" s="2" t="s">
        <v>22</v>
      </c>
      <c r="H248" s="2" t="s">
        <v>39</v>
      </c>
      <c r="I248" s="2" t="s">
        <v>17</v>
      </c>
      <c r="J248" s="2" t="s">
        <v>17</v>
      </c>
      <c r="K248" s="2" t="s">
        <v>17</v>
      </c>
      <c r="L248" s="2" t="s">
        <v>26</v>
      </c>
      <c r="M248" s="2" t="s">
        <v>27</v>
      </c>
      <c r="N248" s="2" t="s">
        <v>967</v>
      </c>
      <c r="O248" s="2" t="s">
        <v>17</v>
      </c>
      <c r="P248" s="2" t="s">
        <v>127</v>
      </c>
      <c r="Q248" s="2" t="s">
        <v>17</v>
      </c>
    </row>
    <row r="249" spans="1:17" hidden="1">
      <c r="A249" s="2">
        <v>12583</v>
      </c>
      <c r="B249" s="2" t="s">
        <v>584</v>
      </c>
      <c r="C249" s="2" t="s">
        <v>585</v>
      </c>
      <c r="D249" s="3">
        <v>46121.713194444441</v>
      </c>
      <c r="E249" s="2" t="s">
        <v>57</v>
      </c>
      <c r="F249" s="2" t="s">
        <v>5</v>
      </c>
      <c r="G249" s="2" t="s">
        <v>18</v>
      </c>
      <c r="H249" s="2" t="s">
        <v>23</v>
      </c>
      <c r="I249" s="2" t="s">
        <v>88</v>
      </c>
      <c r="J249" s="2" t="s">
        <v>586</v>
      </c>
      <c r="K249" s="2" t="s">
        <v>587</v>
      </c>
      <c r="L249" s="2" t="s">
        <v>26</v>
      </c>
      <c r="M249" s="2" t="s">
        <v>27</v>
      </c>
      <c r="N249" s="2" t="s">
        <v>588</v>
      </c>
      <c r="O249" s="2" t="s">
        <v>78</v>
      </c>
      <c r="P249" s="2" t="s">
        <v>36</v>
      </c>
      <c r="Q249" s="2" t="s">
        <v>17</v>
      </c>
    </row>
    <row r="250" spans="1:17" hidden="1">
      <c r="A250" s="2">
        <v>12441</v>
      </c>
      <c r="B250" s="2" t="s">
        <v>423</v>
      </c>
      <c r="C250" s="2" t="s">
        <v>423</v>
      </c>
      <c r="D250" s="3">
        <v>46118.804861111115</v>
      </c>
      <c r="E250" s="2" t="s">
        <v>57</v>
      </c>
      <c r="F250" s="2" t="s">
        <v>5</v>
      </c>
      <c r="G250" s="2" t="s">
        <v>22</v>
      </c>
      <c r="H250" s="2" t="s">
        <v>43</v>
      </c>
      <c r="I250" s="2" t="s">
        <v>74</v>
      </c>
      <c r="J250" s="2" t="s">
        <v>424</v>
      </c>
      <c r="K250" s="2" t="s">
        <v>425</v>
      </c>
      <c r="L250" s="2" t="s">
        <v>26</v>
      </c>
      <c r="M250" s="2" t="s">
        <v>47</v>
      </c>
      <c r="N250" s="2" t="s">
        <v>426</v>
      </c>
      <c r="O250" s="2" t="s">
        <v>78</v>
      </c>
      <c r="P250" s="2" t="s">
        <v>36</v>
      </c>
      <c r="Q250" s="2" t="s">
        <v>17</v>
      </c>
    </row>
    <row r="251" spans="1:17" hidden="1">
      <c r="A251" s="2">
        <v>12310</v>
      </c>
      <c r="B251" s="2" t="s">
        <v>181</v>
      </c>
      <c r="C251" s="2" t="s">
        <v>182</v>
      </c>
      <c r="D251" s="3">
        <v>46114.867361111115</v>
      </c>
      <c r="E251" s="2" t="s">
        <v>57</v>
      </c>
      <c r="F251" s="2" t="s">
        <v>5</v>
      </c>
      <c r="G251" s="2" t="s">
        <v>18</v>
      </c>
      <c r="H251" s="2" t="s">
        <v>23</v>
      </c>
      <c r="I251" s="2" t="s">
        <v>88</v>
      </c>
      <c r="J251" s="2" t="s">
        <v>183</v>
      </c>
      <c r="K251" s="2" t="s">
        <v>184</v>
      </c>
      <c r="L251" s="2" t="s">
        <v>26</v>
      </c>
      <c r="M251" s="2" t="s">
        <v>27</v>
      </c>
      <c r="N251" s="2" t="s">
        <v>185</v>
      </c>
      <c r="O251" s="2" t="s">
        <v>78</v>
      </c>
      <c r="P251" s="2" t="s">
        <v>36</v>
      </c>
      <c r="Q251" s="2" t="s">
        <v>17</v>
      </c>
    </row>
    <row r="252" spans="1:17" hidden="1">
      <c r="A252" s="2">
        <v>13059</v>
      </c>
      <c r="B252" s="2" t="s">
        <v>1219</v>
      </c>
      <c r="C252" s="2" t="s">
        <v>1219</v>
      </c>
      <c r="D252" s="3">
        <v>46134.656944444447</v>
      </c>
      <c r="E252" s="2" t="s">
        <v>57</v>
      </c>
      <c r="F252" s="2" t="s">
        <v>5</v>
      </c>
      <c r="G252" s="2" t="s">
        <v>18</v>
      </c>
      <c r="H252" s="2" t="s">
        <v>23</v>
      </c>
      <c r="I252" s="2" t="s">
        <v>88</v>
      </c>
      <c r="J252" s="2" t="s">
        <v>193</v>
      </c>
      <c r="K252" s="2" t="s">
        <v>1220</v>
      </c>
      <c r="L252" s="2" t="s">
        <v>26</v>
      </c>
      <c r="M252" s="2" t="s">
        <v>27</v>
      </c>
      <c r="N252" s="2" t="s">
        <v>1221</v>
      </c>
      <c r="O252" s="2" t="s">
        <v>62</v>
      </c>
      <c r="P252" s="2" t="s">
        <v>29</v>
      </c>
      <c r="Q252" s="2" t="s">
        <v>17</v>
      </c>
    </row>
    <row r="253" spans="1:17" hidden="1">
      <c r="A253" s="2">
        <v>12297</v>
      </c>
      <c r="B253" s="2" t="s">
        <v>146</v>
      </c>
      <c r="C253" s="2" t="s">
        <v>147</v>
      </c>
      <c r="D253" s="3">
        <v>46114.734027777777</v>
      </c>
      <c r="E253" s="2" t="s">
        <v>57</v>
      </c>
      <c r="F253" s="2" t="s">
        <v>5</v>
      </c>
      <c r="G253" s="2" t="s">
        <v>22</v>
      </c>
      <c r="H253" s="2" t="s">
        <v>43</v>
      </c>
      <c r="I253" s="2" t="s">
        <v>148</v>
      </c>
      <c r="J253" s="2" t="s">
        <v>149</v>
      </c>
      <c r="K253" s="2" t="s">
        <v>150</v>
      </c>
      <c r="L253" s="2" t="s">
        <v>26</v>
      </c>
      <c r="M253" s="2" t="s">
        <v>47</v>
      </c>
      <c r="N253" s="2" t="s">
        <v>151</v>
      </c>
      <c r="O253" s="2" t="s">
        <v>78</v>
      </c>
      <c r="P253" s="2" t="s">
        <v>36</v>
      </c>
      <c r="Q253" s="2" t="s">
        <v>17</v>
      </c>
    </row>
    <row r="254" spans="1:17" hidden="1">
      <c r="A254" s="2">
        <v>12633</v>
      </c>
      <c r="B254" s="2" t="s">
        <v>660</v>
      </c>
      <c r="C254" s="2" t="s">
        <v>661</v>
      </c>
      <c r="D254" s="3">
        <v>46122.84375</v>
      </c>
      <c r="E254" s="2" t="s">
        <v>57</v>
      </c>
      <c r="F254" s="2" t="s">
        <v>5</v>
      </c>
      <c r="G254" s="2" t="s">
        <v>18</v>
      </c>
      <c r="H254" s="2" t="s">
        <v>23</v>
      </c>
      <c r="I254" s="2" t="s">
        <v>88</v>
      </c>
      <c r="J254" s="2" t="s">
        <v>324</v>
      </c>
      <c r="K254" s="2" t="s">
        <v>17</v>
      </c>
      <c r="L254" s="2" t="s">
        <v>26</v>
      </c>
      <c r="M254" s="2" t="s">
        <v>27</v>
      </c>
      <c r="N254" s="2" t="s">
        <v>662</v>
      </c>
      <c r="O254" s="2" t="s">
        <v>62</v>
      </c>
      <c r="P254" s="2" t="s">
        <v>29</v>
      </c>
      <c r="Q254" s="2" t="s">
        <v>17</v>
      </c>
    </row>
    <row r="255" spans="1:17">
      <c r="A255" s="2">
        <v>13333</v>
      </c>
      <c r="B255" s="2" t="s">
        <v>1560</v>
      </c>
      <c r="C255" s="2" t="s">
        <v>1560</v>
      </c>
      <c r="D255" s="3">
        <v>46141.424305555556</v>
      </c>
      <c r="E255" s="2" t="s">
        <v>1186</v>
      </c>
      <c r="F255" s="2" t="s">
        <v>5</v>
      </c>
      <c r="G255" s="2" t="s">
        <v>22</v>
      </c>
      <c r="H255" s="2" t="s">
        <v>503</v>
      </c>
      <c r="I255" s="2" t="s">
        <v>74</v>
      </c>
      <c r="J255" s="2" t="s">
        <v>1561</v>
      </c>
      <c r="K255" s="2" t="s">
        <v>1562</v>
      </c>
      <c r="L255" s="2" t="s">
        <v>26</v>
      </c>
      <c r="M255" s="2" t="s">
        <v>47</v>
      </c>
      <c r="N255" s="2" t="s">
        <v>1563</v>
      </c>
      <c r="O255" s="2" t="s">
        <v>17</v>
      </c>
      <c r="P255" s="2" t="s">
        <v>36</v>
      </c>
      <c r="Q255" s="2" t="s">
        <v>17</v>
      </c>
    </row>
    <row r="256" spans="1:17" hidden="1">
      <c r="A256" s="2">
        <v>12402</v>
      </c>
      <c r="B256" s="2" t="s">
        <v>371</v>
      </c>
      <c r="C256" s="2" t="s">
        <v>371</v>
      </c>
      <c r="D256" s="3">
        <v>46117.837500000001</v>
      </c>
      <c r="E256" s="2" t="s">
        <v>16</v>
      </c>
      <c r="F256" s="2" t="s">
        <v>230</v>
      </c>
      <c r="G256" s="2" t="s">
        <v>308</v>
      </c>
      <c r="H256" s="2" t="s">
        <v>43</v>
      </c>
      <c r="I256" s="2" t="s">
        <v>74</v>
      </c>
      <c r="J256" s="2" t="s">
        <v>372</v>
      </c>
      <c r="K256" s="2" t="s">
        <v>373</v>
      </c>
      <c r="L256" s="2" t="s">
        <v>26</v>
      </c>
      <c r="M256" s="2" t="s">
        <v>47</v>
      </c>
      <c r="N256" s="2" t="s">
        <v>374</v>
      </c>
      <c r="O256" s="2" t="s">
        <v>17</v>
      </c>
      <c r="P256" s="2" t="s">
        <v>36</v>
      </c>
      <c r="Q256" s="2" t="s">
        <v>17</v>
      </c>
    </row>
    <row r="257" spans="1:17" hidden="1">
      <c r="A257" s="2">
        <v>12377</v>
      </c>
      <c r="B257" s="2" t="s">
        <v>285</v>
      </c>
      <c r="C257" s="2" t="s">
        <v>285</v>
      </c>
      <c r="D257" s="3">
        <v>46116.155555555553</v>
      </c>
      <c r="E257" s="2" t="s">
        <v>57</v>
      </c>
      <c r="F257" s="2" t="s">
        <v>5</v>
      </c>
      <c r="G257" s="2" t="s">
        <v>22</v>
      </c>
      <c r="H257" s="2" t="s">
        <v>43</v>
      </c>
      <c r="I257" s="2" t="s">
        <v>74</v>
      </c>
      <c r="J257" s="2" t="s">
        <v>286</v>
      </c>
      <c r="K257" s="2" t="s">
        <v>287</v>
      </c>
      <c r="L257" s="2" t="s">
        <v>26</v>
      </c>
      <c r="M257" s="2" t="s">
        <v>47</v>
      </c>
      <c r="N257" s="2" t="s">
        <v>288</v>
      </c>
      <c r="O257" s="2" t="s">
        <v>78</v>
      </c>
      <c r="P257" s="2" t="s">
        <v>36</v>
      </c>
      <c r="Q257" s="2" t="s">
        <v>17</v>
      </c>
    </row>
    <row r="258" spans="1:17" hidden="1">
      <c r="A258" s="2">
        <v>12839</v>
      </c>
      <c r="B258" s="2" t="s">
        <v>955</v>
      </c>
      <c r="C258" s="2" t="s">
        <v>955</v>
      </c>
      <c r="D258" s="3">
        <v>46129.011111111111</v>
      </c>
      <c r="E258" s="2" t="s">
        <v>900</v>
      </c>
      <c r="F258" s="2" t="s">
        <v>17</v>
      </c>
      <c r="G258" s="2" t="s">
        <v>22</v>
      </c>
      <c r="H258" s="2" t="s">
        <v>43</v>
      </c>
      <c r="I258" s="2" t="s">
        <v>754</v>
      </c>
      <c r="J258" s="2" t="s">
        <v>251</v>
      </c>
      <c r="K258" s="2" t="s">
        <v>956</v>
      </c>
      <c r="L258" s="2" t="s">
        <v>26</v>
      </c>
      <c r="M258" s="2" t="s">
        <v>47</v>
      </c>
      <c r="N258" s="2" t="s">
        <v>957</v>
      </c>
      <c r="O258" s="2" t="s">
        <v>17</v>
      </c>
      <c r="P258" s="2" t="s">
        <v>101</v>
      </c>
      <c r="Q258" s="2" t="s">
        <v>17</v>
      </c>
    </row>
    <row r="259" spans="1:17" hidden="1">
      <c r="A259" s="2">
        <v>12375</v>
      </c>
      <c r="B259" s="2" t="s">
        <v>280</v>
      </c>
      <c r="C259" s="2" t="s">
        <v>280</v>
      </c>
      <c r="D259" s="3">
        <v>46116.078472222223</v>
      </c>
      <c r="E259" s="2" t="s">
        <v>57</v>
      </c>
      <c r="F259" s="2" t="s">
        <v>17</v>
      </c>
      <c r="G259" s="2" t="s">
        <v>22</v>
      </c>
      <c r="H259" s="2" t="s">
        <v>43</v>
      </c>
      <c r="I259" s="2" t="s">
        <v>17</v>
      </c>
      <c r="J259" s="2" t="s">
        <v>17</v>
      </c>
      <c r="K259" s="2" t="s">
        <v>17</v>
      </c>
      <c r="L259" s="2" t="s">
        <v>26</v>
      </c>
      <c r="M259" s="2" t="s">
        <v>19</v>
      </c>
      <c r="N259" s="2" t="s">
        <v>281</v>
      </c>
      <c r="O259" s="2" t="s">
        <v>78</v>
      </c>
      <c r="P259" s="2" t="s">
        <v>41</v>
      </c>
      <c r="Q259" s="2" t="s">
        <v>17</v>
      </c>
    </row>
    <row r="260" spans="1:17" hidden="1">
      <c r="A260" s="2">
        <v>13047</v>
      </c>
      <c r="B260" s="2" t="s">
        <v>1206</v>
      </c>
      <c r="C260" s="2" t="s">
        <v>1206</v>
      </c>
      <c r="D260" s="3">
        <v>46134.427777777775</v>
      </c>
      <c r="E260" s="2" t="s">
        <v>905</v>
      </c>
      <c r="F260" s="2" t="s">
        <v>5</v>
      </c>
      <c r="G260" s="2" t="s">
        <v>22</v>
      </c>
      <c r="H260" s="2" t="s">
        <v>43</v>
      </c>
      <c r="I260" s="2" t="s">
        <v>74</v>
      </c>
      <c r="J260" s="2" t="s">
        <v>1207</v>
      </c>
      <c r="K260" s="2" t="s">
        <v>1208</v>
      </c>
      <c r="L260" s="2" t="s">
        <v>26</v>
      </c>
      <c r="M260" s="2" t="s">
        <v>47</v>
      </c>
      <c r="N260" s="2" t="s">
        <v>1209</v>
      </c>
      <c r="O260" s="2" t="s">
        <v>17</v>
      </c>
      <c r="P260" s="2" t="s">
        <v>36</v>
      </c>
      <c r="Q260" s="2" t="s">
        <v>17</v>
      </c>
    </row>
    <row r="261" spans="1:17" hidden="1">
      <c r="A261" s="2">
        <v>12702</v>
      </c>
      <c r="B261" s="2" t="s">
        <v>805</v>
      </c>
      <c r="C261" s="2" t="s">
        <v>805</v>
      </c>
      <c r="D261" s="3">
        <v>46125.707638888889</v>
      </c>
      <c r="E261" s="2" t="s">
        <v>647</v>
      </c>
      <c r="F261" s="2" t="s">
        <v>5</v>
      </c>
      <c r="G261" s="2" t="s">
        <v>22</v>
      </c>
      <c r="H261" s="2" t="s">
        <v>43</v>
      </c>
      <c r="I261" s="2" t="s">
        <v>806</v>
      </c>
      <c r="J261" s="2" t="s">
        <v>807</v>
      </c>
      <c r="K261" s="2" t="s">
        <v>17</v>
      </c>
      <c r="L261" s="2" t="s">
        <v>26</v>
      </c>
      <c r="M261" s="2" t="s">
        <v>47</v>
      </c>
      <c r="N261" s="2" t="s">
        <v>808</v>
      </c>
      <c r="O261" s="2" t="s">
        <v>17</v>
      </c>
      <c r="P261" s="2" t="s">
        <v>17</v>
      </c>
      <c r="Q261" s="2" t="s">
        <v>17</v>
      </c>
    </row>
    <row r="262" spans="1:17" hidden="1">
      <c r="A262" s="2">
        <v>12469</v>
      </c>
      <c r="B262" s="2" t="s">
        <v>485</v>
      </c>
      <c r="C262" s="2" t="s">
        <v>485</v>
      </c>
      <c r="D262" s="3">
        <v>46119.4375</v>
      </c>
      <c r="E262" s="2" t="s">
        <v>57</v>
      </c>
      <c r="F262" s="2" t="s">
        <v>17</v>
      </c>
      <c r="G262" s="2" t="s">
        <v>18</v>
      </c>
      <c r="H262" s="2" t="s">
        <v>17</v>
      </c>
      <c r="I262" s="2" t="s">
        <v>17</v>
      </c>
      <c r="J262" s="2" t="s">
        <v>17</v>
      </c>
      <c r="K262" s="2" t="s">
        <v>17</v>
      </c>
      <c r="L262" s="2" t="s">
        <v>17</v>
      </c>
      <c r="M262" s="2" t="s">
        <v>27</v>
      </c>
      <c r="N262" s="2" t="s">
        <v>486</v>
      </c>
      <c r="O262" s="2" t="s">
        <v>126</v>
      </c>
      <c r="P262" s="2" t="s">
        <v>127</v>
      </c>
      <c r="Q262" s="2" t="s">
        <v>17</v>
      </c>
    </row>
    <row r="263" spans="1:17" hidden="1">
      <c r="A263" s="2">
        <v>13290</v>
      </c>
      <c r="B263" s="2" t="s">
        <v>1543</v>
      </c>
      <c r="C263" s="2" t="s">
        <v>1543</v>
      </c>
      <c r="D263" s="3">
        <v>46140.375</v>
      </c>
      <c r="E263" s="2" t="s">
        <v>1186</v>
      </c>
      <c r="F263" s="2" t="s">
        <v>5</v>
      </c>
      <c r="G263" s="2" t="s">
        <v>22</v>
      </c>
      <c r="H263" s="2" t="s">
        <v>235</v>
      </c>
      <c r="I263" s="2" t="s">
        <v>17</v>
      </c>
      <c r="J263" s="2" t="s">
        <v>17</v>
      </c>
      <c r="K263" s="2" t="s">
        <v>17</v>
      </c>
      <c r="L263" s="2" t="s">
        <v>26</v>
      </c>
      <c r="M263" s="2" t="s">
        <v>27</v>
      </c>
      <c r="N263" s="2" t="s">
        <v>1544</v>
      </c>
      <c r="O263" s="2" t="s">
        <v>17</v>
      </c>
      <c r="P263" s="2" t="s">
        <v>127</v>
      </c>
      <c r="Q263" s="2" t="s">
        <v>17</v>
      </c>
    </row>
    <row r="264" spans="1:17" hidden="1">
      <c r="A264" s="2">
        <v>12460</v>
      </c>
      <c r="B264" s="2" t="s">
        <v>466</v>
      </c>
      <c r="C264" s="2" t="s">
        <v>467</v>
      </c>
      <c r="D264" s="3">
        <v>46119.145138888889</v>
      </c>
      <c r="E264" s="2" t="s">
        <v>57</v>
      </c>
      <c r="F264" s="2" t="s">
        <v>17</v>
      </c>
      <c r="G264" s="2" t="s">
        <v>18</v>
      </c>
      <c r="H264" s="2" t="s">
        <v>23</v>
      </c>
      <c r="I264" s="2" t="s">
        <v>88</v>
      </c>
      <c r="J264" s="2" t="s">
        <v>468</v>
      </c>
      <c r="K264" s="2" t="s">
        <v>469</v>
      </c>
      <c r="L264" s="2" t="s">
        <v>26</v>
      </c>
      <c r="M264" s="2" t="s">
        <v>27</v>
      </c>
      <c r="N264" s="2" t="s">
        <v>470</v>
      </c>
      <c r="O264" s="2" t="s">
        <v>78</v>
      </c>
      <c r="P264" s="2" t="s">
        <v>36</v>
      </c>
      <c r="Q264" s="2" t="s">
        <v>17</v>
      </c>
    </row>
    <row r="265" spans="1:17" hidden="1">
      <c r="A265" s="2">
        <v>12635</v>
      </c>
      <c r="B265" s="2" t="s">
        <v>667</v>
      </c>
      <c r="C265" s="2" t="s">
        <v>667</v>
      </c>
      <c r="D265" s="3">
        <v>46122.927777777775</v>
      </c>
      <c r="E265" s="2" t="s">
        <v>57</v>
      </c>
      <c r="F265" s="2" t="s">
        <v>230</v>
      </c>
      <c r="G265" s="2" t="s">
        <v>22</v>
      </c>
      <c r="H265" s="2" t="s">
        <v>235</v>
      </c>
      <c r="I265" s="2" t="s">
        <v>88</v>
      </c>
      <c r="J265" s="2" t="s">
        <v>668</v>
      </c>
      <c r="K265" s="2" t="s">
        <v>669</v>
      </c>
      <c r="L265" s="2" t="s">
        <v>26</v>
      </c>
      <c r="M265" s="2" t="s">
        <v>27</v>
      </c>
      <c r="N265" s="2" t="s">
        <v>670</v>
      </c>
      <c r="O265" s="2" t="s">
        <v>78</v>
      </c>
      <c r="P265" s="2" t="s">
        <v>36</v>
      </c>
      <c r="Q265" s="2" t="s">
        <v>17</v>
      </c>
    </row>
    <row r="266" spans="1:17" hidden="1">
      <c r="A266" s="2">
        <v>12758</v>
      </c>
      <c r="B266" s="2" t="s">
        <v>877</v>
      </c>
      <c r="C266" s="2" t="s">
        <v>878</v>
      </c>
      <c r="D266" s="3">
        <v>46126.875</v>
      </c>
      <c r="E266" s="2" t="s">
        <v>21</v>
      </c>
      <c r="F266" s="2" t="s">
        <v>5</v>
      </c>
      <c r="G266" s="2" t="s">
        <v>18</v>
      </c>
      <c r="H266" s="2" t="s">
        <v>23</v>
      </c>
      <c r="I266" s="2" t="s">
        <v>17</v>
      </c>
      <c r="J266" s="2" t="s">
        <v>17</v>
      </c>
      <c r="K266" s="2" t="s">
        <v>17</v>
      </c>
      <c r="L266" s="2" t="s">
        <v>26</v>
      </c>
      <c r="M266" s="2" t="s">
        <v>27</v>
      </c>
      <c r="N266" s="2" t="s">
        <v>879</v>
      </c>
      <c r="O266" s="2" t="s">
        <v>17</v>
      </c>
      <c r="P266" s="2" t="s">
        <v>41</v>
      </c>
      <c r="Q266" s="2" t="s">
        <v>17</v>
      </c>
    </row>
    <row r="267" spans="1:17" hidden="1">
      <c r="A267" s="2">
        <v>12306</v>
      </c>
      <c r="B267" s="2" t="s">
        <v>178</v>
      </c>
      <c r="C267" s="2" t="s">
        <v>178</v>
      </c>
      <c r="D267" s="3">
        <v>46114.840277777781</v>
      </c>
      <c r="E267" s="2" t="s">
        <v>179</v>
      </c>
      <c r="F267" s="2" t="s">
        <v>5</v>
      </c>
      <c r="G267" s="2" t="s">
        <v>22</v>
      </c>
      <c r="H267" s="2" t="s">
        <v>23</v>
      </c>
      <c r="I267" s="2" t="s">
        <v>32</v>
      </c>
      <c r="J267" s="2" t="s">
        <v>17</v>
      </c>
      <c r="K267" s="2" t="s">
        <v>17</v>
      </c>
      <c r="L267" s="2" t="s">
        <v>26</v>
      </c>
      <c r="M267" s="2" t="s">
        <v>27</v>
      </c>
      <c r="N267" s="2" t="s">
        <v>180</v>
      </c>
      <c r="O267" s="2" t="s">
        <v>17</v>
      </c>
      <c r="P267" s="2" t="s">
        <v>41</v>
      </c>
      <c r="Q267" s="2" t="s">
        <v>17</v>
      </c>
    </row>
    <row r="268" spans="1:17" hidden="1">
      <c r="A268" s="2">
        <v>12606</v>
      </c>
      <c r="B268" s="2" t="s">
        <v>626</v>
      </c>
      <c r="C268" s="2" t="s">
        <v>626</v>
      </c>
      <c r="D268" s="3">
        <v>46121.918749999997</v>
      </c>
      <c r="E268" s="2" t="s">
        <v>57</v>
      </c>
      <c r="F268" s="2" t="s">
        <v>17</v>
      </c>
      <c r="G268" s="2" t="s">
        <v>22</v>
      </c>
      <c r="H268" s="2" t="s">
        <v>235</v>
      </c>
      <c r="I268" s="2" t="s">
        <v>88</v>
      </c>
      <c r="J268" s="2" t="s">
        <v>324</v>
      </c>
      <c r="K268" s="2" t="s">
        <v>17</v>
      </c>
      <c r="L268" s="2" t="s">
        <v>26</v>
      </c>
      <c r="M268" s="2" t="s">
        <v>27</v>
      </c>
      <c r="N268" s="2" t="s">
        <v>627</v>
      </c>
      <c r="O268" s="2" t="s">
        <v>78</v>
      </c>
      <c r="P268" s="2" t="s">
        <v>29</v>
      </c>
      <c r="Q268" s="2" t="s">
        <v>17</v>
      </c>
    </row>
    <row r="269" spans="1:17" hidden="1">
      <c r="A269" s="2">
        <v>12801</v>
      </c>
      <c r="B269" s="2" t="s">
        <v>923</v>
      </c>
      <c r="C269" s="2" t="s">
        <v>923</v>
      </c>
      <c r="D269" s="3">
        <v>46127.889583333337</v>
      </c>
      <c r="E269" s="2" t="s">
        <v>167</v>
      </c>
      <c r="F269" s="2" t="s">
        <v>5</v>
      </c>
      <c r="G269" s="2" t="s">
        <v>18</v>
      </c>
      <c r="H269" s="2" t="s">
        <v>168</v>
      </c>
      <c r="I269" s="2" t="s">
        <v>924</v>
      </c>
      <c r="J269" s="2" t="s">
        <v>925</v>
      </c>
      <c r="K269" s="2" t="s">
        <v>17</v>
      </c>
      <c r="L269" s="2" t="s">
        <v>26</v>
      </c>
      <c r="M269" s="2" t="s">
        <v>47</v>
      </c>
      <c r="N269" s="2" t="s">
        <v>926</v>
      </c>
      <c r="O269" s="2" t="s">
        <v>17</v>
      </c>
      <c r="P269" s="2" t="s">
        <v>36</v>
      </c>
      <c r="Q269" s="2" t="s">
        <v>17</v>
      </c>
    </row>
    <row r="270" spans="1:17" hidden="1">
      <c r="A270" s="2">
        <v>12643</v>
      </c>
      <c r="B270" s="2" t="s">
        <v>683</v>
      </c>
      <c r="C270" s="2" t="s">
        <v>683</v>
      </c>
      <c r="D270" s="3">
        <v>46123.384722222225</v>
      </c>
      <c r="E270" s="2" t="s">
        <v>16</v>
      </c>
      <c r="F270" s="2" t="s">
        <v>230</v>
      </c>
      <c r="G270" s="2" t="s">
        <v>308</v>
      </c>
      <c r="H270" s="2" t="s">
        <v>43</v>
      </c>
      <c r="I270" s="2" t="s">
        <v>684</v>
      </c>
      <c r="J270" s="2" t="s">
        <v>685</v>
      </c>
      <c r="K270" s="2" t="s">
        <v>686</v>
      </c>
      <c r="L270" s="2" t="s">
        <v>26</v>
      </c>
      <c r="M270" s="2" t="s">
        <v>47</v>
      </c>
      <c r="N270" s="2" t="s">
        <v>687</v>
      </c>
      <c r="O270" s="2" t="s">
        <v>17</v>
      </c>
      <c r="P270" s="2" t="s">
        <v>36</v>
      </c>
      <c r="Q270" s="2" t="s">
        <v>17</v>
      </c>
    </row>
    <row r="271" spans="1:17" hidden="1">
      <c r="A271" s="2">
        <v>12734</v>
      </c>
      <c r="B271" s="2" t="s">
        <v>841</v>
      </c>
      <c r="C271" s="2" t="s">
        <v>841</v>
      </c>
      <c r="D271" s="3">
        <v>46126.452777777777</v>
      </c>
      <c r="E271" s="2" t="s">
        <v>57</v>
      </c>
      <c r="F271" s="2" t="s">
        <v>5</v>
      </c>
      <c r="G271" s="2" t="s">
        <v>22</v>
      </c>
      <c r="H271" s="2" t="s">
        <v>43</v>
      </c>
      <c r="I271" s="2" t="s">
        <v>17</v>
      </c>
      <c r="J271" s="2" t="s">
        <v>842</v>
      </c>
      <c r="K271" s="2" t="s">
        <v>843</v>
      </c>
      <c r="L271" s="2" t="s">
        <v>26</v>
      </c>
      <c r="M271" s="2" t="s">
        <v>47</v>
      </c>
      <c r="N271" s="2" t="s">
        <v>844</v>
      </c>
      <c r="O271" s="2" t="s">
        <v>78</v>
      </c>
      <c r="P271" s="2" t="s">
        <v>36</v>
      </c>
      <c r="Q271" s="2" t="s">
        <v>17</v>
      </c>
    </row>
    <row r="272" spans="1:17" hidden="1">
      <c r="A272" s="2">
        <v>12555</v>
      </c>
      <c r="B272" s="2" t="s">
        <v>561</v>
      </c>
      <c r="C272" s="2" t="s">
        <v>561</v>
      </c>
      <c r="D272" s="3">
        <v>46120.845833333333</v>
      </c>
      <c r="E272" s="2" t="s">
        <v>57</v>
      </c>
      <c r="F272" s="2" t="s">
        <v>5</v>
      </c>
      <c r="G272" s="2" t="s">
        <v>22</v>
      </c>
      <c r="H272" s="2" t="s">
        <v>43</v>
      </c>
      <c r="I272" s="2" t="s">
        <v>380</v>
      </c>
      <c r="J272" s="2" t="s">
        <v>251</v>
      </c>
      <c r="K272" s="2" t="s">
        <v>562</v>
      </c>
      <c r="L272" s="2" t="s">
        <v>26</v>
      </c>
      <c r="M272" s="2" t="s">
        <v>47</v>
      </c>
      <c r="N272" s="2" t="s">
        <v>563</v>
      </c>
      <c r="O272" s="2" t="s">
        <v>78</v>
      </c>
      <c r="P272" s="2" t="s">
        <v>101</v>
      </c>
      <c r="Q272" s="2" t="s">
        <v>17</v>
      </c>
    </row>
    <row r="273" spans="1:17" hidden="1">
      <c r="A273" s="2">
        <v>12875</v>
      </c>
      <c r="B273" s="2" t="s">
        <v>986</v>
      </c>
      <c r="C273" s="2" t="s">
        <v>986</v>
      </c>
      <c r="D273" s="3">
        <v>46129.811805555553</v>
      </c>
      <c r="E273" s="2" t="s">
        <v>21</v>
      </c>
      <c r="F273" s="2" t="s">
        <v>5</v>
      </c>
      <c r="G273" s="2" t="s">
        <v>80</v>
      </c>
      <c r="H273" s="2" t="s">
        <v>23</v>
      </c>
      <c r="I273" s="2" t="s">
        <v>88</v>
      </c>
      <c r="J273" s="2" t="s">
        <v>987</v>
      </c>
      <c r="K273" s="2" t="s">
        <v>988</v>
      </c>
      <c r="L273" s="2" t="s">
        <v>26</v>
      </c>
      <c r="M273" s="2" t="s">
        <v>27</v>
      </c>
      <c r="N273" s="2" t="s">
        <v>989</v>
      </c>
      <c r="O273" s="2" t="s">
        <v>17</v>
      </c>
      <c r="P273" s="2" t="s">
        <v>36</v>
      </c>
      <c r="Q273" s="2" t="s">
        <v>17</v>
      </c>
    </row>
    <row r="274" spans="1:17" hidden="1">
      <c r="A274" s="2">
        <v>12190</v>
      </c>
      <c r="B274" s="2" t="s">
        <v>30</v>
      </c>
      <c r="C274" s="2" t="s">
        <v>31</v>
      </c>
      <c r="D274" s="3">
        <v>46113.259027777778</v>
      </c>
      <c r="E274" s="2" t="s">
        <v>21</v>
      </c>
      <c r="F274" s="2" t="s">
        <v>5</v>
      </c>
      <c r="G274" s="2" t="s">
        <v>18</v>
      </c>
      <c r="H274" s="2" t="s">
        <v>23</v>
      </c>
      <c r="I274" s="2" t="s">
        <v>32</v>
      </c>
      <c r="J274" s="2" t="s">
        <v>33</v>
      </c>
      <c r="K274" s="2" t="s">
        <v>34</v>
      </c>
      <c r="L274" s="2" t="s">
        <v>26</v>
      </c>
      <c r="M274" s="2" t="s">
        <v>27</v>
      </c>
      <c r="N274" s="2" t="s">
        <v>35</v>
      </c>
      <c r="O274" s="2" t="s">
        <v>17</v>
      </c>
      <c r="P274" s="2" t="s">
        <v>36</v>
      </c>
      <c r="Q274" s="2" t="s">
        <v>17</v>
      </c>
    </row>
    <row r="275" spans="1:17" hidden="1">
      <c r="A275" s="2">
        <v>13274</v>
      </c>
      <c r="B275" s="2" t="s">
        <v>1513</v>
      </c>
      <c r="C275" s="2" t="s">
        <v>1513</v>
      </c>
      <c r="D275" s="3">
        <v>46139.938888888893</v>
      </c>
      <c r="E275" s="2" t="s">
        <v>16</v>
      </c>
      <c r="F275" s="2" t="s">
        <v>230</v>
      </c>
      <c r="G275" s="2" t="s">
        <v>308</v>
      </c>
      <c r="H275" s="2" t="s">
        <v>43</v>
      </c>
      <c r="I275" s="2" t="s">
        <v>1514</v>
      </c>
      <c r="J275" s="2" t="s">
        <v>1515</v>
      </c>
      <c r="K275" s="2" t="s">
        <v>1516</v>
      </c>
      <c r="L275" s="2" t="s">
        <v>17</v>
      </c>
      <c r="M275" s="2" t="s">
        <v>47</v>
      </c>
      <c r="N275" s="2" t="s">
        <v>1517</v>
      </c>
      <c r="O275" s="2" t="s">
        <v>17</v>
      </c>
      <c r="P275" s="2" t="s">
        <v>36</v>
      </c>
      <c r="Q275" s="2" t="s">
        <v>17</v>
      </c>
    </row>
    <row r="276" spans="1:17" hidden="1">
      <c r="A276" s="2">
        <v>12878</v>
      </c>
      <c r="B276" s="2" t="s">
        <v>990</v>
      </c>
      <c r="C276" s="2" t="s">
        <v>990</v>
      </c>
      <c r="D276" s="3">
        <v>46129.893055555556</v>
      </c>
      <c r="E276" s="2" t="s">
        <v>900</v>
      </c>
      <c r="F276" s="2" t="s">
        <v>17</v>
      </c>
      <c r="G276" s="2" t="s">
        <v>22</v>
      </c>
      <c r="H276" s="2" t="s">
        <v>235</v>
      </c>
      <c r="I276" s="2" t="s">
        <v>924</v>
      </c>
      <c r="J276" s="2" t="s">
        <v>866</v>
      </c>
      <c r="K276" s="2" t="s">
        <v>991</v>
      </c>
      <c r="L276" s="2" t="s">
        <v>26</v>
      </c>
      <c r="M276" s="2" t="s">
        <v>47</v>
      </c>
      <c r="N276" s="2" t="s">
        <v>992</v>
      </c>
      <c r="O276" s="2" t="s">
        <v>17</v>
      </c>
      <c r="P276" s="2" t="s">
        <v>36</v>
      </c>
      <c r="Q276" s="2" t="s">
        <v>17</v>
      </c>
    </row>
    <row r="277" spans="1:17" hidden="1">
      <c r="A277" s="2">
        <v>13287</v>
      </c>
      <c r="B277" s="2" t="s">
        <v>1539</v>
      </c>
      <c r="C277" s="2" t="s">
        <v>1539</v>
      </c>
      <c r="D277" s="3">
        <v>46140.340277777781</v>
      </c>
      <c r="E277" s="2" t="s">
        <v>1186</v>
      </c>
      <c r="F277" s="2" t="s">
        <v>5</v>
      </c>
      <c r="G277" s="2" t="s">
        <v>22</v>
      </c>
      <c r="H277" s="2" t="s">
        <v>43</v>
      </c>
      <c r="I277" s="2" t="s">
        <v>924</v>
      </c>
      <c r="J277" s="2" t="s">
        <v>1540</v>
      </c>
      <c r="K277" s="2" t="s">
        <v>1541</v>
      </c>
      <c r="L277" s="2" t="s">
        <v>26</v>
      </c>
      <c r="M277" s="2" t="s">
        <v>47</v>
      </c>
      <c r="N277" s="2" t="s">
        <v>1542</v>
      </c>
      <c r="O277" s="2" t="s">
        <v>17</v>
      </c>
      <c r="P277" s="2" t="s">
        <v>36</v>
      </c>
      <c r="Q277" s="2" t="s">
        <v>17</v>
      </c>
    </row>
    <row r="278" spans="1:17" hidden="1">
      <c r="A278" s="2">
        <v>12803</v>
      </c>
      <c r="B278" s="2" t="s">
        <v>927</v>
      </c>
      <c r="C278" s="2" t="s">
        <v>927</v>
      </c>
      <c r="D278" s="3">
        <v>46127.916666666672</v>
      </c>
      <c r="E278" s="2" t="s">
        <v>21</v>
      </c>
      <c r="F278" s="2" t="s">
        <v>5</v>
      </c>
      <c r="G278" s="2" t="s">
        <v>22</v>
      </c>
      <c r="H278" s="2" t="s">
        <v>39</v>
      </c>
      <c r="I278" s="2" t="s">
        <v>110</v>
      </c>
      <c r="J278" s="2" t="s">
        <v>17</v>
      </c>
      <c r="K278" s="2" t="s">
        <v>17</v>
      </c>
      <c r="L278" s="2" t="s">
        <v>26</v>
      </c>
      <c r="M278" s="2" t="s">
        <v>27</v>
      </c>
      <c r="N278" s="2" t="s">
        <v>928</v>
      </c>
      <c r="O278" s="2" t="s">
        <v>17</v>
      </c>
      <c r="P278" s="2" t="s">
        <v>127</v>
      </c>
      <c r="Q278" s="2" t="s">
        <v>17</v>
      </c>
    </row>
    <row r="279" spans="1:17" hidden="1">
      <c r="A279" s="2">
        <v>12655</v>
      </c>
      <c r="B279" s="2" t="s">
        <v>719</v>
      </c>
      <c r="C279" s="2" t="s">
        <v>719</v>
      </c>
      <c r="D279" s="3">
        <v>46123.931250000001</v>
      </c>
      <c r="E279" s="2" t="s">
        <v>57</v>
      </c>
      <c r="F279" s="2" t="s">
        <v>17</v>
      </c>
      <c r="G279" s="2" t="s">
        <v>22</v>
      </c>
      <c r="H279" s="2" t="s">
        <v>23</v>
      </c>
      <c r="I279" s="2" t="s">
        <v>720</v>
      </c>
      <c r="J279" s="2" t="s">
        <v>721</v>
      </c>
      <c r="K279" s="2" t="s">
        <v>722</v>
      </c>
      <c r="L279" s="2" t="s">
        <v>54</v>
      </c>
      <c r="M279" s="2" t="s">
        <v>27</v>
      </c>
      <c r="N279" s="2" t="s">
        <v>723</v>
      </c>
      <c r="O279" s="2" t="s">
        <v>78</v>
      </c>
      <c r="P279" s="2" t="s">
        <v>36</v>
      </c>
      <c r="Q279" s="2" t="s">
        <v>17</v>
      </c>
    </row>
    <row r="280" spans="1:17" hidden="1">
      <c r="A280" s="2">
        <v>12448</v>
      </c>
      <c r="B280" s="2" t="s">
        <v>439</v>
      </c>
      <c r="C280" s="2" t="s">
        <v>440</v>
      </c>
      <c r="D280" s="3">
        <v>46118.888194444444</v>
      </c>
      <c r="E280" s="2" t="s">
        <v>57</v>
      </c>
      <c r="F280" s="2" t="s">
        <v>5</v>
      </c>
      <c r="G280" s="2" t="s">
        <v>18</v>
      </c>
      <c r="H280" s="2" t="s">
        <v>23</v>
      </c>
      <c r="I280" s="2" t="s">
        <v>88</v>
      </c>
      <c r="J280" s="2" t="s">
        <v>441</v>
      </c>
      <c r="K280" s="2" t="s">
        <v>442</v>
      </c>
      <c r="L280" s="2" t="s">
        <v>26</v>
      </c>
      <c r="M280" s="2" t="s">
        <v>27</v>
      </c>
      <c r="N280" s="2" t="s">
        <v>443</v>
      </c>
      <c r="O280" s="2" t="s">
        <v>78</v>
      </c>
      <c r="P280" s="2" t="s">
        <v>36</v>
      </c>
      <c r="Q280" s="2" t="s">
        <v>17</v>
      </c>
    </row>
    <row r="281" spans="1:17" hidden="1">
      <c r="A281" s="2">
        <v>13215</v>
      </c>
      <c r="B281" s="2" t="s">
        <v>1413</v>
      </c>
      <c r="C281" s="2" t="s">
        <v>1413</v>
      </c>
      <c r="D281" s="3">
        <v>46138.726388888885</v>
      </c>
      <c r="E281" s="2" t="s">
        <v>167</v>
      </c>
      <c r="F281" s="2" t="s">
        <v>5</v>
      </c>
      <c r="G281" s="2" t="s">
        <v>18</v>
      </c>
      <c r="H281" s="2" t="s">
        <v>168</v>
      </c>
      <c r="I281" s="2" t="s">
        <v>1414</v>
      </c>
      <c r="J281" s="2" t="s">
        <v>1415</v>
      </c>
      <c r="K281" s="2" t="s">
        <v>1416</v>
      </c>
      <c r="L281" s="2" t="s">
        <v>26</v>
      </c>
      <c r="M281" s="2" t="s">
        <v>47</v>
      </c>
      <c r="N281" s="2" t="s">
        <v>1417</v>
      </c>
      <c r="O281" s="2" t="s">
        <v>17</v>
      </c>
      <c r="P281" s="2" t="s">
        <v>1201</v>
      </c>
      <c r="Q281" s="2" t="s">
        <v>17</v>
      </c>
    </row>
    <row r="282" spans="1:17" hidden="1">
      <c r="A282" s="2">
        <v>12992</v>
      </c>
      <c r="B282" s="2" t="s">
        <v>1137</v>
      </c>
      <c r="C282" s="2" t="s">
        <v>1137</v>
      </c>
      <c r="D282" s="3">
        <v>46133.414583333331</v>
      </c>
      <c r="E282" s="2" t="s">
        <v>69</v>
      </c>
      <c r="F282" s="2" t="s">
        <v>5</v>
      </c>
      <c r="G282" s="2" t="s">
        <v>22</v>
      </c>
      <c r="H282" s="2" t="s">
        <v>23</v>
      </c>
      <c r="I282" s="2" t="s">
        <v>1138</v>
      </c>
      <c r="J282" s="2" t="s">
        <v>17</v>
      </c>
      <c r="K282" s="2" t="s">
        <v>17</v>
      </c>
      <c r="L282" s="2" t="s">
        <v>54</v>
      </c>
      <c r="M282" s="2" t="s">
        <v>27</v>
      </c>
      <c r="N282" s="2" t="s">
        <v>1139</v>
      </c>
      <c r="O282" s="2" t="s">
        <v>17</v>
      </c>
      <c r="P282" s="2" t="s">
        <v>41</v>
      </c>
      <c r="Q282" s="2" t="s">
        <v>17</v>
      </c>
    </row>
    <row r="283" spans="1:17" hidden="1">
      <c r="A283" s="2">
        <v>12820</v>
      </c>
      <c r="B283" s="2" t="s">
        <v>944</v>
      </c>
      <c r="C283" s="2" t="s">
        <v>944</v>
      </c>
      <c r="D283" s="3">
        <v>46128.588888888888</v>
      </c>
      <c r="E283" s="2" t="s">
        <v>16</v>
      </c>
      <c r="F283" s="2" t="s">
        <v>230</v>
      </c>
      <c r="G283" s="2" t="s">
        <v>308</v>
      </c>
      <c r="H283" s="2" t="s">
        <v>43</v>
      </c>
      <c r="I283" s="2" t="s">
        <v>74</v>
      </c>
      <c r="J283" s="2" t="s">
        <v>945</v>
      </c>
      <c r="K283" s="2" t="s">
        <v>17</v>
      </c>
      <c r="L283" s="2" t="s">
        <v>17</v>
      </c>
      <c r="M283" s="2" t="s">
        <v>47</v>
      </c>
      <c r="N283" s="2" t="s">
        <v>946</v>
      </c>
      <c r="O283" s="2" t="s">
        <v>17</v>
      </c>
      <c r="P283" s="2" t="s">
        <v>36</v>
      </c>
      <c r="Q283" s="2" t="s">
        <v>17</v>
      </c>
    </row>
    <row r="284" spans="1:17" hidden="1">
      <c r="A284" s="2">
        <v>12357</v>
      </c>
      <c r="B284" s="2" t="s">
        <v>234</v>
      </c>
      <c r="C284" s="2" t="s">
        <v>234</v>
      </c>
      <c r="D284" s="3">
        <v>46115.604861111111</v>
      </c>
      <c r="E284" s="2" t="s">
        <v>21</v>
      </c>
      <c r="F284" s="2" t="s">
        <v>230</v>
      </c>
      <c r="G284" s="2" t="s">
        <v>22</v>
      </c>
      <c r="H284" s="2" t="s">
        <v>235</v>
      </c>
      <c r="I284" s="2" t="s">
        <v>236</v>
      </c>
      <c r="J284" s="2" t="s">
        <v>17</v>
      </c>
      <c r="K284" s="2" t="s">
        <v>17</v>
      </c>
      <c r="L284" s="2" t="s">
        <v>26</v>
      </c>
      <c r="M284" s="2" t="s">
        <v>27</v>
      </c>
      <c r="N284" s="2" t="s">
        <v>237</v>
      </c>
      <c r="O284" s="2" t="s">
        <v>17</v>
      </c>
      <c r="P284" s="2" t="s">
        <v>127</v>
      </c>
      <c r="Q284" s="2" t="s">
        <v>17</v>
      </c>
    </row>
    <row r="285" spans="1:17" hidden="1">
      <c r="A285" s="2">
        <v>13280</v>
      </c>
      <c r="B285" s="2" t="s">
        <v>1522</v>
      </c>
      <c r="C285" s="2" t="s">
        <v>1522</v>
      </c>
      <c r="D285" s="3">
        <v>46140.076388888891</v>
      </c>
      <c r="E285" s="2" t="s">
        <v>57</v>
      </c>
      <c r="F285" s="2" t="s">
        <v>5</v>
      </c>
      <c r="G285" s="2" t="s">
        <v>18</v>
      </c>
      <c r="H285" s="2" t="s">
        <v>23</v>
      </c>
      <c r="I285" s="2" t="s">
        <v>88</v>
      </c>
      <c r="J285" s="2" t="s">
        <v>1523</v>
      </c>
      <c r="K285" s="2" t="s">
        <v>1524</v>
      </c>
      <c r="L285" s="2" t="s">
        <v>26</v>
      </c>
      <c r="M285" s="2" t="s">
        <v>27</v>
      </c>
      <c r="N285" s="2" t="s">
        <v>1525</v>
      </c>
      <c r="O285" s="2" t="s">
        <v>62</v>
      </c>
      <c r="P285" s="2" t="s">
        <v>36</v>
      </c>
      <c r="Q285" s="2" t="s">
        <v>17</v>
      </c>
    </row>
    <row r="286" spans="1:17" hidden="1">
      <c r="A286" s="2">
        <v>13157</v>
      </c>
      <c r="B286" s="2" t="s">
        <v>1315</v>
      </c>
      <c r="C286" s="2" t="s">
        <v>1315</v>
      </c>
      <c r="D286" s="3">
        <v>46136.630555555559</v>
      </c>
      <c r="E286" s="2" t="s">
        <v>21</v>
      </c>
      <c r="F286" s="2" t="s">
        <v>5</v>
      </c>
      <c r="G286" s="2" t="s">
        <v>80</v>
      </c>
      <c r="H286" s="2" t="s">
        <v>23</v>
      </c>
      <c r="I286" s="2" t="s">
        <v>1138</v>
      </c>
      <c r="J286" s="2" t="s">
        <v>1316</v>
      </c>
      <c r="K286" s="2" t="s">
        <v>1317</v>
      </c>
      <c r="L286" s="2" t="s">
        <v>54</v>
      </c>
      <c r="M286" s="2" t="s">
        <v>27</v>
      </c>
      <c r="N286" s="2" t="s">
        <v>1318</v>
      </c>
      <c r="O286" s="2" t="s">
        <v>17</v>
      </c>
      <c r="P286" s="2" t="s">
        <v>101</v>
      </c>
      <c r="Q286" s="2" t="s">
        <v>17</v>
      </c>
    </row>
    <row r="287" spans="1:17" hidden="1">
      <c r="A287" s="2">
        <v>12413</v>
      </c>
      <c r="B287" s="2" t="s">
        <v>393</v>
      </c>
      <c r="C287" s="2" t="s">
        <v>394</v>
      </c>
      <c r="D287" s="3">
        <v>46118.125694444447</v>
      </c>
      <c r="E287" s="2" t="s">
        <v>21</v>
      </c>
      <c r="F287" s="2" t="s">
        <v>5</v>
      </c>
      <c r="G287" s="2" t="s">
        <v>18</v>
      </c>
      <c r="H287" s="2" t="s">
        <v>23</v>
      </c>
      <c r="I287" s="2" t="s">
        <v>88</v>
      </c>
      <c r="J287" s="2" t="s">
        <v>395</v>
      </c>
      <c r="K287" s="2" t="s">
        <v>396</v>
      </c>
      <c r="L287" s="2" t="s">
        <v>26</v>
      </c>
      <c r="M287" s="2" t="s">
        <v>27</v>
      </c>
      <c r="N287" s="2" t="s">
        <v>397</v>
      </c>
      <c r="O287" s="2" t="s">
        <v>17</v>
      </c>
      <c r="P287" s="2" t="s">
        <v>36</v>
      </c>
      <c r="Q287" s="2" t="s">
        <v>17</v>
      </c>
    </row>
    <row r="288" spans="1:17" hidden="1">
      <c r="A288" s="2">
        <v>13056</v>
      </c>
      <c r="B288" s="2" t="s">
        <v>1212</v>
      </c>
      <c r="C288" s="2" t="s">
        <v>1213</v>
      </c>
      <c r="D288" s="3">
        <v>46134.617361111115</v>
      </c>
      <c r="E288" s="2" t="s">
        <v>905</v>
      </c>
      <c r="F288" s="2" t="s">
        <v>5</v>
      </c>
      <c r="G288" s="2" t="s">
        <v>22</v>
      </c>
      <c r="H288" s="2" t="s">
        <v>39</v>
      </c>
      <c r="I288" s="2" t="s">
        <v>17</v>
      </c>
      <c r="J288" s="2" t="s">
        <v>17</v>
      </c>
      <c r="K288" s="2" t="s">
        <v>17</v>
      </c>
      <c r="L288" s="2" t="s">
        <v>26</v>
      </c>
      <c r="M288" s="2" t="s">
        <v>19</v>
      </c>
      <c r="N288" s="2" t="s">
        <v>1214</v>
      </c>
      <c r="O288" s="2" t="s">
        <v>17</v>
      </c>
      <c r="P288" s="2" t="s">
        <v>41</v>
      </c>
      <c r="Q288" s="2" t="s">
        <v>17</v>
      </c>
    </row>
    <row r="289" spans="1:17" hidden="1">
      <c r="A289" s="2">
        <v>12256</v>
      </c>
      <c r="B289" s="2" t="s">
        <v>92</v>
      </c>
      <c r="C289" s="2" t="s">
        <v>93</v>
      </c>
      <c r="D289" s="3">
        <v>46113.943055555559</v>
      </c>
      <c r="E289" s="2" t="s">
        <v>57</v>
      </c>
      <c r="F289" s="2" t="s">
        <v>5</v>
      </c>
      <c r="G289" s="2" t="s">
        <v>18</v>
      </c>
      <c r="H289" s="2" t="s">
        <v>23</v>
      </c>
      <c r="I289" s="2" t="s">
        <v>88</v>
      </c>
      <c r="J289" s="2" t="s">
        <v>94</v>
      </c>
      <c r="K289" s="2" t="s">
        <v>95</v>
      </c>
      <c r="L289" s="2" t="s">
        <v>26</v>
      </c>
      <c r="M289" s="2" t="s">
        <v>27</v>
      </c>
      <c r="N289" s="2" t="s">
        <v>96</v>
      </c>
      <c r="O289" s="2" t="s">
        <v>78</v>
      </c>
      <c r="P289" s="2" t="s">
        <v>97</v>
      </c>
      <c r="Q289" s="2" t="s">
        <v>17</v>
      </c>
    </row>
    <row r="290" spans="1:17" hidden="1">
      <c r="A290" s="2">
        <v>12628</v>
      </c>
      <c r="B290" s="2" t="s">
        <v>657</v>
      </c>
      <c r="C290" s="2" t="s">
        <v>657</v>
      </c>
      <c r="D290" s="3">
        <v>46122.724999999999</v>
      </c>
      <c r="E290" s="2" t="s">
        <v>167</v>
      </c>
      <c r="F290" s="2" t="s">
        <v>5</v>
      </c>
      <c r="G290" s="2" t="s">
        <v>18</v>
      </c>
      <c r="H290" s="2" t="s">
        <v>168</v>
      </c>
      <c r="I290" s="2" t="s">
        <v>658</v>
      </c>
      <c r="J290" s="2" t="s">
        <v>17</v>
      </c>
      <c r="K290" s="2" t="s">
        <v>17</v>
      </c>
      <c r="L290" s="2" t="s">
        <v>26</v>
      </c>
      <c r="M290" s="2" t="s">
        <v>47</v>
      </c>
      <c r="N290" s="2" t="s">
        <v>659</v>
      </c>
      <c r="O290" s="2" t="s">
        <v>17</v>
      </c>
      <c r="P290" s="2" t="s">
        <v>41</v>
      </c>
      <c r="Q290" s="2" t="s">
        <v>17</v>
      </c>
    </row>
    <row r="291" spans="1:17" hidden="1">
      <c r="A291" s="2">
        <v>13242</v>
      </c>
      <c r="B291" s="2" t="s">
        <v>1465</v>
      </c>
      <c r="C291" s="2" t="s">
        <v>1465</v>
      </c>
      <c r="D291" s="3">
        <v>46139.5625</v>
      </c>
      <c r="E291" s="2" t="s">
        <v>16</v>
      </c>
      <c r="F291" s="2" t="s">
        <v>230</v>
      </c>
      <c r="G291" s="2" t="s">
        <v>308</v>
      </c>
      <c r="H291" s="2" t="s">
        <v>17</v>
      </c>
      <c r="I291" s="2" t="s">
        <v>17</v>
      </c>
      <c r="J291" s="2" t="s">
        <v>17</v>
      </c>
      <c r="K291" s="2" t="s">
        <v>17</v>
      </c>
      <c r="L291" s="2" t="s">
        <v>17</v>
      </c>
      <c r="M291" s="2" t="s">
        <v>27</v>
      </c>
      <c r="N291" s="2" t="s">
        <v>1466</v>
      </c>
      <c r="O291" s="2" t="s">
        <v>17</v>
      </c>
      <c r="P291" s="2" t="s">
        <v>127</v>
      </c>
      <c r="Q291" s="2" t="s">
        <v>17</v>
      </c>
    </row>
    <row r="292" spans="1:17" hidden="1">
      <c r="A292" s="2">
        <v>12205</v>
      </c>
      <c r="B292" s="2" t="s">
        <v>42</v>
      </c>
      <c r="C292" s="2" t="s">
        <v>42</v>
      </c>
      <c r="D292" s="3">
        <v>46113.459027777775</v>
      </c>
      <c r="E292" s="2" t="s">
        <v>21</v>
      </c>
      <c r="F292" s="2" t="s">
        <v>5</v>
      </c>
      <c r="G292" s="2" t="s">
        <v>22</v>
      </c>
      <c r="H292" s="2" t="s">
        <v>43</v>
      </c>
      <c r="I292" s="2" t="s">
        <v>44</v>
      </c>
      <c r="J292" s="2" t="s">
        <v>45</v>
      </c>
      <c r="K292" s="2" t="s">
        <v>46</v>
      </c>
      <c r="L292" s="2" t="s">
        <v>26</v>
      </c>
      <c r="M292" s="2" t="s">
        <v>47</v>
      </c>
      <c r="N292" s="2" t="s">
        <v>48</v>
      </c>
      <c r="O292" s="2" t="s">
        <v>17</v>
      </c>
      <c r="P292" s="2" t="s">
        <v>36</v>
      </c>
      <c r="Q292" s="2" t="s">
        <v>17</v>
      </c>
    </row>
    <row r="293" spans="1:17" hidden="1">
      <c r="A293" s="2">
        <v>13398</v>
      </c>
      <c r="B293" s="2" t="s">
        <v>1628</v>
      </c>
      <c r="C293" s="2" t="s">
        <v>1628</v>
      </c>
      <c r="D293" s="3">
        <v>46142.604166666672</v>
      </c>
      <c r="E293" s="2" t="s">
        <v>1324</v>
      </c>
      <c r="F293" s="2" t="s">
        <v>5</v>
      </c>
      <c r="G293" s="2" t="s">
        <v>22</v>
      </c>
      <c r="H293" s="2" t="s">
        <v>39</v>
      </c>
      <c r="I293" s="2" t="s">
        <v>17</v>
      </c>
      <c r="J293" s="2" t="s">
        <v>17</v>
      </c>
      <c r="K293" s="2" t="s">
        <v>17</v>
      </c>
      <c r="L293" s="2" t="s">
        <v>26</v>
      </c>
      <c r="M293" s="2" t="s">
        <v>27</v>
      </c>
      <c r="N293" s="2" t="s">
        <v>1629</v>
      </c>
      <c r="O293" s="2" t="s">
        <v>17</v>
      </c>
      <c r="P293" s="2" t="s">
        <v>127</v>
      </c>
      <c r="Q293" s="2" t="s">
        <v>17</v>
      </c>
    </row>
    <row r="294" spans="1:17" hidden="1">
      <c r="A294" s="2">
        <v>12918</v>
      </c>
      <c r="B294" s="2" t="s">
        <v>1049</v>
      </c>
      <c r="C294" s="2" t="s">
        <v>1050</v>
      </c>
      <c r="D294" s="3">
        <v>46131.677777777775</v>
      </c>
      <c r="E294" s="2" t="s">
        <v>21</v>
      </c>
      <c r="F294" s="2" t="s">
        <v>5</v>
      </c>
      <c r="G294" s="2" t="s">
        <v>80</v>
      </c>
      <c r="H294" s="2" t="s">
        <v>43</v>
      </c>
      <c r="I294" s="2" t="s">
        <v>1051</v>
      </c>
      <c r="J294" s="2" t="s">
        <v>1052</v>
      </c>
      <c r="K294" s="2" t="s">
        <v>1053</v>
      </c>
      <c r="L294" s="2" t="s">
        <v>26</v>
      </c>
      <c r="M294" s="2" t="s">
        <v>47</v>
      </c>
      <c r="N294" s="2" t="s">
        <v>1054</v>
      </c>
      <c r="O294" s="2" t="s">
        <v>17</v>
      </c>
      <c r="P294" s="2" t="s">
        <v>36</v>
      </c>
      <c r="Q294" s="2" t="s">
        <v>17</v>
      </c>
    </row>
    <row r="295" spans="1:17" hidden="1">
      <c r="A295" s="2">
        <v>12537</v>
      </c>
      <c r="B295" s="2" t="s">
        <v>544</v>
      </c>
      <c r="C295" s="2" t="s">
        <v>545</v>
      </c>
      <c r="D295" s="3">
        <v>46120.601388888885</v>
      </c>
      <c r="E295" s="2" t="s">
        <v>21</v>
      </c>
      <c r="F295" s="2" t="s">
        <v>5</v>
      </c>
      <c r="G295" s="2" t="s">
        <v>18</v>
      </c>
      <c r="H295" s="2" t="s">
        <v>23</v>
      </c>
      <c r="I295" s="2" t="s">
        <v>88</v>
      </c>
      <c r="J295" s="2" t="s">
        <v>546</v>
      </c>
      <c r="K295" s="2" t="s">
        <v>547</v>
      </c>
      <c r="L295" s="2" t="s">
        <v>26</v>
      </c>
      <c r="M295" s="2" t="s">
        <v>27</v>
      </c>
      <c r="N295" s="2" t="s">
        <v>548</v>
      </c>
      <c r="O295" s="2" t="s">
        <v>17</v>
      </c>
      <c r="P295" s="2" t="s">
        <v>36</v>
      </c>
      <c r="Q295" s="2" t="s">
        <v>17</v>
      </c>
    </row>
    <row r="296" spans="1:17" hidden="1">
      <c r="A296" s="2">
        <v>13121</v>
      </c>
      <c r="B296" s="2" t="s">
        <v>1289</v>
      </c>
      <c r="C296" s="2" t="s">
        <v>1290</v>
      </c>
      <c r="D296" s="3">
        <v>46135.753472222219</v>
      </c>
      <c r="E296" s="2" t="s">
        <v>582</v>
      </c>
      <c r="F296" s="2" t="s">
        <v>5</v>
      </c>
      <c r="G296" s="2" t="s">
        <v>18</v>
      </c>
      <c r="H296" s="2" t="s">
        <v>23</v>
      </c>
      <c r="I296" s="2" t="s">
        <v>256</v>
      </c>
      <c r="J296" s="2" t="s">
        <v>1291</v>
      </c>
      <c r="K296" s="2" t="s">
        <v>1292</v>
      </c>
      <c r="L296" s="2" t="s">
        <v>26</v>
      </c>
      <c r="M296" s="2" t="s">
        <v>27</v>
      </c>
      <c r="N296" s="2" t="s">
        <v>1293</v>
      </c>
      <c r="O296" s="2" t="s">
        <v>17</v>
      </c>
      <c r="P296" s="2" t="s">
        <v>36</v>
      </c>
      <c r="Q296" s="2" t="s">
        <v>17</v>
      </c>
    </row>
    <row r="297" spans="1:17" hidden="1">
      <c r="A297" s="2">
        <v>12607</v>
      </c>
      <c r="B297" s="2" t="s">
        <v>628</v>
      </c>
      <c r="C297" s="2" t="s">
        <v>629</v>
      </c>
      <c r="D297" s="3">
        <v>46121.927777777775</v>
      </c>
      <c r="E297" s="2" t="s">
        <v>57</v>
      </c>
      <c r="F297" s="2" t="s">
        <v>5</v>
      </c>
      <c r="G297" s="2" t="s">
        <v>18</v>
      </c>
      <c r="H297" s="2" t="s">
        <v>23</v>
      </c>
      <c r="I297" s="2" t="s">
        <v>88</v>
      </c>
      <c r="J297" s="2" t="s">
        <v>193</v>
      </c>
      <c r="K297" s="2" t="s">
        <v>630</v>
      </c>
      <c r="L297" s="2" t="s">
        <v>26</v>
      </c>
      <c r="M297" s="2" t="s">
        <v>27</v>
      </c>
      <c r="N297" s="2" t="s">
        <v>631</v>
      </c>
      <c r="O297" s="2" t="s">
        <v>107</v>
      </c>
      <c r="P297" s="2" t="s">
        <v>29</v>
      </c>
      <c r="Q297" s="2" t="s">
        <v>17</v>
      </c>
    </row>
    <row r="298" spans="1:17" hidden="1">
      <c r="A298" s="2">
        <v>12504</v>
      </c>
      <c r="B298" s="2" t="s">
        <v>507</v>
      </c>
      <c r="C298" s="2" t="s">
        <v>508</v>
      </c>
      <c r="D298" s="3">
        <v>46119.866666666669</v>
      </c>
      <c r="E298" s="2" t="s">
        <v>57</v>
      </c>
      <c r="F298" s="2" t="s">
        <v>5</v>
      </c>
      <c r="G298" s="2" t="s">
        <v>18</v>
      </c>
      <c r="H298" s="2" t="s">
        <v>23</v>
      </c>
      <c r="I298" s="2" t="s">
        <v>88</v>
      </c>
      <c r="J298" s="2" t="s">
        <v>509</v>
      </c>
      <c r="K298" s="2" t="s">
        <v>510</v>
      </c>
      <c r="L298" s="2" t="s">
        <v>26</v>
      </c>
      <c r="M298" s="2" t="s">
        <v>27</v>
      </c>
      <c r="N298" s="2" t="s">
        <v>511</v>
      </c>
      <c r="O298" s="2" t="s">
        <v>78</v>
      </c>
      <c r="P298" s="2" t="s">
        <v>36</v>
      </c>
      <c r="Q298" s="2" t="s">
        <v>17</v>
      </c>
    </row>
    <row r="299" spans="1:17" hidden="1">
      <c r="A299" s="2">
        <v>13136</v>
      </c>
      <c r="B299" s="2" t="s">
        <v>1305</v>
      </c>
      <c r="C299" s="2" t="s">
        <v>1305</v>
      </c>
      <c r="D299" s="3">
        <v>46136.411111111112</v>
      </c>
      <c r="E299" s="2" t="s">
        <v>21</v>
      </c>
      <c r="F299" s="2" t="s">
        <v>5</v>
      </c>
      <c r="G299" s="2" t="s">
        <v>22</v>
      </c>
      <c r="H299" s="2" t="s">
        <v>23</v>
      </c>
      <c r="I299" s="2" t="s">
        <v>648</v>
      </c>
      <c r="J299" s="2" t="s">
        <v>1306</v>
      </c>
      <c r="K299" s="2" t="s">
        <v>1307</v>
      </c>
      <c r="L299" s="2" t="s">
        <v>54</v>
      </c>
      <c r="M299" s="2" t="s">
        <v>27</v>
      </c>
      <c r="N299" s="2" t="s">
        <v>1308</v>
      </c>
      <c r="O299" s="2" t="s">
        <v>17</v>
      </c>
      <c r="P299" s="2" t="s">
        <v>36</v>
      </c>
      <c r="Q299" s="2" t="s">
        <v>17</v>
      </c>
    </row>
    <row r="300" spans="1:17" hidden="1">
      <c r="A300" s="2">
        <v>13338</v>
      </c>
      <c r="B300" s="2" t="s">
        <v>1570</v>
      </c>
      <c r="C300" s="2" t="s">
        <v>1571</v>
      </c>
      <c r="D300" s="3">
        <v>46141.542361111111</v>
      </c>
      <c r="E300" s="2" t="s">
        <v>582</v>
      </c>
      <c r="F300" s="2" t="s">
        <v>5</v>
      </c>
      <c r="G300" s="2" t="s">
        <v>18</v>
      </c>
      <c r="H300" s="2" t="s">
        <v>23</v>
      </c>
      <c r="I300" s="2" t="s">
        <v>345</v>
      </c>
      <c r="J300" s="2" t="s">
        <v>1572</v>
      </c>
      <c r="K300" s="2" t="s">
        <v>1573</v>
      </c>
      <c r="L300" s="2" t="s">
        <v>26</v>
      </c>
      <c r="M300" s="2" t="s">
        <v>27</v>
      </c>
      <c r="N300" s="2" t="s">
        <v>1574</v>
      </c>
      <c r="O300" s="2" t="s">
        <v>17</v>
      </c>
      <c r="P300" s="2" t="s">
        <v>36</v>
      </c>
      <c r="Q300" s="2" t="s">
        <v>17</v>
      </c>
    </row>
    <row r="301" spans="1:17" hidden="1">
      <c r="A301" s="2">
        <v>12556</v>
      </c>
      <c r="B301" s="2" t="s">
        <v>564</v>
      </c>
      <c r="C301" s="2" t="s">
        <v>564</v>
      </c>
      <c r="D301" s="3">
        <v>46120.882638888885</v>
      </c>
      <c r="E301" s="2" t="s">
        <v>21</v>
      </c>
      <c r="F301" s="2" t="s">
        <v>5</v>
      </c>
      <c r="G301" s="2" t="s">
        <v>80</v>
      </c>
      <c r="H301" s="2" t="s">
        <v>23</v>
      </c>
      <c r="I301" s="2" t="s">
        <v>98</v>
      </c>
      <c r="J301" s="2" t="s">
        <v>565</v>
      </c>
      <c r="K301" s="2" t="s">
        <v>566</v>
      </c>
      <c r="L301" s="2" t="s">
        <v>100</v>
      </c>
      <c r="M301" s="2" t="s">
        <v>27</v>
      </c>
      <c r="N301" s="2" t="s">
        <v>567</v>
      </c>
      <c r="O301" s="2" t="s">
        <v>17</v>
      </c>
      <c r="P301" s="2" t="s">
        <v>36</v>
      </c>
      <c r="Q301" s="2" t="s">
        <v>17</v>
      </c>
    </row>
    <row r="302" spans="1:17" hidden="1">
      <c r="A302" s="2">
        <v>12463</v>
      </c>
      <c r="B302" s="2" t="s">
        <v>476</v>
      </c>
      <c r="C302" s="2" t="s">
        <v>476</v>
      </c>
      <c r="D302" s="3">
        <v>46119.198611111111</v>
      </c>
      <c r="E302" s="2" t="s">
        <v>167</v>
      </c>
      <c r="F302" s="2" t="s">
        <v>5</v>
      </c>
      <c r="G302" s="2" t="s">
        <v>18</v>
      </c>
      <c r="H302" s="2" t="s">
        <v>168</v>
      </c>
      <c r="I302" s="2" t="s">
        <v>187</v>
      </c>
      <c r="J302" s="2" t="s">
        <v>477</v>
      </c>
      <c r="K302" s="2" t="s">
        <v>478</v>
      </c>
      <c r="L302" s="2" t="s">
        <v>26</v>
      </c>
      <c r="M302" s="2" t="s">
        <v>47</v>
      </c>
      <c r="N302" s="2" t="s">
        <v>479</v>
      </c>
      <c r="O302" s="2" t="s">
        <v>17</v>
      </c>
      <c r="P302" s="2" t="s">
        <v>36</v>
      </c>
      <c r="Q302" s="2" t="s">
        <v>17</v>
      </c>
    </row>
    <row r="303" spans="1:17" hidden="1">
      <c r="A303" s="2">
        <v>12843</v>
      </c>
      <c r="B303" s="2" t="s">
        <v>958</v>
      </c>
      <c r="C303" s="2" t="s">
        <v>958</v>
      </c>
      <c r="D303" s="3">
        <v>46129.350694444445</v>
      </c>
      <c r="E303" s="2" t="s">
        <v>900</v>
      </c>
      <c r="F303" s="2" t="s">
        <v>5</v>
      </c>
      <c r="G303" s="2" t="s">
        <v>18</v>
      </c>
      <c r="H303" s="2" t="s">
        <v>23</v>
      </c>
      <c r="I303" s="2" t="s">
        <v>88</v>
      </c>
      <c r="J303" s="2" t="s">
        <v>959</v>
      </c>
      <c r="K303" s="2" t="s">
        <v>960</v>
      </c>
      <c r="L303" s="2" t="s">
        <v>26</v>
      </c>
      <c r="M303" s="2" t="s">
        <v>27</v>
      </c>
      <c r="N303" s="2" t="s">
        <v>961</v>
      </c>
      <c r="O303" s="2" t="s">
        <v>17</v>
      </c>
      <c r="P303" s="2" t="s">
        <v>36</v>
      </c>
      <c r="Q303" s="2" t="s">
        <v>17</v>
      </c>
    </row>
    <row r="304" spans="1:17" hidden="1">
      <c r="A304" s="2">
        <v>12895</v>
      </c>
      <c r="B304" s="2" t="s">
        <v>1014</v>
      </c>
      <c r="C304" s="2" t="s">
        <v>1014</v>
      </c>
      <c r="D304" s="3">
        <v>46130.615277777775</v>
      </c>
      <c r="E304" s="2" t="s">
        <v>16</v>
      </c>
      <c r="F304" s="2" t="s">
        <v>230</v>
      </c>
      <c r="G304" s="2" t="s">
        <v>308</v>
      </c>
      <c r="H304" s="2" t="s">
        <v>43</v>
      </c>
      <c r="I304" s="2" t="s">
        <v>142</v>
      </c>
      <c r="J304" s="2" t="s">
        <v>1015</v>
      </c>
      <c r="K304" s="2" t="s">
        <v>1016</v>
      </c>
      <c r="L304" s="2" t="s">
        <v>26</v>
      </c>
      <c r="M304" s="2" t="s">
        <v>47</v>
      </c>
      <c r="N304" s="2" t="s">
        <v>1017</v>
      </c>
      <c r="O304" s="2" t="s">
        <v>17</v>
      </c>
      <c r="P304" s="2" t="s">
        <v>36</v>
      </c>
      <c r="Q304" s="2" t="s">
        <v>17</v>
      </c>
    </row>
    <row r="305" spans="1:17" hidden="1">
      <c r="A305" s="2">
        <v>13017</v>
      </c>
      <c r="B305" s="2" t="s">
        <v>1164</v>
      </c>
      <c r="C305" s="2" t="s">
        <v>1165</v>
      </c>
      <c r="D305" s="3">
        <v>46133.708333333328</v>
      </c>
      <c r="E305" s="2" t="s">
        <v>21</v>
      </c>
      <c r="F305" s="2" t="s">
        <v>5</v>
      </c>
      <c r="G305" s="2" t="s">
        <v>22</v>
      </c>
      <c r="H305" s="2" t="s">
        <v>43</v>
      </c>
      <c r="I305" s="2" t="s">
        <v>17</v>
      </c>
      <c r="J305" s="2" t="s">
        <v>17</v>
      </c>
      <c r="K305" s="2" t="s">
        <v>17</v>
      </c>
      <c r="L305" s="2" t="s">
        <v>26</v>
      </c>
      <c r="M305" s="2" t="s">
        <v>19</v>
      </c>
      <c r="N305" s="2" t="s">
        <v>1166</v>
      </c>
      <c r="O305" s="2" t="s">
        <v>17</v>
      </c>
      <c r="P305" s="2" t="s">
        <v>49</v>
      </c>
      <c r="Q305" s="2" t="s">
        <v>17</v>
      </c>
    </row>
    <row r="306" spans="1:17" hidden="1">
      <c r="A306" s="2">
        <v>13250</v>
      </c>
      <c r="B306" s="2" t="s">
        <v>1475</v>
      </c>
      <c r="C306" s="2" t="s">
        <v>1475</v>
      </c>
      <c r="D306" s="3">
        <v>46139.658333333333</v>
      </c>
      <c r="E306" s="2" t="s">
        <v>1186</v>
      </c>
      <c r="F306" s="2" t="s">
        <v>5</v>
      </c>
      <c r="G306" s="2" t="s">
        <v>22</v>
      </c>
      <c r="H306" s="2" t="s">
        <v>43</v>
      </c>
      <c r="I306" s="2" t="s">
        <v>142</v>
      </c>
      <c r="J306" s="2" t="s">
        <v>1476</v>
      </c>
      <c r="K306" s="2" t="s">
        <v>1477</v>
      </c>
      <c r="L306" s="2" t="s">
        <v>26</v>
      </c>
      <c r="M306" s="2" t="s">
        <v>47</v>
      </c>
      <c r="N306" s="2" t="s">
        <v>1478</v>
      </c>
      <c r="O306" s="2" t="s">
        <v>17</v>
      </c>
      <c r="P306" s="2" t="s">
        <v>36</v>
      </c>
      <c r="Q306" s="2" t="s">
        <v>17</v>
      </c>
    </row>
    <row r="307" spans="1:17" hidden="1">
      <c r="A307" s="2">
        <v>12732</v>
      </c>
      <c r="B307" s="2" t="s">
        <v>838</v>
      </c>
      <c r="C307" s="2" t="s">
        <v>838</v>
      </c>
      <c r="D307" s="3">
        <v>46126.428472222222</v>
      </c>
      <c r="E307" s="2" t="s">
        <v>57</v>
      </c>
      <c r="F307" s="2" t="s">
        <v>5</v>
      </c>
      <c r="G307" s="2" t="s">
        <v>18</v>
      </c>
      <c r="H307" s="2" t="s">
        <v>23</v>
      </c>
      <c r="I307" s="2" t="s">
        <v>88</v>
      </c>
      <c r="J307" s="2" t="s">
        <v>839</v>
      </c>
      <c r="K307" s="2" t="s">
        <v>17</v>
      </c>
      <c r="L307" s="2" t="s">
        <v>26</v>
      </c>
      <c r="M307" s="2" t="s">
        <v>27</v>
      </c>
      <c r="N307" s="2" t="s">
        <v>840</v>
      </c>
      <c r="O307" s="2" t="s">
        <v>107</v>
      </c>
      <c r="P307" s="2" t="s">
        <v>36</v>
      </c>
      <c r="Q307" s="2" t="s">
        <v>17</v>
      </c>
    </row>
    <row r="308" spans="1:17" hidden="1">
      <c r="A308" s="2">
        <v>13263</v>
      </c>
      <c r="B308" s="2" t="s">
        <v>1494</v>
      </c>
      <c r="C308" s="2" t="s">
        <v>1494</v>
      </c>
      <c r="D308" s="3">
        <v>46139.790972222225</v>
      </c>
      <c r="E308" s="2" t="s">
        <v>1186</v>
      </c>
      <c r="F308" s="2" t="s">
        <v>5</v>
      </c>
      <c r="G308" s="2" t="s">
        <v>22</v>
      </c>
      <c r="H308" s="2" t="s">
        <v>235</v>
      </c>
      <c r="I308" s="2" t="s">
        <v>1423</v>
      </c>
      <c r="J308" s="2" t="s">
        <v>1495</v>
      </c>
      <c r="K308" s="2" t="s">
        <v>1496</v>
      </c>
      <c r="L308" s="2" t="s">
        <v>26</v>
      </c>
      <c r="M308" s="2" t="s">
        <v>27</v>
      </c>
      <c r="N308" s="2" t="s">
        <v>1497</v>
      </c>
      <c r="O308" s="2" t="s">
        <v>17</v>
      </c>
      <c r="P308" s="2" t="s">
        <v>36</v>
      </c>
      <c r="Q308" s="2" t="s">
        <v>17</v>
      </c>
    </row>
    <row r="309" spans="1:17" hidden="1">
      <c r="A309" s="2">
        <v>12333</v>
      </c>
      <c r="B309" s="2" t="s">
        <v>209</v>
      </c>
      <c r="C309" s="2" t="s">
        <v>209</v>
      </c>
      <c r="D309" s="3">
        <v>46115.068055555559</v>
      </c>
      <c r="E309" s="2" t="s">
        <v>57</v>
      </c>
      <c r="F309" s="2" t="s">
        <v>5</v>
      </c>
      <c r="G309" s="2" t="s">
        <v>22</v>
      </c>
      <c r="H309" s="2" t="s">
        <v>43</v>
      </c>
      <c r="I309" s="2" t="s">
        <v>74</v>
      </c>
      <c r="J309" s="2" t="s">
        <v>210</v>
      </c>
      <c r="K309" s="2" t="s">
        <v>211</v>
      </c>
      <c r="L309" s="2" t="s">
        <v>26</v>
      </c>
      <c r="M309" s="2" t="s">
        <v>47</v>
      </c>
      <c r="N309" s="2" t="s">
        <v>212</v>
      </c>
      <c r="O309" s="2" t="s">
        <v>78</v>
      </c>
      <c r="P309" s="2" t="s">
        <v>36</v>
      </c>
      <c r="Q309" s="2" t="s">
        <v>17</v>
      </c>
    </row>
    <row r="310" spans="1:17" hidden="1">
      <c r="A310" s="2">
        <v>12449</v>
      </c>
      <c r="B310" s="2" t="s">
        <v>444</v>
      </c>
      <c r="C310" s="2" t="s">
        <v>444</v>
      </c>
      <c r="D310" s="3">
        <v>46118.888194444444</v>
      </c>
      <c r="E310" s="2" t="s">
        <v>167</v>
      </c>
      <c r="F310" s="2" t="s">
        <v>17</v>
      </c>
      <c r="G310" s="2" t="s">
        <v>80</v>
      </c>
      <c r="H310" s="2" t="s">
        <v>235</v>
      </c>
      <c r="I310" s="2" t="s">
        <v>445</v>
      </c>
      <c r="J310" s="2" t="s">
        <v>420</v>
      </c>
      <c r="K310" s="2" t="s">
        <v>446</v>
      </c>
      <c r="L310" s="2" t="s">
        <v>84</v>
      </c>
      <c r="M310" s="2" t="s">
        <v>27</v>
      </c>
      <c r="N310" s="2" t="s">
        <v>447</v>
      </c>
      <c r="O310" s="2" t="s">
        <v>17</v>
      </c>
      <c r="P310" s="2" t="s">
        <v>29</v>
      </c>
      <c r="Q310" s="2" t="s">
        <v>17</v>
      </c>
    </row>
    <row r="311" spans="1:17" hidden="1">
      <c r="A311" s="2">
        <v>13264</v>
      </c>
      <c r="B311" s="2" t="s">
        <v>1498</v>
      </c>
      <c r="C311" s="2" t="s">
        <v>1498</v>
      </c>
      <c r="D311" s="3">
        <v>46139.791666666672</v>
      </c>
      <c r="E311" s="2" t="s">
        <v>16</v>
      </c>
      <c r="F311" s="2" t="s">
        <v>230</v>
      </c>
      <c r="G311" s="2" t="s">
        <v>308</v>
      </c>
      <c r="H311" s="2" t="s">
        <v>17</v>
      </c>
      <c r="I311" s="2" t="s">
        <v>17</v>
      </c>
      <c r="J311" s="2" t="s">
        <v>17</v>
      </c>
      <c r="K311" s="2" t="s">
        <v>17</v>
      </c>
      <c r="L311" s="2" t="s">
        <v>17</v>
      </c>
      <c r="M311" s="2" t="s">
        <v>27</v>
      </c>
      <c r="N311" s="2" t="s">
        <v>1499</v>
      </c>
      <c r="O311" s="2" t="s">
        <v>17</v>
      </c>
      <c r="P311" s="2" t="s">
        <v>127</v>
      </c>
      <c r="Q311" s="2" t="s">
        <v>17</v>
      </c>
    </row>
    <row r="312" spans="1:17" hidden="1">
      <c r="A312" s="2">
        <v>12994</v>
      </c>
      <c r="B312" s="2" t="s">
        <v>1140</v>
      </c>
      <c r="C312" s="2" t="s">
        <v>1140</v>
      </c>
      <c r="D312" s="3">
        <v>46133.451388888891</v>
      </c>
      <c r="E312" s="2" t="s">
        <v>16</v>
      </c>
      <c r="F312" s="2" t="s">
        <v>230</v>
      </c>
      <c r="G312" s="2" t="s">
        <v>308</v>
      </c>
      <c r="H312" s="2" t="s">
        <v>235</v>
      </c>
      <c r="I312" s="2" t="s">
        <v>350</v>
      </c>
      <c r="J312" s="2" t="s">
        <v>1141</v>
      </c>
      <c r="K312" s="2" t="s">
        <v>1142</v>
      </c>
      <c r="L312" s="2" t="s">
        <v>26</v>
      </c>
      <c r="M312" s="2" t="s">
        <v>27</v>
      </c>
      <c r="N312" s="2" t="s">
        <v>1143</v>
      </c>
      <c r="O312" s="2" t="s">
        <v>17</v>
      </c>
      <c r="P312" s="2" t="s">
        <v>101</v>
      </c>
      <c r="Q312" s="2" t="s">
        <v>17</v>
      </c>
    </row>
    <row r="313" spans="1:17" hidden="1">
      <c r="A313" s="2">
        <v>12653</v>
      </c>
      <c r="B313" s="2" t="s">
        <v>710</v>
      </c>
      <c r="C313" s="2" t="s">
        <v>711</v>
      </c>
      <c r="D313" s="3">
        <v>46123.801388888889</v>
      </c>
      <c r="E313" s="2" t="s">
        <v>21</v>
      </c>
      <c r="F313" s="2" t="s">
        <v>5</v>
      </c>
      <c r="G313" s="2" t="s">
        <v>22</v>
      </c>
      <c r="H313" s="2" t="s">
        <v>43</v>
      </c>
      <c r="I313" s="2" t="s">
        <v>148</v>
      </c>
      <c r="J313" s="2" t="s">
        <v>712</v>
      </c>
      <c r="K313" s="2" t="s">
        <v>713</v>
      </c>
      <c r="L313" s="2" t="s">
        <v>26</v>
      </c>
      <c r="M313" s="2" t="s">
        <v>47</v>
      </c>
      <c r="N313" s="2" t="s">
        <v>714</v>
      </c>
      <c r="O313" s="2" t="s">
        <v>17</v>
      </c>
      <c r="P313" s="2" t="s">
        <v>36</v>
      </c>
      <c r="Q313" s="2" t="s">
        <v>17</v>
      </c>
    </row>
    <row r="314" spans="1:17">
      <c r="A314" s="2">
        <v>12487</v>
      </c>
      <c r="B314" s="2" t="s">
        <v>502</v>
      </c>
      <c r="C314" s="2" t="s">
        <v>502</v>
      </c>
      <c r="D314" s="3">
        <v>46119.72152777778</v>
      </c>
      <c r="E314" s="2" t="s">
        <v>57</v>
      </c>
      <c r="F314" s="2" t="s">
        <v>5</v>
      </c>
      <c r="G314" s="2" t="s">
        <v>22</v>
      </c>
      <c r="H314" s="2" t="s">
        <v>503</v>
      </c>
      <c r="I314" s="2" t="s">
        <v>74</v>
      </c>
      <c r="J314" s="2" t="s">
        <v>504</v>
      </c>
      <c r="K314" s="2" t="s">
        <v>505</v>
      </c>
      <c r="L314" s="2" t="s">
        <v>26</v>
      </c>
      <c r="M314" s="2" t="s">
        <v>47</v>
      </c>
      <c r="N314" s="2" t="s">
        <v>506</v>
      </c>
      <c r="O314" s="2" t="s">
        <v>78</v>
      </c>
      <c r="P314" s="2" t="s">
        <v>36</v>
      </c>
      <c r="Q314" s="2" t="s">
        <v>17</v>
      </c>
    </row>
    <row r="315" spans="1:17" hidden="1">
      <c r="A315" s="2">
        <v>12921</v>
      </c>
      <c r="B315" s="2" t="s">
        <v>1059</v>
      </c>
      <c r="C315" s="2" t="s">
        <v>1059</v>
      </c>
      <c r="D315" s="3">
        <v>46131.76944444445</v>
      </c>
      <c r="E315" s="2" t="s">
        <v>21</v>
      </c>
      <c r="F315" s="2" t="s">
        <v>5</v>
      </c>
      <c r="G315" s="2" t="s">
        <v>80</v>
      </c>
      <c r="H315" s="2" t="s">
        <v>23</v>
      </c>
      <c r="I315" s="2" t="s">
        <v>384</v>
      </c>
      <c r="J315" s="2" t="s">
        <v>1060</v>
      </c>
      <c r="K315" s="2" t="s">
        <v>1061</v>
      </c>
      <c r="L315" s="2" t="s">
        <v>100</v>
      </c>
      <c r="M315" s="2" t="s">
        <v>27</v>
      </c>
      <c r="N315" s="2" t="s">
        <v>1062</v>
      </c>
      <c r="O315" s="2" t="s">
        <v>17</v>
      </c>
      <c r="P315" s="2" t="s">
        <v>36</v>
      </c>
      <c r="Q315" s="2" t="s">
        <v>17</v>
      </c>
    </row>
    <row r="316" spans="1:17" hidden="1">
      <c r="A316" s="2">
        <v>12376</v>
      </c>
      <c r="B316" s="2" t="s">
        <v>282</v>
      </c>
      <c r="C316" s="2" t="s">
        <v>282</v>
      </c>
      <c r="D316" s="3">
        <v>46116.083333333328</v>
      </c>
      <c r="E316" s="2" t="s">
        <v>57</v>
      </c>
      <c r="F316" s="2" t="s">
        <v>230</v>
      </c>
      <c r="G316" s="2" t="s">
        <v>18</v>
      </c>
      <c r="H316" s="2" t="s">
        <v>17</v>
      </c>
      <c r="I316" s="2" t="s">
        <v>17</v>
      </c>
      <c r="J316" s="2" t="s">
        <v>17</v>
      </c>
      <c r="K316" s="2" t="s">
        <v>17</v>
      </c>
      <c r="L316" s="2" t="s">
        <v>17</v>
      </c>
      <c r="M316" s="2" t="s">
        <v>27</v>
      </c>
      <c r="N316" s="2" t="s">
        <v>283</v>
      </c>
      <c r="O316" s="2" t="s">
        <v>284</v>
      </c>
      <c r="P316" s="2" t="s">
        <v>127</v>
      </c>
      <c r="Q316" s="2" t="s">
        <v>17</v>
      </c>
    </row>
    <row r="317" spans="1:17" hidden="1">
      <c r="A317" s="2">
        <v>13201</v>
      </c>
      <c r="B317" s="2" t="s">
        <v>1381</v>
      </c>
      <c r="C317" s="2" t="s">
        <v>1382</v>
      </c>
      <c r="D317" s="3">
        <v>46137.871527777781</v>
      </c>
      <c r="E317" s="2" t="s">
        <v>57</v>
      </c>
      <c r="F317" s="2" t="s">
        <v>5</v>
      </c>
      <c r="G317" s="2" t="s">
        <v>18</v>
      </c>
      <c r="H317" s="2" t="s">
        <v>23</v>
      </c>
      <c r="I317" s="2" t="s">
        <v>110</v>
      </c>
      <c r="J317" s="2" t="s">
        <v>1383</v>
      </c>
      <c r="K317" s="2" t="s">
        <v>1384</v>
      </c>
      <c r="L317" s="2" t="s">
        <v>26</v>
      </c>
      <c r="M317" s="2" t="s">
        <v>27</v>
      </c>
      <c r="N317" s="2" t="s">
        <v>1385</v>
      </c>
      <c r="O317" s="2" t="s">
        <v>1081</v>
      </c>
      <c r="P317" s="2" t="s">
        <v>97</v>
      </c>
      <c r="Q317" s="2" t="s">
        <v>17</v>
      </c>
    </row>
    <row r="318" spans="1:17" hidden="1">
      <c r="A318" s="2">
        <v>12396</v>
      </c>
      <c r="B318" s="2" t="s">
        <v>352</v>
      </c>
      <c r="C318" s="2" t="s">
        <v>353</v>
      </c>
      <c r="D318" s="3">
        <v>46117.516666666663</v>
      </c>
      <c r="E318" s="2" t="s">
        <v>57</v>
      </c>
      <c r="F318" s="2" t="s">
        <v>5</v>
      </c>
      <c r="G318" s="2" t="s">
        <v>18</v>
      </c>
      <c r="H318" s="2" t="s">
        <v>23</v>
      </c>
      <c r="I318" s="2" t="s">
        <v>88</v>
      </c>
      <c r="J318" s="2" t="s">
        <v>354</v>
      </c>
      <c r="K318" s="2" t="s">
        <v>355</v>
      </c>
      <c r="L318" s="2" t="s">
        <v>26</v>
      </c>
      <c r="M318" s="2" t="s">
        <v>27</v>
      </c>
      <c r="N318" s="2" t="s">
        <v>356</v>
      </c>
      <c r="O318" s="2" t="s">
        <v>62</v>
      </c>
      <c r="P318" s="2" t="s">
        <v>36</v>
      </c>
      <c r="Q318" s="2" t="s">
        <v>17</v>
      </c>
    </row>
    <row r="319" spans="1:17" hidden="1">
      <c r="A319" s="2">
        <v>13207</v>
      </c>
      <c r="B319" s="2" t="s">
        <v>1390</v>
      </c>
      <c r="C319" s="2" t="s">
        <v>1390</v>
      </c>
      <c r="D319" s="3">
        <v>46138.00277777778</v>
      </c>
      <c r="E319" s="2" t="s">
        <v>167</v>
      </c>
      <c r="F319" s="2" t="s">
        <v>5</v>
      </c>
      <c r="G319" s="2" t="s">
        <v>18</v>
      </c>
      <c r="H319" s="2" t="s">
        <v>168</v>
      </c>
      <c r="I319" s="2" t="s">
        <v>187</v>
      </c>
      <c r="J319" s="2" t="s">
        <v>188</v>
      </c>
      <c r="K319" s="2" t="s">
        <v>1391</v>
      </c>
      <c r="L319" s="2" t="s">
        <v>26</v>
      </c>
      <c r="M319" s="2" t="s">
        <v>47</v>
      </c>
      <c r="N319" s="2" t="s">
        <v>1392</v>
      </c>
      <c r="O319" s="2" t="s">
        <v>17</v>
      </c>
      <c r="P319" s="2" t="s">
        <v>29</v>
      </c>
      <c r="Q319" s="2" t="s">
        <v>17</v>
      </c>
    </row>
    <row r="320" spans="1:17" hidden="1">
      <c r="A320" s="2">
        <v>13218</v>
      </c>
      <c r="B320" s="2" t="s">
        <v>1420</v>
      </c>
      <c r="C320" s="2" t="s">
        <v>1420</v>
      </c>
      <c r="D320" s="3">
        <v>46138.829166666663</v>
      </c>
      <c r="E320" s="2" t="s">
        <v>21</v>
      </c>
      <c r="F320" s="2" t="s">
        <v>5</v>
      </c>
      <c r="G320" s="2" t="s">
        <v>70</v>
      </c>
      <c r="H320" s="2" t="s">
        <v>23</v>
      </c>
      <c r="I320" s="2" t="s">
        <v>658</v>
      </c>
      <c r="J320" s="2" t="s">
        <v>17</v>
      </c>
      <c r="K320" s="2" t="s">
        <v>17</v>
      </c>
      <c r="L320" s="2" t="s">
        <v>54</v>
      </c>
      <c r="M320" s="2" t="s">
        <v>19</v>
      </c>
      <c r="N320" s="2" t="s">
        <v>1421</v>
      </c>
      <c r="O320" s="2" t="s">
        <v>17</v>
      </c>
      <c r="P320" s="2" t="s">
        <v>41</v>
      </c>
      <c r="Q320" s="2" t="s">
        <v>17</v>
      </c>
    </row>
    <row r="321" spans="1:17" hidden="1">
      <c r="A321" s="2">
        <v>13026</v>
      </c>
      <c r="B321" s="2" t="s">
        <v>1179</v>
      </c>
      <c r="C321" s="2" t="s">
        <v>1179</v>
      </c>
      <c r="D321" s="3">
        <v>46133.879861111112</v>
      </c>
      <c r="E321" s="2" t="s">
        <v>57</v>
      </c>
      <c r="F321" s="2" t="s">
        <v>5</v>
      </c>
      <c r="G321" s="2" t="s">
        <v>18</v>
      </c>
      <c r="H321" s="2" t="s">
        <v>168</v>
      </c>
      <c r="I321" s="2" t="s">
        <v>148</v>
      </c>
      <c r="J321" s="2" t="s">
        <v>170</v>
      </c>
      <c r="K321" s="2" t="s">
        <v>1180</v>
      </c>
      <c r="L321" s="2" t="s">
        <v>26</v>
      </c>
      <c r="M321" s="2" t="s">
        <v>47</v>
      </c>
      <c r="N321" s="2" t="s">
        <v>1181</v>
      </c>
      <c r="O321" s="2" t="s">
        <v>62</v>
      </c>
      <c r="P321" s="2" t="s">
        <v>101</v>
      </c>
      <c r="Q321" s="2" t="s">
        <v>17</v>
      </c>
    </row>
    <row r="322" spans="1:17" hidden="1">
      <c r="A322" s="2">
        <v>13012</v>
      </c>
      <c r="B322" s="2" t="s">
        <v>1161</v>
      </c>
      <c r="C322" s="2" t="s">
        <v>1162</v>
      </c>
      <c r="D322" s="3">
        <v>46133.65902777778</v>
      </c>
      <c r="E322" s="2" t="s">
        <v>21</v>
      </c>
      <c r="F322" s="2" t="s">
        <v>5</v>
      </c>
      <c r="G322" s="2" t="s">
        <v>22</v>
      </c>
      <c r="H322" s="2" t="s">
        <v>23</v>
      </c>
      <c r="I322" s="2" t="s">
        <v>17</v>
      </c>
      <c r="J322" s="2" t="s">
        <v>17</v>
      </c>
      <c r="K322" s="2" t="s">
        <v>17</v>
      </c>
      <c r="L322" s="2" t="s">
        <v>54</v>
      </c>
      <c r="M322" s="2" t="s">
        <v>27</v>
      </c>
      <c r="N322" s="2" t="s">
        <v>1163</v>
      </c>
      <c r="O322" s="2" t="s">
        <v>17</v>
      </c>
      <c r="P322" s="2" t="s">
        <v>41</v>
      </c>
      <c r="Q322" s="2" t="s">
        <v>17</v>
      </c>
    </row>
    <row r="323" spans="1:17" hidden="1">
      <c r="A323" s="2">
        <v>13129</v>
      </c>
      <c r="B323" s="2" t="s">
        <v>1301</v>
      </c>
      <c r="C323" s="2" t="s">
        <v>1301</v>
      </c>
      <c r="D323" s="3">
        <v>46136.264583333337</v>
      </c>
      <c r="E323" s="2" t="s">
        <v>647</v>
      </c>
      <c r="F323" s="2" t="s">
        <v>5</v>
      </c>
      <c r="G323" s="2" t="s">
        <v>80</v>
      </c>
      <c r="H323" s="2" t="s">
        <v>23</v>
      </c>
      <c r="I323" s="2" t="s">
        <v>81</v>
      </c>
      <c r="J323" s="2" t="s">
        <v>1302</v>
      </c>
      <c r="K323" s="2" t="s">
        <v>1303</v>
      </c>
      <c r="L323" s="2" t="s">
        <v>84</v>
      </c>
      <c r="M323" s="2" t="s">
        <v>27</v>
      </c>
      <c r="N323" s="2" t="s">
        <v>1304</v>
      </c>
      <c r="O323" s="2" t="s">
        <v>17</v>
      </c>
      <c r="P323" s="2" t="s">
        <v>36</v>
      </c>
      <c r="Q323" s="2" t="s">
        <v>17</v>
      </c>
    </row>
    <row r="324" spans="1:17" hidden="1">
      <c r="A324" s="2">
        <v>12313</v>
      </c>
      <c r="B324" s="2" t="s">
        <v>186</v>
      </c>
      <c r="C324" s="2" t="s">
        <v>186</v>
      </c>
      <c r="D324" s="3">
        <v>46114.889583333337</v>
      </c>
      <c r="E324" s="2" t="s">
        <v>167</v>
      </c>
      <c r="F324" s="2" t="s">
        <v>5</v>
      </c>
      <c r="G324" s="2" t="s">
        <v>18</v>
      </c>
      <c r="H324" s="2" t="s">
        <v>168</v>
      </c>
      <c r="I324" s="2" t="s">
        <v>187</v>
      </c>
      <c r="J324" s="2" t="s">
        <v>188</v>
      </c>
      <c r="K324" s="2" t="s">
        <v>189</v>
      </c>
      <c r="L324" s="2" t="s">
        <v>26</v>
      </c>
      <c r="M324" s="2" t="s">
        <v>47</v>
      </c>
      <c r="N324" s="2" t="s">
        <v>190</v>
      </c>
      <c r="O324" s="2" t="s">
        <v>17</v>
      </c>
      <c r="P324" s="2" t="s">
        <v>29</v>
      </c>
      <c r="Q324" s="2" t="s">
        <v>17</v>
      </c>
    </row>
    <row r="325" spans="1:17" hidden="1">
      <c r="A325" s="2">
        <v>12293</v>
      </c>
      <c r="B325" s="2" t="s">
        <v>141</v>
      </c>
      <c r="C325" s="2" t="s">
        <v>141</v>
      </c>
      <c r="D325" s="3">
        <v>46114.688888888893</v>
      </c>
      <c r="E325" s="2" t="s">
        <v>57</v>
      </c>
      <c r="F325" s="2" t="s">
        <v>5</v>
      </c>
      <c r="G325" s="2" t="s">
        <v>22</v>
      </c>
      <c r="H325" s="2" t="s">
        <v>43</v>
      </c>
      <c r="I325" s="2" t="s">
        <v>142</v>
      </c>
      <c r="J325" s="2" t="s">
        <v>143</v>
      </c>
      <c r="K325" s="2" t="s">
        <v>144</v>
      </c>
      <c r="L325" s="2" t="s">
        <v>26</v>
      </c>
      <c r="M325" s="2" t="s">
        <v>47</v>
      </c>
      <c r="N325" s="2" t="s">
        <v>145</v>
      </c>
      <c r="O325" s="2" t="s">
        <v>78</v>
      </c>
      <c r="P325" s="2" t="s">
        <v>36</v>
      </c>
      <c r="Q325" s="2" t="s">
        <v>17</v>
      </c>
    </row>
    <row r="326" spans="1:17" hidden="1">
      <c r="A326" s="2">
        <v>13337</v>
      </c>
      <c r="B326" s="2" t="s">
        <v>1566</v>
      </c>
      <c r="C326" s="2" t="s">
        <v>1566</v>
      </c>
      <c r="D326" s="3">
        <v>46141.542361111111</v>
      </c>
      <c r="E326" s="2" t="s">
        <v>167</v>
      </c>
      <c r="F326" s="2" t="s">
        <v>5</v>
      </c>
      <c r="G326" s="2" t="s">
        <v>18</v>
      </c>
      <c r="H326" s="2" t="s">
        <v>168</v>
      </c>
      <c r="I326" s="2" t="s">
        <v>148</v>
      </c>
      <c r="J326" s="2" t="s">
        <v>1567</v>
      </c>
      <c r="K326" s="2" t="s">
        <v>1568</v>
      </c>
      <c r="L326" s="2" t="s">
        <v>26</v>
      </c>
      <c r="M326" s="2" t="s">
        <v>47</v>
      </c>
      <c r="N326" s="2" t="s">
        <v>1569</v>
      </c>
      <c r="O326" s="2" t="s">
        <v>17</v>
      </c>
      <c r="P326" s="2" t="s">
        <v>36</v>
      </c>
      <c r="Q326" s="2" t="s">
        <v>17</v>
      </c>
    </row>
    <row r="327" spans="1:17" hidden="1">
      <c r="A327" s="2">
        <v>13249</v>
      </c>
      <c r="B327" s="2" t="s">
        <v>1473</v>
      </c>
      <c r="C327" s="2" t="s">
        <v>1473</v>
      </c>
      <c r="D327" s="3">
        <v>46139.625</v>
      </c>
      <c r="E327" s="2" t="s">
        <v>21</v>
      </c>
      <c r="F327" s="2" t="s">
        <v>5</v>
      </c>
      <c r="G327" s="2" t="s">
        <v>22</v>
      </c>
      <c r="H327" s="2" t="s">
        <v>23</v>
      </c>
      <c r="I327" s="2" t="s">
        <v>499</v>
      </c>
      <c r="J327" s="2" t="s">
        <v>17</v>
      </c>
      <c r="K327" s="2" t="s">
        <v>17</v>
      </c>
      <c r="L327" s="2" t="s">
        <v>54</v>
      </c>
      <c r="M327" s="2" t="s">
        <v>27</v>
      </c>
      <c r="N327" s="2" t="s">
        <v>1474</v>
      </c>
      <c r="O327" s="2" t="s">
        <v>17</v>
      </c>
      <c r="P327" s="2" t="s">
        <v>41</v>
      </c>
      <c r="Q327" s="2" t="s">
        <v>17</v>
      </c>
    </row>
    <row r="328" spans="1:17" hidden="1">
      <c r="A328" s="2">
        <v>12913</v>
      </c>
      <c r="B328" s="2" t="s">
        <v>1045</v>
      </c>
      <c r="C328" s="2" t="s">
        <v>1045</v>
      </c>
      <c r="D328" s="3">
        <v>46131.401388888888</v>
      </c>
      <c r="E328" s="2" t="s">
        <v>900</v>
      </c>
      <c r="F328" s="2" t="s">
        <v>5</v>
      </c>
      <c r="G328" s="2" t="s">
        <v>22</v>
      </c>
      <c r="H328" s="2" t="s">
        <v>43</v>
      </c>
      <c r="I328" s="2" t="s">
        <v>187</v>
      </c>
      <c r="J328" s="2" t="s">
        <v>1046</v>
      </c>
      <c r="K328" s="2" t="s">
        <v>1047</v>
      </c>
      <c r="L328" s="2" t="s">
        <v>26</v>
      </c>
      <c r="M328" s="2" t="s">
        <v>47</v>
      </c>
      <c r="N328" s="2" t="s">
        <v>1048</v>
      </c>
      <c r="O328" s="2" t="s">
        <v>17</v>
      </c>
      <c r="P328" s="2" t="s">
        <v>36</v>
      </c>
      <c r="Q328" s="2" t="s">
        <v>17</v>
      </c>
    </row>
    <row r="329" spans="1:17" hidden="1">
      <c r="A329" s="2">
        <v>12597</v>
      </c>
      <c r="B329" s="2" t="s">
        <v>606</v>
      </c>
      <c r="C329" s="2" t="s">
        <v>606</v>
      </c>
      <c r="D329" s="3">
        <v>46121.824999999997</v>
      </c>
      <c r="E329" s="2" t="s">
        <v>167</v>
      </c>
      <c r="F329" s="2" t="s">
        <v>230</v>
      </c>
      <c r="G329" s="2" t="s">
        <v>18</v>
      </c>
      <c r="H329" s="2" t="s">
        <v>168</v>
      </c>
      <c r="I329" s="2" t="s">
        <v>607</v>
      </c>
      <c r="J329" s="2" t="s">
        <v>608</v>
      </c>
      <c r="K329" s="2" t="s">
        <v>609</v>
      </c>
      <c r="L329" s="2" t="s">
        <v>26</v>
      </c>
      <c r="M329" s="2" t="s">
        <v>47</v>
      </c>
      <c r="N329" s="2" t="s">
        <v>610</v>
      </c>
      <c r="O329" s="2" t="s">
        <v>17</v>
      </c>
      <c r="P329" s="2" t="s">
        <v>101</v>
      </c>
      <c r="Q329" s="2" t="s">
        <v>17</v>
      </c>
    </row>
    <row r="330" spans="1:17" hidden="1">
      <c r="A330" s="2">
        <v>12884</v>
      </c>
      <c r="B330" s="2" t="s">
        <v>1007</v>
      </c>
      <c r="C330" s="2" t="s">
        <v>1007</v>
      </c>
      <c r="D330" s="3">
        <v>46130.0625</v>
      </c>
      <c r="E330" s="2" t="s">
        <v>1008</v>
      </c>
      <c r="F330" s="2" t="s">
        <v>17</v>
      </c>
      <c r="G330" s="2" t="s">
        <v>80</v>
      </c>
      <c r="H330" s="2" t="s">
        <v>235</v>
      </c>
      <c r="I330" s="2" t="s">
        <v>32</v>
      </c>
      <c r="J330" s="2" t="s">
        <v>1009</v>
      </c>
      <c r="K330" s="2" t="s">
        <v>1010</v>
      </c>
      <c r="L330" s="2" t="s">
        <v>26</v>
      </c>
      <c r="M330" s="2" t="s">
        <v>27</v>
      </c>
      <c r="N330" s="2" t="s">
        <v>1011</v>
      </c>
      <c r="O330" s="2" t="s">
        <v>126</v>
      </c>
      <c r="P330" s="2" t="s">
        <v>36</v>
      </c>
      <c r="Q330" s="2" t="s">
        <v>17</v>
      </c>
    </row>
    <row r="331" spans="1:17" hidden="1">
      <c r="A331" s="2">
        <v>12286</v>
      </c>
      <c r="B331" s="2" t="s">
        <v>130</v>
      </c>
      <c r="C331" s="2" t="s">
        <v>130</v>
      </c>
      <c r="D331" s="3">
        <v>46114.613888888889</v>
      </c>
      <c r="E331" s="2" t="s">
        <v>16</v>
      </c>
      <c r="F331" s="2" t="s">
        <v>17</v>
      </c>
      <c r="G331" s="2" t="s">
        <v>22</v>
      </c>
      <c r="H331" s="2" t="s">
        <v>17</v>
      </c>
      <c r="I331" s="2" t="s">
        <v>17</v>
      </c>
      <c r="J331" s="2" t="s">
        <v>17</v>
      </c>
      <c r="K331" s="2" t="s">
        <v>17</v>
      </c>
      <c r="L331" s="2" t="s">
        <v>17</v>
      </c>
      <c r="M331" s="2" t="s">
        <v>19</v>
      </c>
      <c r="N331" s="2" t="s">
        <v>131</v>
      </c>
      <c r="O331" s="2" t="s">
        <v>17</v>
      </c>
      <c r="P331" s="2" t="s">
        <v>17</v>
      </c>
      <c r="Q331" s="2" t="s">
        <v>17</v>
      </c>
    </row>
    <row r="332" spans="1:17" hidden="1">
      <c r="A332" s="2">
        <v>13226</v>
      </c>
      <c r="B332" s="2" t="s">
        <v>1450</v>
      </c>
      <c r="C332" s="2" t="s">
        <v>1451</v>
      </c>
      <c r="D332" s="3">
        <v>46139.261111111111</v>
      </c>
      <c r="E332" s="2" t="s">
        <v>1186</v>
      </c>
      <c r="F332" s="2" t="s">
        <v>5</v>
      </c>
      <c r="G332" s="2" t="s">
        <v>18</v>
      </c>
      <c r="H332" s="2" t="s">
        <v>23</v>
      </c>
      <c r="I332" s="2" t="s">
        <v>88</v>
      </c>
      <c r="J332" s="2" t="s">
        <v>1452</v>
      </c>
      <c r="K332" s="2" t="s">
        <v>1453</v>
      </c>
      <c r="L332" s="2" t="s">
        <v>26</v>
      </c>
      <c r="M332" s="2" t="s">
        <v>27</v>
      </c>
      <c r="N332" s="2" t="s">
        <v>1454</v>
      </c>
      <c r="O332" s="2" t="s">
        <v>17</v>
      </c>
      <c r="P332" s="2" t="s">
        <v>36</v>
      </c>
      <c r="Q332" s="2" t="s">
        <v>17</v>
      </c>
    </row>
    <row r="333" spans="1:17" hidden="1">
      <c r="A333" s="2">
        <v>12401</v>
      </c>
      <c r="B333" s="2" t="s">
        <v>367</v>
      </c>
      <c r="C333" s="2" t="s">
        <v>367</v>
      </c>
      <c r="D333" s="3">
        <v>46117.821527777778</v>
      </c>
      <c r="E333" s="2" t="s">
        <v>57</v>
      </c>
      <c r="F333" s="2" t="s">
        <v>5</v>
      </c>
      <c r="G333" s="2" t="s">
        <v>80</v>
      </c>
      <c r="H333" s="2" t="s">
        <v>23</v>
      </c>
      <c r="I333" s="2" t="s">
        <v>290</v>
      </c>
      <c r="J333" s="2" t="s">
        <v>368</v>
      </c>
      <c r="K333" s="2" t="s">
        <v>369</v>
      </c>
      <c r="L333" s="2" t="s">
        <v>100</v>
      </c>
      <c r="M333" s="2" t="s">
        <v>27</v>
      </c>
      <c r="N333" s="2" t="s">
        <v>370</v>
      </c>
      <c r="O333" s="2" t="s">
        <v>78</v>
      </c>
      <c r="P333" s="2" t="s">
        <v>101</v>
      </c>
      <c r="Q333" s="2" t="s">
        <v>17</v>
      </c>
    </row>
    <row r="334" spans="1:17" hidden="1">
      <c r="A334" s="2">
        <v>12370</v>
      </c>
      <c r="B334" s="2" t="s">
        <v>259</v>
      </c>
      <c r="C334" s="2" t="s">
        <v>260</v>
      </c>
      <c r="D334" s="3">
        <v>46115.836805555555</v>
      </c>
      <c r="E334" s="2" t="s">
        <v>21</v>
      </c>
      <c r="F334" s="2" t="s">
        <v>230</v>
      </c>
      <c r="G334" s="2" t="s">
        <v>22</v>
      </c>
      <c r="H334" s="2" t="s">
        <v>235</v>
      </c>
      <c r="I334" s="2" t="s">
        <v>88</v>
      </c>
      <c r="J334" s="2" t="s">
        <v>261</v>
      </c>
      <c r="K334" s="2" t="s">
        <v>262</v>
      </c>
      <c r="L334" s="2" t="s">
        <v>26</v>
      </c>
      <c r="M334" s="2" t="s">
        <v>27</v>
      </c>
      <c r="N334" s="2" t="s">
        <v>263</v>
      </c>
      <c r="O334" s="2" t="s">
        <v>17</v>
      </c>
      <c r="P334" s="2" t="s">
        <v>36</v>
      </c>
      <c r="Q334" s="2" t="s">
        <v>17</v>
      </c>
    </row>
    <row r="335" spans="1:17" hidden="1">
      <c r="A335" s="2">
        <v>13214</v>
      </c>
      <c r="B335" s="2" t="s">
        <v>1409</v>
      </c>
      <c r="C335" s="2" t="s">
        <v>1409</v>
      </c>
      <c r="D335" s="3">
        <v>46138.722222222219</v>
      </c>
      <c r="E335" s="2" t="s">
        <v>1324</v>
      </c>
      <c r="F335" s="2" t="s">
        <v>5</v>
      </c>
      <c r="G335" s="2" t="s">
        <v>80</v>
      </c>
      <c r="H335" s="2" t="s">
        <v>43</v>
      </c>
      <c r="I335" s="2" t="s">
        <v>74</v>
      </c>
      <c r="J335" s="2" t="s">
        <v>1410</v>
      </c>
      <c r="K335" s="2" t="s">
        <v>1411</v>
      </c>
      <c r="L335" s="2" t="s">
        <v>26</v>
      </c>
      <c r="M335" s="2" t="s">
        <v>47</v>
      </c>
      <c r="N335" s="2" t="s">
        <v>1412</v>
      </c>
      <c r="O335" s="2" t="s">
        <v>17</v>
      </c>
      <c r="P335" s="2" t="s">
        <v>36</v>
      </c>
      <c r="Q335" s="2" t="s">
        <v>17</v>
      </c>
    </row>
    <row r="336" spans="1:17" hidden="1">
      <c r="A336" s="2">
        <v>13239</v>
      </c>
      <c r="B336" s="2" t="s">
        <v>1461</v>
      </c>
      <c r="C336" s="2" t="s">
        <v>1461</v>
      </c>
      <c r="D336" s="3">
        <v>46139.453472222223</v>
      </c>
      <c r="E336" s="2" t="s">
        <v>57</v>
      </c>
      <c r="F336" s="2" t="s">
        <v>5</v>
      </c>
      <c r="G336" s="2" t="s">
        <v>22</v>
      </c>
      <c r="H336" s="2" t="s">
        <v>43</v>
      </c>
      <c r="I336" s="2" t="s">
        <v>142</v>
      </c>
      <c r="J336" s="2" t="s">
        <v>1462</v>
      </c>
      <c r="K336" s="2" t="s">
        <v>1463</v>
      </c>
      <c r="L336" s="2" t="s">
        <v>26</v>
      </c>
      <c r="M336" s="2" t="s">
        <v>47</v>
      </c>
      <c r="N336" s="2" t="s">
        <v>1464</v>
      </c>
      <c r="O336" s="2" t="s">
        <v>107</v>
      </c>
      <c r="P336" s="2" t="s">
        <v>36</v>
      </c>
      <c r="Q336" s="2" t="s">
        <v>17</v>
      </c>
    </row>
    <row r="337" spans="1:17" hidden="1">
      <c r="A337" s="2">
        <v>13364</v>
      </c>
      <c r="B337" s="2" t="s">
        <v>1607</v>
      </c>
      <c r="C337" s="2" t="s">
        <v>1608</v>
      </c>
      <c r="D337" s="3">
        <v>46142.101388888885</v>
      </c>
      <c r="E337" s="2" t="s">
        <v>1324</v>
      </c>
      <c r="F337" s="2" t="s">
        <v>5</v>
      </c>
      <c r="G337" s="2" t="s">
        <v>18</v>
      </c>
      <c r="H337" s="2" t="s">
        <v>23</v>
      </c>
      <c r="I337" s="2" t="s">
        <v>88</v>
      </c>
      <c r="J337" s="2" t="s">
        <v>1609</v>
      </c>
      <c r="K337" s="2" t="s">
        <v>1610</v>
      </c>
      <c r="L337" s="2" t="s">
        <v>26</v>
      </c>
      <c r="M337" s="2" t="s">
        <v>27</v>
      </c>
      <c r="N337" s="2" t="s">
        <v>1611</v>
      </c>
      <c r="O337" s="2" t="s">
        <v>17</v>
      </c>
      <c r="P337" s="2" t="s">
        <v>36</v>
      </c>
      <c r="Q337" s="2" t="s">
        <v>17</v>
      </c>
    </row>
    <row r="338" spans="1:17" hidden="1">
      <c r="A338" s="2">
        <v>13365</v>
      </c>
      <c r="B338" s="2" t="s">
        <v>1612</v>
      </c>
      <c r="C338" s="2" t="s">
        <v>1613</v>
      </c>
      <c r="D338" s="3">
        <v>46142.287499999999</v>
      </c>
      <c r="E338" s="2" t="s">
        <v>582</v>
      </c>
      <c r="F338" s="2" t="s">
        <v>5</v>
      </c>
      <c r="G338" s="2" t="s">
        <v>18</v>
      </c>
      <c r="H338" s="2" t="s">
        <v>23</v>
      </c>
      <c r="I338" s="2" t="s">
        <v>159</v>
      </c>
      <c r="J338" s="2" t="s">
        <v>1614</v>
      </c>
      <c r="K338" s="2" t="s">
        <v>1615</v>
      </c>
      <c r="L338" s="2" t="s">
        <v>26</v>
      </c>
      <c r="M338" s="2" t="s">
        <v>27</v>
      </c>
      <c r="N338" s="2" t="s">
        <v>1616</v>
      </c>
      <c r="O338" s="2" t="s">
        <v>17</v>
      </c>
      <c r="P338" s="2" t="s">
        <v>97</v>
      </c>
      <c r="Q338" s="2" t="s">
        <v>17</v>
      </c>
    </row>
    <row r="339" spans="1:17" hidden="1">
      <c r="A339" s="2">
        <v>12557</v>
      </c>
      <c r="B339" s="2" t="s">
        <v>568</v>
      </c>
      <c r="C339" s="2" t="s">
        <v>569</v>
      </c>
      <c r="D339" s="3">
        <v>46120.885416666672</v>
      </c>
      <c r="E339" s="2" t="s">
        <v>57</v>
      </c>
      <c r="F339" s="2" t="s">
        <v>5</v>
      </c>
      <c r="G339" s="2" t="s">
        <v>18</v>
      </c>
      <c r="H339" s="2" t="s">
        <v>23</v>
      </c>
      <c r="I339" s="2" t="s">
        <v>88</v>
      </c>
      <c r="J339" s="2" t="s">
        <v>570</v>
      </c>
      <c r="K339" s="2" t="s">
        <v>571</v>
      </c>
      <c r="L339" s="2" t="s">
        <v>26</v>
      </c>
      <c r="M339" s="2" t="s">
        <v>27</v>
      </c>
      <c r="N339" s="2" t="s">
        <v>572</v>
      </c>
      <c r="O339" s="2" t="s">
        <v>78</v>
      </c>
      <c r="P339" s="2" t="s">
        <v>36</v>
      </c>
      <c r="Q339" s="2" t="s">
        <v>17</v>
      </c>
    </row>
    <row r="340" spans="1:17" hidden="1">
      <c r="A340" s="2">
        <v>13217</v>
      </c>
      <c r="B340" s="2" t="s">
        <v>1418</v>
      </c>
      <c r="C340" s="2" t="s">
        <v>1418</v>
      </c>
      <c r="D340" s="3">
        <v>46138.80972222222</v>
      </c>
      <c r="E340" s="2" t="s">
        <v>21</v>
      </c>
      <c r="F340" s="2" t="s">
        <v>17</v>
      </c>
      <c r="G340" s="2" t="s">
        <v>22</v>
      </c>
      <c r="H340" s="2" t="s">
        <v>235</v>
      </c>
      <c r="I340" s="2" t="s">
        <v>17</v>
      </c>
      <c r="J340" s="2" t="s">
        <v>17</v>
      </c>
      <c r="K340" s="2" t="s">
        <v>17</v>
      </c>
      <c r="L340" s="2" t="s">
        <v>26</v>
      </c>
      <c r="M340" s="2" t="s">
        <v>47</v>
      </c>
      <c r="N340" s="2" t="s">
        <v>1419</v>
      </c>
      <c r="O340" s="2" t="s">
        <v>17</v>
      </c>
      <c r="P340" s="2" t="s">
        <v>41</v>
      </c>
      <c r="Q340" s="2" t="s">
        <v>17</v>
      </c>
    </row>
    <row r="341" spans="1:17" hidden="1">
      <c r="A341" s="2">
        <v>12763</v>
      </c>
      <c r="B341" s="2" t="s">
        <v>885</v>
      </c>
      <c r="C341" s="2" t="s">
        <v>886</v>
      </c>
      <c r="D341" s="3">
        <v>46126.95</v>
      </c>
      <c r="E341" s="2" t="s">
        <v>57</v>
      </c>
      <c r="F341" s="2" t="s">
        <v>17</v>
      </c>
      <c r="G341" s="2" t="s">
        <v>80</v>
      </c>
      <c r="H341" s="2" t="s">
        <v>23</v>
      </c>
      <c r="I341" s="2" t="s">
        <v>17</v>
      </c>
      <c r="J341" s="2" t="s">
        <v>17</v>
      </c>
      <c r="K341" s="2" t="s">
        <v>17</v>
      </c>
      <c r="L341" s="2" t="s">
        <v>26</v>
      </c>
      <c r="M341" s="2" t="s">
        <v>19</v>
      </c>
      <c r="N341" s="2" t="s">
        <v>887</v>
      </c>
      <c r="O341" s="2" t="s">
        <v>78</v>
      </c>
      <c r="P341" s="2" t="s">
        <v>49</v>
      </c>
      <c r="Q341" s="2" t="s">
        <v>17</v>
      </c>
    </row>
    <row r="342" spans="1:17" hidden="1">
      <c r="A342" s="2">
        <v>13073</v>
      </c>
      <c r="B342" s="2" t="s">
        <v>1252</v>
      </c>
      <c r="C342" s="2" t="s">
        <v>1252</v>
      </c>
      <c r="D342" s="3">
        <v>46134.977083333331</v>
      </c>
      <c r="E342" s="2" t="s">
        <v>21</v>
      </c>
      <c r="F342" s="2" t="s">
        <v>17</v>
      </c>
      <c r="G342" s="2" t="s">
        <v>80</v>
      </c>
      <c r="H342" s="2" t="s">
        <v>23</v>
      </c>
      <c r="I342" s="2" t="s">
        <v>88</v>
      </c>
      <c r="J342" s="2" t="s">
        <v>1253</v>
      </c>
      <c r="K342" s="2" t="s">
        <v>1254</v>
      </c>
      <c r="L342" s="2" t="s">
        <v>26</v>
      </c>
      <c r="M342" s="2" t="s">
        <v>27</v>
      </c>
      <c r="N342" s="2" t="s">
        <v>1255</v>
      </c>
      <c r="O342" s="2" t="s">
        <v>17</v>
      </c>
      <c r="P342" s="2" t="s">
        <v>1201</v>
      </c>
      <c r="Q342" s="2" t="s">
        <v>17</v>
      </c>
    </row>
    <row r="343" spans="1:17" hidden="1">
      <c r="A343" s="2">
        <v>12657</v>
      </c>
      <c r="B343" s="2" t="s">
        <v>728</v>
      </c>
      <c r="C343" s="2" t="s">
        <v>729</v>
      </c>
      <c r="D343" s="3">
        <v>46124.001388888893</v>
      </c>
      <c r="E343" s="2" t="s">
        <v>21</v>
      </c>
      <c r="F343" s="2" t="s">
        <v>230</v>
      </c>
      <c r="G343" s="2" t="s">
        <v>22</v>
      </c>
      <c r="H343" s="2" t="s">
        <v>235</v>
      </c>
      <c r="I343" s="2" t="s">
        <v>730</v>
      </c>
      <c r="J343" s="2" t="s">
        <v>731</v>
      </c>
      <c r="K343" s="2" t="s">
        <v>17</v>
      </c>
      <c r="L343" s="2" t="s">
        <v>26</v>
      </c>
      <c r="M343" s="2" t="s">
        <v>47</v>
      </c>
      <c r="N343" s="2" t="s">
        <v>732</v>
      </c>
      <c r="O343" s="2" t="s">
        <v>17</v>
      </c>
      <c r="P343" s="2" t="s">
        <v>29</v>
      </c>
      <c r="Q343" s="2" t="s">
        <v>17</v>
      </c>
    </row>
    <row r="344" spans="1:17" hidden="1">
      <c r="A344" s="2">
        <v>13165</v>
      </c>
      <c r="B344" s="2" t="s">
        <v>1319</v>
      </c>
      <c r="C344" s="2" t="s">
        <v>1319</v>
      </c>
      <c r="D344" s="3">
        <v>46136.720833333333</v>
      </c>
      <c r="E344" s="2" t="s">
        <v>57</v>
      </c>
      <c r="F344" s="2" t="s">
        <v>230</v>
      </c>
      <c r="G344" s="2" t="s">
        <v>18</v>
      </c>
      <c r="H344" s="2" t="s">
        <v>235</v>
      </c>
      <c r="I344" s="2" t="s">
        <v>1320</v>
      </c>
      <c r="J344" s="2" t="s">
        <v>1321</v>
      </c>
      <c r="K344" s="2" t="s">
        <v>66</v>
      </c>
      <c r="L344" s="2" t="s">
        <v>54</v>
      </c>
      <c r="M344" s="2" t="s">
        <v>27</v>
      </c>
      <c r="N344" s="2" t="s">
        <v>1322</v>
      </c>
      <c r="O344" s="2" t="s">
        <v>126</v>
      </c>
      <c r="P344" s="2" t="s">
        <v>36</v>
      </c>
      <c r="Q344" s="2" t="s">
        <v>17</v>
      </c>
    </row>
    <row r="345" spans="1:17" hidden="1">
      <c r="A345" s="2">
        <v>13068</v>
      </c>
      <c r="B345" s="2" t="s">
        <v>1238</v>
      </c>
      <c r="C345" s="2" t="s">
        <v>1239</v>
      </c>
      <c r="D345" s="3">
        <v>46134.816666666666</v>
      </c>
      <c r="E345" s="2" t="s">
        <v>16</v>
      </c>
      <c r="F345" s="2" t="s">
        <v>5</v>
      </c>
      <c r="G345" s="2" t="s">
        <v>18</v>
      </c>
      <c r="H345" s="2" t="s">
        <v>23</v>
      </c>
      <c r="I345" s="2" t="s">
        <v>88</v>
      </c>
      <c r="J345" s="2" t="s">
        <v>17</v>
      </c>
      <c r="K345" s="2" t="s">
        <v>17</v>
      </c>
      <c r="L345" s="2" t="s">
        <v>26</v>
      </c>
      <c r="M345" s="2" t="s">
        <v>19</v>
      </c>
      <c r="N345" s="2" t="s">
        <v>1240</v>
      </c>
      <c r="O345" s="2" t="s">
        <v>17</v>
      </c>
      <c r="P345" s="2" t="s">
        <v>49</v>
      </c>
      <c r="Q345" s="2" t="s">
        <v>17</v>
      </c>
    </row>
    <row r="346" spans="1:17" hidden="1">
      <c r="A346" s="2">
        <v>13356</v>
      </c>
      <c r="B346" s="2" t="s">
        <v>1588</v>
      </c>
      <c r="C346" s="2" t="s">
        <v>1588</v>
      </c>
      <c r="D346" s="3">
        <v>46141.806944444441</v>
      </c>
      <c r="E346" s="2" t="s">
        <v>57</v>
      </c>
      <c r="F346" s="2" t="s">
        <v>5</v>
      </c>
      <c r="G346" s="2" t="s">
        <v>18</v>
      </c>
      <c r="H346" s="2" t="s">
        <v>23</v>
      </c>
      <c r="I346" s="2" t="s">
        <v>88</v>
      </c>
      <c r="J346" s="2" t="s">
        <v>449</v>
      </c>
      <c r="K346" s="2" t="s">
        <v>1589</v>
      </c>
      <c r="L346" s="2" t="s">
        <v>26</v>
      </c>
      <c r="M346" s="2" t="s">
        <v>27</v>
      </c>
      <c r="N346" s="2" t="s">
        <v>1590</v>
      </c>
      <c r="O346" s="2" t="s">
        <v>62</v>
      </c>
      <c r="P346" s="2" t="s">
        <v>29</v>
      </c>
      <c r="Q346" s="2" t="s">
        <v>17</v>
      </c>
    </row>
    <row r="347" spans="1:17" hidden="1">
      <c r="A347" s="2">
        <v>12899</v>
      </c>
      <c r="B347" s="2" t="s">
        <v>1024</v>
      </c>
      <c r="C347" s="2" t="s">
        <v>1025</v>
      </c>
      <c r="D347" s="3">
        <v>46130.690972222219</v>
      </c>
      <c r="E347" s="2" t="s">
        <v>57</v>
      </c>
      <c r="F347" s="2" t="s">
        <v>5</v>
      </c>
      <c r="G347" s="2" t="s">
        <v>18</v>
      </c>
      <c r="H347" s="2" t="s">
        <v>23</v>
      </c>
      <c r="I347" s="2" t="s">
        <v>88</v>
      </c>
      <c r="J347" s="2" t="s">
        <v>1026</v>
      </c>
      <c r="K347" s="2" t="s">
        <v>66</v>
      </c>
      <c r="L347" s="2" t="s">
        <v>26</v>
      </c>
      <c r="M347" s="2" t="s">
        <v>27</v>
      </c>
      <c r="N347" s="2" t="s">
        <v>1027</v>
      </c>
      <c r="O347" s="2" t="s">
        <v>62</v>
      </c>
      <c r="P347" s="2" t="s">
        <v>29</v>
      </c>
      <c r="Q347" s="2" t="s">
        <v>17</v>
      </c>
    </row>
    <row r="348" spans="1:17" hidden="1">
      <c r="A348" s="2">
        <v>13279</v>
      </c>
      <c r="B348" s="2" t="s">
        <v>1518</v>
      </c>
      <c r="C348" s="2" t="s">
        <v>1518</v>
      </c>
      <c r="D348" s="3">
        <v>46140.064583333333</v>
      </c>
      <c r="E348" s="2" t="s">
        <v>647</v>
      </c>
      <c r="F348" s="2" t="s">
        <v>5</v>
      </c>
      <c r="G348" s="2" t="s">
        <v>80</v>
      </c>
      <c r="H348" s="2" t="s">
        <v>23</v>
      </c>
      <c r="I348" s="2" t="s">
        <v>81</v>
      </c>
      <c r="J348" s="2" t="s">
        <v>1519</v>
      </c>
      <c r="K348" s="2" t="s">
        <v>1520</v>
      </c>
      <c r="L348" s="2" t="s">
        <v>84</v>
      </c>
      <c r="M348" s="2" t="s">
        <v>27</v>
      </c>
      <c r="N348" s="2" t="s">
        <v>1521</v>
      </c>
      <c r="O348" s="2" t="s">
        <v>17</v>
      </c>
      <c r="P348" s="2" t="s">
        <v>36</v>
      </c>
      <c r="Q348" s="2" t="s">
        <v>17</v>
      </c>
    </row>
    <row r="349" spans="1:17" hidden="1">
      <c r="A349" s="2">
        <v>12461</v>
      </c>
      <c r="B349" s="2" t="s">
        <v>471</v>
      </c>
      <c r="C349" s="2" t="s">
        <v>471</v>
      </c>
      <c r="D349" s="3">
        <v>46119.186805555553</v>
      </c>
      <c r="E349" s="2" t="s">
        <v>57</v>
      </c>
      <c r="F349" s="2" t="s">
        <v>5</v>
      </c>
      <c r="G349" s="2" t="s">
        <v>18</v>
      </c>
      <c r="H349" s="2" t="s">
        <v>23</v>
      </c>
      <c r="I349" s="2" t="s">
        <v>88</v>
      </c>
      <c r="J349" s="2" t="s">
        <v>17</v>
      </c>
      <c r="K349" s="2" t="s">
        <v>17</v>
      </c>
      <c r="L349" s="2" t="s">
        <v>26</v>
      </c>
      <c r="M349" s="2" t="s">
        <v>27</v>
      </c>
      <c r="N349" s="2" t="s">
        <v>472</v>
      </c>
      <c r="O349" s="2" t="s">
        <v>62</v>
      </c>
      <c r="P349" s="2" t="s">
        <v>41</v>
      </c>
      <c r="Q349" s="2" t="s">
        <v>17</v>
      </c>
    </row>
    <row r="350" spans="1:17" hidden="1">
      <c r="A350" s="2">
        <v>13037</v>
      </c>
      <c r="B350" s="2" t="s">
        <v>1189</v>
      </c>
      <c r="C350" s="2" t="s">
        <v>1189</v>
      </c>
      <c r="D350" s="3">
        <v>46134.065972222219</v>
      </c>
      <c r="E350" s="2" t="s">
        <v>21</v>
      </c>
      <c r="F350" s="2" t="s">
        <v>5</v>
      </c>
      <c r="G350" s="2" t="s">
        <v>80</v>
      </c>
      <c r="H350" s="2" t="s">
        <v>23</v>
      </c>
      <c r="I350" s="2" t="s">
        <v>110</v>
      </c>
      <c r="J350" s="2" t="s">
        <v>1190</v>
      </c>
      <c r="K350" s="2" t="s">
        <v>1191</v>
      </c>
      <c r="L350" s="2" t="s">
        <v>26</v>
      </c>
      <c r="M350" s="2" t="s">
        <v>27</v>
      </c>
      <c r="N350" s="2" t="s">
        <v>1192</v>
      </c>
      <c r="O350" s="2" t="s">
        <v>17</v>
      </c>
      <c r="P350" s="2" t="s">
        <v>97</v>
      </c>
      <c r="Q350" s="2" t="s">
        <v>17</v>
      </c>
    </row>
    <row r="351" spans="1:17" hidden="1">
      <c r="A351" s="2">
        <v>13285</v>
      </c>
      <c r="B351" s="2" t="s">
        <v>1536</v>
      </c>
      <c r="C351" s="2" t="s">
        <v>1536</v>
      </c>
      <c r="D351" s="3">
        <v>46140.307638888888</v>
      </c>
      <c r="E351" s="2" t="s">
        <v>21</v>
      </c>
      <c r="F351" s="2" t="s">
        <v>17</v>
      </c>
      <c r="G351" s="2" t="s">
        <v>22</v>
      </c>
      <c r="H351" s="2" t="s">
        <v>244</v>
      </c>
      <c r="I351" s="2" t="s">
        <v>350</v>
      </c>
      <c r="J351" s="2" t="s">
        <v>420</v>
      </c>
      <c r="K351" s="2" t="s">
        <v>1537</v>
      </c>
      <c r="L351" s="2" t="s">
        <v>26</v>
      </c>
      <c r="M351" s="2" t="s">
        <v>27</v>
      </c>
      <c r="N351" s="2" t="s">
        <v>1538</v>
      </c>
      <c r="O351" s="2" t="s">
        <v>17</v>
      </c>
      <c r="P351" s="2" t="s">
        <v>29</v>
      </c>
      <c r="Q351" s="2" t="s">
        <v>17</v>
      </c>
    </row>
    <row r="352" spans="1:17" hidden="1">
      <c r="A352" s="2">
        <v>13417</v>
      </c>
      <c r="B352" s="2" t="s">
        <v>1648</v>
      </c>
      <c r="C352" s="2" t="s">
        <v>1648</v>
      </c>
      <c r="D352" s="3">
        <v>46142.854166666672</v>
      </c>
      <c r="E352" s="2" t="s">
        <v>1324</v>
      </c>
      <c r="F352" s="2" t="s">
        <v>5</v>
      </c>
      <c r="G352" s="2" t="s">
        <v>80</v>
      </c>
      <c r="H352" s="2" t="s">
        <v>23</v>
      </c>
      <c r="I352" s="2" t="s">
        <v>98</v>
      </c>
      <c r="J352" s="2" t="s">
        <v>1649</v>
      </c>
      <c r="K352" s="2" t="s">
        <v>1650</v>
      </c>
      <c r="L352" s="2" t="s">
        <v>100</v>
      </c>
      <c r="M352" s="2" t="s">
        <v>27</v>
      </c>
      <c r="N352" s="2" t="s">
        <v>1651</v>
      </c>
      <c r="O352" s="2" t="s">
        <v>17</v>
      </c>
      <c r="P352" s="2" t="s">
        <v>36</v>
      </c>
      <c r="Q352" s="2" t="s">
        <v>17</v>
      </c>
    </row>
    <row r="353" spans="1:17" hidden="1">
      <c r="A353" s="2">
        <v>12922</v>
      </c>
      <c r="B353" s="2" t="s">
        <v>1063</v>
      </c>
      <c r="C353" s="2" t="s">
        <v>1063</v>
      </c>
      <c r="D353" s="3">
        <v>46131.913194444445</v>
      </c>
      <c r="E353" s="2" t="s">
        <v>900</v>
      </c>
      <c r="F353" s="2" t="s">
        <v>5</v>
      </c>
      <c r="G353" s="2" t="s">
        <v>22</v>
      </c>
      <c r="H353" s="2" t="s">
        <v>43</v>
      </c>
      <c r="I353" s="2" t="s">
        <v>250</v>
      </c>
      <c r="J353" s="2" t="s">
        <v>1064</v>
      </c>
      <c r="K353" s="2" t="s">
        <v>1065</v>
      </c>
      <c r="L353" s="2" t="s">
        <v>26</v>
      </c>
      <c r="M353" s="2" t="s">
        <v>47</v>
      </c>
      <c r="N353" s="2" t="s">
        <v>1066</v>
      </c>
      <c r="O353" s="2" t="s">
        <v>17</v>
      </c>
      <c r="P353" s="2" t="s">
        <v>29</v>
      </c>
      <c r="Q353" s="2" t="s">
        <v>17</v>
      </c>
    </row>
    <row r="354" spans="1:17" hidden="1">
      <c r="A354" s="2">
        <v>12669</v>
      </c>
      <c r="B354" s="2" t="s">
        <v>752</v>
      </c>
      <c r="C354" s="2" t="s">
        <v>753</v>
      </c>
      <c r="D354" s="3">
        <v>46124.602777777778</v>
      </c>
      <c r="E354" s="2" t="s">
        <v>57</v>
      </c>
      <c r="F354" s="2" t="s">
        <v>5</v>
      </c>
      <c r="G354" s="2" t="s">
        <v>22</v>
      </c>
      <c r="H354" s="2" t="s">
        <v>43</v>
      </c>
      <c r="I354" s="2" t="s">
        <v>754</v>
      </c>
      <c r="J354" s="2" t="s">
        <v>755</v>
      </c>
      <c r="K354" s="2" t="s">
        <v>756</v>
      </c>
      <c r="L354" s="2" t="s">
        <v>26</v>
      </c>
      <c r="M354" s="2" t="s">
        <v>47</v>
      </c>
      <c r="N354" s="2" t="s">
        <v>757</v>
      </c>
      <c r="O354" s="2" t="s">
        <v>78</v>
      </c>
      <c r="P354" s="2" t="s">
        <v>17</v>
      </c>
      <c r="Q354" s="2" t="s">
        <v>17</v>
      </c>
    </row>
    <row r="355" spans="1:17" hidden="1">
      <c r="A355" s="2">
        <v>12464</v>
      </c>
      <c r="B355" s="2" t="s">
        <v>480</v>
      </c>
      <c r="C355" s="2" t="s">
        <v>480</v>
      </c>
      <c r="D355" s="3">
        <v>46119.304166666669</v>
      </c>
      <c r="E355" s="2" t="s">
        <v>57</v>
      </c>
      <c r="F355" s="2" t="s">
        <v>17</v>
      </c>
      <c r="G355" s="2" t="s">
        <v>22</v>
      </c>
      <c r="H355" s="2" t="s">
        <v>235</v>
      </c>
      <c r="I355" s="2" t="s">
        <v>481</v>
      </c>
      <c r="J355" s="2" t="s">
        <v>482</v>
      </c>
      <c r="K355" s="2" t="s">
        <v>483</v>
      </c>
      <c r="L355" s="2" t="s">
        <v>54</v>
      </c>
      <c r="M355" s="2" t="s">
        <v>27</v>
      </c>
      <c r="N355" s="2" t="s">
        <v>484</v>
      </c>
      <c r="O355" s="2" t="s">
        <v>126</v>
      </c>
      <c r="P355" s="2" t="s">
        <v>36</v>
      </c>
      <c r="Q355" s="2" t="s">
        <v>17</v>
      </c>
    </row>
    <row r="356" spans="1:17" hidden="1">
      <c r="A356" s="2">
        <v>12673</v>
      </c>
      <c r="B356" s="2" t="s">
        <v>769</v>
      </c>
      <c r="C356" s="2" t="s">
        <v>770</v>
      </c>
      <c r="D356" s="3">
        <v>46124.660416666666</v>
      </c>
      <c r="E356" s="2" t="s">
        <v>57</v>
      </c>
      <c r="F356" s="2" t="s">
        <v>5</v>
      </c>
      <c r="G356" s="2" t="s">
        <v>18</v>
      </c>
      <c r="H356" s="2" t="s">
        <v>23</v>
      </c>
      <c r="I356" s="2" t="s">
        <v>695</v>
      </c>
      <c r="J356" s="2" t="s">
        <v>771</v>
      </c>
      <c r="K356" s="2" t="s">
        <v>772</v>
      </c>
      <c r="L356" s="2" t="s">
        <v>26</v>
      </c>
      <c r="M356" s="2" t="s">
        <v>27</v>
      </c>
      <c r="N356" s="2" t="s">
        <v>773</v>
      </c>
      <c r="O356" s="2" t="s">
        <v>78</v>
      </c>
      <c r="P356" s="2" t="s">
        <v>36</v>
      </c>
      <c r="Q356" s="2" t="s">
        <v>17</v>
      </c>
    </row>
    <row r="357" spans="1:17" hidden="1">
      <c r="A357" s="2">
        <v>12371</v>
      </c>
      <c r="B357" s="2" t="s">
        <v>264</v>
      </c>
      <c r="C357" s="2" t="s">
        <v>264</v>
      </c>
      <c r="D357" s="3">
        <v>46115.845138888893</v>
      </c>
      <c r="E357" s="2" t="s">
        <v>57</v>
      </c>
      <c r="F357" s="2" t="s">
        <v>230</v>
      </c>
      <c r="G357" s="2" t="s">
        <v>22</v>
      </c>
      <c r="H357" s="2" t="s">
        <v>235</v>
      </c>
      <c r="I357" s="2" t="s">
        <v>32</v>
      </c>
      <c r="J357" s="2" t="s">
        <v>265</v>
      </c>
      <c r="K357" s="2" t="s">
        <v>266</v>
      </c>
      <c r="L357" s="2" t="s">
        <v>26</v>
      </c>
      <c r="M357" s="2" t="s">
        <v>27</v>
      </c>
      <c r="N357" s="2" t="s">
        <v>267</v>
      </c>
      <c r="O357" s="2" t="s">
        <v>78</v>
      </c>
      <c r="P357" s="2" t="s">
        <v>36</v>
      </c>
      <c r="Q357" s="2" t="s">
        <v>17</v>
      </c>
    </row>
    <row r="358" spans="1:17" hidden="1">
      <c r="A358" s="2">
        <v>12243</v>
      </c>
      <c r="B358" s="2" t="s">
        <v>68</v>
      </c>
      <c r="C358" s="2" t="s">
        <v>68</v>
      </c>
      <c r="D358" s="3">
        <v>46113.780555555553</v>
      </c>
      <c r="E358" s="2" t="s">
        <v>69</v>
      </c>
      <c r="F358" s="2" t="s">
        <v>5</v>
      </c>
      <c r="G358" s="2" t="s">
        <v>70</v>
      </c>
      <c r="H358" s="2" t="s">
        <v>23</v>
      </c>
      <c r="I358" s="2" t="s">
        <v>71</v>
      </c>
      <c r="J358" s="2" t="s">
        <v>17</v>
      </c>
      <c r="K358" s="2" t="s">
        <v>17</v>
      </c>
      <c r="L358" s="2" t="s">
        <v>54</v>
      </c>
      <c r="M358" s="2" t="s">
        <v>19</v>
      </c>
      <c r="N358" s="2" t="s">
        <v>72</v>
      </c>
      <c r="O358" s="2" t="s">
        <v>17</v>
      </c>
      <c r="P358" s="2" t="s">
        <v>41</v>
      </c>
      <c r="Q358" s="2" t="s">
        <v>17</v>
      </c>
    </row>
    <row r="359" spans="1:17" hidden="1">
      <c r="A359" s="2">
        <v>12984</v>
      </c>
      <c r="B359" s="2" t="s">
        <v>1127</v>
      </c>
      <c r="C359" s="2" t="s">
        <v>1128</v>
      </c>
      <c r="D359" s="3">
        <v>46133.216666666667</v>
      </c>
      <c r="E359" s="2" t="s">
        <v>21</v>
      </c>
      <c r="F359" s="2" t="s">
        <v>17</v>
      </c>
      <c r="G359" s="2" t="s">
        <v>80</v>
      </c>
      <c r="H359" s="2" t="s">
        <v>23</v>
      </c>
      <c r="I359" s="2" t="s">
        <v>17</v>
      </c>
      <c r="J359" s="2" t="s">
        <v>17</v>
      </c>
      <c r="K359" s="2" t="s">
        <v>17</v>
      </c>
      <c r="L359" s="2" t="s">
        <v>26</v>
      </c>
      <c r="M359" s="2" t="s">
        <v>19</v>
      </c>
      <c r="N359" s="2" t="s">
        <v>1129</v>
      </c>
      <c r="O359" s="2" t="s">
        <v>17</v>
      </c>
      <c r="P359" s="2" t="s">
        <v>49</v>
      </c>
      <c r="Q359" s="2" t="s">
        <v>17</v>
      </c>
    </row>
    <row r="360" spans="1:17" hidden="1">
      <c r="A360" s="2">
        <v>12317</v>
      </c>
      <c r="B360" s="2" t="s">
        <v>191</v>
      </c>
      <c r="C360" s="2" t="s">
        <v>192</v>
      </c>
      <c r="D360" s="3">
        <v>46114.929861111115</v>
      </c>
      <c r="E360" s="2" t="s">
        <v>57</v>
      </c>
      <c r="F360" s="2" t="s">
        <v>5</v>
      </c>
      <c r="G360" s="2" t="s">
        <v>18</v>
      </c>
      <c r="H360" s="2" t="s">
        <v>23</v>
      </c>
      <c r="I360" s="2" t="s">
        <v>88</v>
      </c>
      <c r="J360" s="2" t="s">
        <v>193</v>
      </c>
      <c r="K360" s="2" t="s">
        <v>194</v>
      </c>
      <c r="L360" s="2" t="s">
        <v>26</v>
      </c>
      <c r="M360" s="2" t="s">
        <v>27</v>
      </c>
      <c r="N360" s="2" t="s">
        <v>195</v>
      </c>
      <c r="O360" s="2" t="s">
        <v>107</v>
      </c>
      <c r="P360" s="2" t="s">
        <v>29</v>
      </c>
      <c r="Q360" s="2" t="s">
        <v>17</v>
      </c>
    </row>
    <row r="361" spans="1:17" hidden="1">
      <c r="A361" s="2">
        <v>13212</v>
      </c>
      <c r="B361" s="2" t="s">
        <v>1401</v>
      </c>
      <c r="C361" s="2" t="s">
        <v>1401</v>
      </c>
      <c r="D361" s="3">
        <v>46138.618750000001</v>
      </c>
      <c r="E361" s="2" t="s">
        <v>57</v>
      </c>
      <c r="F361" s="2" t="s">
        <v>5</v>
      </c>
      <c r="G361" s="2" t="s">
        <v>1402</v>
      </c>
      <c r="H361" s="2" t="s">
        <v>23</v>
      </c>
      <c r="I361" s="2" t="s">
        <v>499</v>
      </c>
      <c r="J361" s="2" t="s">
        <v>1403</v>
      </c>
      <c r="K361" s="2" t="s">
        <v>66</v>
      </c>
      <c r="L361" s="2" t="s">
        <v>54</v>
      </c>
      <c r="M361" s="2" t="s">
        <v>27</v>
      </c>
      <c r="N361" s="2" t="s">
        <v>1404</v>
      </c>
      <c r="O361" s="2" t="s">
        <v>1081</v>
      </c>
      <c r="P361" s="2" t="s">
        <v>36</v>
      </c>
      <c r="Q361" s="2" t="s">
        <v>17</v>
      </c>
    </row>
    <row r="362" spans="1:17" hidden="1">
      <c r="A362" s="2">
        <v>12410</v>
      </c>
      <c r="B362" s="2" t="s">
        <v>388</v>
      </c>
      <c r="C362" s="2" t="s">
        <v>389</v>
      </c>
      <c r="D362" s="3">
        <v>46118.029166666667</v>
      </c>
      <c r="E362" s="2" t="s">
        <v>57</v>
      </c>
      <c r="F362" s="2" t="s">
        <v>5</v>
      </c>
      <c r="G362" s="2" t="s">
        <v>18</v>
      </c>
      <c r="H362" s="2" t="s">
        <v>23</v>
      </c>
      <c r="I362" s="2" t="s">
        <v>88</v>
      </c>
      <c r="J362" s="2" t="s">
        <v>390</v>
      </c>
      <c r="K362" s="2" t="s">
        <v>391</v>
      </c>
      <c r="L362" s="2" t="s">
        <v>26</v>
      </c>
      <c r="M362" s="2" t="s">
        <v>27</v>
      </c>
      <c r="N362" s="2" t="s">
        <v>392</v>
      </c>
      <c r="O362" s="2" t="s">
        <v>78</v>
      </c>
      <c r="P362" s="2" t="s">
        <v>36</v>
      </c>
      <c r="Q362" s="2" t="s">
        <v>17</v>
      </c>
    </row>
    <row r="363" spans="1:17" hidden="1">
      <c r="A363" s="2">
        <v>13197</v>
      </c>
      <c r="B363" s="2" t="s">
        <v>1371</v>
      </c>
      <c r="C363" s="2" t="s">
        <v>1372</v>
      </c>
      <c r="D363" s="3">
        <v>46137.723611111112</v>
      </c>
      <c r="E363" s="2" t="s">
        <v>1186</v>
      </c>
      <c r="F363" s="2" t="s">
        <v>5</v>
      </c>
      <c r="G363" s="2" t="s">
        <v>18</v>
      </c>
      <c r="H363" s="2" t="s">
        <v>23</v>
      </c>
      <c r="I363" s="2" t="s">
        <v>88</v>
      </c>
      <c r="J363" s="2" t="s">
        <v>1373</v>
      </c>
      <c r="K363" s="2" t="s">
        <v>1374</v>
      </c>
      <c r="L363" s="2" t="s">
        <v>26</v>
      </c>
      <c r="M363" s="2" t="s">
        <v>27</v>
      </c>
      <c r="N363" s="2" t="s">
        <v>1375</v>
      </c>
      <c r="O363" s="2" t="s">
        <v>17</v>
      </c>
      <c r="P363" s="2" t="s">
        <v>36</v>
      </c>
      <c r="Q363" s="2" t="s">
        <v>17</v>
      </c>
    </row>
    <row r="364" spans="1:17" hidden="1">
      <c r="A364" s="2">
        <v>12339</v>
      </c>
      <c r="B364" s="2" t="s">
        <v>215</v>
      </c>
      <c r="C364" s="2" t="s">
        <v>216</v>
      </c>
      <c r="D364" s="3">
        <v>46115.167361111111</v>
      </c>
      <c r="E364" s="2" t="s">
        <v>57</v>
      </c>
      <c r="F364" s="2" t="s">
        <v>5</v>
      </c>
      <c r="G364" s="2" t="s">
        <v>18</v>
      </c>
      <c r="H364" s="2" t="s">
        <v>23</v>
      </c>
      <c r="I364" s="2" t="s">
        <v>159</v>
      </c>
      <c r="J364" s="2" t="s">
        <v>217</v>
      </c>
      <c r="K364" s="2" t="s">
        <v>218</v>
      </c>
      <c r="L364" s="2" t="s">
        <v>26</v>
      </c>
      <c r="M364" s="2" t="s">
        <v>27</v>
      </c>
      <c r="N364" s="2" t="s">
        <v>219</v>
      </c>
      <c r="O364" s="2" t="s">
        <v>78</v>
      </c>
      <c r="P364" s="2" t="s">
        <v>36</v>
      </c>
      <c r="Q364" s="2" t="s">
        <v>17</v>
      </c>
    </row>
    <row r="365" spans="1:17" hidden="1">
      <c r="A365" s="2">
        <v>13299</v>
      </c>
      <c r="B365" s="2" t="s">
        <v>1545</v>
      </c>
      <c r="C365" s="2" t="s">
        <v>1545</v>
      </c>
      <c r="D365" s="3">
        <v>46140.59652777778</v>
      </c>
      <c r="E365" s="2" t="s">
        <v>1186</v>
      </c>
      <c r="F365" s="2" t="s">
        <v>230</v>
      </c>
      <c r="G365" s="2" t="s">
        <v>22</v>
      </c>
      <c r="H365" s="2" t="s">
        <v>235</v>
      </c>
      <c r="I365" s="2" t="s">
        <v>142</v>
      </c>
      <c r="J365" s="2" t="s">
        <v>1546</v>
      </c>
      <c r="K365" s="2" t="s">
        <v>1547</v>
      </c>
      <c r="L365" s="2" t="s">
        <v>26</v>
      </c>
      <c r="M365" s="2" t="s">
        <v>47</v>
      </c>
      <c r="N365" s="2" t="s">
        <v>1548</v>
      </c>
      <c r="O365" s="2" t="s">
        <v>17</v>
      </c>
      <c r="P365" s="2" t="s">
        <v>36</v>
      </c>
      <c r="Q365" s="2" t="s">
        <v>17</v>
      </c>
    </row>
    <row r="366" spans="1:17" hidden="1">
      <c r="A366" s="2">
        <v>12373</v>
      </c>
      <c r="B366" s="2" t="s">
        <v>270</v>
      </c>
      <c r="C366" s="2" t="s">
        <v>271</v>
      </c>
      <c r="D366" s="3">
        <v>46116.022222222222</v>
      </c>
      <c r="E366" s="2" t="s">
        <v>57</v>
      </c>
      <c r="F366" s="2" t="s">
        <v>5</v>
      </c>
      <c r="G366" s="2" t="s">
        <v>18</v>
      </c>
      <c r="H366" s="2" t="s">
        <v>23</v>
      </c>
      <c r="I366" s="2" t="s">
        <v>32</v>
      </c>
      <c r="J366" s="2" t="s">
        <v>272</v>
      </c>
      <c r="K366" s="2" t="s">
        <v>273</v>
      </c>
      <c r="L366" s="2" t="s">
        <v>26</v>
      </c>
      <c r="M366" s="2" t="s">
        <v>27</v>
      </c>
      <c r="N366" s="2" t="s">
        <v>274</v>
      </c>
      <c r="O366" s="2" t="s">
        <v>62</v>
      </c>
      <c r="P366" s="2" t="s">
        <v>36</v>
      </c>
      <c r="Q366" s="2" t="s">
        <v>17</v>
      </c>
    </row>
    <row r="367" spans="1:17" hidden="1">
      <c r="A367" s="2">
        <v>12852</v>
      </c>
      <c r="B367" s="2" t="s">
        <v>962</v>
      </c>
      <c r="C367" s="2" t="s">
        <v>962</v>
      </c>
      <c r="D367" s="3">
        <v>46129.525000000001</v>
      </c>
      <c r="E367" s="2" t="s">
        <v>21</v>
      </c>
      <c r="F367" s="2" t="s">
        <v>5</v>
      </c>
      <c r="G367" s="2" t="s">
        <v>22</v>
      </c>
      <c r="H367" s="2" t="s">
        <v>23</v>
      </c>
      <c r="I367" s="2" t="s">
        <v>499</v>
      </c>
      <c r="J367" s="2" t="s">
        <v>963</v>
      </c>
      <c r="K367" s="2" t="s">
        <v>964</v>
      </c>
      <c r="L367" s="2" t="s">
        <v>54</v>
      </c>
      <c r="M367" s="2" t="s">
        <v>27</v>
      </c>
      <c r="N367" s="2" t="s">
        <v>965</v>
      </c>
      <c r="O367" s="2" t="s">
        <v>17</v>
      </c>
      <c r="P367" s="2" t="s">
        <v>36</v>
      </c>
      <c r="Q367" s="2" t="s">
        <v>17</v>
      </c>
    </row>
    <row r="368" spans="1:17" hidden="1">
      <c r="A368" s="2">
        <v>13114</v>
      </c>
      <c r="B368" s="2" t="s">
        <v>1288</v>
      </c>
      <c r="C368" s="2" t="s">
        <v>1288</v>
      </c>
      <c r="D368" s="3">
        <v>46135.728472222225</v>
      </c>
      <c r="E368" s="2" t="s">
        <v>57</v>
      </c>
      <c r="F368" s="2" t="s">
        <v>5</v>
      </c>
      <c r="G368" s="2" t="s">
        <v>18</v>
      </c>
      <c r="H368" s="2" t="s">
        <v>168</v>
      </c>
      <c r="I368" s="2" t="s">
        <v>17</v>
      </c>
      <c r="J368" s="2" t="s">
        <v>17</v>
      </c>
      <c r="K368" s="2" t="s">
        <v>17</v>
      </c>
      <c r="L368" s="2" t="s">
        <v>26</v>
      </c>
      <c r="M368" s="2" t="s">
        <v>47</v>
      </c>
      <c r="N368" s="2" t="s">
        <v>1288</v>
      </c>
      <c r="O368" s="2" t="s">
        <v>62</v>
      </c>
      <c r="P368" s="2" t="s">
        <v>41</v>
      </c>
      <c r="Q368" s="2" t="s">
        <v>17</v>
      </c>
    </row>
    <row r="369" spans="1:17" hidden="1">
      <c r="A369" s="2">
        <v>12595</v>
      </c>
      <c r="B369" s="2" t="s">
        <v>603</v>
      </c>
      <c r="C369" s="2" t="s">
        <v>604</v>
      </c>
      <c r="D369" s="3">
        <v>46121.820833333331</v>
      </c>
      <c r="E369" s="2" t="s">
        <v>21</v>
      </c>
      <c r="F369" s="2" t="s">
        <v>17</v>
      </c>
      <c r="G369" s="2" t="s">
        <v>22</v>
      </c>
      <c r="H369" s="2" t="s">
        <v>23</v>
      </c>
      <c r="I369" s="2" t="s">
        <v>17</v>
      </c>
      <c r="J369" s="2" t="s">
        <v>17</v>
      </c>
      <c r="K369" s="2" t="s">
        <v>17</v>
      </c>
      <c r="L369" s="2" t="s">
        <v>54</v>
      </c>
      <c r="M369" s="2" t="s">
        <v>19</v>
      </c>
      <c r="N369" s="2" t="s">
        <v>605</v>
      </c>
      <c r="O369" s="2" t="s">
        <v>17</v>
      </c>
      <c r="P369" s="254" t="s">
        <v>49</v>
      </c>
      <c r="Q369" s="2" t="s">
        <v>17</v>
      </c>
    </row>
    <row r="370" spans="1:17" hidden="1">
      <c r="A370" s="2">
        <v>12652</v>
      </c>
      <c r="B370" s="2" t="s">
        <v>708</v>
      </c>
      <c r="C370" s="2" t="s">
        <v>708</v>
      </c>
      <c r="D370" s="3">
        <v>46123.767361111109</v>
      </c>
      <c r="E370" s="2" t="s">
        <v>57</v>
      </c>
      <c r="F370" s="2" t="s">
        <v>5</v>
      </c>
      <c r="G370" s="2" t="s">
        <v>22</v>
      </c>
      <c r="H370" s="2" t="s">
        <v>43</v>
      </c>
      <c r="I370" s="2" t="s">
        <v>88</v>
      </c>
      <c r="J370" s="2" t="s">
        <v>17</v>
      </c>
      <c r="K370" s="2" t="s">
        <v>17</v>
      </c>
      <c r="L370" s="2" t="s">
        <v>26</v>
      </c>
      <c r="M370" s="2" t="s">
        <v>47</v>
      </c>
      <c r="N370" s="2" t="s">
        <v>709</v>
      </c>
      <c r="O370" s="2" t="s">
        <v>208</v>
      </c>
      <c r="P370" s="2" t="s">
        <v>41</v>
      </c>
      <c r="Q370" s="2" t="s">
        <v>17</v>
      </c>
    </row>
    <row r="371" spans="1:17" hidden="1">
      <c r="A371" s="2">
        <v>13222</v>
      </c>
      <c r="B371" s="2" t="s">
        <v>1434</v>
      </c>
      <c r="C371" s="2" t="s">
        <v>1434</v>
      </c>
      <c r="D371" s="3">
        <v>46138.954166666663</v>
      </c>
      <c r="E371" s="2" t="s">
        <v>1186</v>
      </c>
      <c r="F371" s="2" t="s">
        <v>5</v>
      </c>
      <c r="G371" s="2" t="s">
        <v>22</v>
      </c>
      <c r="H371" s="2" t="s">
        <v>43</v>
      </c>
      <c r="I371" s="2" t="s">
        <v>1435</v>
      </c>
      <c r="J371" s="2" t="s">
        <v>251</v>
      </c>
      <c r="K371" s="2" t="s">
        <v>1436</v>
      </c>
      <c r="L371" s="2" t="s">
        <v>26</v>
      </c>
      <c r="M371" s="2" t="s">
        <v>47</v>
      </c>
      <c r="N371" s="2" t="s">
        <v>1437</v>
      </c>
      <c r="O371" s="2" t="s">
        <v>17</v>
      </c>
      <c r="P371" s="2" t="s">
        <v>101</v>
      </c>
      <c r="Q371" s="2" t="s">
        <v>17</v>
      </c>
    </row>
    <row r="372" spans="1:17" hidden="1">
      <c r="A372" s="2">
        <v>12349</v>
      </c>
      <c r="B372" s="2" t="s">
        <v>224</v>
      </c>
      <c r="C372" s="2" t="s">
        <v>225</v>
      </c>
      <c r="D372" s="3">
        <v>46115.436111111107</v>
      </c>
      <c r="E372" s="2" t="s">
        <v>57</v>
      </c>
      <c r="F372" s="2" t="s">
        <v>17</v>
      </c>
      <c r="G372" s="2" t="s">
        <v>22</v>
      </c>
      <c r="H372" s="2" t="s">
        <v>43</v>
      </c>
      <c r="I372" s="2" t="s">
        <v>142</v>
      </c>
      <c r="J372" s="2" t="s">
        <v>226</v>
      </c>
      <c r="K372" s="2" t="s">
        <v>227</v>
      </c>
      <c r="L372" s="2" t="s">
        <v>26</v>
      </c>
      <c r="M372" s="2" t="s">
        <v>47</v>
      </c>
      <c r="N372" s="2" t="s">
        <v>228</v>
      </c>
      <c r="O372" s="2" t="s">
        <v>78</v>
      </c>
      <c r="P372" s="2" t="s">
        <v>36</v>
      </c>
      <c r="Q372" s="2" t="s">
        <v>17</v>
      </c>
    </row>
    <row r="373" spans="1:17" hidden="1">
      <c r="A373" s="2">
        <v>12395</v>
      </c>
      <c r="B373" s="2" t="s">
        <v>349</v>
      </c>
      <c r="C373" s="2" t="s">
        <v>349</v>
      </c>
      <c r="D373" s="3">
        <v>46117.25</v>
      </c>
      <c r="E373" s="2" t="s">
        <v>57</v>
      </c>
      <c r="F373" s="2" t="s">
        <v>230</v>
      </c>
      <c r="G373" s="2" t="s">
        <v>18</v>
      </c>
      <c r="H373" s="2" t="s">
        <v>17</v>
      </c>
      <c r="I373" s="2" t="s">
        <v>350</v>
      </c>
      <c r="J373" s="2" t="s">
        <v>17</v>
      </c>
      <c r="K373" s="2" t="s">
        <v>17</v>
      </c>
      <c r="L373" s="2" t="s">
        <v>17</v>
      </c>
      <c r="M373" s="2" t="s">
        <v>27</v>
      </c>
      <c r="N373" s="2" t="s">
        <v>351</v>
      </c>
      <c r="O373" s="2" t="s">
        <v>126</v>
      </c>
      <c r="P373" s="2" t="s">
        <v>127</v>
      </c>
      <c r="Q373" s="2" t="s">
        <v>17</v>
      </c>
    </row>
    <row r="374" spans="1:17" hidden="1">
      <c r="A374" s="2">
        <v>12687</v>
      </c>
      <c r="B374" s="2" t="s">
        <v>786</v>
      </c>
      <c r="C374" s="2" t="s">
        <v>786</v>
      </c>
      <c r="D374" s="3">
        <v>46125.447222222225</v>
      </c>
      <c r="E374" s="2" t="s">
        <v>582</v>
      </c>
      <c r="F374" s="2" t="s">
        <v>5</v>
      </c>
      <c r="G374" s="2" t="s">
        <v>22</v>
      </c>
      <c r="H374" s="2" t="s">
        <v>43</v>
      </c>
      <c r="I374" s="2" t="s">
        <v>787</v>
      </c>
      <c r="J374" s="2" t="s">
        <v>788</v>
      </c>
      <c r="K374" s="2" t="s">
        <v>789</v>
      </c>
      <c r="L374" s="2" t="s">
        <v>26</v>
      </c>
      <c r="M374" s="2" t="s">
        <v>47</v>
      </c>
      <c r="N374" s="2" t="s">
        <v>790</v>
      </c>
      <c r="O374" s="2" t="s">
        <v>17</v>
      </c>
      <c r="P374" s="2" t="s">
        <v>36</v>
      </c>
      <c r="Q374" s="2" t="s">
        <v>17</v>
      </c>
    </row>
    <row r="375" spans="1:17" hidden="1">
      <c r="A375" s="2">
        <v>12454</v>
      </c>
      <c r="B375" s="2" t="s">
        <v>452</v>
      </c>
      <c r="C375" s="2" t="s">
        <v>452</v>
      </c>
      <c r="D375" s="3">
        <v>46118.984027777777</v>
      </c>
      <c r="E375" s="2" t="s">
        <v>57</v>
      </c>
      <c r="F375" s="2" t="s">
        <v>5</v>
      </c>
      <c r="G375" s="2" t="s">
        <v>80</v>
      </c>
      <c r="H375" s="2" t="s">
        <v>23</v>
      </c>
      <c r="I375" s="2" t="s">
        <v>453</v>
      </c>
      <c r="J375" s="2" t="s">
        <v>454</v>
      </c>
      <c r="K375" s="2" t="s">
        <v>455</v>
      </c>
      <c r="L375" s="2" t="s">
        <v>100</v>
      </c>
      <c r="M375" s="2" t="s">
        <v>27</v>
      </c>
      <c r="N375" s="2" t="s">
        <v>456</v>
      </c>
      <c r="O375" s="2" t="s">
        <v>78</v>
      </c>
      <c r="P375" s="2" t="s">
        <v>29</v>
      </c>
      <c r="Q375" s="2" t="s">
        <v>17</v>
      </c>
    </row>
    <row r="376" spans="1:17" hidden="1">
      <c r="A376" s="2">
        <v>12289</v>
      </c>
      <c r="B376" s="2" t="s">
        <v>132</v>
      </c>
      <c r="C376" s="2" t="s">
        <v>132</v>
      </c>
      <c r="D376" s="3">
        <v>46114.668749999997</v>
      </c>
      <c r="E376" s="2" t="s">
        <v>21</v>
      </c>
      <c r="F376" s="2" t="s">
        <v>5</v>
      </c>
      <c r="G376" s="2" t="s">
        <v>22</v>
      </c>
      <c r="H376" s="2" t="s">
        <v>23</v>
      </c>
      <c r="I376" s="2" t="s">
        <v>133</v>
      </c>
      <c r="J376" s="2" t="s">
        <v>134</v>
      </c>
      <c r="K376" s="2" t="s">
        <v>17</v>
      </c>
      <c r="L376" s="2" t="s">
        <v>54</v>
      </c>
      <c r="M376" s="2" t="s">
        <v>27</v>
      </c>
      <c r="N376" s="2" t="s">
        <v>135</v>
      </c>
      <c r="O376" s="2" t="s">
        <v>17</v>
      </c>
      <c r="P376" s="2" t="s">
        <v>101</v>
      </c>
      <c r="Q376" s="2" t="s">
        <v>17</v>
      </c>
    </row>
    <row r="377" spans="1:17" hidden="1">
      <c r="A377" s="2">
        <v>13095</v>
      </c>
      <c r="B377" s="2" t="s">
        <v>1277</v>
      </c>
      <c r="C377" s="2" t="s">
        <v>1277</v>
      </c>
      <c r="D377" s="3">
        <v>46135.402777777781</v>
      </c>
      <c r="E377" s="2" t="s">
        <v>179</v>
      </c>
      <c r="F377" s="2" t="s">
        <v>5</v>
      </c>
      <c r="G377" s="2" t="s">
        <v>22</v>
      </c>
      <c r="H377" s="2" t="s">
        <v>23</v>
      </c>
      <c r="I377" s="2" t="s">
        <v>17</v>
      </c>
      <c r="J377" s="2" t="s">
        <v>17</v>
      </c>
      <c r="K377" s="2" t="s">
        <v>17</v>
      </c>
      <c r="L377" s="2" t="s">
        <v>54</v>
      </c>
      <c r="M377" s="2" t="s">
        <v>27</v>
      </c>
      <c r="N377" s="2" t="s">
        <v>1278</v>
      </c>
      <c r="O377" s="2" t="s">
        <v>17</v>
      </c>
      <c r="P377" s="2" t="s">
        <v>41</v>
      </c>
      <c r="Q377" s="2" t="s">
        <v>17</v>
      </c>
    </row>
    <row r="378" spans="1:17" hidden="1">
      <c r="A378" s="2">
        <v>12418</v>
      </c>
      <c r="B378" s="2" t="s">
        <v>398</v>
      </c>
      <c r="C378" s="2" t="s">
        <v>399</v>
      </c>
      <c r="D378" s="3">
        <v>46118.411805555559</v>
      </c>
      <c r="E378" s="2" t="s">
        <v>57</v>
      </c>
      <c r="F378" s="2" t="s">
        <v>5</v>
      </c>
      <c r="G378" s="2" t="s">
        <v>18</v>
      </c>
      <c r="H378" s="2" t="s">
        <v>23</v>
      </c>
      <c r="I378" s="2" t="s">
        <v>88</v>
      </c>
      <c r="J378" s="2" t="s">
        <v>25</v>
      </c>
      <c r="K378" s="2" t="s">
        <v>17</v>
      </c>
      <c r="L378" s="2" t="s">
        <v>26</v>
      </c>
      <c r="M378" s="2" t="s">
        <v>27</v>
      </c>
      <c r="N378" s="2" t="s">
        <v>400</v>
      </c>
      <c r="O378" s="2" t="s">
        <v>62</v>
      </c>
      <c r="P378" s="2" t="s">
        <v>29</v>
      </c>
      <c r="Q378" s="2" t="s">
        <v>17</v>
      </c>
    </row>
    <row r="379" spans="1:17" hidden="1">
      <c r="A379" s="2">
        <v>12883</v>
      </c>
      <c r="B379" s="2" t="s">
        <v>1003</v>
      </c>
      <c r="C379" s="2" t="s">
        <v>1003</v>
      </c>
      <c r="D379" s="3">
        <v>46129.943055555559</v>
      </c>
      <c r="E379" s="2" t="s">
        <v>21</v>
      </c>
      <c r="F379" s="2" t="s">
        <v>5</v>
      </c>
      <c r="G379" s="2" t="s">
        <v>80</v>
      </c>
      <c r="H379" s="2" t="s">
        <v>23</v>
      </c>
      <c r="I379" s="2" t="s">
        <v>81</v>
      </c>
      <c r="J379" s="2" t="s">
        <v>1004</v>
      </c>
      <c r="K379" s="2" t="s">
        <v>1005</v>
      </c>
      <c r="L379" s="2" t="s">
        <v>84</v>
      </c>
      <c r="M379" s="2" t="s">
        <v>27</v>
      </c>
      <c r="N379" s="2" t="s">
        <v>1006</v>
      </c>
      <c r="O379" s="2" t="s">
        <v>17</v>
      </c>
      <c r="P379" s="2" t="s">
        <v>36</v>
      </c>
      <c r="Q379" s="2" t="s">
        <v>17</v>
      </c>
    </row>
    <row r="380" spans="1:17" hidden="1">
      <c r="A380" s="2">
        <v>13283</v>
      </c>
      <c r="B380" s="2" t="s">
        <v>1530</v>
      </c>
      <c r="C380" s="2" t="s">
        <v>1530</v>
      </c>
      <c r="D380" s="3">
        <v>46140.126388888893</v>
      </c>
      <c r="E380" s="2" t="s">
        <v>1186</v>
      </c>
      <c r="F380" s="2" t="s">
        <v>5</v>
      </c>
      <c r="G380" s="2" t="s">
        <v>22</v>
      </c>
      <c r="H380" s="2" t="s">
        <v>43</v>
      </c>
      <c r="I380" s="2" t="s">
        <v>1273</v>
      </c>
      <c r="J380" s="2" t="s">
        <v>240</v>
      </c>
      <c r="K380" s="2" t="s">
        <v>1531</v>
      </c>
      <c r="L380" s="2" t="s">
        <v>26</v>
      </c>
      <c r="M380" s="2" t="s">
        <v>47</v>
      </c>
      <c r="N380" s="2" t="s">
        <v>1532</v>
      </c>
      <c r="O380" s="2" t="s">
        <v>17</v>
      </c>
      <c r="P380" s="2" t="s">
        <v>29</v>
      </c>
      <c r="Q380" s="2" t="s">
        <v>17</v>
      </c>
    </row>
    <row r="381" spans="1:17" hidden="1">
      <c r="A381" s="2">
        <v>12301</v>
      </c>
      <c r="B381" s="2" t="s">
        <v>163</v>
      </c>
      <c r="C381" s="2" t="s">
        <v>163</v>
      </c>
      <c r="D381" s="3">
        <v>46114.761111111111</v>
      </c>
      <c r="E381" s="2" t="s">
        <v>21</v>
      </c>
      <c r="F381" s="2" t="s">
        <v>5</v>
      </c>
      <c r="G381" s="2" t="s">
        <v>22</v>
      </c>
      <c r="H381" s="2" t="s">
        <v>43</v>
      </c>
      <c r="I381" s="2" t="s">
        <v>74</v>
      </c>
      <c r="J381" s="2" t="s">
        <v>164</v>
      </c>
      <c r="K381" s="2" t="s">
        <v>17</v>
      </c>
      <c r="L381" s="2" t="s">
        <v>26</v>
      </c>
      <c r="M381" s="2" t="s">
        <v>47</v>
      </c>
      <c r="N381" s="2" t="s">
        <v>165</v>
      </c>
      <c r="O381" s="2" t="s">
        <v>17</v>
      </c>
      <c r="P381" s="2" t="s">
        <v>29</v>
      </c>
      <c r="Q381" s="2" t="s">
        <v>17</v>
      </c>
    </row>
    <row r="382" spans="1:17" hidden="1">
      <c r="A382" s="2">
        <v>13272</v>
      </c>
      <c r="B382" s="2" t="s">
        <v>1505</v>
      </c>
      <c r="C382" s="2" t="s">
        <v>1505</v>
      </c>
      <c r="D382" s="3">
        <v>46139.922916666663</v>
      </c>
      <c r="E382" s="2" t="s">
        <v>167</v>
      </c>
      <c r="F382" s="2" t="s">
        <v>5</v>
      </c>
      <c r="G382" s="2" t="s">
        <v>18</v>
      </c>
      <c r="H382" s="2" t="s">
        <v>168</v>
      </c>
      <c r="I382" s="2" t="s">
        <v>187</v>
      </c>
      <c r="J382" s="2" t="s">
        <v>1506</v>
      </c>
      <c r="K382" s="2" t="s">
        <v>1507</v>
      </c>
      <c r="L382" s="2" t="s">
        <v>26</v>
      </c>
      <c r="M382" s="2" t="s">
        <v>47</v>
      </c>
      <c r="N382" s="2" t="s">
        <v>1508</v>
      </c>
      <c r="O382" s="2" t="s">
        <v>17</v>
      </c>
      <c r="P382" s="2" t="s">
        <v>97</v>
      </c>
      <c r="Q382" s="2" t="s">
        <v>17</v>
      </c>
    </row>
    <row r="383" spans="1:17" hidden="1">
      <c r="A383" s="2">
        <v>12591</v>
      </c>
      <c r="B383" s="2" t="s">
        <v>599</v>
      </c>
      <c r="C383" s="2" t="s">
        <v>599</v>
      </c>
      <c r="D383" s="3">
        <v>46121.78402777778</v>
      </c>
      <c r="E383" s="2" t="s">
        <v>57</v>
      </c>
      <c r="F383" s="2" t="s">
        <v>5</v>
      </c>
      <c r="G383" s="2" t="s">
        <v>22</v>
      </c>
      <c r="H383" s="2" t="s">
        <v>43</v>
      </c>
      <c r="I383" s="2" t="s">
        <v>148</v>
      </c>
      <c r="J383" s="2" t="s">
        <v>600</v>
      </c>
      <c r="K383" s="2" t="s">
        <v>601</v>
      </c>
      <c r="L383" s="2" t="s">
        <v>26</v>
      </c>
      <c r="M383" s="2" t="s">
        <v>47</v>
      </c>
      <c r="N383" s="2" t="s">
        <v>602</v>
      </c>
      <c r="O383" s="2" t="s">
        <v>78</v>
      </c>
      <c r="P383" s="2" t="s">
        <v>36</v>
      </c>
      <c r="Q383" s="2" t="s">
        <v>17</v>
      </c>
    </row>
    <row r="384" spans="1:17" hidden="1">
      <c r="A384" s="2">
        <v>12554</v>
      </c>
      <c r="B384" s="2" t="s">
        <v>558</v>
      </c>
      <c r="C384" s="2" t="s">
        <v>558</v>
      </c>
      <c r="D384" s="3">
        <v>46120.818749999999</v>
      </c>
      <c r="E384" s="2" t="s">
        <v>57</v>
      </c>
      <c r="F384" s="2" t="s">
        <v>5</v>
      </c>
      <c r="G384" s="2" t="s">
        <v>18</v>
      </c>
      <c r="H384" s="2" t="s">
        <v>23</v>
      </c>
      <c r="I384" s="2" t="s">
        <v>32</v>
      </c>
      <c r="J384" s="2" t="s">
        <v>170</v>
      </c>
      <c r="K384" s="2" t="s">
        <v>559</v>
      </c>
      <c r="L384" s="2" t="s">
        <v>26</v>
      </c>
      <c r="M384" s="2" t="s">
        <v>47</v>
      </c>
      <c r="N384" s="2" t="s">
        <v>560</v>
      </c>
      <c r="O384" s="2" t="s">
        <v>107</v>
      </c>
      <c r="P384" s="2" t="s">
        <v>101</v>
      </c>
      <c r="Q384" s="2" t="s">
        <v>17</v>
      </c>
    </row>
    <row r="385" spans="1:17">
      <c r="A385" s="2">
        <v>12618</v>
      </c>
      <c r="B385" s="2" t="s">
        <v>646</v>
      </c>
      <c r="C385" s="2" t="s">
        <v>646</v>
      </c>
      <c r="D385" s="3">
        <v>46122.445138888885</v>
      </c>
      <c r="E385" s="2" t="s">
        <v>647</v>
      </c>
      <c r="F385" s="2" t="s">
        <v>5</v>
      </c>
      <c r="G385" s="2" t="s">
        <v>22</v>
      </c>
      <c r="H385" s="2" t="s">
        <v>503</v>
      </c>
      <c r="I385" s="2" t="s">
        <v>648</v>
      </c>
      <c r="J385" s="2" t="s">
        <v>649</v>
      </c>
      <c r="K385" s="2" t="s">
        <v>17</v>
      </c>
      <c r="L385" s="2" t="s">
        <v>26</v>
      </c>
      <c r="M385" s="2" t="s">
        <v>47</v>
      </c>
      <c r="N385" s="2" t="s">
        <v>650</v>
      </c>
      <c r="O385" s="2" t="s">
        <v>17</v>
      </c>
      <c r="P385" s="2" t="s">
        <v>36</v>
      </c>
      <c r="Q385" s="2" t="s">
        <v>17</v>
      </c>
    </row>
    <row r="386" spans="1:17" hidden="1">
      <c r="A386" s="2">
        <v>12390</v>
      </c>
      <c r="B386" s="2" t="s">
        <v>326</v>
      </c>
      <c r="C386" s="2" t="s">
        <v>327</v>
      </c>
      <c r="D386" s="3">
        <v>46116.938888888893</v>
      </c>
      <c r="E386" s="2" t="s">
        <v>21</v>
      </c>
      <c r="F386" s="2" t="s">
        <v>5</v>
      </c>
      <c r="G386" s="2" t="s">
        <v>18</v>
      </c>
      <c r="H386" s="2" t="s">
        <v>23</v>
      </c>
      <c r="I386" s="2" t="s">
        <v>110</v>
      </c>
      <c r="J386" s="2" t="s">
        <v>328</v>
      </c>
      <c r="K386" s="2" t="s">
        <v>329</v>
      </c>
      <c r="L386" s="2" t="s">
        <v>26</v>
      </c>
      <c r="M386" s="2" t="s">
        <v>27</v>
      </c>
      <c r="N386" s="2" t="s">
        <v>330</v>
      </c>
      <c r="O386" s="2" t="s">
        <v>17</v>
      </c>
      <c r="P386" s="2" t="s">
        <v>36</v>
      </c>
      <c r="Q386" s="2" t="s">
        <v>17</v>
      </c>
    </row>
    <row r="387" spans="1:17" hidden="1">
      <c r="A387" s="2">
        <v>12679</v>
      </c>
      <c r="B387" s="2" t="s">
        <v>778</v>
      </c>
      <c r="C387" s="2" t="s">
        <v>779</v>
      </c>
      <c r="D387" s="3">
        <v>46125.079166666663</v>
      </c>
      <c r="E387" s="2" t="s">
        <v>57</v>
      </c>
      <c r="F387" s="2" t="s">
        <v>5</v>
      </c>
      <c r="G387" s="2" t="s">
        <v>18</v>
      </c>
      <c r="H387" s="2" t="s">
        <v>23</v>
      </c>
      <c r="I387" s="2" t="s">
        <v>88</v>
      </c>
      <c r="J387" s="2" t="s">
        <v>780</v>
      </c>
      <c r="K387" s="2" t="s">
        <v>17</v>
      </c>
      <c r="L387" s="2" t="s">
        <v>26</v>
      </c>
      <c r="M387" s="2" t="s">
        <v>27</v>
      </c>
      <c r="N387" s="2" t="s">
        <v>781</v>
      </c>
      <c r="O387" s="2" t="s">
        <v>107</v>
      </c>
      <c r="P387" s="2" t="s">
        <v>36</v>
      </c>
      <c r="Q387" s="2" t="s">
        <v>17</v>
      </c>
    </row>
    <row r="388" spans="1:17" hidden="1">
      <c r="A388" s="2">
        <v>12974</v>
      </c>
      <c r="B388" s="2" t="s">
        <v>1117</v>
      </c>
      <c r="C388" s="2" t="s">
        <v>1118</v>
      </c>
      <c r="D388" s="3">
        <v>46132.712500000001</v>
      </c>
      <c r="E388" s="2" t="s">
        <v>21</v>
      </c>
      <c r="F388" s="2" t="s">
        <v>5</v>
      </c>
      <c r="G388" s="2" t="s">
        <v>80</v>
      </c>
      <c r="H388" s="2" t="s">
        <v>23</v>
      </c>
      <c r="I388" s="2" t="s">
        <v>17</v>
      </c>
      <c r="J388" s="2" t="s">
        <v>17</v>
      </c>
      <c r="K388" s="2" t="s">
        <v>17</v>
      </c>
      <c r="L388" s="2" t="s">
        <v>26</v>
      </c>
      <c r="M388" s="2" t="s">
        <v>19</v>
      </c>
      <c r="N388" s="2" t="s">
        <v>1119</v>
      </c>
      <c r="O388" s="2" t="s">
        <v>17</v>
      </c>
      <c r="P388" s="2" t="s">
        <v>49</v>
      </c>
      <c r="Q388" s="2" t="s">
        <v>17</v>
      </c>
    </row>
    <row r="389" spans="1:17" hidden="1">
      <c r="A389" s="2">
        <v>12639</v>
      </c>
      <c r="B389" s="2" t="s">
        <v>675</v>
      </c>
      <c r="C389" s="2" t="s">
        <v>676</v>
      </c>
      <c r="D389" s="3">
        <v>46123.061111111107</v>
      </c>
      <c r="E389" s="2" t="s">
        <v>647</v>
      </c>
      <c r="F389" s="2" t="s">
        <v>5</v>
      </c>
      <c r="G389" s="2" t="s">
        <v>22</v>
      </c>
      <c r="H389" s="2" t="s">
        <v>39</v>
      </c>
      <c r="I389" s="2" t="s">
        <v>677</v>
      </c>
      <c r="J389" s="2" t="s">
        <v>17</v>
      </c>
      <c r="K389" s="2" t="s">
        <v>17</v>
      </c>
      <c r="L389" s="2" t="s">
        <v>26</v>
      </c>
      <c r="M389" s="2" t="s">
        <v>27</v>
      </c>
      <c r="N389" s="2" t="s">
        <v>678</v>
      </c>
      <c r="O389" s="2" t="s">
        <v>17</v>
      </c>
      <c r="P389" s="2" t="s">
        <v>41</v>
      </c>
      <c r="Q389" s="2" t="s">
        <v>17</v>
      </c>
    </row>
    <row r="390" spans="1:17" hidden="1">
      <c r="A390" s="2">
        <v>13069</v>
      </c>
      <c r="B390" s="2" t="s">
        <v>1241</v>
      </c>
      <c r="C390" s="2" t="s">
        <v>1242</v>
      </c>
      <c r="D390" s="3">
        <v>46134.887499999997</v>
      </c>
      <c r="E390" s="2" t="s">
        <v>905</v>
      </c>
      <c r="F390" s="2" t="s">
        <v>5</v>
      </c>
      <c r="G390" s="2" t="s">
        <v>18</v>
      </c>
      <c r="H390" s="2" t="s">
        <v>23</v>
      </c>
      <c r="I390" s="2" t="s">
        <v>110</v>
      </c>
      <c r="J390" s="2" t="s">
        <v>1243</v>
      </c>
      <c r="K390" s="2" t="s">
        <v>1244</v>
      </c>
      <c r="L390" s="2" t="s">
        <v>26</v>
      </c>
      <c r="M390" s="2" t="s">
        <v>27</v>
      </c>
      <c r="N390" s="2" t="s">
        <v>1245</v>
      </c>
      <c r="O390" s="2" t="s">
        <v>17</v>
      </c>
      <c r="P390" s="2" t="s">
        <v>1201</v>
      </c>
      <c r="Q390" s="2" t="s">
        <v>17</v>
      </c>
    </row>
    <row r="391" spans="1:17" hidden="1">
      <c r="A391" s="2">
        <v>12239</v>
      </c>
      <c r="B391" s="2" t="s">
        <v>63</v>
      </c>
      <c r="C391" s="2" t="s">
        <v>63</v>
      </c>
      <c r="D391" s="3">
        <v>46113.743750000001</v>
      </c>
      <c r="E391" s="2" t="s">
        <v>21</v>
      </c>
      <c r="F391" s="2" t="s">
        <v>17</v>
      </c>
      <c r="G391" s="2" t="s">
        <v>22</v>
      </c>
      <c r="H391" s="2" t="s">
        <v>23</v>
      </c>
      <c r="I391" s="2" t="s">
        <v>64</v>
      </c>
      <c r="J391" s="2" t="s">
        <v>65</v>
      </c>
      <c r="K391" s="2" t="s">
        <v>66</v>
      </c>
      <c r="L391" s="2" t="s">
        <v>54</v>
      </c>
      <c r="M391" s="2" t="s">
        <v>27</v>
      </c>
      <c r="N391" s="2" t="s">
        <v>67</v>
      </c>
      <c r="O391" s="2" t="s">
        <v>17</v>
      </c>
      <c r="P391" s="2" t="s">
        <v>36</v>
      </c>
      <c r="Q391" s="2" t="s">
        <v>17</v>
      </c>
    </row>
    <row r="392" spans="1:17" hidden="1">
      <c r="A392" s="2">
        <v>13004</v>
      </c>
      <c r="B392" s="2" t="s">
        <v>1104</v>
      </c>
      <c r="C392" s="2" t="s">
        <v>1104</v>
      </c>
      <c r="D392" s="3">
        <v>46133.616666666669</v>
      </c>
      <c r="E392" s="2" t="s">
        <v>57</v>
      </c>
      <c r="F392" s="2" t="s">
        <v>230</v>
      </c>
      <c r="G392" s="2" t="s">
        <v>18</v>
      </c>
      <c r="H392" s="2" t="s">
        <v>235</v>
      </c>
      <c r="I392" s="2" t="s">
        <v>499</v>
      </c>
      <c r="J392" s="2" t="s">
        <v>1150</v>
      </c>
      <c r="K392" s="2" t="s">
        <v>1151</v>
      </c>
      <c r="L392" s="2" t="s">
        <v>54</v>
      </c>
      <c r="M392" s="2" t="s">
        <v>27</v>
      </c>
      <c r="N392" s="2" t="s">
        <v>1152</v>
      </c>
      <c r="O392" s="2" t="s">
        <v>126</v>
      </c>
      <c r="P392" s="2" t="s">
        <v>36</v>
      </c>
      <c r="Q392" s="2" t="s">
        <v>17</v>
      </c>
    </row>
    <row r="393" spans="1:17" hidden="1">
      <c r="A393" s="2">
        <v>13424</v>
      </c>
      <c r="B393" s="2" t="s">
        <v>1659</v>
      </c>
      <c r="C393" s="2" t="s">
        <v>1660</v>
      </c>
      <c r="D393" s="3">
        <v>46142.941666666666</v>
      </c>
      <c r="E393" s="2" t="s">
        <v>21</v>
      </c>
      <c r="F393" s="2" t="s">
        <v>17</v>
      </c>
      <c r="G393" s="2" t="s">
        <v>80</v>
      </c>
      <c r="H393" s="2" t="s">
        <v>23</v>
      </c>
      <c r="I393" s="2" t="s">
        <v>98</v>
      </c>
      <c r="J393" s="2" t="s">
        <v>1661</v>
      </c>
      <c r="K393" s="2" t="s">
        <v>66</v>
      </c>
      <c r="L393" s="2" t="s">
        <v>100</v>
      </c>
      <c r="M393" s="2" t="s">
        <v>27</v>
      </c>
      <c r="N393" s="2" t="s">
        <v>1662</v>
      </c>
      <c r="O393" s="2" t="s">
        <v>17</v>
      </c>
      <c r="P393" s="2" t="s">
        <v>36</v>
      </c>
      <c r="Q393" s="2" t="s">
        <v>17</v>
      </c>
    </row>
    <row r="394" spans="1:17" hidden="1">
      <c r="A394" s="2">
        <v>12656</v>
      </c>
      <c r="B394" s="2" t="s">
        <v>724</v>
      </c>
      <c r="C394" s="2" t="s">
        <v>725</v>
      </c>
      <c r="D394" s="3">
        <v>46123.977083333331</v>
      </c>
      <c r="E394" s="2" t="s">
        <v>21</v>
      </c>
      <c r="F394" s="2" t="s">
        <v>5</v>
      </c>
      <c r="G394" s="2" t="s">
        <v>18</v>
      </c>
      <c r="H394" s="2" t="s">
        <v>235</v>
      </c>
      <c r="I394" s="2" t="s">
        <v>88</v>
      </c>
      <c r="J394" s="2" t="s">
        <v>324</v>
      </c>
      <c r="K394" s="2" t="s">
        <v>726</v>
      </c>
      <c r="L394" s="2" t="s">
        <v>26</v>
      </c>
      <c r="M394" s="2" t="s">
        <v>27</v>
      </c>
      <c r="N394" s="2" t="s">
        <v>727</v>
      </c>
      <c r="O394" s="2" t="s">
        <v>62</v>
      </c>
      <c r="P394" s="2" t="s">
        <v>29</v>
      </c>
      <c r="Q394" s="2" t="s">
        <v>17</v>
      </c>
    </row>
    <row r="395" spans="1:17" hidden="1">
      <c r="A395" s="2">
        <v>12709</v>
      </c>
      <c r="B395" s="2" t="s">
        <v>809</v>
      </c>
      <c r="C395" s="2" t="s">
        <v>810</v>
      </c>
      <c r="D395" s="3">
        <v>46125.83194444445</v>
      </c>
      <c r="E395" s="2" t="s">
        <v>57</v>
      </c>
      <c r="F395" s="2" t="s">
        <v>5</v>
      </c>
      <c r="G395" s="2" t="s">
        <v>22</v>
      </c>
      <c r="H395" s="2" t="s">
        <v>43</v>
      </c>
      <c r="I395" s="2" t="s">
        <v>88</v>
      </c>
      <c r="J395" s="2" t="s">
        <v>811</v>
      </c>
      <c r="K395" s="2" t="s">
        <v>812</v>
      </c>
      <c r="L395" s="2" t="s">
        <v>26</v>
      </c>
      <c r="M395" s="2" t="s">
        <v>47</v>
      </c>
      <c r="N395" s="2" t="s">
        <v>813</v>
      </c>
      <c r="O395" s="2" t="s">
        <v>78</v>
      </c>
      <c r="P395" s="2" t="s">
        <v>36</v>
      </c>
      <c r="Q395" s="2" t="s">
        <v>17</v>
      </c>
    </row>
    <row r="396" spans="1:17" hidden="1">
      <c r="A396" s="2">
        <v>13248</v>
      </c>
      <c r="B396" s="2" t="s">
        <v>1469</v>
      </c>
      <c r="C396" s="2" t="s">
        <v>1469</v>
      </c>
      <c r="D396" s="3">
        <v>46139.616666666669</v>
      </c>
      <c r="E396" s="2" t="s">
        <v>21</v>
      </c>
      <c r="F396" s="2" t="s">
        <v>5</v>
      </c>
      <c r="G396" s="2" t="s">
        <v>22</v>
      </c>
      <c r="H396" s="2" t="s">
        <v>23</v>
      </c>
      <c r="I396" s="2" t="s">
        <v>1470</v>
      </c>
      <c r="J396" s="2" t="s">
        <v>1306</v>
      </c>
      <c r="K396" s="2" t="s">
        <v>1471</v>
      </c>
      <c r="L396" s="2" t="s">
        <v>54</v>
      </c>
      <c r="M396" s="2" t="s">
        <v>27</v>
      </c>
      <c r="N396" s="2" t="s">
        <v>1472</v>
      </c>
      <c r="O396" s="2" t="s">
        <v>17</v>
      </c>
      <c r="P396" s="2" t="s">
        <v>36</v>
      </c>
      <c r="Q396" s="2" t="s">
        <v>17</v>
      </c>
    </row>
    <row r="397" spans="1:17" hidden="1">
      <c r="A397" s="2">
        <v>12378</v>
      </c>
      <c r="B397" s="2" t="s">
        <v>289</v>
      </c>
      <c r="C397" s="2" t="s">
        <v>289</v>
      </c>
      <c r="D397" s="3">
        <v>46116.235416666663</v>
      </c>
      <c r="E397" s="2" t="s">
        <v>21</v>
      </c>
      <c r="F397" s="2" t="s">
        <v>5</v>
      </c>
      <c r="G397" s="2" t="s">
        <v>80</v>
      </c>
      <c r="H397" s="2" t="s">
        <v>23</v>
      </c>
      <c r="I397" s="2" t="s">
        <v>290</v>
      </c>
      <c r="J397" s="2" t="s">
        <v>291</v>
      </c>
      <c r="K397" s="2" t="s">
        <v>17</v>
      </c>
      <c r="L397" s="2" t="s">
        <v>26</v>
      </c>
      <c r="M397" s="2" t="s">
        <v>27</v>
      </c>
      <c r="N397" s="2" t="s">
        <v>292</v>
      </c>
      <c r="O397" s="2" t="s">
        <v>17</v>
      </c>
      <c r="P397" s="2" t="s">
        <v>36</v>
      </c>
      <c r="Q397" s="2" t="s">
        <v>17</v>
      </c>
    </row>
    <row r="398" spans="1:17" hidden="1">
      <c r="A398" s="2">
        <v>12386</v>
      </c>
      <c r="B398" s="2" t="s">
        <v>307</v>
      </c>
      <c r="C398" s="2" t="s">
        <v>307</v>
      </c>
      <c r="D398" s="3">
        <v>46116.689583333333</v>
      </c>
      <c r="E398" s="2" t="s">
        <v>16</v>
      </c>
      <c r="F398" s="2" t="s">
        <v>230</v>
      </c>
      <c r="G398" s="2" t="s">
        <v>308</v>
      </c>
      <c r="H398" s="2" t="s">
        <v>43</v>
      </c>
      <c r="I398" s="2" t="s">
        <v>309</v>
      </c>
      <c r="J398" s="2" t="s">
        <v>310</v>
      </c>
      <c r="K398" s="2" t="s">
        <v>311</v>
      </c>
      <c r="L398" s="2" t="s">
        <v>26</v>
      </c>
      <c r="M398" s="2" t="s">
        <v>47</v>
      </c>
      <c r="N398" s="2" t="s">
        <v>312</v>
      </c>
      <c r="O398" s="2" t="s">
        <v>17</v>
      </c>
      <c r="P398" s="2" t="s">
        <v>36</v>
      </c>
      <c r="Q398" s="2" t="s">
        <v>17</v>
      </c>
    </row>
    <row r="399" spans="1:17" hidden="1">
      <c r="A399" s="2">
        <v>13205</v>
      </c>
      <c r="B399" s="2" t="s">
        <v>1386</v>
      </c>
      <c r="C399" s="2" t="s">
        <v>1386</v>
      </c>
      <c r="D399" s="3">
        <v>46137.967361111107</v>
      </c>
      <c r="E399" s="2" t="s">
        <v>21</v>
      </c>
      <c r="F399" s="2" t="s">
        <v>5</v>
      </c>
      <c r="G399" s="2" t="s">
        <v>22</v>
      </c>
      <c r="H399" s="2" t="s">
        <v>23</v>
      </c>
      <c r="I399" s="2" t="s">
        <v>256</v>
      </c>
      <c r="J399" s="2" t="s">
        <v>1387</v>
      </c>
      <c r="K399" s="2" t="s">
        <v>1388</v>
      </c>
      <c r="L399" s="2" t="s">
        <v>54</v>
      </c>
      <c r="M399" s="2" t="s">
        <v>27</v>
      </c>
      <c r="N399" s="2" t="s">
        <v>1389</v>
      </c>
      <c r="O399" s="2" t="s">
        <v>17</v>
      </c>
      <c r="P399" s="2" t="s">
        <v>101</v>
      </c>
      <c r="Q399" s="2" t="s">
        <v>17</v>
      </c>
    </row>
    <row r="400" spans="1:17" hidden="1">
      <c r="A400" s="2">
        <v>12443</v>
      </c>
      <c r="B400" s="2" t="s">
        <v>427</v>
      </c>
      <c r="C400" s="2" t="s">
        <v>427</v>
      </c>
      <c r="D400" s="3">
        <v>46118.845138888893</v>
      </c>
      <c r="E400" s="2" t="s">
        <v>57</v>
      </c>
      <c r="F400" s="2" t="s">
        <v>5</v>
      </c>
      <c r="G400" s="2" t="s">
        <v>18</v>
      </c>
      <c r="H400" s="2" t="s">
        <v>23</v>
      </c>
      <c r="I400" s="2" t="s">
        <v>428</v>
      </c>
      <c r="J400" s="2" t="s">
        <v>17</v>
      </c>
      <c r="K400" s="2" t="s">
        <v>17</v>
      </c>
      <c r="L400" s="2" t="s">
        <v>26</v>
      </c>
      <c r="M400" s="2" t="s">
        <v>27</v>
      </c>
      <c r="N400" s="2" t="s">
        <v>429</v>
      </c>
      <c r="O400" s="2" t="s">
        <v>107</v>
      </c>
      <c r="P400" s="2" t="s">
        <v>41</v>
      </c>
      <c r="Q400" s="2" t="s">
        <v>17</v>
      </c>
    </row>
    <row r="401" spans="1:17" hidden="1">
      <c r="A401" s="2">
        <v>12422</v>
      </c>
      <c r="B401" s="2" t="s">
        <v>406</v>
      </c>
      <c r="C401" s="2" t="s">
        <v>406</v>
      </c>
      <c r="D401" s="3">
        <v>46118.518750000003</v>
      </c>
      <c r="E401" s="2" t="s">
        <v>57</v>
      </c>
      <c r="F401" s="2" t="s">
        <v>5</v>
      </c>
      <c r="G401" s="2" t="s">
        <v>22</v>
      </c>
      <c r="H401" s="2" t="s">
        <v>23</v>
      </c>
      <c r="I401" s="2" t="s">
        <v>380</v>
      </c>
      <c r="J401" s="2" t="s">
        <v>407</v>
      </c>
      <c r="K401" s="2" t="s">
        <v>408</v>
      </c>
      <c r="L401" s="2" t="s">
        <v>54</v>
      </c>
      <c r="M401" s="2" t="s">
        <v>27</v>
      </c>
      <c r="N401" s="2" t="s">
        <v>409</v>
      </c>
      <c r="O401" s="2" t="s">
        <v>78</v>
      </c>
      <c r="P401" s="2" t="s">
        <v>101</v>
      </c>
      <c r="Q401" s="2" t="s">
        <v>17</v>
      </c>
    </row>
    <row r="402" spans="1:17" hidden="1">
      <c r="A402" s="2">
        <v>12949</v>
      </c>
      <c r="B402" s="2" t="s">
        <v>1104</v>
      </c>
      <c r="C402" s="2" t="s">
        <v>1104</v>
      </c>
      <c r="D402" s="3">
        <v>46132.411805555559</v>
      </c>
      <c r="E402" s="2" t="s">
        <v>276</v>
      </c>
      <c r="F402" s="2" t="s">
        <v>17</v>
      </c>
      <c r="G402" s="2" t="s">
        <v>22</v>
      </c>
      <c r="H402" s="2" t="s">
        <v>23</v>
      </c>
      <c r="I402" s="2" t="s">
        <v>556</v>
      </c>
      <c r="J402" s="2" t="s">
        <v>846</v>
      </c>
      <c r="K402" s="2" t="s">
        <v>1105</v>
      </c>
      <c r="L402" s="2" t="s">
        <v>54</v>
      </c>
      <c r="M402" s="2" t="s">
        <v>27</v>
      </c>
      <c r="N402" s="2" t="s">
        <v>1106</v>
      </c>
      <c r="O402" s="2" t="s">
        <v>17</v>
      </c>
      <c r="P402" s="2" t="s">
        <v>101</v>
      </c>
      <c r="Q402" s="2" t="s">
        <v>17</v>
      </c>
    </row>
    <row r="403" spans="1:17" hidden="1">
      <c r="A403" s="2">
        <v>13128</v>
      </c>
      <c r="B403" s="2" t="s">
        <v>1298</v>
      </c>
      <c r="C403" s="2" t="s">
        <v>1299</v>
      </c>
      <c r="D403" s="3">
        <v>46136.15347222222</v>
      </c>
      <c r="E403" s="2" t="s">
        <v>21</v>
      </c>
      <c r="F403" s="2" t="s">
        <v>17</v>
      </c>
      <c r="G403" s="2" t="s">
        <v>80</v>
      </c>
      <c r="H403" s="2" t="s">
        <v>23</v>
      </c>
      <c r="I403" s="2" t="s">
        <v>17</v>
      </c>
      <c r="J403" s="2" t="s">
        <v>17</v>
      </c>
      <c r="K403" s="2" t="s">
        <v>17</v>
      </c>
      <c r="L403" s="2" t="s">
        <v>26</v>
      </c>
      <c r="M403" s="2" t="s">
        <v>19</v>
      </c>
      <c r="N403" s="2" t="s">
        <v>1300</v>
      </c>
      <c r="O403" s="2" t="s">
        <v>17</v>
      </c>
      <c r="P403" s="2" t="s">
        <v>49</v>
      </c>
      <c r="Q403" s="2" t="s">
        <v>17</v>
      </c>
    </row>
    <row r="404" spans="1:17" hidden="1">
      <c r="A404" s="2">
        <v>13271</v>
      </c>
      <c r="B404" s="2" t="s">
        <v>1500</v>
      </c>
      <c r="C404" s="2" t="s">
        <v>1501</v>
      </c>
      <c r="D404" s="3">
        <v>46139.911805555559</v>
      </c>
      <c r="E404" s="2" t="s">
        <v>21</v>
      </c>
      <c r="F404" s="2" t="s">
        <v>5</v>
      </c>
      <c r="G404" s="2" t="s">
        <v>22</v>
      </c>
      <c r="H404" s="2" t="s">
        <v>244</v>
      </c>
      <c r="I404" s="2" t="s">
        <v>110</v>
      </c>
      <c r="J404" s="2" t="s">
        <v>1502</v>
      </c>
      <c r="K404" s="2" t="s">
        <v>1503</v>
      </c>
      <c r="L404" s="2" t="s">
        <v>26</v>
      </c>
      <c r="M404" s="2" t="s">
        <v>27</v>
      </c>
      <c r="N404" s="2" t="s">
        <v>1504</v>
      </c>
      <c r="O404" s="2" t="s">
        <v>17</v>
      </c>
      <c r="P404" s="2" t="s">
        <v>97</v>
      </c>
      <c r="Q404" s="2" t="s">
        <v>17</v>
      </c>
    </row>
    <row r="405" spans="1:17" hidden="1">
      <c r="A405" s="2">
        <v>12603</v>
      </c>
      <c r="B405" s="2" t="s">
        <v>623</v>
      </c>
      <c r="C405" s="2" t="s">
        <v>623</v>
      </c>
      <c r="D405" s="3">
        <v>46121.887499999997</v>
      </c>
      <c r="E405" s="2" t="s">
        <v>57</v>
      </c>
      <c r="F405" s="2" t="s">
        <v>5</v>
      </c>
      <c r="G405" s="2" t="s">
        <v>18</v>
      </c>
      <c r="H405" s="2" t="s">
        <v>23</v>
      </c>
      <c r="I405" s="2" t="s">
        <v>88</v>
      </c>
      <c r="J405" s="2" t="s">
        <v>193</v>
      </c>
      <c r="K405" s="2" t="s">
        <v>624</v>
      </c>
      <c r="L405" s="2" t="s">
        <v>26</v>
      </c>
      <c r="M405" s="2" t="s">
        <v>27</v>
      </c>
      <c r="N405" s="2" t="s">
        <v>625</v>
      </c>
      <c r="O405" s="2" t="s">
        <v>62</v>
      </c>
      <c r="P405" s="2" t="s">
        <v>29</v>
      </c>
      <c r="Q405" s="2" t="s">
        <v>17</v>
      </c>
    </row>
    <row r="406" spans="1:17" hidden="1">
      <c r="A406" s="2">
        <v>13213</v>
      </c>
      <c r="B406" s="2" t="s">
        <v>1405</v>
      </c>
      <c r="C406" s="2" t="s">
        <v>1406</v>
      </c>
      <c r="D406" s="3">
        <v>46138.697222222225</v>
      </c>
      <c r="E406" s="2" t="s">
        <v>57</v>
      </c>
      <c r="F406" s="2" t="s">
        <v>5</v>
      </c>
      <c r="G406" s="2" t="s">
        <v>18</v>
      </c>
      <c r="H406" s="2" t="s">
        <v>23</v>
      </c>
      <c r="I406" s="2" t="s">
        <v>88</v>
      </c>
      <c r="J406" s="2" t="s">
        <v>1407</v>
      </c>
      <c r="K406" s="2" t="s">
        <v>17</v>
      </c>
      <c r="L406" s="2" t="s">
        <v>26</v>
      </c>
      <c r="M406" s="2" t="s">
        <v>27</v>
      </c>
      <c r="N406" s="2" t="s">
        <v>1408</v>
      </c>
      <c r="O406" s="2" t="s">
        <v>1081</v>
      </c>
      <c r="P406" s="2" t="s">
        <v>36</v>
      </c>
      <c r="Q406" s="2" t="s">
        <v>17</v>
      </c>
    </row>
    <row r="407" spans="1:17" hidden="1">
      <c r="A407" s="2">
        <v>13353</v>
      </c>
      <c r="B407" s="2" t="s">
        <v>921</v>
      </c>
      <c r="C407" s="2" t="s">
        <v>1586</v>
      </c>
      <c r="D407" s="3">
        <v>46141.785416666666</v>
      </c>
      <c r="E407" s="2" t="s">
        <v>16</v>
      </c>
      <c r="F407" s="2" t="s">
        <v>17</v>
      </c>
      <c r="G407" s="2" t="s">
        <v>18</v>
      </c>
      <c r="H407" s="2" t="s">
        <v>17</v>
      </c>
      <c r="I407" s="2" t="s">
        <v>17</v>
      </c>
      <c r="J407" s="2" t="s">
        <v>17</v>
      </c>
      <c r="K407" s="2" t="s">
        <v>17</v>
      </c>
      <c r="L407" s="2" t="s">
        <v>17</v>
      </c>
      <c r="M407" s="2" t="s">
        <v>19</v>
      </c>
      <c r="N407" s="2" t="s">
        <v>1587</v>
      </c>
      <c r="O407" s="2" t="s">
        <v>17</v>
      </c>
      <c r="P407" s="2" t="s">
        <v>49</v>
      </c>
      <c r="Q407" s="2" t="s">
        <v>17</v>
      </c>
    </row>
    <row r="408" spans="1:17" hidden="1">
      <c r="A408" s="2">
        <v>12800</v>
      </c>
      <c r="B408" s="2" t="s">
        <v>920</v>
      </c>
      <c r="C408" s="2" t="s">
        <v>921</v>
      </c>
      <c r="D408" s="3">
        <v>46127.865972222222</v>
      </c>
      <c r="E408" s="2" t="s">
        <v>582</v>
      </c>
      <c r="F408" s="2" t="s">
        <v>5</v>
      </c>
      <c r="G408" s="2" t="s">
        <v>18</v>
      </c>
      <c r="H408" s="2" t="s">
        <v>23</v>
      </c>
      <c r="I408" s="2" t="s">
        <v>17</v>
      </c>
      <c r="J408" s="2" t="s">
        <v>17</v>
      </c>
      <c r="K408" s="2" t="s">
        <v>17</v>
      </c>
      <c r="L408" s="2" t="s">
        <v>26</v>
      </c>
      <c r="M408" s="2" t="s">
        <v>19</v>
      </c>
      <c r="N408" s="2" t="s">
        <v>922</v>
      </c>
      <c r="O408" s="2" t="s">
        <v>17</v>
      </c>
      <c r="P408" s="2" t="s">
        <v>41</v>
      </c>
      <c r="Q408" s="2" t="s">
        <v>17</v>
      </c>
    </row>
    <row r="409" spans="1:17" hidden="1">
      <c r="A409" s="2">
        <v>12658</v>
      </c>
      <c r="B409" s="2" t="s">
        <v>733</v>
      </c>
      <c r="C409" s="2" t="s">
        <v>734</v>
      </c>
      <c r="D409" s="3">
        <v>46124.075694444444</v>
      </c>
      <c r="E409" s="2" t="s">
        <v>582</v>
      </c>
      <c r="F409" s="2" t="s">
        <v>5</v>
      </c>
      <c r="G409" s="2" t="s">
        <v>18</v>
      </c>
      <c r="H409" s="2" t="s">
        <v>23</v>
      </c>
      <c r="I409" s="2" t="s">
        <v>88</v>
      </c>
      <c r="J409" s="2" t="s">
        <v>735</v>
      </c>
      <c r="K409" s="2" t="s">
        <v>736</v>
      </c>
      <c r="L409" s="2" t="s">
        <v>26</v>
      </c>
      <c r="M409" s="2" t="s">
        <v>27</v>
      </c>
      <c r="N409" s="2" t="s">
        <v>737</v>
      </c>
      <c r="O409" s="2" t="s">
        <v>17</v>
      </c>
      <c r="P409" s="2" t="s">
        <v>36</v>
      </c>
      <c r="Q409" s="2" t="s">
        <v>17</v>
      </c>
    </row>
    <row r="410" spans="1:17" hidden="1">
      <c r="A410" s="2">
        <v>13084</v>
      </c>
      <c r="B410" s="2" t="s">
        <v>1272</v>
      </c>
      <c r="C410" s="2" t="s">
        <v>1272</v>
      </c>
      <c r="D410" s="3">
        <v>46135.34097222222</v>
      </c>
      <c r="E410" s="2" t="s">
        <v>905</v>
      </c>
      <c r="F410" s="2" t="s">
        <v>17</v>
      </c>
      <c r="G410" s="2" t="s">
        <v>22</v>
      </c>
      <c r="H410" s="2" t="s">
        <v>43</v>
      </c>
      <c r="I410" s="2" t="s">
        <v>1273</v>
      </c>
      <c r="J410" s="2" t="s">
        <v>1274</v>
      </c>
      <c r="K410" s="2" t="s">
        <v>1275</v>
      </c>
      <c r="L410" s="2" t="s">
        <v>26</v>
      </c>
      <c r="M410" s="2" t="s">
        <v>47</v>
      </c>
      <c r="N410" s="2" t="s">
        <v>1276</v>
      </c>
      <c r="O410" s="2" t="s">
        <v>17</v>
      </c>
      <c r="P410" s="2" t="s">
        <v>36</v>
      </c>
      <c r="Q410" s="2" t="s">
        <v>17</v>
      </c>
    </row>
    <row r="411" spans="1:17" hidden="1">
      <c r="A411" s="2">
        <v>12534</v>
      </c>
      <c r="B411" s="2" t="s">
        <v>541</v>
      </c>
      <c r="C411" s="2" t="s">
        <v>542</v>
      </c>
      <c r="D411" s="3">
        <v>46120.598611111112</v>
      </c>
      <c r="E411" s="2" t="s">
        <v>21</v>
      </c>
      <c r="F411" s="2" t="s">
        <v>17</v>
      </c>
      <c r="G411" s="2" t="s">
        <v>22</v>
      </c>
      <c r="H411" s="2" t="s">
        <v>235</v>
      </c>
      <c r="I411" s="2" t="s">
        <v>17</v>
      </c>
      <c r="J411" s="2" t="s">
        <v>17</v>
      </c>
      <c r="K411" s="2" t="s">
        <v>17</v>
      </c>
      <c r="L411" s="2" t="s">
        <v>54</v>
      </c>
      <c r="M411" s="2" t="s">
        <v>19</v>
      </c>
      <c r="N411" s="2" t="s">
        <v>543</v>
      </c>
      <c r="O411" s="2" t="s">
        <v>17</v>
      </c>
      <c r="P411" s="2" t="s">
        <v>17</v>
      </c>
      <c r="Q411" s="2" t="s">
        <v>17</v>
      </c>
    </row>
    <row r="412" spans="1:17" hidden="1">
      <c r="A412" s="2">
        <v>12529</v>
      </c>
      <c r="B412" s="2" t="s">
        <v>535</v>
      </c>
      <c r="C412" s="2" t="s">
        <v>535</v>
      </c>
      <c r="D412" s="3">
        <v>46120.529861111107</v>
      </c>
      <c r="E412" s="2" t="s">
        <v>57</v>
      </c>
      <c r="F412" s="2" t="s">
        <v>230</v>
      </c>
      <c r="G412" s="2" t="s">
        <v>22</v>
      </c>
      <c r="H412" s="2" t="s">
        <v>235</v>
      </c>
      <c r="I412" s="2" t="s">
        <v>481</v>
      </c>
      <c r="J412" s="2" t="s">
        <v>536</v>
      </c>
      <c r="K412" s="2" t="s">
        <v>537</v>
      </c>
      <c r="L412" s="2" t="s">
        <v>54</v>
      </c>
      <c r="M412" s="2" t="s">
        <v>27</v>
      </c>
      <c r="N412" s="2" t="s">
        <v>538</v>
      </c>
      <c r="O412" s="2" t="s">
        <v>126</v>
      </c>
      <c r="P412" s="2" t="s">
        <v>36</v>
      </c>
      <c r="Q412" s="2" t="s">
        <v>17</v>
      </c>
    </row>
    <row r="413" spans="1:17" hidden="1">
      <c r="A413" s="2">
        <v>12797</v>
      </c>
      <c r="B413" s="2" t="s">
        <v>913</v>
      </c>
      <c r="C413" s="2" t="s">
        <v>913</v>
      </c>
      <c r="D413" s="3">
        <v>46127.792361111111</v>
      </c>
      <c r="E413" s="2" t="s">
        <v>57</v>
      </c>
      <c r="F413" s="2" t="s">
        <v>5</v>
      </c>
      <c r="G413" s="2" t="s">
        <v>22</v>
      </c>
      <c r="H413" s="2" t="s">
        <v>23</v>
      </c>
      <c r="I413" s="2" t="s">
        <v>910</v>
      </c>
      <c r="J413" s="2" t="s">
        <v>914</v>
      </c>
      <c r="K413" s="2" t="s">
        <v>915</v>
      </c>
      <c r="L413" s="2" t="s">
        <v>54</v>
      </c>
      <c r="M413" s="2" t="s">
        <v>27</v>
      </c>
      <c r="N413" s="2" t="s">
        <v>916</v>
      </c>
      <c r="O413" s="2" t="s">
        <v>382</v>
      </c>
      <c r="P413" s="2" t="s">
        <v>29</v>
      </c>
      <c r="Q413" s="2" t="s">
        <v>17</v>
      </c>
    </row>
    <row r="414" spans="1:17" hidden="1">
      <c r="A414" s="2">
        <v>12372</v>
      </c>
      <c r="B414" s="2" t="s">
        <v>268</v>
      </c>
      <c r="C414" s="2" t="s">
        <v>268</v>
      </c>
      <c r="D414" s="3">
        <v>46115.875694444447</v>
      </c>
      <c r="E414" s="2" t="s">
        <v>57</v>
      </c>
      <c r="F414" s="2" t="s">
        <v>5</v>
      </c>
      <c r="G414" s="2" t="s">
        <v>22</v>
      </c>
      <c r="H414" s="2" t="s">
        <v>244</v>
      </c>
      <c r="I414" s="2" t="s">
        <v>17</v>
      </c>
      <c r="J414" s="2" t="s">
        <v>17</v>
      </c>
      <c r="K414" s="2" t="s">
        <v>17</v>
      </c>
      <c r="L414" s="2" t="s">
        <v>26</v>
      </c>
      <c r="M414" s="2" t="s">
        <v>19</v>
      </c>
      <c r="N414" s="2" t="s">
        <v>269</v>
      </c>
      <c r="O414" s="2" t="s">
        <v>78</v>
      </c>
      <c r="P414" s="2" t="s">
        <v>17</v>
      </c>
      <c r="Q414" s="2" t="s">
        <v>17</v>
      </c>
    </row>
    <row r="415" spans="1:17" hidden="1">
      <c r="A415" s="2">
        <v>12342</v>
      </c>
      <c r="B415" s="2" t="s">
        <v>220</v>
      </c>
      <c r="C415" s="2" t="s">
        <v>220</v>
      </c>
      <c r="D415" s="3">
        <v>46115.324999999997</v>
      </c>
      <c r="E415" s="2" t="s">
        <v>57</v>
      </c>
      <c r="F415" s="2" t="s">
        <v>5</v>
      </c>
      <c r="G415" s="2" t="s">
        <v>22</v>
      </c>
      <c r="H415" s="2" t="s">
        <v>43</v>
      </c>
      <c r="I415" s="2" t="s">
        <v>74</v>
      </c>
      <c r="J415" s="2" t="s">
        <v>221</v>
      </c>
      <c r="K415" s="2" t="s">
        <v>222</v>
      </c>
      <c r="L415" s="2" t="s">
        <v>26</v>
      </c>
      <c r="M415" s="2" t="s">
        <v>47</v>
      </c>
      <c r="N415" s="2" t="s">
        <v>223</v>
      </c>
      <c r="O415" s="2" t="s">
        <v>78</v>
      </c>
      <c r="P415" s="2" t="s">
        <v>36</v>
      </c>
      <c r="Q415" s="2" t="s">
        <v>17</v>
      </c>
    </row>
    <row r="416" spans="1:17">
      <c r="A416" s="2">
        <v>13361</v>
      </c>
      <c r="B416" s="2" t="s">
        <v>1599</v>
      </c>
      <c r="C416" s="2" t="s">
        <v>1599</v>
      </c>
      <c r="D416" s="3">
        <v>46142.056250000001</v>
      </c>
      <c r="E416" s="2" t="s">
        <v>1324</v>
      </c>
      <c r="F416" s="2" t="s">
        <v>230</v>
      </c>
      <c r="G416" s="2" t="s">
        <v>22</v>
      </c>
      <c r="H416" s="2" t="s">
        <v>503</v>
      </c>
      <c r="I416" s="2" t="s">
        <v>142</v>
      </c>
      <c r="J416" s="2" t="s">
        <v>1600</v>
      </c>
      <c r="K416" s="2" t="s">
        <v>1601</v>
      </c>
      <c r="L416" s="2" t="s">
        <v>26</v>
      </c>
      <c r="M416" s="2" t="s">
        <v>47</v>
      </c>
      <c r="N416" s="2" t="s">
        <v>1602</v>
      </c>
      <c r="O416" s="2" t="s">
        <v>17</v>
      </c>
      <c r="P416" s="2" t="s">
        <v>36</v>
      </c>
      <c r="Q416" s="2" t="s">
        <v>17</v>
      </c>
    </row>
    <row r="417" spans="1:17" hidden="1">
      <c r="A417" s="2">
        <v>12408</v>
      </c>
      <c r="B417" s="2" t="s">
        <v>383</v>
      </c>
      <c r="C417" s="2" t="s">
        <v>383</v>
      </c>
      <c r="D417" s="3">
        <v>46118.01944444445</v>
      </c>
      <c r="E417" s="2" t="s">
        <v>21</v>
      </c>
      <c r="F417" s="2" t="s">
        <v>5</v>
      </c>
      <c r="G417" s="2" t="s">
        <v>80</v>
      </c>
      <c r="H417" s="2" t="s">
        <v>23</v>
      </c>
      <c r="I417" s="2" t="s">
        <v>384</v>
      </c>
      <c r="J417" s="2" t="s">
        <v>385</v>
      </c>
      <c r="K417" s="2" t="s">
        <v>386</v>
      </c>
      <c r="L417" s="2" t="s">
        <v>100</v>
      </c>
      <c r="M417" s="2" t="s">
        <v>27</v>
      </c>
      <c r="N417" s="2" t="s">
        <v>387</v>
      </c>
      <c r="O417" s="2" t="s">
        <v>17</v>
      </c>
      <c r="P417" s="2" t="s">
        <v>36</v>
      </c>
      <c r="Q417" s="2" t="s">
        <v>17</v>
      </c>
    </row>
    <row r="418" spans="1:17" hidden="1">
      <c r="A418" s="2">
        <v>13078</v>
      </c>
      <c r="B418" s="2" t="s">
        <v>1266</v>
      </c>
      <c r="C418" s="2" t="s">
        <v>1266</v>
      </c>
      <c r="D418" s="3">
        <v>46135.084722222222</v>
      </c>
      <c r="E418" s="2" t="s">
        <v>167</v>
      </c>
      <c r="F418" s="2" t="s">
        <v>5</v>
      </c>
      <c r="G418" s="2" t="s">
        <v>18</v>
      </c>
      <c r="H418" s="2" t="s">
        <v>168</v>
      </c>
      <c r="I418" s="2" t="s">
        <v>187</v>
      </c>
      <c r="J418" s="2" t="s">
        <v>1124</v>
      </c>
      <c r="K418" s="2" t="s">
        <v>1267</v>
      </c>
      <c r="L418" s="2" t="s">
        <v>26</v>
      </c>
      <c r="M418" s="2" t="s">
        <v>47</v>
      </c>
      <c r="N418" s="2" t="s">
        <v>1268</v>
      </c>
      <c r="O418" s="2" t="s">
        <v>17</v>
      </c>
      <c r="P418" s="2" t="s">
        <v>101</v>
      </c>
      <c r="Q418" s="2" t="s">
        <v>17</v>
      </c>
    </row>
  </sheetData>
  <autoFilter ref="A1:Q418" xr:uid="{00000000-0001-0000-0000-000000000000}">
    <filterColumn colId="7">
      <filters>
        <filter val="LV RBI Real Estate"/>
      </filters>
    </filterColumn>
    <sortState xmlns:xlrd2="http://schemas.microsoft.com/office/spreadsheetml/2017/richdata2" ref="A2:Q498">
      <sortCondition ref="N1"/>
    </sortState>
  </autoFilter>
  <conditionalFormatting sqref="N2:N418">
    <cfRule type="duplicateValues" dxfId="190" priority="83"/>
  </conditionalFormatting>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9316B-F7D5-4730-AE87-19A2E20A714A}">
  <sheetPr>
    <tabColor rgb="FFFFFF00"/>
  </sheetPr>
  <dimension ref="A1:G119"/>
  <sheetViews>
    <sheetView workbookViewId="0">
      <selection activeCell="B95" sqref="B95:G101"/>
    </sheetView>
  </sheetViews>
  <sheetFormatPr defaultRowHeight="14.4"/>
  <cols>
    <col min="1" max="1" width="23.5546875" style="6" customWidth="1"/>
    <col min="2" max="2" width="8.33203125" style="6" customWidth="1"/>
    <col min="3" max="3" width="9" style="6" customWidth="1"/>
    <col min="4" max="6" width="8.88671875" style="6"/>
    <col min="7" max="7" width="11.88671875" style="6" customWidth="1"/>
    <col min="8" max="16384" width="8.88671875" style="6"/>
  </cols>
  <sheetData>
    <row r="1" spans="1:7" ht="27.6" thickBot="1">
      <c r="A1" s="12" t="s">
        <v>1689</v>
      </c>
      <c r="B1" s="13" t="s">
        <v>1679</v>
      </c>
      <c r="C1" s="13" t="s">
        <v>1681</v>
      </c>
      <c r="D1" s="13" t="s">
        <v>244</v>
      </c>
      <c r="E1" s="13" t="s">
        <v>1690</v>
      </c>
      <c r="F1" s="13" t="s">
        <v>1682</v>
      </c>
      <c r="G1" s="14" t="s">
        <v>127</v>
      </c>
    </row>
    <row r="2" spans="1:7">
      <c r="A2" s="6" t="s">
        <v>1201</v>
      </c>
      <c r="B2" s="6">
        <v>0</v>
      </c>
      <c r="C2" s="6">
        <v>0</v>
      </c>
      <c r="D2" s="6">
        <v>0</v>
      </c>
      <c r="E2" s="6">
        <v>0</v>
      </c>
      <c r="G2" s="15"/>
    </row>
    <row r="3" spans="1:7">
      <c r="A3" s="6" t="s">
        <v>1328</v>
      </c>
      <c r="B3" s="6">
        <v>0</v>
      </c>
      <c r="C3" s="6">
        <v>0</v>
      </c>
      <c r="D3" s="6">
        <v>0</v>
      </c>
      <c r="E3" s="6">
        <v>0</v>
      </c>
      <c r="G3" s="15"/>
    </row>
    <row r="4" spans="1:7">
      <c r="A4" s="6" t="s">
        <v>1691</v>
      </c>
      <c r="B4" s="6">
        <v>3510.12</v>
      </c>
      <c r="C4" s="6">
        <v>229</v>
      </c>
      <c r="D4" s="6">
        <v>0</v>
      </c>
      <c r="E4" s="6">
        <v>0</v>
      </c>
      <c r="F4" s="6">
        <v>1201.81</v>
      </c>
      <c r="G4" s="15"/>
    </row>
    <row r="5" spans="1:7">
      <c r="A5" s="6" t="s">
        <v>1692</v>
      </c>
      <c r="B5" s="6">
        <v>112.06</v>
      </c>
      <c r="C5" s="6">
        <v>39.520000000000003</v>
      </c>
      <c r="D5" s="6">
        <v>2.85</v>
      </c>
      <c r="F5" s="6">
        <v>0</v>
      </c>
      <c r="G5" s="15"/>
    </row>
    <row r="6" spans="1:7">
      <c r="A6" s="6" t="s">
        <v>1693</v>
      </c>
      <c r="B6" s="6">
        <f>SUM(B2:B5)</f>
        <v>3622.18</v>
      </c>
      <c r="C6" s="6">
        <f>SUM(C2:C5)</f>
        <v>268.52</v>
      </c>
      <c r="D6" s="6">
        <v>5.77</v>
      </c>
      <c r="E6" s="6">
        <f>SUM(E2:E5)</f>
        <v>0</v>
      </c>
      <c r="F6" s="6">
        <f>SUM(F2:F5)</f>
        <v>1201.81</v>
      </c>
      <c r="G6" s="6">
        <v>200</v>
      </c>
    </row>
    <row r="8" spans="1:7">
      <c r="A8" s="16" t="s">
        <v>1694</v>
      </c>
      <c r="B8" s="16">
        <v>237</v>
      </c>
      <c r="C8" s="16">
        <v>27</v>
      </c>
      <c r="D8" s="16">
        <v>11</v>
      </c>
      <c r="E8" s="16">
        <v>0</v>
      </c>
      <c r="F8" s="16">
        <v>71</v>
      </c>
      <c r="G8" s="16">
        <v>28</v>
      </c>
    </row>
    <row r="9" spans="1:7">
      <c r="A9" s="16" t="s">
        <v>1673</v>
      </c>
      <c r="B9" s="16">
        <v>12</v>
      </c>
      <c r="C9" s="16">
        <v>2</v>
      </c>
      <c r="D9" s="16">
        <v>0</v>
      </c>
      <c r="E9" s="16">
        <v>0</v>
      </c>
      <c r="F9" s="16">
        <v>0</v>
      </c>
      <c r="G9" s="16">
        <v>1</v>
      </c>
    </row>
    <row r="10" spans="1:7">
      <c r="A10" s="16" t="s">
        <v>1695</v>
      </c>
      <c r="B10" s="17">
        <f t="shared" ref="B10:G10" si="0">B6/B9</f>
        <v>301.8483333333333</v>
      </c>
      <c r="C10" s="17">
        <f t="shared" si="0"/>
        <v>134.26</v>
      </c>
      <c r="D10" s="17" t="e">
        <f t="shared" si="0"/>
        <v>#DIV/0!</v>
      </c>
      <c r="E10" s="17" t="e">
        <f t="shared" si="0"/>
        <v>#DIV/0!</v>
      </c>
      <c r="F10" s="17" t="e">
        <f t="shared" si="0"/>
        <v>#DIV/0!</v>
      </c>
      <c r="G10" s="17">
        <f t="shared" si="0"/>
        <v>200</v>
      </c>
    </row>
    <row r="11" spans="1:7">
      <c r="A11" s="16" t="s">
        <v>1696</v>
      </c>
      <c r="B11" s="18">
        <f t="shared" ref="B11:G11" si="1">B9/B8</f>
        <v>5.0632911392405063E-2</v>
      </c>
      <c r="C11" s="18">
        <f t="shared" si="1"/>
        <v>7.407407407407407E-2</v>
      </c>
      <c r="D11" s="18">
        <f t="shared" si="1"/>
        <v>0</v>
      </c>
      <c r="E11" s="18" t="e">
        <f t="shared" si="1"/>
        <v>#DIV/0!</v>
      </c>
      <c r="F11" s="18">
        <f t="shared" si="1"/>
        <v>0</v>
      </c>
      <c r="G11" s="18">
        <f t="shared" si="1"/>
        <v>3.5714285714285712E-2</v>
      </c>
    </row>
    <row r="12" spans="1:7">
      <c r="A12" s="16" t="s">
        <v>1697</v>
      </c>
      <c r="B12" s="19">
        <v>3469</v>
      </c>
      <c r="C12" s="19">
        <v>1533</v>
      </c>
      <c r="D12" s="18"/>
      <c r="E12" s="18"/>
    </row>
    <row r="13" spans="1:7">
      <c r="A13" s="16" t="s">
        <v>1698</v>
      </c>
      <c r="B13" s="18">
        <f>(B8+D8+E8)/B12</f>
        <v>7.1490343038339579E-2</v>
      </c>
      <c r="C13" s="18">
        <f>(C8+F8)/C12</f>
        <v>6.3926940639269403E-2</v>
      </c>
      <c r="D13" s="18"/>
      <c r="E13" s="18"/>
    </row>
    <row r="15" spans="1:7">
      <c r="A15" s="6" t="s">
        <v>1699</v>
      </c>
      <c r="B15" s="6">
        <v>8</v>
      </c>
      <c r="C15" s="6">
        <v>1</v>
      </c>
      <c r="D15" s="6">
        <v>0</v>
      </c>
      <c r="F15" s="6">
        <v>0</v>
      </c>
    </row>
    <row r="16" spans="1:7">
      <c r="A16" s="6" t="s">
        <v>1700</v>
      </c>
      <c r="B16" s="6">
        <v>1</v>
      </c>
      <c r="C16" s="6">
        <v>0</v>
      </c>
      <c r="D16" s="6">
        <v>0</v>
      </c>
      <c r="F16" s="6">
        <v>0</v>
      </c>
    </row>
    <row r="17" spans="1:6">
      <c r="A17" s="6" t="s">
        <v>1701</v>
      </c>
      <c r="B17" s="6">
        <v>125</v>
      </c>
      <c r="C17" s="6">
        <v>6</v>
      </c>
      <c r="D17" s="6">
        <v>0</v>
      </c>
      <c r="F17" s="6">
        <v>57</v>
      </c>
    </row>
    <row r="18" spans="1:6">
      <c r="A18" s="6" t="s">
        <v>1702</v>
      </c>
      <c r="B18" s="6">
        <v>10</v>
      </c>
      <c r="C18" s="6">
        <v>3</v>
      </c>
      <c r="D18" s="6">
        <v>2</v>
      </c>
      <c r="F18" s="6">
        <v>0</v>
      </c>
    </row>
    <row r="19" spans="1:6">
      <c r="A19" s="6" t="s">
        <v>1703</v>
      </c>
      <c r="B19" s="6">
        <f>B8-B15-B16-B17-B18</f>
        <v>93</v>
      </c>
      <c r="C19" s="6">
        <f>C8-C15-C16-C17-C18</f>
        <v>17</v>
      </c>
      <c r="D19" s="6">
        <f>D8-D15-D16-D17-D18</f>
        <v>9</v>
      </c>
      <c r="E19" s="6">
        <f>E8-E15-E16-E17-E18</f>
        <v>0</v>
      </c>
      <c r="F19" s="6">
        <f>F8-F15-F16-F17-F18</f>
        <v>14</v>
      </c>
    </row>
    <row r="21" spans="1:6">
      <c r="A21" s="20" t="s">
        <v>3739</v>
      </c>
    </row>
    <row r="22" spans="1:6">
      <c r="A22" s="6" t="s">
        <v>1694</v>
      </c>
      <c r="B22" s="6">
        <v>254</v>
      </c>
      <c r="C22" s="6">
        <v>19</v>
      </c>
      <c r="D22" s="6">
        <v>6</v>
      </c>
      <c r="E22" s="6">
        <v>0</v>
      </c>
      <c r="F22" s="6">
        <v>94</v>
      </c>
    </row>
    <row r="23" spans="1:6">
      <c r="A23" s="6" t="s">
        <v>1697</v>
      </c>
      <c r="B23" s="21">
        <v>3459</v>
      </c>
      <c r="C23" s="21">
        <v>1885</v>
      </c>
    </row>
    <row r="24" spans="1:6">
      <c r="A24" s="6" t="s">
        <v>1698</v>
      </c>
      <c r="B24" s="11">
        <v>7.5166233015322353E-2</v>
      </c>
      <c r="C24" s="11">
        <v>5.9946949602122018E-2</v>
      </c>
    </row>
    <row r="25" spans="1:6">
      <c r="A25" s="6" t="s">
        <v>1704</v>
      </c>
      <c r="B25" s="11">
        <v>7.0866141732283464E-2</v>
      </c>
      <c r="C25" s="11">
        <v>0.15789473684210525</v>
      </c>
    </row>
    <row r="27" spans="1:6">
      <c r="A27" s="16" t="s">
        <v>3740</v>
      </c>
    </row>
    <row r="28" spans="1:6">
      <c r="A28" s="6" t="s">
        <v>1694</v>
      </c>
      <c r="B28" s="15">
        <f>((B8+D8+E8)-(B22+D22+E22))/(B22+D22+E22)</f>
        <v>-4.6153846153846156E-2</v>
      </c>
      <c r="C28" s="15">
        <f>((C8+F8)-(C22+F22))/(C22+F22)</f>
        <v>-0.13274336283185842</v>
      </c>
    </row>
    <row r="29" spans="1:6">
      <c r="A29" s="6" t="s">
        <v>1697</v>
      </c>
      <c r="B29" s="15">
        <f>(B12-B23)/B23</f>
        <v>2.8910089621277824E-3</v>
      </c>
      <c r="C29" s="15">
        <f>(C12-C23)/C23</f>
        <v>-0.18673740053050397</v>
      </c>
    </row>
    <row r="30" spans="1:6">
      <c r="A30" s="6" t="s">
        <v>1698</v>
      </c>
      <c r="B30" s="22">
        <f>B13-B24</f>
        <v>-3.6758899769827741E-3</v>
      </c>
      <c r="C30" s="22">
        <f>C13-C24</f>
        <v>3.9799910371473846E-3</v>
      </c>
    </row>
    <row r="31" spans="1:6">
      <c r="A31" s="6" t="s">
        <v>1704</v>
      </c>
      <c r="B31" s="22">
        <f>B11-B25</f>
        <v>-2.0233230339878401E-2</v>
      </c>
      <c r="C31" s="22">
        <f>C11-C25</f>
        <v>-8.3820662768031184E-2</v>
      </c>
    </row>
    <row r="34" spans="1:6">
      <c r="A34" s="20" t="s">
        <v>3739</v>
      </c>
    </row>
    <row r="35" spans="1:6">
      <c r="A35" s="6" t="s">
        <v>1699</v>
      </c>
      <c r="B35" s="6">
        <v>1</v>
      </c>
      <c r="C35" s="6">
        <v>0</v>
      </c>
      <c r="D35" s="6">
        <v>0</v>
      </c>
      <c r="F35" s="6">
        <v>0</v>
      </c>
    </row>
    <row r="36" spans="1:6">
      <c r="A36" s="6" t="s">
        <v>1700</v>
      </c>
      <c r="B36" s="6">
        <v>0</v>
      </c>
      <c r="C36" s="6">
        <v>0</v>
      </c>
      <c r="D36" s="6">
        <v>0</v>
      </c>
      <c r="F36" s="6">
        <v>0</v>
      </c>
    </row>
    <row r="37" spans="1:6">
      <c r="A37" s="6" t="s">
        <v>1701</v>
      </c>
      <c r="B37" s="6">
        <v>176</v>
      </c>
      <c r="C37" s="6">
        <v>5</v>
      </c>
      <c r="D37" s="6">
        <v>2</v>
      </c>
      <c r="F37" s="6">
        <v>79</v>
      </c>
    </row>
    <row r="38" spans="1:6">
      <c r="A38" s="6" t="s">
        <v>1702</v>
      </c>
      <c r="B38" s="6">
        <v>10</v>
      </c>
      <c r="C38" s="6">
        <v>5</v>
      </c>
      <c r="D38" s="6">
        <v>0</v>
      </c>
      <c r="F38" s="6">
        <v>0</v>
      </c>
    </row>
    <row r="39" spans="1:6">
      <c r="A39" s="6" t="s">
        <v>1703</v>
      </c>
      <c r="B39" s="6">
        <v>67</v>
      </c>
      <c r="C39" s="6">
        <v>9</v>
      </c>
      <c r="D39" s="6">
        <v>4</v>
      </c>
      <c r="E39" s="6">
        <v>0</v>
      </c>
      <c r="F39" s="6">
        <v>15</v>
      </c>
    </row>
    <row r="40" spans="1:6" s="16" customFormat="1" ht="13.2">
      <c r="A40" s="16" t="s">
        <v>1705</v>
      </c>
      <c r="B40" s="16">
        <f>SUM(B35:B39)</f>
        <v>254</v>
      </c>
      <c r="C40" s="16">
        <f>SUM(C35:C39)</f>
        <v>19</v>
      </c>
      <c r="D40" s="16">
        <f>SUM(D35:D39)</f>
        <v>6</v>
      </c>
      <c r="E40" s="16">
        <f>SUM(E35:E39)</f>
        <v>0</v>
      </c>
      <c r="F40" s="16">
        <f>SUM(F35:F39)</f>
        <v>94</v>
      </c>
    </row>
    <row r="42" spans="1:6">
      <c r="A42" s="16" t="s">
        <v>3741</v>
      </c>
    </row>
    <row r="43" spans="1:6">
      <c r="A43" s="6" t="s">
        <v>1699</v>
      </c>
      <c r="B43" s="6">
        <f t="shared" ref="B43:F47" si="2">B15-B35</f>
        <v>7</v>
      </c>
      <c r="C43" s="6">
        <f t="shared" si="2"/>
        <v>1</v>
      </c>
      <c r="D43" s="6">
        <f t="shared" si="2"/>
        <v>0</v>
      </c>
      <c r="E43" s="6">
        <f t="shared" si="2"/>
        <v>0</v>
      </c>
      <c r="F43" s="6">
        <f t="shared" si="2"/>
        <v>0</v>
      </c>
    </row>
    <row r="44" spans="1:6">
      <c r="A44" s="6" t="s">
        <v>1700</v>
      </c>
      <c r="B44" s="6">
        <f t="shared" si="2"/>
        <v>1</v>
      </c>
      <c r="C44" s="6">
        <f t="shared" si="2"/>
        <v>0</v>
      </c>
      <c r="D44" s="6">
        <f t="shared" si="2"/>
        <v>0</v>
      </c>
      <c r="E44" s="6">
        <f t="shared" si="2"/>
        <v>0</v>
      </c>
      <c r="F44" s="6">
        <f t="shared" si="2"/>
        <v>0</v>
      </c>
    </row>
    <row r="45" spans="1:6">
      <c r="A45" s="6" t="s">
        <v>1701</v>
      </c>
      <c r="B45" s="6">
        <f t="shared" si="2"/>
        <v>-51</v>
      </c>
      <c r="C45" s="6">
        <f t="shared" si="2"/>
        <v>1</v>
      </c>
      <c r="D45" s="6">
        <f t="shared" si="2"/>
        <v>-2</v>
      </c>
      <c r="E45" s="6">
        <f t="shared" si="2"/>
        <v>0</v>
      </c>
      <c r="F45" s="6">
        <f t="shared" si="2"/>
        <v>-22</v>
      </c>
    </row>
    <row r="46" spans="1:6">
      <c r="A46" s="6" t="s">
        <v>1702</v>
      </c>
      <c r="B46" s="6">
        <f t="shared" si="2"/>
        <v>0</v>
      </c>
      <c r="C46" s="6">
        <f t="shared" si="2"/>
        <v>-2</v>
      </c>
      <c r="D46" s="6">
        <f t="shared" si="2"/>
        <v>2</v>
      </c>
      <c r="E46" s="6">
        <f t="shared" si="2"/>
        <v>0</v>
      </c>
      <c r="F46" s="6">
        <f t="shared" si="2"/>
        <v>0</v>
      </c>
    </row>
    <row r="47" spans="1:6">
      <c r="A47" s="6" t="s">
        <v>1703</v>
      </c>
      <c r="B47" s="6">
        <f t="shared" si="2"/>
        <v>26</v>
      </c>
      <c r="C47" s="6">
        <f t="shared" si="2"/>
        <v>8</v>
      </c>
      <c r="D47" s="6">
        <f t="shared" si="2"/>
        <v>5</v>
      </c>
      <c r="E47" s="6">
        <f t="shared" si="2"/>
        <v>0</v>
      </c>
      <c r="F47" s="6">
        <f t="shared" si="2"/>
        <v>-1</v>
      </c>
    </row>
    <row r="48" spans="1:6" s="16" customFormat="1" ht="13.2">
      <c r="A48" s="16" t="s">
        <v>1705</v>
      </c>
      <c r="B48" s="16">
        <f>SUM(B43:B47)</f>
        <v>-17</v>
      </c>
      <c r="C48" s="16">
        <f>SUM(C43:C47)</f>
        <v>8</v>
      </c>
      <c r="D48" s="16">
        <f>SUM(D43:D47)</f>
        <v>5</v>
      </c>
      <c r="E48" s="16">
        <f>SUM(E43:E47)</f>
        <v>0</v>
      </c>
      <c r="F48" s="16">
        <f>SUM(F43:F47)</f>
        <v>-23</v>
      </c>
    </row>
    <row r="50" spans="1:6">
      <c r="A50" s="16" t="s">
        <v>3742</v>
      </c>
    </row>
    <row r="51" spans="1:6">
      <c r="A51" s="6" t="s">
        <v>1699</v>
      </c>
      <c r="B51" s="15">
        <f t="shared" ref="B51:E55" si="3">-(B35-B15)/B35</f>
        <v>7</v>
      </c>
      <c r="C51" s="15" t="e">
        <f t="shared" si="3"/>
        <v>#DIV/0!</v>
      </c>
      <c r="D51" s="15" t="e">
        <f t="shared" si="3"/>
        <v>#DIV/0!</v>
      </c>
      <c r="E51" s="15" t="e">
        <f t="shared" si="3"/>
        <v>#DIV/0!</v>
      </c>
    </row>
    <row r="52" spans="1:6">
      <c r="A52" s="6" t="s">
        <v>1700</v>
      </c>
      <c r="B52" s="15" t="e">
        <f t="shared" si="3"/>
        <v>#DIV/0!</v>
      </c>
      <c r="C52" s="15" t="e">
        <f t="shared" si="3"/>
        <v>#DIV/0!</v>
      </c>
      <c r="D52" s="15" t="e">
        <f t="shared" si="3"/>
        <v>#DIV/0!</v>
      </c>
      <c r="E52" s="15" t="e">
        <f t="shared" si="3"/>
        <v>#DIV/0!</v>
      </c>
    </row>
    <row r="53" spans="1:6">
      <c r="A53" s="6" t="s">
        <v>1701</v>
      </c>
      <c r="B53" s="15">
        <f t="shared" si="3"/>
        <v>-0.28977272727272729</v>
      </c>
      <c r="C53" s="15">
        <f t="shared" si="3"/>
        <v>0.2</v>
      </c>
      <c r="D53" s="15">
        <f t="shared" si="3"/>
        <v>-1</v>
      </c>
      <c r="E53" s="15" t="e">
        <f t="shared" si="3"/>
        <v>#DIV/0!</v>
      </c>
    </row>
    <row r="54" spans="1:6">
      <c r="A54" s="6" t="s">
        <v>1702</v>
      </c>
      <c r="B54" s="15">
        <f t="shared" si="3"/>
        <v>0</v>
      </c>
      <c r="C54" s="15">
        <f t="shared" si="3"/>
        <v>-0.4</v>
      </c>
      <c r="D54" s="15" t="e">
        <f t="shared" si="3"/>
        <v>#DIV/0!</v>
      </c>
      <c r="E54" s="15" t="e">
        <f t="shared" si="3"/>
        <v>#DIV/0!</v>
      </c>
      <c r="F54" s="15" t="e">
        <f>-(F38-F18)/F38</f>
        <v>#DIV/0!</v>
      </c>
    </row>
    <row r="55" spans="1:6">
      <c r="A55" s="6" t="s">
        <v>1703</v>
      </c>
      <c r="B55" s="15">
        <f t="shared" si="3"/>
        <v>0.38805970149253732</v>
      </c>
      <c r="C55" s="15">
        <f t="shared" si="3"/>
        <v>0.88888888888888884</v>
      </c>
      <c r="D55" s="15">
        <f t="shared" si="3"/>
        <v>1.25</v>
      </c>
      <c r="E55" s="15" t="e">
        <f t="shared" si="3"/>
        <v>#DIV/0!</v>
      </c>
    </row>
    <row r="56" spans="1:6" s="16" customFormat="1" ht="13.2">
      <c r="A56" s="16" t="s">
        <v>1705</v>
      </c>
      <c r="B56" s="23">
        <f>-(B40-B8)/B40</f>
        <v>-6.6929133858267723E-2</v>
      </c>
      <c r="C56" s="23">
        <f>-(C40-C8)/C40</f>
        <v>0.42105263157894735</v>
      </c>
      <c r="D56" s="23">
        <f>-(D40-D8)/D40</f>
        <v>0.83333333333333337</v>
      </c>
      <c r="E56" s="23" t="e">
        <f>-(E40-E8)/E40</f>
        <v>#DIV/0!</v>
      </c>
      <c r="F56" s="23">
        <f>-(F40-F8)/F40</f>
        <v>-0.24468085106382978</v>
      </c>
    </row>
    <row r="58" spans="1:6">
      <c r="A58" s="6" t="s">
        <v>1706</v>
      </c>
      <c r="B58" s="24">
        <f t="shared" ref="B58:F61" si="4">B2/B15</f>
        <v>0</v>
      </c>
      <c r="C58" s="24">
        <f t="shared" si="4"/>
        <v>0</v>
      </c>
      <c r="D58" s="24" t="e">
        <f t="shared" si="4"/>
        <v>#DIV/0!</v>
      </c>
      <c r="E58" s="24"/>
      <c r="F58" s="24" t="e">
        <f t="shared" si="4"/>
        <v>#DIV/0!</v>
      </c>
    </row>
    <row r="59" spans="1:6">
      <c r="A59" s="6" t="s">
        <v>1707</v>
      </c>
      <c r="B59" s="24">
        <f t="shared" si="4"/>
        <v>0</v>
      </c>
      <c r="C59" s="24" t="e">
        <f t="shared" si="4"/>
        <v>#DIV/0!</v>
      </c>
      <c r="D59" s="24" t="e">
        <f t="shared" si="4"/>
        <v>#DIV/0!</v>
      </c>
      <c r="E59" s="24"/>
      <c r="F59" s="24" t="e">
        <f t="shared" si="4"/>
        <v>#DIV/0!</v>
      </c>
    </row>
    <row r="60" spans="1:6">
      <c r="A60" s="6" t="s">
        <v>1708</v>
      </c>
      <c r="B60" s="24">
        <f t="shared" si="4"/>
        <v>28.080959999999997</v>
      </c>
      <c r="C60" s="24">
        <f t="shared" si="4"/>
        <v>38.166666666666664</v>
      </c>
      <c r="D60" s="24" t="e">
        <f t="shared" si="4"/>
        <v>#DIV/0!</v>
      </c>
      <c r="E60" s="24" t="e">
        <f t="shared" si="4"/>
        <v>#DIV/0!</v>
      </c>
      <c r="F60" s="24">
        <f t="shared" si="4"/>
        <v>21.084385964912279</v>
      </c>
    </row>
    <row r="61" spans="1:6">
      <c r="A61" s="6" t="s">
        <v>1709</v>
      </c>
      <c r="B61" s="24">
        <f t="shared" si="4"/>
        <v>11.206</v>
      </c>
      <c r="C61" s="24">
        <f t="shared" si="4"/>
        <v>13.173333333333334</v>
      </c>
      <c r="D61" s="24">
        <f t="shared" si="4"/>
        <v>1.425</v>
      </c>
      <c r="E61" s="24"/>
      <c r="F61" s="24" t="e">
        <f t="shared" si="4"/>
        <v>#DIV/0!</v>
      </c>
    </row>
    <row r="62" spans="1:6">
      <c r="A62" s="6" t="s">
        <v>1710</v>
      </c>
      <c r="B62" s="24">
        <f>B6/B8</f>
        <v>15.283459915611814</v>
      </c>
      <c r="C62" s="24">
        <f>C6/C8</f>
        <v>9.9451851851851849</v>
      </c>
      <c r="D62" s="24">
        <f>D6/D8</f>
        <v>0.52454545454545454</v>
      </c>
      <c r="E62" s="24" t="e">
        <f>E6/E8</f>
        <v>#DIV/0!</v>
      </c>
      <c r="F62" s="24">
        <f>F6/F8</f>
        <v>16.926901408450703</v>
      </c>
    </row>
    <row r="64" spans="1:6">
      <c r="A64" s="20" t="s">
        <v>3739</v>
      </c>
    </row>
    <row r="65" spans="1:7">
      <c r="A65" s="6" t="s">
        <v>1706</v>
      </c>
      <c r="B65" s="25">
        <v>0</v>
      </c>
      <c r="C65" s="25" t="e">
        <v>#DIV/0!</v>
      </c>
      <c r="D65" s="25" t="e">
        <v>#DIV/0!</v>
      </c>
      <c r="E65" s="25"/>
      <c r="F65" s="25" t="e">
        <v>#DIV/0!</v>
      </c>
    </row>
    <row r="66" spans="1:7">
      <c r="A66" s="6" t="s">
        <v>1707</v>
      </c>
      <c r="B66" s="25" t="e">
        <v>#DIV/0!</v>
      </c>
      <c r="C66" s="25" t="e">
        <v>#DIV/0!</v>
      </c>
      <c r="D66" s="25" t="e">
        <v>#DIV/0!</v>
      </c>
      <c r="E66" s="25"/>
      <c r="F66" s="25" t="e">
        <v>#DIV/0!</v>
      </c>
    </row>
    <row r="67" spans="1:7">
      <c r="A67" s="6" t="s">
        <v>1708</v>
      </c>
      <c r="B67" s="25">
        <v>23.286874999999998</v>
      </c>
      <c r="C67" s="25">
        <v>70.335999999999999</v>
      </c>
      <c r="D67" s="25">
        <v>0</v>
      </c>
      <c r="E67" s="25" t="e">
        <v>#DIV/0!</v>
      </c>
      <c r="F67" s="25">
        <v>18.337974683544303</v>
      </c>
    </row>
    <row r="68" spans="1:7">
      <c r="A68" s="6" t="s">
        <v>1709</v>
      </c>
      <c r="B68" s="25">
        <v>7.7489999999999997</v>
      </c>
      <c r="C68" s="25">
        <v>8.8680000000000003</v>
      </c>
      <c r="D68" s="25" t="e">
        <v>#DIV/0!</v>
      </c>
      <c r="E68" s="25"/>
      <c r="F68" s="25" t="e">
        <v>#DIV/0!</v>
      </c>
    </row>
    <row r="69" spans="1:7">
      <c r="A69" s="6" t="s">
        <v>1710</v>
      </c>
      <c r="B69" s="25">
        <v>16.440866141732283</v>
      </c>
      <c r="C69" s="25">
        <v>20.843157894736841</v>
      </c>
      <c r="D69" s="25">
        <v>0.47500000000000003</v>
      </c>
      <c r="E69" s="25" t="e">
        <v>#DIV/0!</v>
      </c>
      <c r="F69" s="25">
        <v>15.411702127659575</v>
      </c>
    </row>
    <row r="71" spans="1:7">
      <c r="A71" s="16" t="s">
        <v>3740</v>
      </c>
    </row>
    <row r="72" spans="1:7">
      <c r="A72" s="6" t="s">
        <v>1706</v>
      </c>
      <c r="B72" s="15" t="e">
        <f t="shared" ref="B72:F76" si="5">(B58-B65)/B65</f>
        <v>#DIV/0!</v>
      </c>
      <c r="C72" s="15" t="e">
        <f t="shared" si="5"/>
        <v>#DIV/0!</v>
      </c>
      <c r="D72" s="15" t="e">
        <f t="shared" si="5"/>
        <v>#DIV/0!</v>
      </c>
      <c r="E72" s="15" t="e">
        <f t="shared" si="5"/>
        <v>#DIV/0!</v>
      </c>
      <c r="F72" s="15" t="e">
        <f t="shared" si="5"/>
        <v>#DIV/0!</v>
      </c>
    </row>
    <row r="73" spans="1:7">
      <c r="A73" s="6" t="s">
        <v>1707</v>
      </c>
      <c r="B73" s="15" t="e">
        <f t="shared" si="5"/>
        <v>#DIV/0!</v>
      </c>
      <c r="C73" s="15" t="e">
        <f t="shared" si="5"/>
        <v>#DIV/0!</v>
      </c>
      <c r="D73" s="15" t="e">
        <f t="shared" si="5"/>
        <v>#DIV/0!</v>
      </c>
      <c r="E73" s="15" t="e">
        <f t="shared" si="5"/>
        <v>#DIV/0!</v>
      </c>
      <c r="F73" s="15" t="e">
        <f t="shared" si="5"/>
        <v>#DIV/0!</v>
      </c>
    </row>
    <row r="74" spans="1:7">
      <c r="A74" s="6" t="s">
        <v>1708</v>
      </c>
      <c r="B74" s="15">
        <f t="shared" si="5"/>
        <v>0.20587068896105637</v>
      </c>
      <c r="C74" s="15">
        <f t="shared" si="5"/>
        <v>-0.45736654534425236</v>
      </c>
      <c r="D74" s="15" t="e">
        <f t="shared" si="5"/>
        <v>#DIV/0!</v>
      </c>
      <c r="E74" s="15" t="e">
        <f t="shared" si="5"/>
        <v>#DIV/0!</v>
      </c>
      <c r="F74" s="15">
        <f t="shared" si="5"/>
        <v>0.14976633618283297</v>
      </c>
    </row>
    <row r="75" spans="1:7">
      <c r="A75" s="6" t="s">
        <v>1709</v>
      </c>
      <c r="B75" s="15">
        <f>(B61-B68)/B68</f>
        <v>0.44612208026842171</v>
      </c>
      <c r="C75" s="15">
        <f t="shared" si="5"/>
        <v>0.48549090362351527</v>
      </c>
      <c r="D75" s="15" t="e">
        <f t="shared" si="5"/>
        <v>#DIV/0!</v>
      </c>
      <c r="E75" s="15" t="e">
        <f t="shared" si="5"/>
        <v>#DIV/0!</v>
      </c>
      <c r="F75" s="15" t="e">
        <f t="shared" si="5"/>
        <v>#DIV/0!</v>
      </c>
    </row>
    <row r="76" spans="1:7">
      <c r="A76" s="6" t="s">
        <v>1710</v>
      </c>
      <c r="B76" s="15">
        <f>(B62-B69)/B69</f>
        <v>-7.0398129644921412E-2</v>
      </c>
      <c r="C76" s="15">
        <f>(C62-C69)/C69</f>
        <v>-0.52285612211878563</v>
      </c>
      <c r="D76" s="15">
        <f>(D62-D69)/D69</f>
        <v>0.10430622009569368</v>
      </c>
      <c r="E76" s="15" t="e">
        <f>(E62-E69)/E69</f>
        <v>#DIV/0!</v>
      </c>
      <c r="F76" s="15">
        <f t="shared" si="5"/>
        <v>9.8314856350083552E-2</v>
      </c>
    </row>
    <row r="77" spans="1:7">
      <c r="B77" s="15"/>
      <c r="C77" s="15"/>
      <c r="D77" s="15"/>
      <c r="E77" s="15"/>
    </row>
    <row r="78" spans="1:7">
      <c r="A78" s="16" t="s">
        <v>1711</v>
      </c>
      <c r="B78" s="26">
        <f t="shared" ref="B78:G78" si="6">SUM(B79:B85)</f>
        <v>13</v>
      </c>
      <c r="C78" s="26">
        <f t="shared" si="6"/>
        <v>2</v>
      </c>
      <c r="D78" s="26">
        <f t="shared" si="6"/>
        <v>0</v>
      </c>
      <c r="E78" s="26">
        <f t="shared" si="6"/>
        <v>0</v>
      </c>
      <c r="F78" s="26">
        <f t="shared" si="6"/>
        <v>1</v>
      </c>
      <c r="G78" s="26">
        <f t="shared" si="6"/>
        <v>1</v>
      </c>
    </row>
    <row r="79" spans="1:7">
      <c r="A79" s="6" t="s">
        <v>1201</v>
      </c>
      <c r="B79" s="27">
        <v>0</v>
      </c>
      <c r="C79" s="27">
        <v>0</v>
      </c>
      <c r="D79" s="27">
        <v>0</v>
      </c>
      <c r="E79" s="27">
        <v>0</v>
      </c>
      <c r="F79" s="27">
        <v>0</v>
      </c>
    </row>
    <row r="80" spans="1:7">
      <c r="A80" s="6" t="s">
        <v>1328</v>
      </c>
      <c r="B80" s="27">
        <v>0</v>
      </c>
      <c r="C80" s="27">
        <v>0</v>
      </c>
      <c r="D80" s="27">
        <v>0</v>
      </c>
      <c r="E80" s="27">
        <v>0</v>
      </c>
      <c r="F80" s="27">
        <v>0</v>
      </c>
    </row>
    <row r="81" spans="1:7">
      <c r="A81" s="6" t="s">
        <v>36</v>
      </c>
      <c r="B81" s="27">
        <v>4</v>
      </c>
      <c r="C81" s="27">
        <v>0</v>
      </c>
      <c r="D81" s="27">
        <v>0</v>
      </c>
      <c r="E81" s="27">
        <v>0</v>
      </c>
      <c r="F81" s="27">
        <v>1</v>
      </c>
    </row>
    <row r="82" spans="1:7">
      <c r="A82" s="6" t="s">
        <v>1692</v>
      </c>
      <c r="B82" s="27">
        <v>0</v>
      </c>
      <c r="C82" s="27">
        <v>0</v>
      </c>
      <c r="D82" s="27">
        <v>0</v>
      </c>
      <c r="E82" s="27">
        <v>0</v>
      </c>
      <c r="F82" s="27">
        <v>0</v>
      </c>
    </row>
    <row r="83" spans="1:7">
      <c r="A83" s="6" t="s">
        <v>1712</v>
      </c>
      <c r="B83" s="27">
        <v>3</v>
      </c>
      <c r="C83" s="27">
        <v>0</v>
      </c>
      <c r="D83" s="27">
        <v>0</v>
      </c>
      <c r="E83" s="27">
        <v>0</v>
      </c>
      <c r="F83" s="27">
        <v>0</v>
      </c>
      <c r="G83" s="27"/>
    </row>
    <row r="84" spans="1:7">
      <c r="A84" s="6" t="s">
        <v>1713</v>
      </c>
      <c r="B84" s="27">
        <v>2</v>
      </c>
      <c r="C84" s="27">
        <v>0</v>
      </c>
      <c r="D84" s="27">
        <v>0</v>
      </c>
      <c r="E84" s="27">
        <v>0</v>
      </c>
      <c r="F84" s="27">
        <v>0</v>
      </c>
    </row>
    <row r="85" spans="1:7">
      <c r="A85" s="6" t="s">
        <v>1714</v>
      </c>
      <c r="B85" s="27">
        <v>4</v>
      </c>
      <c r="C85" s="27">
        <v>2</v>
      </c>
      <c r="D85" s="27">
        <v>0</v>
      </c>
      <c r="E85" s="27">
        <v>0</v>
      </c>
      <c r="F85" s="27">
        <v>0</v>
      </c>
      <c r="G85" s="27">
        <v>1</v>
      </c>
    </row>
    <row r="86" spans="1:7">
      <c r="B86" s="15"/>
      <c r="C86" s="15"/>
      <c r="D86" s="15"/>
      <c r="E86" s="15"/>
    </row>
    <row r="87" spans="1:7">
      <c r="A87" s="16" t="s">
        <v>1695</v>
      </c>
      <c r="B87" s="26"/>
      <c r="C87" s="26"/>
      <c r="D87" s="26"/>
      <c r="E87" s="26"/>
    </row>
    <row r="88" spans="1:7">
      <c r="A88" s="6" t="s">
        <v>1201</v>
      </c>
      <c r="B88" s="24" t="e">
        <f t="shared" ref="B88:C91" si="7">B2/B79</f>
        <v>#DIV/0!</v>
      </c>
      <c r="C88" s="24" t="e">
        <f t="shared" si="7"/>
        <v>#DIV/0!</v>
      </c>
    </row>
    <row r="89" spans="1:7">
      <c r="A89" s="6" t="s">
        <v>1328</v>
      </c>
      <c r="B89" s="6" t="e">
        <f t="shared" si="7"/>
        <v>#DIV/0!</v>
      </c>
      <c r="C89" s="6" t="e">
        <f t="shared" si="7"/>
        <v>#DIV/0!</v>
      </c>
    </row>
    <row r="90" spans="1:7">
      <c r="A90" s="6" t="s">
        <v>36</v>
      </c>
      <c r="B90" s="24">
        <f t="shared" si="7"/>
        <v>877.53</v>
      </c>
      <c r="C90" s="24" t="e">
        <f t="shared" si="7"/>
        <v>#DIV/0!</v>
      </c>
    </row>
    <row r="91" spans="1:7">
      <c r="A91" s="6" t="s">
        <v>1692</v>
      </c>
      <c r="B91" s="24" t="e">
        <f t="shared" si="7"/>
        <v>#DIV/0!</v>
      </c>
      <c r="C91" s="24" t="e">
        <f t="shared" si="7"/>
        <v>#DIV/0!</v>
      </c>
    </row>
    <row r="92" spans="1:7">
      <c r="B92" s="24"/>
      <c r="C92" s="24"/>
    </row>
    <row r="93" spans="1:7">
      <c r="A93" s="20" t="s">
        <v>3739</v>
      </c>
      <c r="B93" s="24"/>
      <c r="C93" s="24"/>
    </row>
    <row r="94" spans="1:7">
      <c r="A94" s="16" t="s">
        <v>1711</v>
      </c>
      <c r="B94" s="26">
        <f>SUM(B95:B101)</f>
        <v>18</v>
      </c>
      <c r="C94" s="26">
        <f>SUM(C95:C101)</f>
        <v>3</v>
      </c>
      <c r="D94" s="26">
        <f>SUM(D95:D101)</f>
        <v>0</v>
      </c>
      <c r="E94" s="26"/>
      <c r="F94" s="26">
        <f>SUM(F95:F101)</f>
        <v>1</v>
      </c>
      <c r="G94" s="26">
        <f>SUM(G95:G101)</f>
        <v>1</v>
      </c>
    </row>
    <row r="95" spans="1:7">
      <c r="A95" s="6" t="s">
        <v>1201</v>
      </c>
      <c r="B95" s="27">
        <v>0</v>
      </c>
      <c r="C95" s="27">
        <v>0</v>
      </c>
      <c r="D95" s="27">
        <v>0</v>
      </c>
      <c r="E95" s="27">
        <v>0</v>
      </c>
      <c r="F95" s="27">
        <v>0</v>
      </c>
    </row>
    <row r="96" spans="1:7">
      <c r="A96" s="6" t="s">
        <v>1328</v>
      </c>
      <c r="B96" s="27">
        <v>0</v>
      </c>
      <c r="C96" s="27">
        <v>0</v>
      </c>
      <c r="D96" s="27">
        <v>0</v>
      </c>
      <c r="E96" s="27">
        <v>0</v>
      </c>
      <c r="F96" s="27">
        <v>0</v>
      </c>
    </row>
    <row r="97" spans="1:7">
      <c r="A97" s="6" t="s">
        <v>36</v>
      </c>
      <c r="B97" s="27">
        <v>7</v>
      </c>
      <c r="C97" s="27">
        <v>0</v>
      </c>
      <c r="D97" s="27">
        <v>0</v>
      </c>
      <c r="E97" s="27">
        <v>0</v>
      </c>
      <c r="F97" s="27">
        <v>1</v>
      </c>
    </row>
    <row r="98" spans="1:7">
      <c r="A98" s="6" t="s">
        <v>1692</v>
      </c>
      <c r="B98" s="27">
        <v>2</v>
      </c>
      <c r="C98" s="27">
        <v>0</v>
      </c>
      <c r="D98" s="27">
        <v>0</v>
      </c>
      <c r="E98" s="27">
        <v>0</v>
      </c>
      <c r="F98" s="27">
        <v>0</v>
      </c>
    </row>
    <row r="99" spans="1:7">
      <c r="A99" s="6" t="s">
        <v>1712</v>
      </c>
      <c r="B99" s="27">
        <v>1</v>
      </c>
      <c r="C99" s="27">
        <v>0</v>
      </c>
      <c r="D99" s="27">
        <v>0</v>
      </c>
      <c r="E99" s="27">
        <v>0</v>
      </c>
      <c r="F99" s="27">
        <v>0</v>
      </c>
      <c r="G99" s="27"/>
    </row>
    <row r="100" spans="1:7">
      <c r="A100" s="6" t="s">
        <v>1713</v>
      </c>
      <c r="B100" s="27">
        <v>2</v>
      </c>
      <c r="C100" s="27">
        <v>0</v>
      </c>
      <c r="D100" s="27">
        <v>0</v>
      </c>
      <c r="E100" s="27">
        <v>0</v>
      </c>
      <c r="F100" s="27">
        <v>0</v>
      </c>
    </row>
    <row r="101" spans="1:7">
      <c r="A101" s="6" t="s">
        <v>1714</v>
      </c>
      <c r="B101" s="27">
        <v>6</v>
      </c>
      <c r="C101" s="27">
        <v>3</v>
      </c>
      <c r="D101" s="27">
        <v>0</v>
      </c>
      <c r="E101" s="27">
        <v>0</v>
      </c>
      <c r="F101" s="27">
        <v>0</v>
      </c>
      <c r="G101" s="27">
        <v>1</v>
      </c>
    </row>
    <row r="102" spans="1:7">
      <c r="B102" s="24"/>
      <c r="C102" s="24"/>
    </row>
    <row r="103" spans="1:7">
      <c r="A103" s="16" t="s">
        <v>3743</v>
      </c>
      <c r="C103" s="24"/>
    </row>
    <row r="104" spans="1:7">
      <c r="A104" s="16" t="s">
        <v>1711</v>
      </c>
      <c r="B104" s="28">
        <f t="shared" ref="B104:G111" si="8">B78-B94</f>
        <v>-5</v>
      </c>
      <c r="C104" s="28">
        <f t="shared" si="8"/>
        <v>-1</v>
      </c>
      <c r="D104" s="28">
        <f t="shared" si="8"/>
        <v>0</v>
      </c>
      <c r="E104" s="28">
        <f t="shared" si="8"/>
        <v>0</v>
      </c>
      <c r="F104" s="28">
        <f t="shared" si="8"/>
        <v>0</v>
      </c>
      <c r="G104" s="28">
        <f t="shared" si="8"/>
        <v>0</v>
      </c>
    </row>
    <row r="105" spans="1:7">
      <c r="A105" s="6" t="s">
        <v>1201</v>
      </c>
      <c r="B105" s="29">
        <f t="shared" si="8"/>
        <v>0</v>
      </c>
      <c r="C105" s="29">
        <f t="shared" si="8"/>
        <v>0</v>
      </c>
      <c r="D105" s="29">
        <f t="shared" si="8"/>
        <v>0</v>
      </c>
      <c r="E105" s="29">
        <f t="shared" si="8"/>
        <v>0</v>
      </c>
      <c r="F105" s="29">
        <f t="shared" si="8"/>
        <v>0</v>
      </c>
    </row>
    <row r="106" spans="1:7">
      <c r="A106" s="6" t="s">
        <v>1328</v>
      </c>
      <c r="B106" s="29">
        <f t="shared" si="8"/>
        <v>0</v>
      </c>
      <c r="C106" s="29">
        <f t="shared" si="8"/>
        <v>0</v>
      </c>
      <c r="D106" s="29">
        <f t="shared" si="8"/>
        <v>0</v>
      </c>
      <c r="E106" s="29">
        <f t="shared" si="8"/>
        <v>0</v>
      </c>
      <c r="F106" s="29">
        <f t="shared" si="8"/>
        <v>0</v>
      </c>
    </row>
    <row r="107" spans="1:7">
      <c r="A107" s="6" t="s">
        <v>36</v>
      </c>
      <c r="B107" s="29">
        <f t="shared" si="8"/>
        <v>-3</v>
      </c>
      <c r="C107" s="29">
        <f t="shared" si="8"/>
        <v>0</v>
      </c>
      <c r="D107" s="29">
        <f t="shared" si="8"/>
        <v>0</v>
      </c>
      <c r="E107" s="29">
        <f t="shared" si="8"/>
        <v>0</v>
      </c>
      <c r="F107" s="29">
        <f t="shared" si="8"/>
        <v>0</v>
      </c>
    </row>
    <row r="108" spans="1:7">
      <c r="A108" s="6" t="s">
        <v>1692</v>
      </c>
      <c r="B108" s="29">
        <f t="shared" si="8"/>
        <v>-2</v>
      </c>
      <c r="C108" s="29">
        <f t="shared" si="8"/>
        <v>0</v>
      </c>
      <c r="D108" s="29">
        <f t="shared" si="8"/>
        <v>0</v>
      </c>
      <c r="E108" s="29">
        <f t="shared" si="8"/>
        <v>0</v>
      </c>
      <c r="F108" s="29">
        <f t="shared" si="8"/>
        <v>0</v>
      </c>
    </row>
    <row r="109" spans="1:7">
      <c r="A109" s="6" t="s">
        <v>1712</v>
      </c>
      <c r="B109" s="29">
        <f t="shared" si="8"/>
        <v>2</v>
      </c>
      <c r="C109" s="29">
        <f t="shared" si="8"/>
        <v>0</v>
      </c>
      <c r="D109" s="29">
        <f t="shared" si="8"/>
        <v>0</v>
      </c>
      <c r="E109" s="29">
        <f t="shared" si="8"/>
        <v>0</v>
      </c>
      <c r="F109" s="29">
        <f t="shared" si="8"/>
        <v>0</v>
      </c>
    </row>
    <row r="110" spans="1:7">
      <c r="A110" s="6" t="s">
        <v>1713</v>
      </c>
      <c r="B110" s="29">
        <f t="shared" si="8"/>
        <v>0</v>
      </c>
      <c r="C110" s="29">
        <f t="shared" si="8"/>
        <v>0</v>
      </c>
      <c r="D110" s="29">
        <f t="shared" si="8"/>
        <v>0</v>
      </c>
      <c r="E110" s="29">
        <f t="shared" si="8"/>
        <v>0</v>
      </c>
      <c r="F110" s="29">
        <f t="shared" si="8"/>
        <v>0</v>
      </c>
    </row>
    <row r="111" spans="1:7">
      <c r="A111" s="6" t="s">
        <v>1714</v>
      </c>
      <c r="B111" s="29">
        <f t="shared" si="8"/>
        <v>-2</v>
      </c>
      <c r="C111" s="29">
        <f t="shared" si="8"/>
        <v>-1</v>
      </c>
      <c r="D111" s="29">
        <f t="shared" si="8"/>
        <v>0</v>
      </c>
      <c r="E111" s="29">
        <f t="shared" si="8"/>
        <v>0</v>
      </c>
      <c r="F111" s="29">
        <f t="shared" si="8"/>
        <v>0</v>
      </c>
    </row>
    <row r="112" spans="1:7">
      <c r="B112" s="24"/>
      <c r="C112" s="24"/>
    </row>
    <row r="119" spans="1:1">
      <c r="A119" s="30"/>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B30C3-320E-4471-862C-6EFC00374653}">
  <sheetPr>
    <tabColor rgb="FF92D050"/>
  </sheetPr>
  <dimension ref="A1:AP62"/>
  <sheetViews>
    <sheetView topLeftCell="U1" workbookViewId="0">
      <selection activeCell="U7" sqref="A7:XFD7"/>
    </sheetView>
  </sheetViews>
  <sheetFormatPr defaultRowHeight="14.4"/>
  <cols>
    <col min="1" max="1" width="11" style="6" customWidth="1"/>
    <col min="2" max="15" width="8.88671875" style="6"/>
    <col min="16" max="16" width="9" style="6" customWidth="1"/>
    <col min="17" max="17" width="10.109375" style="6" customWidth="1"/>
    <col min="18" max="22" width="8.88671875" style="6"/>
    <col min="23" max="23" width="9.44140625" style="6" bestFit="1" customWidth="1"/>
    <col min="24" max="26" width="9.33203125" style="6" customWidth="1"/>
    <col min="27" max="27" width="9" style="6" bestFit="1" customWidth="1"/>
    <col min="28" max="16384" width="8.88671875" style="6"/>
  </cols>
  <sheetData>
    <row r="1" spans="1:42" ht="21.6" thickBot="1">
      <c r="B1" s="54" t="s">
        <v>1423</v>
      </c>
      <c r="C1" s="54"/>
      <c r="D1" s="54"/>
      <c r="E1" s="54"/>
      <c r="F1" s="54"/>
      <c r="G1" s="54"/>
      <c r="H1" s="54"/>
      <c r="I1" s="54"/>
      <c r="J1" s="54"/>
      <c r="K1" s="54"/>
      <c r="L1" s="54"/>
      <c r="M1" s="54"/>
      <c r="N1" s="54"/>
      <c r="O1" s="54"/>
      <c r="P1" s="54"/>
    </row>
    <row r="2" spans="1:42" ht="13.2" customHeight="1">
      <c r="A2" s="55" t="s">
        <v>8</v>
      </c>
      <c r="B2" s="56" t="s">
        <v>3797</v>
      </c>
      <c r="C2" s="57"/>
      <c r="D2" s="57"/>
      <c r="E2" s="57"/>
      <c r="F2" s="57"/>
      <c r="G2" s="57"/>
      <c r="H2" s="58"/>
      <c r="I2" s="59" t="s">
        <v>36</v>
      </c>
      <c r="J2" s="60"/>
      <c r="K2" s="60"/>
      <c r="L2" s="61"/>
      <c r="M2" s="62"/>
      <c r="N2" s="63" t="s">
        <v>97</v>
      </c>
      <c r="O2" s="64"/>
      <c r="P2" s="64"/>
      <c r="Q2" s="64"/>
      <c r="R2" s="65"/>
      <c r="S2" s="66" t="s">
        <v>1673</v>
      </c>
      <c r="T2" s="60" t="s">
        <v>1695</v>
      </c>
      <c r="U2" s="67" t="s">
        <v>3798</v>
      </c>
      <c r="V2" s="68" t="s">
        <v>3828</v>
      </c>
      <c r="W2" s="69"/>
      <c r="X2" s="69"/>
      <c r="Y2" s="69"/>
      <c r="Z2" s="69"/>
      <c r="AA2" s="69"/>
      <c r="AB2" s="70"/>
      <c r="AC2" s="71" t="s">
        <v>3799</v>
      </c>
      <c r="AD2" s="72"/>
      <c r="AE2" s="72"/>
      <c r="AF2" s="73"/>
      <c r="AG2" s="74" t="s">
        <v>3829</v>
      </c>
      <c r="AH2" s="75"/>
      <c r="AI2" s="75"/>
      <c r="AJ2" s="76"/>
      <c r="AK2" s="77"/>
      <c r="AL2" s="78" t="s">
        <v>3799</v>
      </c>
      <c r="AM2" s="75"/>
      <c r="AN2" s="75"/>
      <c r="AO2" s="76"/>
      <c r="AP2" s="77"/>
    </row>
    <row r="3" spans="1:42" ht="72.599999999999994" thickBot="1">
      <c r="A3" s="79"/>
      <c r="B3" s="80" t="s">
        <v>36</v>
      </c>
      <c r="C3" s="81" t="s">
        <v>1692</v>
      </c>
      <c r="D3" s="82" t="s">
        <v>3800</v>
      </c>
      <c r="E3" s="83" t="s">
        <v>3801</v>
      </c>
      <c r="F3" s="83" t="s">
        <v>3802</v>
      </c>
      <c r="G3" s="83" t="s">
        <v>3803</v>
      </c>
      <c r="H3" s="82" t="s">
        <v>1705</v>
      </c>
      <c r="I3" s="84" t="s">
        <v>1722</v>
      </c>
      <c r="J3" s="85" t="s">
        <v>3804</v>
      </c>
      <c r="K3" s="86" t="s">
        <v>3805</v>
      </c>
      <c r="L3" s="86" t="s">
        <v>3806</v>
      </c>
      <c r="M3" s="87" t="s">
        <v>3807</v>
      </c>
      <c r="N3" s="84" t="s">
        <v>1722</v>
      </c>
      <c r="O3" s="85" t="s">
        <v>3804</v>
      </c>
      <c r="P3" s="86" t="s">
        <v>3805</v>
      </c>
      <c r="Q3" s="86" t="s">
        <v>3806</v>
      </c>
      <c r="R3" s="87" t="s">
        <v>3807</v>
      </c>
      <c r="S3" s="88"/>
      <c r="T3" s="89"/>
      <c r="U3" s="90"/>
      <c r="V3" s="91" t="s">
        <v>36</v>
      </c>
      <c r="W3" s="92" t="s">
        <v>1692</v>
      </c>
      <c r="X3" s="93" t="s">
        <v>3800</v>
      </c>
      <c r="Y3" s="94" t="s">
        <v>3801</v>
      </c>
      <c r="Z3" s="94" t="s">
        <v>3802</v>
      </c>
      <c r="AA3" s="94" t="s">
        <v>3803</v>
      </c>
      <c r="AB3" s="95" t="s">
        <v>1705</v>
      </c>
      <c r="AC3" s="96" t="s">
        <v>36</v>
      </c>
      <c r="AD3" s="97" t="s">
        <v>3800</v>
      </c>
      <c r="AE3" s="98" t="s">
        <v>3803</v>
      </c>
      <c r="AF3" s="99" t="s">
        <v>1705</v>
      </c>
      <c r="AG3" s="100" t="s">
        <v>1722</v>
      </c>
      <c r="AH3" s="101" t="s">
        <v>3804</v>
      </c>
      <c r="AI3" s="102" t="s">
        <v>3805</v>
      </c>
      <c r="AJ3" s="102" t="s">
        <v>3806</v>
      </c>
      <c r="AK3" s="103" t="s">
        <v>3807</v>
      </c>
      <c r="AL3" s="104" t="s">
        <v>1722</v>
      </c>
      <c r="AM3" s="105" t="s">
        <v>3804</v>
      </c>
      <c r="AN3" s="106" t="s">
        <v>3805</v>
      </c>
      <c r="AO3" s="106" t="s">
        <v>3806</v>
      </c>
      <c r="AP3" s="107" t="s">
        <v>3807</v>
      </c>
    </row>
    <row r="4" spans="1:42">
      <c r="A4" s="108" t="s">
        <v>98</v>
      </c>
      <c r="B4" s="109">
        <v>9</v>
      </c>
      <c r="C4" s="110">
        <v>0</v>
      </c>
      <c r="D4" s="111">
        <v>1</v>
      </c>
      <c r="E4" s="111">
        <v>0</v>
      </c>
      <c r="F4" s="111">
        <v>0</v>
      </c>
      <c r="G4" s="111">
        <v>1</v>
      </c>
      <c r="H4" s="111">
        <f t="shared" ref="H4:H15" si="0">SUM(B4:G4)</f>
        <v>11</v>
      </c>
      <c r="I4" s="112">
        <v>175</v>
      </c>
      <c r="J4" s="113">
        <f t="shared" ref="J4:J10" si="1">B4/I4</f>
        <v>5.1428571428571428E-2</v>
      </c>
      <c r="K4" s="114">
        <v>90.85</v>
      </c>
      <c r="L4" s="115">
        <f t="shared" ref="L4:L10" si="2">K4/I4</f>
        <v>0.51914285714285713</v>
      </c>
      <c r="M4" s="116">
        <f t="shared" ref="M4:M11" si="3">K4/B4</f>
        <v>10.094444444444443</v>
      </c>
      <c r="N4" s="112">
        <v>0</v>
      </c>
      <c r="O4" s="113" t="e">
        <f>C4/N4</f>
        <v>#DIV/0!</v>
      </c>
      <c r="P4" s="117">
        <v>0</v>
      </c>
      <c r="Q4" s="115" t="e">
        <f>P4/N4</f>
        <v>#DIV/0!</v>
      </c>
      <c r="R4" s="116" t="e">
        <f t="shared" ref="R4" si="4">P4/C4</f>
        <v>#DIV/0!</v>
      </c>
      <c r="S4" s="110">
        <v>0</v>
      </c>
      <c r="T4" s="118" t="e">
        <f t="shared" ref="T4:T16" si="5">(K4+P4)/S4</f>
        <v>#DIV/0!</v>
      </c>
      <c r="U4" s="119">
        <f t="shared" ref="U4:U16" si="6">S4/H4</f>
        <v>0</v>
      </c>
      <c r="V4" s="120">
        <v>12</v>
      </c>
      <c r="W4" s="121">
        <v>0</v>
      </c>
      <c r="X4" s="122">
        <v>1</v>
      </c>
      <c r="Y4" s="122">
        <v>0</v>
      </c>
      <c r="Z4" s="122">
        <v>0</v>
      </c>
      <c r="AA4" s="122">
        <v>1</v>
      </c>
      <c r="AB4" s="123">
        <v>14</v>
      </c>
      <c r="AC4" s="124">
        <f t="shared" ref="AC4:AC16" si="7">(B4-V4)/V4</f>
        <v>-0.25</v>
      </c>
      <c r="AD4" s="125">
        <f t="shared" ref="AD4:AD16" si="8">(D4-X4)/X4</f>
        <v>0</v>
      </c>
      <c r="AE4" s="125">
        <f t="shared" ref="AE4:AF16" si="9">(G4-AA4)/AA4</f>
        <v>0</v>
      </c>
      <c r="AF4" s="126">
        <f t="shared" si="9"/>
        <v>-0.21428571428571427</v>
      </c>
      <c r="AG4" s="127">
        <v>159</v>
      </c>
      <c r="AH4" s="128">
        <v>7.5471698113207544E-2</v>
      </c>
      <c r="AI4" s="129">
        <v>88.97</v>
      </c>
      <c r="AJ4" s="130">
        <v>0.55955974842767298</v>
      </c>
      <c r="AK4" s="131">
        <v>7.4141666666666666</v>
      </c>
      <c r="AL4" s="132">
        <f t="shared" ref="AL4:AP10" si="10">(I4-AG4)/AG4</f>
        <v>0.10062893081761007</v>
      </c>
      <c r="AM4" s="133">
        <f t="shared" si="10"/>
        <v>-0.31857142857142856</v>
      </c>
      <c r="AN4" s="134">
        <f t="shared" si="10"/>
        <v>2.113071821962454E-2</v>
      </c>
      <c r="AO4" s="134">
        <f t="shared" si="10"/>
        <v>-7.2229804589026864E-2</v>
      </c>
      <c r="AP4" s="135">
        <f t="shared" si="10"/>
        <v>0.36150762429283262</v>
      </c>
    </row>
    <row r="5" spans="1:42">
      <c r="A5" s="136" t="s">
        <v>983</v>
      </c>
      <c r="B5" s="137">
        <v>2</v>
      </c>
      <c r="C5" s="138">
        <v>0</v>
      </c>
      <c r="D5" s="139">
        <v>0</v>
      </c>
      <c r="E5" s="139">
        <v>0</v>
      </c>
      <c r="F5" s="139">
        <v>0</v>
      </c>
      <c r="G5" s="139">
        <v>0</v>
      </c>
      <c r="H5" s="139">
        <f t="shared" si="0"/>
        <v>2</v>
      </c>
      <c r="I5" s="112">
        <v>32</v>
      </c>
      <c r="J5" s="113">
        <f t="shared" si="1"/>
        <v>6.25E-2</v>
      </c>
      <c r="K5" s="140">
        <v>27.28</v>
      </c>
      <c r="L5" s="115">
        <f t="shared" si="2"/>
        <v>0.85250000000000004</v>
      </c>
      <c r="M5" s="141">
        <f t="shared" si="3"/>
        <v>13.64</v>
      </c>
      <c r="N5" s="112">
        <v>0</v>
      </c>
      <c r="O5" s="113"/>
      <c r="P5" s="140">
        <v>0</v>
      </c>
      <c r="Q5" s="115"/>
      <c r="R5" s="141"/>
      <c r="S5" s="138">
        <v>0</v>
      </c>
      <c r="T5" s="142" t="e">
        <f t="shared" si="5"/>
        <v>#DIV/0!</v>
      </c>
      <c r="U5" s="143">
        <f t="shared" si="6"/>
        <v>0</v>
      </c>
      <c r="V5" s="144">
        <v>4</v>
      </c>
      <c r="W5" s="145">
        <v>0</v>
      </c>
      <c r="X5" s="146">
        <v>0</v>
      </c>
      <c r="Y5" s="146">
        <v>0</v>
      </c>
      <c r="Z5" s="146">
        <v>0</v>
      </c>
      <c r="AA5" s="146">
        <v>1</v>
      </c>
      <c r="AB5" s="147">
        <v>5</v>
      </c>
      <c r="AC5" s="148">
        <f t="shared" si="7"/>
        <v>-0.5</v>
      </c>
      <c r="AD5" s="149" t="e">
        <f t="shared" si="8"/>
        <v>#DIV/0!</v>
      </c>
      <c r="AE5" s="149">
        <f t="shared" si="9"/>
        <v>-1</v>
      </c>
      <c r="AF5" s="143">
        <f t="shared" si="9"/>
        <v>-0.6</v>
      </c>
      <c r="AG5" s="127">
        <v>28</v>
      </c>
      <c r="AH5" s="128">
        <v>0.14285714285714285</v>
      </c>
      <c r="AI5" s="150">
        <v>44.06</v>
      </c>
      <c r="AJ5" s="130">
        <v>1.5735714285714286</v>
      </c>
      <c r="AK5" s="151">
        <v>11.015000000000001</v>
      </c>
      <c r="AL5" s="152">
        <f t="shared" si="10"/>
        <v>0.14285714285714285</v>
      </c>
      <c r="AM5" s="153">
        <f t="shared" si="10"/>
        <v>-0.5625</v>
      </c>
      <c r="AN5" s="154">
        <f t="shared" si="10"/>
        <v>-0.38084430322287788</v>
      </c>
      <c r="AO5" s="154">
        <f t="shared" si="10"/>
        <v>-0.45823876532001817</v>
      </c>
      <c r="AP5" s="155">
        <f t="shared" si="10"/>
        <v>0.23831139355424419</v>
      </c>
    </row>
    <row r="6" spans="1:42">
      <c r="A6" s="136" t="s">
        <v>453</v>
      </c>
      <c r="B6" s="137">
        <v>0</v>
      </c>
      <c r="C6" s="138">
        <v>0</v>
      </c>
      <c r="D6" s="139">
        <v>0</v>
      </c>
      <c r="E6" s="139">
        <v>0</v>
      </c>
      <c r="F6" s="139">
        <v>0</v>
      </c>
      <c r="G6" s="139">
        <v>1</v>
      </c>
      <c r="H6" s="139">
        <f t="shared" si="0"/>
        <v>1</v>
      </c>
      <c r="I6" s="112">
        <v>22</v>
      </c>
      <c r="J6" s="113">
        <f t="shared" si="1"/>
        <v>0</v>
      </c>
      <c r="K6" s="140">
        <v>19.93</v>
      </c>
      <c r="L6" s="115">
        <f t="shared" si="2"/>
        <v>0.90590909090909089</v>
      </c>
      <c r="M6" s="141" t="e">
        <f t="shared" si="3"/>
        <v>#DIV/0!</v>
      </c>
      <c r="N6" s="112">
        <v>0</v>
      </c>
      <c r="O6" s="113"/>
      <c r="P6" s="140">
        <v>0</v>
      </c>
      <c r="Q6" s="115"/>
      <c r="R6" s="141"/>
      <c r="S6" s="138">
        <v>0</v>
      </c>
      <c r="T6" s="142" t="e">
        <f t="shared" si="5"/>
        <v>#DIV/0!</v>
      </c>
      <c r="U6" s="143">
        <f t="shared" si="6"/>
        <v>0</v>
      </c>
      <c r="V6" s="144">
        <v>0</v>
      </c>
      <c r="W6" s="145">
        <v>0</v>
      </c>
      <c r="X6" s="146">
        <v>0</v>
      </c>
      <c r="Y6" s="146">
        <v>0</v>
      </c>
      <c r="Z6" s="146">
        <v>0</v>
      </c>
      <c r="AA6" s="146">
        <v>0</v>
      </c>
      <c r="AB6" s="147">
        <v>0</v>
      </c>
      <c r="AC6" s="148" t="e">
        <f t="shared" si="7"/>
        <v>#DIV/0!</v>
      </c>
      <c r="AD6" s="149" t="e">
        <f t="shared" si="8"/>
        <v>#DIV/0!</v>
      </c>
      <c r="AE6" s="149" t="e">
        <f t="shared" si="9"/>
        <v>#DIV/0!</v>
      </c>
      <c r="AF6" s="143" t="e">
        <f t="shared" si="9"/>
        <v>#DIV/0!</v>
      </c>
      <c r="AG6" s="127">
        <v>11</v>
      </c>
      <c r="AH6" s="128">
        <v>0</v>
      </c>
      <c r="AI6" s="150">
        <v>13.92</v>
      </c>
      <c r="AJ6" s="130">
        <v>1.2654545454545454</v>
      </c>
      <c r="AK6" s="151" t="e">
        <v>#DIV/0!</v>
      </c>
      <c r="AL6" s="152">
        <f t="shared" si="10"/>
        <v>1</v>
      </c>
      <c r="AM6" s="153" t="e">
        <f t="shared" si="10"/>
        <v>#DIV/0!</v>
      </c>
      <c r="AN6" s="154">
        <f t="shared" si="10"/>
        <v>0.4317528735632184</v>
      </c>
      <c r="AO6" s="154">
        <f t="shared" si="10"/>
        <v>-0.28412356321839077</v>
      </c>
      <c r="AP6" s="155" t="e">
        <f t="shared" si="10"/>
        <v>#DIV/0!</v>
      </c>
    </row>
    <row r="7" spans="1:42">
      <c r="A7" s="136" t="s">
        <v>159</v>
      </c>
      <c r="B7" s="137">
        <v>5</v>
      </c>
      <c r="C7" s="138">
        <v>1</v>
      </c>
      <c r="D7" s="139">
        <v>0</v>
      </c>
      <c r="E7" s="139">
        <v>0</v>
      </c>
      <c r="F7" s="139">
        <v>0</v>
      </c>
      <c r="G7" s="139">
        <v>1</v>
      </c>
      <c r="H7" s="139">
        <f t="shared" si="0"/>
        <v>7</v>
      </c>
      <c r="I7" s="112">
        <v>38</v>
      </c>
      <c r="J7" s="113">
        <f t="shared" si="1"/>
        <v>0.13157894736842105</v>
      </c>
      <c r="K7" s="139">
        <v>122.37</v>
      </c>
      <c r="L7" s="115">
        <f t="shared" si="2"/>
        <v>3.2202631578947369</v>
      </c>
      <c r="M7" s="141">
        <f t="shared" si="3"/>
        <v>24.474</v>
      </c>
      <c r="N7" s="112">
        <v>5</v>
      </c>
      <c r="O7" s="113">
        <f>C7/N7</f>
        <v>0.2</v>
      </c>
      <c r="P7" s="139">
        <v>2.69</v>
      </c>
      <c r="Q7" s="115">
        <f>P7/N7</f>
        <v>0.53800000000000003</v>
      </c>
      <c r="R7" s="141">
        <f>P7/C7</f>
        <v>2.69</v>
      </c>
      <c r="S7" s="138">
        <v>0</v>
      </c>
      <c r="T7" s="142" t="e">
        <f t="shared" si="5"/>
        <v>#DIV/0!</v>
      </c>
      <c r="U7" s="143">
        <f t="shared" si="6"/>
        <v>0</v>
      </c>
      <c r="V7" s="144">
        <v>2</v>
      </c>
      <c r="W7" s="145">
        <v>0</v>
      </c>
      <c r="X7" s="146">
        <v>0</v>
      </c>
      <c r="Y7" s="146">
        <v>1</v>
      </c>
      <c r="Z7" s="146">
        <v>0</v>
      </c>
      <c r="AA7" s="146">
        <v>1</v>
      </c>
      <c r="AB7" s="147">
        <v>4</v>
      </c>
      <c r="AC7" s="148">
        <f t="shared" si="7"/>
        <v>1.5</v>
      </c>
      <c r="AD7" s="149" t="e">
        <f t="shared" si="8"/>
        <v>#DIV/0!</v>
      </c>
      <c r="AE7" s="149">
        <f t="shared" si="9"/>
        <v>0</v>
      </c>
      <c r="AF7" s="143">
        <f t="shared" si="9"/>
        <v>0.75</v>
      </c>
      <c r="AG7" s="127">
        <v>84</v>
      </c>
      <c r="AH7" s="128">
        <v>2.3809523809523808E-2</v>
      </c>
      <c r="AI7" s="156">
        <v>138.34</v>
      </c>
      <c r="AJ7" s="130">
        <v>1.6469047619047619</v>
      </c>
      <c r="AK7" s="151">
        <v>69.17</v>
      </c>
      <c r="AL7" s="152">
        <f t="shared" si="10"/>
        <v>-0.54761904761904767</v>
      </c>
      <c r="AM7" s="153">
        <f t="shared" si="10"/>
        <v>4.5263157894736841</v>
      </c>
      <c r="AN7" s="154">
        <f t="shared" si="10"/>
        <v>-0.11544021974844584</v>
      </c>
      <c r="AO7" s="154">
        <f t="shared" si="10"/>
        <v>0.95534267213501456</v>
      </c>
      <c r="AP7" s="155">
        <f t="shared" si="10"/>
        <v>-0.6461760878993783</v>
      </c>
    </row>
    <row r="8" spans="1:42">
      <c r="A8" s="136" t="s">
        <v>81</v>
      </c>
      <c r="B8" s="137">
        <v>15</v>
      </c>
      <c r="C8" s="138">
        <v>0</v>
      </c>
      <c r="D8" s="139">
        <v>4</v>
      </c>
      <c r="E8" s="139">
        <v>1</v>
      </c>
      <c r="F8" s="139">
        <v>0</v>
      </c>
      <c r="G8" s="139">
        <v>4</v>
      </c>
      <c r="H8" s="139">
        <f t="shared" si="0"/>
        <v>24</v>
      </c>
      <c r="I8" s="112">
        <v>218</v>
      </c>
      <c r="J8" s="113">
        <f t="shared" si="1"/>
        <v>6.8807339449541288E-2</v>
      </c>
      <c r="K8" s="139">
        <v>377.23</v>
      </c>
      <c r="L8" s="115">
        <f t="shared" si="2"/>
        <v>1.7304128440366973</v>
      </c>
      <c r="M8" s="141">
        <f t="shared" si="3"/>
        <v>25.148666666666667</v>
      </c>
      <c r="N8" s="112">
        <v>0</v>
      </c>
      <c r="O8" s="113" t="e">
        <f>C8/N8</f>
        <v>#DIV/0!</v>
      </c>
      <c r="P8" s="139">
        <v>0</v>
      </c>
      <c r="Q8" s="115" t="e">
        <f>P8/N8</f>
        <v>#DIV/0!</v>
      </c>
      <c r="R8" s="141" t="e">
        <f>P8/C8</f>
        <v>#DIV/0!</v>
      </c>
      <c r="S8" s="138">
        <v>2</v>
      </c>
      <c r="T8" s="142">
        <f t="shared" si="5"/>
        <v>188.61500000000001</v>
      </c>
      <c r="U8" s="143">
        <f t="shared" si="6"/>
        <v>8.3333333333333329E-2</v>
      </c>
      <c r="V8" s="144">
        <v>37</v>
      </c>
      <c r="W8" s="145">
        <v>0</v>
      </c>
      <c r="X8" s="146">
        <v>2</v>
      </c>
      <c r="Y8" s="146">
        <v>0</v>
      </c>
      <c r="Z8" s="146">
        <v>0</v>
      </c>
      <c r="AA8" s="146">
        <v>2</v>
      </c>
      <c r="AB8" s="147">
        <v>41</v>
      </c>
      <c r="AC8" s="148">
        <f t="shared" si="7"/>
        <v>-0.59459459459459463</v>
      </c>
      <c r="AD8" s="149">
        <f t="shared" si="8"/>
        <v>1</v>
      </c>
      <c r="AE8" s="149">
        <f t="shared" si="9"/>
        <v>1</v>
      </c>
      <c r="AF8" s="143">
        <f t="shared" si="9"/>
        <v>-0.41463414634146339</v>
      </c>
      <c r="AG8" s="127">
        <v>251</v>
      </c>
      <c r="AH8" s="128">
        <v>0.14741035856573706</v>
      </c>
      <c r="AI8" s="156">
        <v>403.72</v>
      </c>
      <c r="AJ8" s="130">
        <v>1.6084462151394423</v>
      </c>
      <c r="AK8" s="151">
        <v>10.911351351351351</v>
      </c>
      <c r="AL8" s="152">
        <f t="shared" si="10"/>
        <v>-0.13147410358565736</v>
      </c>
      <c r="AM8" s="153">
        <f t="shared" si="10"/>
        <v>-0.53322588643689561</v>
      </c>
      <c r="AN8" s="154">
        <f t="shared" si="10"/>
        <v>-6.5614782522540396E-2</v>
      </c>
      <c r="AO8" s="154">
        <f t="shared" si="10"/>
        <v>7.5828851315790632E-2</v>
      </c>
      <c r="AP8" s="155">
        <f t="shared" si="10"/>
        <v>1.3048168697777338</v>
      </c>
    </row>
    <row r="9" spans="1:42">
      <c r="A9" s="136" t="s">
        <v>110</v>
      </c>
      <c r="B9" s="137">
        <v>5</v>
      </c>
      <c r="C9" s="138">
        <v>3</v>
      </c>
      <c r="D9" s="139">
        <v>1</v>
      </c>
      <c r="E9" s="139">
        <v>1</v>
      </c>
      <c r="F9" s="139">
        <v>4</v>
      </c>
      <c r="G9" s="139">
        <v>2</v>
      </c>
      <c r="H9" s="139">
        <f t="shared" si="0"/>
        <v>16</v>
      </c>
      <c r="I9" s="112">
        <v>354</v>
      </c>
      <c r="J9" s="113">
        <f t="shared" si="1"/>
        <v>1.4124293785310734E-2</v>
      </c>
      <c r="K9" s="139">
        <v>362.47</v>
      </c>
      <c r="L9" s="115">
        <f t="shared" si="2"/>
        <v>1.0239265536723166</v>
      </c>
      <c r="M9" s="141">
        <f t="shared" si="3"/>
        <v>72.494</v>
      </c>
      <c r="N9" s="112">
        <v>22</v>
      </c>
      <c r="O9" s="113">
        <f>C9/N9</f>
        <v>0.13636363636363635</v>
      </c>
      <c r="P9" s="139">
        <v>21.28</v>
      </c>
      <c r="Q9" s="115">
        <f>P9/N9</f>
        <v>0.96727272727272728</v>
      </c>
      <c r="R9" s="141">
        <f>P9/C9</f>
        <v>7.0933333333333337</v>
      </c>
      <c r="S9" s="138">
        <v>0</v>
      </c>
      <c r="T9" s="142" t="e">
        <f t="shared" si="5"/>
        <v>#DIV/0!</v>
      </c>
      <c r="U9" s="143">
        <f t="shared" si="6"/>
        <v>0</v>
      </c>
      <c r="V9" s="144">
        <v>16</v>
      </c>
      <c r="W9" s="145">
        <v>0</v>
      </c>
      <c r="X9" s="146">
        <v>0</v>
      </c>
      <c r="Y9" s="146">
        <v>0</v>
      </c>
      <c r="Z9" s="146">
        <v>0</v>
      </c>
      <c r="AA9" s="146">
        <v>3</v>
      </c>
      <c r="AB9" s="147">
        <v>19</v>
      </c>
      <c r="AC9" s="148">
        <f t="shared" si="7"/>
        <v>-0.6875</v>
      </c>
      <c r="AD9" s="149" t="e">
        <f t="shared" si="8"/>
        <v>#DIV/0!</v>
      </c>
      <c r="AE9" s="149">
        <f t="shared" si="9"/>
        <v>-0.33333333333333331</v>
      </c>
      <c r="AF9" s="143">
        <f t="shared" si="9"/>
        <v>-0.15789473684210525</v>
      </c>
      <c r="AG9" s="127">
        <v>359</v>
      </c>
      <c r="AH9" s="128">
        <v>4.456824512534819E-2</v>
      </c>
      <c r="AI9" s="156">
        <v>365.74</v>
      </c>
      <c r="AJ9" s="130">
        <v>1.0187743732590528</v>
      </c>
      <c r="AK9" s="151">
        <v>22.858750000000001</v>
      </c>
      <c r="AL9" s="152">
        <f t="shared" si="10"/>
        <v>-1.3927576601671309E-2</v>
      </c>
      <c r="AM9" s="153">
        <f t="shared" si="10"/>
        <v>-0.6830861581920904</v>
      </c>
      <c r="AN9" s="154">
        <f t="shared" si="10"/>
        <v>-8.940777601574839E-3</v>
      </c>
      <c r="AO9" s="154">
        <f t="shared" si="10"/>
        <v>5.0572340142223194E-3</v>
      </c>
      <c r="AP9" s="155">
        <f t="shared" si="10"/>
        <v>2.1713895116749602</v>
      </c>
    </row>
    <row r="10" spans="1:42">
      <c r="A10" s="136" t="s">
        <v>32</v>
      </c>
      <c r="B10" s="250">
        <v>6</v>
      </c>
      <c r="C10" s="251">
        <v>0</v>
      </c>
      <c r="D10" s="252">
        <v>1</v>
      </c>
      <c r="E10" s="252">
        <v>1</v>
      </c>
      <c r="F10" s="252">
        <v>0</v>
      </c>
      <c r="G10" s="252">
        <v>0</v>
      </c>
      <c r="H10" s="252">
        <f t="shared" si="0"/>
        <v>8</v>
      </c>
      <c r="I10" s="112">
        <v>458</v>
      </c>
      <c r="J10" s="113">
        <f t="shared" si="1"/>
        <v>1.3100436681222707E-2</v>
      </c>
      <c r="K10" s="139">
        <v>225.44</v>
      </c>
      <c r="L10" s="115">
        <f t="shared" si="2"/>
        <v>0.49222707423580786</v>
      </c>
      <c r="M10" s="141">
        <f t="shared" si="3"/>
        <v>37.573333333333331</v>
      </c>
      <c r="N10" s="112">
        <v>1</v>
      </c>
      <c r="O10" s="113">
        <f t="shared" ref="O10:O15" si="11">C10/N10</f>
        <v>0</v>
      </c>
      <c r="P10" s="139">
        <v>0.36</v>
      </c>
      <c r="Q10" s="115">
        <f t="shared" ref="Q10:Q15" si="12">P10/N10</f>
        <v>0.36</v>
      </c>
      <c r="R10" s="141" t="e">
        <f t="shared" ref="R10:R15" si="13">P10/C10</f>
        <v>#DIV/0!</v>
      </c>
      <c r="S10" s="138">
        <v>2</v>
      </c>
      <c r="T10" s="142">
        <f t="shared" si="5"/>
        <v>112.9</v>
      </c>
      <c r="U10" s="143">
        <f t="shared" si="6"/>
        <v>0.25</v>
      </c>
      <c r="V10" s="144">
        <v>7</v>
      </c>
      <c r="W10" s="145">
        <v>0</v>
      </c>
      <c r="X10" s="146">
        <v>0</v>
      </c>
      <c r="Y10" s="146">
        <v>1</v>
      </c>
      <c r="Z10" s="146">
        <v>0</v>
      </c>
      <c r="AA10" s="146">
        <v>1</v>
      </c>
      <c r="AB10" s="147">
        <v>9</v>
      </c>
      <c r="AC10" s="148">
        <f t="shared" si="7"/>
        <v>-0.14285714285714285</v>
      </c>
      <c r="AD10" s="149" t="e">
        <f t="shared" si="8"/>
        <v>#DIV/0!</v>
      </c>
      <c r="AE10" s="149">
        <f t="shared" si="9"/>
        <v>-1</v>
      </c>
      <c r="AF10" s="143">
        <f t="shared" si="9"/>
        <v>-0.1111111111111111</v>
      </c>
      <c r="AG10" s="127">
        <v>162</v>
      </c>
      <c r="AH10" s="128">
        <v>4.3209876543209874E-2</v>
      </c>
      <c r="AI10" s="156">
        <v>183.99</v>
      </c>
      <c r="AJ10" s="130">
        <v>1.1357407407407407</v>
      </c>
      <c r="AK10" s="151">
        <v>26.284285714285716</v>
      </c>
      <c r="AL10" s="152">
        <f t="shared" si="10"/>
        <v>1.8271604938271604</v>
      </c>
      <c r="AM10" s="153">
        <f t="shared" si="10"/>
        <v>-0.69681846537741732</v>
      </c>
      <c r="AN10" s="154">
        <f t="shared" si="10"/>
        <v>0.22528398282515347</v>
      </c>
      <c r="AO10" s="154">
        <f t="shared" si="10"/>
        <v>-0.56660260869503298</v>
      </c>
      <c r="AP10" s="155">
        <f t="shared" si="10"/>
        <v>0.42949797996267897</v>
      </c>
    </row>
    <row r="11" spans="1:42">
      <c r="A11" s="136" t="s">
        <v>3808</v>
      </c>
      <c r="B11" s="137">
        <v>16</v>
      </c>
      <c r="C11" s="138">
        <v>0</v>
      </c>
      <c r="D11" s="139">
        <v>7</v>
      </c>
      <c r="E11" s="139">
        <v>9</v>
      </c>
      <c r="F11" s="139">
        <v>0</v>
      </c>
      <c r="G11" s="139">
        <v>11</v>
      </c>
      <c r="H11" s="139">
        <f t="shared" si="0"/>
        <v>43</v>
      </c>
      <c r="I11" s="112">
        <v>348</v>
      </c>
      <c r="J11" s="113">
        <v>0</v>
      </c>
      <c r="K11" s="139">
        <v>148.25</v>
      </c>
      <c r="L11" s="115">
        <v>0</v>
      </c>
      <c r="M11" s="141">
        <f t="shared" si="3"/>
        <v>9.265625</v>
      </c>
      <c r="N11" s="112">
        <v>0</v>
      </c>
      <c r="O11" s="113">
        <v>0</v>
      </c>
      <c r="P11" s="139">
        <v>0</v>
      </c>
      <c r="Q11" s="115">
        <v>0</v>
      </c>
      <c r="R11" s="141">
        <v>0</v>
      </c>
      <c r="S11" s="138">
        <v>3</v>
      </c>
      <c r="T11" s="142">
        <f t="shared" si="5"/>
        <v>49.416666666666664</v>
      </c>
      <c r="U11" s="143">
        <f t="shared" si="6"/>
        <v>6.9767441860465115E-2</v>
      </c>
      <c r="V11" s="144">
        <v>1</v>
      </c>
      <c r="W11" s="145">
        <v>0</v>
      </c>
      <c r="X11" s="146">
        <v>8</v>
      </c>
      <c r="Y11" s="146">
        <v>3</v>
      </c>
      <c r="Z11" s="146">
        <v>0</v>
      </c>
      <c r="AA11" s="146">
        <v>3</v>
      </c>
      <c r="AB11" s="147">
        <v>15</v>
      </c>
      <c r="AC11" s="148">
        <f t="shared" si="7"/>
        <v>15</v>
      </c>
      <c r="AD11" s="149">
        <f t="shared" si="8"/>
        <v>-0.125</v>
      </c>
      <c r="AE11" s="149">
        <f t="shared" si="9"/>
        <v>2.6666666666666665</v>
      </c>
      <c r="AF11" s="143">
        <f t="shared" si="9"/>
        <v>1.8666666666666667</v>
      </c>
      <c r="AG11" s="127">
        <v>84</v>
      </c>
      <c r="AH11" s="128">
        <v>0</v>
      </c>
      <c r="AI11" s="156">
        <v>40.340000000000003</v>
      </c>
      <c r="AJ11" s="130">
        <v>0</v>
      </c>
      <c r="AK11" s="151">
        <v>40.340000000000003</v>
      </c>
      <c r="AL11" s="152"/>
      <c r="AM11" s="153"/>
      <c r="AN11" s="154"/>
      <c r="AO11" s="154"/>
      <c r="AP11" s="155"/>
    </row>
    <row r="12" spans="1:42">
      <c r="A12" s="136" t="s">
        <v>695</v>
      </c>
      <c r="B12" s="137">
        <v>2</v>
      </c>
      <c r="C12" s="138">
        <v>0</v>
      </c>
      <c r="D12" s="139">
        <v>0</v>
      </c>
      <c r="E12" s="139">
        <v>0</v>
      </c>
      <c r="F12" s="139">
        <v>0</v>
      </c>
      <c r="G12" s="139">
        <v>0</v>
      </c>
      <c r="H12" s="139">
        <f t="shared" si="0"/>
        <v>2</v>
      </c>
      <c r="I12" s="112">
        <v>33</v>
      </c>
      <c r="J12" s="113">
        <f>B12/I12</f>
        <v>6.0606060606060608E-2</v>
      </c>
      <c r="K12" s="139">
        <v>76.7</v>
      </c>
      <c r="L12" s="115">
        <f>K12/I12</f>
        <v>2.3242424242424242</v>
      </c>
      <c r="M12" s="141">
        <f>K12/B12</f>
        <v>38.35</v>
      </c>
      <c r="N12" s="112">
        <v>2</v>
      </c>
      <c r="O12" s="113">
        <f t="shared" si="11"/>
        <v>0</v>
      </c>
      <c r="P12" s="139">
        <v>1.35</v>
      </c>
      <c r="Q12" s="115">
        <f t="shared" si="12"/>
        <v>0.67500000000000004</v>
      </c>
      <c r="R12" s="141" t="e">
        <f t="shared" si="13"/>
        <v>#DIV/0!</v>
      </c>
      <c r="S12" s="138">
        <v>0</v>
      </c>
      <c r="T12" s="142" t="e">
        <f t="shared" si="5"/>
        <v>#DIV/0!</v>
      </c>
      <c r="U12" s="143">
        <f t="shared" si="6"/>
        <v>0</v>
      </c>
      <c r="V12" s="144">
        <v>4</v>
      </c>
      <c r="W12" s="145">
        <v>1</v>
      </c>
      <c r="X12" s="146">
        <v>0</v>
      </c>
      <c r="Y12" s="146">
        <v>0</v>
      </c>
      <c r="Z12" s="146">
        <v>0</v>
      </c>
      <c r="AA12" s="146">
        <v>1</v>
      </c>
      <c r="AB12" s="147">
        <v>6</v>
      </c>
      <c r="AC12" s="148">
        <f t="shared" si="7"/>
        <v>-0.5</v>
      </c>
      <c r="AD12" s="149" t="e">
        <f t="shared" si="8"/>
        <v>#DIV/0!</v>
      </c>
      <c r="AE12" s="149">
        <f t="shared" si="9"/>
        <v>-1</v>
      </c>
      <c r="AF12" s="143">
        <f t="shared" si="9"/>
        <v>-0.66666666666666663</v>
      </c>
      <c r="AG12" s="127">
        <v>36</v>
      </c>
      <c r="AH12" s="128">
        <v>0.1111111111111111</v>
      </c>
      <c r="AI12" s="156">
        <v>76.319999999999993</v>
      </c>
      <c r="AJ12" s="130">
        <v>2.1199999999999997</v>
      </c>
      <c r="AK12" s="151">
        <v>19.079999999999998</v>
      </c>
      <c r="AL12" s="152">
        <f t="shared" ref="AL12:AP16" si="14">(I12-AG12)/AG12</f>
        <v>-8.3333333333333329E-2</v>
      </c>
      <c r="AM12" s="153">
        <f t="shared" si="14"/>
        <v>-0.45454545454545447</v>
      </c>
      <c r="AN12" s="154">
        <f t="shared" si="14"/>
        <v>4.9790356394131246E-3</v>
      </c>
      <c r="AO12" s="154">
        <f t="shared" si="14"/>
        <v>9.6340766152087073E-2</v>
      </c>
      <c r="AP12" s="155">
        <f t="shared" si="14"/>
        <v>1.0099580712788263</v>
      </c>
    </row>
    <row r="13" spans="1:42">
      <c r="A13" s="136" t="s">
        <v>3809</v>
      </c>
      <c r="B13" s="137">
        <v>4</v>
      </c>
      <c r="C13" s="138">
        <v>0</v>
      </c>
      <c r="D13" s="139">
        <v>0</v>
      </c>
      <c r="E13" s="139">
        <v>1</v>
      </c>
      <c r="F13" s="139">
        <v>0</v>
      </c>
      <c r="G13" s="139">
        <v>3</v>
      </c>
      <c r="H13" s="139">
        <f t="shared" si="0"/>
        <v>8</v>
      </c>
      <c r="I13" s="112">
        <v>135</v>
      </c>
      <c r="J13" s="113">
        <f>B13/I13</f>
        <v>2.9629629629629631E-2</v>
      </c>
      <c r="K13" s="139">
        <v>186.34</v>
      </c>
      <c r="L13" s="115">
        <f>K13/I13</f>
        <v>1.3802962962962964</v>
      </c>
      <c r="M13" s="141">
        <f>K13/B13</f>
        <v>46.585000000000001</v>
      </c>
      <c r="N13" s="112">
        <v>8</v>
      </c>
      <c r="O13" s="113">
        <f t="shared" si="11"/>
        <v>0</v>
      </c>
      <c r="P13" s="139">
        <v>1.86</v>
      </c>
      <c r="Q13" s="115">
        <f t="shared" si="12"/>
        <v>0.23250000000000001</v>
      </c>
      <c r="R13" s="141" t="e">
        <f t="shared" si="13"/>
        <v>#DIV/0!</v>
      </c>
      <c r="S13" s="138">
        <v>0</v>
      </c>
      <c r="T13" s="142" t="e">
        <f t="shared" si="5"/>
        <v>#DIV/0!</v>
      </c>
      <c r="U13" s="143">
        <f t="shared" si="6"/>
        <v>0</v>
      </c>
      <c r="V13" s="144">
        <v>5</v>
      </c>
      <c r="W13" s="145">
        <v>0</v>
      </c>
      <c r="X13" s="146">
        <v>0</v>
      </c>
      <c r="Y13" s="146">
        <v>0</v>
      </c>
      <c r="Z13" s="146">
        <v>0</v>
      </c>
      <c r="AA13" s="146">
        <v>1</v>
      </c>
      <c r="AB13" s="147">
        <v>6</v>
      </c>
      <c r="AC13" s="148">
        <f t="shared" si="7"/>
        <v>-0.2</v>
      </c>
      <c r="AD13" s="149" t="e">
        <f t="shared" si="8"/>
        <v>#DIV/0!</v>
      </c>
      <c r="AE13" s="149">
        <f t="shared" si="9"/>
        <v>2</v>
      </c>
      <c r="AF13" s="143">
        <f t="shared" si="9"/>
        <v>0.33333333333333331</v>
      </c>
      <c r="AG13" s="127">
        <v>167</v>
      </c>
      <c r="AH13" s="128">
        <v>2.9940119760479042E-2</v>
      </c>
      <c r="AI13" s="156">
        <v>231.97</v>
      </c>
      <c r="AJ13" s="130">
        <v>1.3890419161676646</v>
      </c>
      <c r="AK13" s="151">
        <v>46.393999999999998</v>
      </c>
      <c r="AL13" s="152">
        <f t="shared" si="14"/>
        <v>-0.19161676646706588</v>
      </c>
      <c r="AM13" s="153">
        <f t="shared" si="14"/>
        <v>-1.0370370370370335E-2</v>
      </c>
      <c r="AN13" s="154">
        <f t="shared" si="14"/>
        <v>-0.19670647066431002</v>
      </c>
      <c r="AO13" s="154">
        <f t="shared" si="14"/>
        <v>-6.2961525995538035E-3</v>
      </c>
      <c r="AP13" s="155">
        <f t="shared" si="14"/>
        <v>4.1169116696125043E-3</v>
      </c>
    </row>
    <row r="14" spans="1:42">
      <c r="A14" s="157" t="s">
        <v>3779</v>
      </c>
      <c r="B14" s="137">
        <v>5</v>
      </c>
      <c r="C14" s="138">
        <v>0</v>
      </c>
      <c r="D14" s="139">
        <v>2</v>
      </c>
      <c r="E14" s="139">
        <v>0</v>
      </c>
      <c r="F14" s="139">
        <v>1</v>
      </c>
      <c r="G14" s="139">
        <v>1</v>
      </c>
      <c r="H14" s="139">
        <f t="shared" si="0"/>
        <v>9</v>
      </c>
      <c r="I14" s="112">
        <v>78</v>
      </c>
      <c r="J14" s="113">
        <f>B14/I14</f>
        <v>6.4102564102564097E-2</v>
      </c>
      <c r="K14" s="139">
        <v>130.69999999999999</v>
      </c>
      <c r="L14" s="115">
        <f>K14/I14</f>
        <v>1.6756410256410255</v>
      </c>
      <c r="M14" s="141">
        <f>K14/B14</f>
        <v>26.139999999999997</v>
      </c>
      <c r="N14" s="112">
        <v>0</v>
      </c>
      <c r="O14" s="113" t="e">
        <f t="shared" si="11"/>
        <v>#DIV/0!</v>
      </c>
      <c r="P14" s="139">
        <v>0</v>
      </c>
      <c r="Q14" s="115" t="e">
        <f t="shared" si="12"/>
        <v>#DIV/0!</v>
      </c>
      <c r="R14" s="141" t="e">
        <f t="shared" si="13"/>
        <v>#DIV/0!</v>
      </c>
      <c r="S14" s="138">
        <v>1</v>
      </c>
      <c r="T14" s="142">
        <f t="shared" si="5"/>
        <v>130.69999999999999</v>
      </c>
      <c r="U14" s="143">
        <f t="shared" si="6"/>
        <v>0.1111111111111111</v>
      </c>
      <c r="V14" s="144">
        <v>3</v>
      </c>
      <c r="W14" s="145">
        <v>0</v>
      </c>
      <c r="X14" s="146">
        <v>0</v>
      </c>
      <c r="Y14" s="146">
        <v>1</v>
      </c>
      <c r="Z14" s="146">
        <v>0</v>
      </c>
      <c r="AA14" s="146">
        <v>0</v>
      </c>
      <c r="AB14" s="147">
        <v>4</v>
      </c>
      <c r="AC14" s="148">
        <f t="shared" si="7"/>
        <v>0.66666666666666663</v>
      </c>
      <c r="AD14" s="149" t="e">
        <f t="shared" si="8"/>
        <v>#DIV/0!</v>
      </c>
      <c r="AE14" s="149" t="e">
        <f t="shared" si="9"/>
        <v>#DIV/0!</v>
      </c>
      <c r="AF14" s="143">
        <f t="shared" si="9"/>
        <v>1.25</v>
      </c>
      <c r="AG14" s="127">
        <v>126</v>
      </c>
      <c r="AH14" s="128">
        <v>2.3809523809523808E-2</v>
      </c>
      <c r="AI14" s="156">
        <v>153.79</v>
      </c>
      <c r="AJ14" s="130">
        <v>1.2205555555555554</v>
      </c>
      <c r="AK14" s="151">
        <v>51.263333333333328</v>
      </c>
      <c r="AL14" s="152">
        <f t="shared" si="14"/>
        <v>-0.38095238095238093</v>
      </c>
      <c r="AM14" s="153">
        <f t="shared" si="14"/>
        <v>1.6923076923076923</v>
      </c>
      <c r="AN14" s="154">
        <f t="shared" si="14"/>
        <v>-0.15013980102737501</v>
      </c>
      <c r="AO14" s="154">
        <f t="shared" si="14"/>
        <v>0.37285109064808658</v>
      </c>
      <c r="AP14" s="155">
        <f t="shared" si="14"/>
        <v>-0.49008388061642499</v>
      </c>
    </row>
    <row r="15" spans="1:42" ht="15" thickBot="1">
      <c r="A15" s="158" t="s">
        <v>3754</v>
      </c>
      <c r="B15" s="159">
        <v>52</v>
      </c>
      <c r="C15" s="160">
        <v>6</v>
      </c>
      <c r="D15" s="161">
        <v>7</v>
      </c>
      <c r="E15" s="161">
        <v>3</v>
      </c>
      <c r="F15" s="161">
        <v>4</v>
      </c>
      <c r="G15" s="161">
        <v>13</v>
      </c>
      <c r="H15" s="161">
        <f t="shared" si="0"/>
        <v>85</v>
      </c>
      <c r="I15" s="162">
        <v>1139</v>
      </c>
      <c r="J15" s="163">
        <f>B15/I15</f>
        <v>4.5654082528533799E-2</v>
      </c>
      <c r="K15" s="161">
        <v>1708.48</v>
      </c>
      <c r="L15" s="164">
        <f>K15/I15</f>
        <v>1.4999824407374891</v>
      </c>
      <c r="M15" s="165">
        <f>K15/B15</f>
        <v>32.855384615384615</v>
      </c>
      <c r="N15" s="162">
        <v>85</v>
      </c>
      <c r="O15" s="163">
        <f t="shared" si="11"/>
        <v>7.0588235294117646E-2</v>
      </c>
      <c r="P15" s="161">
        <v>84.31</v>
      </c>
      <c r="Q15" s="164">
        <f t="shared" si="12"/>
        <v>0.99188235294117655</v>
      </c>
      <c r="R15" s="165">
        <f t="shared" si="13"/>
        <v>14.051666666666668</v>
      </c>
      <c r="S15" s="160">
        <v>5</v>
      </c>
      <c r="T15" s="166">
        <f t="shared" si="5"/>
        <v>358.55799999999999</v>
      </c>
      <c r="U15" s="167">
        <f t="shared" si="6"/>
        <v>5.8823529411764705E-2</v>
      </c>
      <c r="V15" s="168">
        <v>83</v>
      </c>
      <c r="W15" s="169">
        <v>9</v>
      </c>
      <c r="X15" s="170">
        <v>7</v>
      </c>
      <c r="Y15" s="170">
        <v>3</v>
      </c>
      <c r="Z15" s="170">
        <v>1</v>
      </c>
      <c r="AA15" s="170">
        <v>15</v>
      </c>
      <c r="AB15" s="171">
        <v>118</v>
      </c>
      <c r="AC15" s="172">
        <f t="shared" si="7"/>
        <v>-0.37349397590361444</v>
      </c>
      <c r="AD15" s="173">
        <f t="shared" si="8"/>
        <v>0</v>
      </c>
      <c r="AE15" s="173">
        <f t="shared" si="9"/>
        <v>-0.13333333333333333</v>
      </c>
      <c r="AF15" s="167">
        <f t="shared" si="9"/>
        <v>-0.27966101694915252</v>
      </c>
      <c r="AG15" s="174">
        <v>1424</v>
      </c>
      <c r="AH15" s="175">
        <v>5.8286516853932581E-2</v>
      </c>
      <c r="AI15" s="176">
        <v>2367.02</v>
      </c>
      <c r="AJ15" s="177">
        <v>1.6622331460674158</v>
      </c>
      <c r="AK15" s="177">
        <v>28.51831325301205</v>
      </c>
      <c r="AL15" s="178">
        <f t="shared" si="14"/>
        <v>-0.20014044943820225</v>
      </c>
      <c r="AM15" s="179">
        <f t="shared" si="14"/>
        <v>-0.21672995758274538</v>
      </c>
      <c r="AN15" s="180">
        <f t="shared" si="14"/>
        <v>-0.27821480173382562</v>
      </c>
      <c r="AO15" s="180">
        <f t="shared" si="14"/>
        <v>-9.7610076970120918E-2</v>
      </c>
      <c r="AP15" s="181">
        <f t="shared" si="14"/>
        <v>0.15208022030947052</v>
      </c>
    </row>
    <row r="16" spans="1:42">
      <c r="B16" s="6">
        <f t="shared" ref="B16:I16" si="15">SUM(B4:B15)</f>
        <v>121</v>
      </c>
      <c r="C16" s="6">
        <f t="shared" si="15"/>
        <v>10</v>
      </c>
      <c r="D16" s="6">
        <f t="shared" si="15"/>
        <v>23</v>
      </c>
      <c r="E16" s="6">
        <f t="shared" si="15"/>
        <v>16</v>
      </c>
      <c r="F16" s="6">
        <f t="shared" si="15"/>
        <v>9</v>
      </c>
      <c r="G16" s="6">
        <f t="shared" si="15"/>
        <v>37</v>
      </c>
      <c r="H16" s="6">
        <f t="shared" si="15"/>
        <v>216</v>
      </c>
      <c r="I16" s="182">
        <f t="shared" si="15"/>
        <v>3030</v>
      </c>
      <c r="J16" s="183">
        <f>B16/I16</f>
        <v>3.9933993399339937E-2</v>
      </c>
      <c r="K16" s="6">
        <f>SUM(K4:K15)</f>
        <v>3476.04</v>
      </c>
      <c r="L16" s="24">
        <f>K16/I16</f>
        <v>1.1472079207920791</v>
      </c>
      <c r="M16" s="24">
        <f>K16/B16</f>
        <v>28.727603305785124</v>
      </c>
      <c r="N16" s="182">
        <f>SUM(N4:N15)</f>
        <v>123</v>
      </c>
      <c r="O16" s="184">
        <f>C16/N16</f>
        <v>8.1300813008130079E-2</v>
      </c>
      <c r="P16" s="6">
        <f>SUM(P4:P15)</f>
        <v>111.85000000000001</v>
      </c>
      <c r="Q16" s="24">
        <f>P16/N16</f>
        <v>0.90934959349593503</v>
      </c>
      <c r="R16" s="24">
        <f>P16/C16</f>
        <v>11.185</v>
      </c>
      <c r="S16" s="6">
        <v>13</v>
      </c>
      <c r="T16" s="185">
        <f t="shared" si="5"/>
        <v>275.99153846153843</v>
      </c>
      <c r="U16" s="15">
        <f t="shared" si="6"/>
        <v>6.0185185185185182E-2</v>
      </c>
      <c r="V16" s="186">
        <v>174</v>
      </c>
      <c r="W16" s="186">
        <v>10</v>
      </c>
      <c r="X16" s="186">
        <v>18</v>
      </c>
      <c r="Y16" s="186">
        <v>9</v>
      </c>
      <c r="Z16" s="186">
        <v>1</v>
      </c>
      <c r="AA16" s="186">
        <v>29</v>
      </c>
      <c r="AB16" s="186">
        <v>241</v>
      </c>
      <c r="AC16" s="187">
        <f t="shared" si="7"/>
        <v>-0.3045977011494253</v>
      </c>
      <c r="AD16" s="187">
        <f t="shared" si="8"/>
        <v>0.27777777777777779</v>
      </c>
      <c r="AE16" s="187">
        <f t="shared" si="9"/>
        <v>0.27586206896551724</v>
      </c>
      <c r="AF16" s="187">
        <f t="shared" si="9"/>
        <v>-0.1037344398340249</v>
      </c>
      <c r="AG16" s="188">
        <v>2891</v>
      </c>
      <c r="AH16" s="189">
        <v>6.0186786579038393E-2</v>
      </c>
      <c r="AI16" s="190">
        <v>4108.18</v>
      </c>
      <c r="AJ16" s="191">
        <v>1.4210238671739883</v>
      </c>
      <c r="AK16" s="191">
        <v>23.610229885057471</v>
      </c>
      <c r="AL16" s="192">
        <f t="shared" si="14"/>
        <v>4.8080249048772054E-2</v>
      </c>
      <c r="AM16" s="193">
        <f t="shared" si="14"/>
        <v>-0.33649899472705885</v>
      </c>
      <c r="AN16" s="192">
        <f t="shared" si="14"/>
        <v>-0.15387349142442647</v>
      </c>
      <c r="AO16" s="192">
        <f t="shared" si="14"/>
        <v>-0.19268919594323994</v>
      </c>
      <c r="AP16" s="189">
        <f t="shared" si="14"/>
        <v>0.21674390489380005</v>
      </c>
    </row>
    <row r="18" spans="1:39">
      <c r="A18" s="194" t="s">
        <v>3810</v>
      </c>
    </row>
    <row r="19" spans="1:39">
      <c r="A19" s="6" t="s">
        <v>3825</v>
      </c>
    </row>
    <row r="20" spans="1:39">
      <c r="A20" s="6" t="s">
        <v>3827</v>
      </c>
    </row>
    <row r="21" spans="1:39">
      <c r="A21" s="6" t="s">
        <v>3826</v>
      </c>
    </row>
    <row r="22" spans="1:39">
      <c r="A22" s="6" t="s">
        <v>3830</v>
      </c>
    </row>
    <row r="23" spans="1:39">
      <c r="A23" s="6" t="s">
        <v>3838</v>
      </c>
    </row>
    <row r="24" spans="1:39">
      <c r="A24" s="6" t="s">
        <v>3831</v>
      </c>
    </row>
    <row r="25" spans="1:39">
      <c r="A25" s="6" t="s">
        <v>3839</v>
      </c>
    </row>
    <row r="28" spans="1:39" ht="21.6" thickBot="1">
      <c r="B28" s="195" t="s">
        <v>1470</v>
      </c>
      <c r="C28" s="195"/>
      <c r="D28" s="195"/>
      <c r="E28" s="195"/>
      <c r="F28" s="195"/>
      <c r="G28" s="195"/>
      <c r="H28" s="195"/>
      <c r="I28" s="195"/>
      <c r="J28" s="195"/>
      <c r="K28" s="195"/>
      <c r="L28" s="195"/>
      <c r="M28" s="195"/>
      <c r="N28" s="195"/>
      <c r="O28" s="196"/>
    </row>
    <row r="29" spans="1:39" ht="13.2" customHeight="1">
      <c r="A29" s="55" t="s">
        <v>8</v>
      </c>
      <c r="B29" s="56" t="s">
        <v>3797</v>
      </c>
      <c r="C29" s="57"/>
      <c r="D29" s="57"/>
      <c r="E29" s="57"/>
      <c r="F29" s="57"/>
      <c r="G29" s="58"/>
      <c r="H29" s="59" t="s">
        <v>36</v>
      </c>
      <c r="I29" s="60"/>
      <c r="J29" s="60"/>
      <c r="K29" s="61"/>
      <c r="L29" s="62"/>
      <c r="M29" s="63" t="s">
        <v>97</v>
      </c>
      <c r="N29" s="64"/>
      <c r="O29" s="64"/>
      <c r="P29" s="64"/>
      <c r="Q29" s="65"/>
      <c r="R29" s="59" t="s">
        <v>1673</v>
      </c>
      <c r="S29" s="60" t="s">
        <v>1695</v>
      </c>
      <c r="T29" s="67" t="s">
        <v>3798</v>
      </c>
      <c r="U29" s="197" t="s">
        <v>3828</v>
      </c>
      <c r="V29" s="198"/>
      <c r="W29" s="198"/>
      <c r="X29" s="198"/>
      <c r="Y29" s="198"/>
      <c r="Z29" s="198"/>
      <c r="AA29" s="199" t="s">
        <v>3799</v>
      </c>
      <c r="AB29" s="200"/>
      <c r="AC29" s="201"/>
      <c r="AD29" s="78" t="s">
        <v>3829</v>
      </c>
      <c r="AE29" s="75"/>
      <c r="AF29" s="75"/>
      <c r="AG29" s="76"/>
      <c r="AH29" s="76"/>
      <c r="AI29" s="78" t="s">
        <v>3799</v>
      </c>
      <c r="AJ29" s="75"/>
      <c r="AK29" s="75"/>
      <c r="AL29" s="75"/>
      <c r="AM29" s="77"/>
    </row>
    <row r="30" spans="1:39" ht="54" customHeight="1" thickBot="1">
      <c r="A30" s="79"/>
      <c r="B30" s="80" t="s">
        <v>36</v>
      </c>
      <c r="C30" s="81" t="s">
        <v>1692</v>
      </c>
      <c r="D30" s="83" t="s">
        <v>3801</v>
      </c>
      <c r="E30" s="83" t="s">
        <v>3802</v>
      </c>
      <c r="F30" s="83" t="s">
        <v>3803</v>
      </c>
      <c r="G30" s="202" t="s">
        <v>1705</v>
      </c>
      <c r="H30" s="84" t="s">
        <v>1722</v>
      </c>
      <c r="I30" s="85" t="s">
        <v>3804</v>
      </c>
      <c r="J30" s="86" t="s">
        <v>3805</v>
      </c>
      <c r="K30" s="86" t="s">
        <v>3806</v>
      </c>
      <c r="L30" s="87" t="s">
        <v>3807</v>
      </c>
      <c r="M30" s="84" t="s">
        <v>1722</v>
      </c>
      <c r="N30" s="85" t="s">
        <v>3804</v>
      </c>
      <c r="O30" s="86" t="s">
        <v>3805</v>
      </c>
      <c r="P30" s="86" t="s">
        <v>3806</v>
      </c>
      <c r="Q30" s="87" t="s">
        <v>3807</v>
      </c>
      <c r="R30" s="203"/>
      <c r="S30" s="89"/>
      <c r="T30" s="90"/>
      <c r="U30" s="204" t="s">
        <v>36</v>
      </c>
      <c r="V30" s="205" t="s">
        <v>1692</v>
      </c>
      <c r="W30" s="206" t="s">
        <v>3801</v>
      </c>
      <c r="X30" s="206" t="s">
        <v>3802</v>
      </c>
      <c r="Y30" s="206" t="s">
        <v>3803</v>
      </c>
      <c r="Z30" s="207" t="s">
        <v>1705</v>
      </c>
      <c r="AA30" s="91" t="s">
        <v>36</v>
      </c>
      <c r="AB30" s="94" t="s">
        <v>3803</v>
      </c>
      <c r="AC30" s="95" t="s">
        <v>1705</v>
      </c>
      <c r="AD30" s="100" t="s">
        <v>1722</v>
      </c>
      <c r="AE30" s="101" t="s">
        <v>3804</v>
      </c>
      <c r="AF30" s="102" t="s">
        <v>3805</v>
      </c>
      <c r="AG30" s="102" t="s">
        <v>3806</v>
      </c>
      <c r="AH30" s="208" t="s">
        <v>3807</v>
      </c>
      <c r="AI30" s="209" t="s">
        <v>1722</v>
      </c>
      <c r="AJ30" s="210" t="s">
        <v>3804</v>
      </c>
      <c r="AK30" s="211" t="s">
        <v>3805</v>
      </c>
      <c r="AL30" s="211" t="s">
        <v>3806</v>
      </c>
      <c r="AM30" s="212" t="s">
        <v>3807</v>
      </c>
    </row>
    <row r="31" spans="1:39">
      <c r="A31" s="213" t="s">
        <v>3811</v>
      </c>
      <c r="B31" s="109">
        <v>0</v>
      </c>
      <c r="C31" s="110">
        <v>0</v>
      </c>
      <c r="D31" s="111">
        <v>0</v>
      </c>
      <c r="E31" s="111">
        <v>0</v>
      </c>
      <c r="F31" s="111">
        <v>0</v>
      </c>
      <c r="G31" s="111">
        <f t="shared" ref="G31:G37" si="16">SUM(B31:F31)</f>
        <v>0</v>
      </c>
      <c r="H31" s="214">
        <v>49</v>
      </c>
      <c r="I31" s="215">
        <f>B31/H31</f>
        <v>0</v>
      </c>
      <c r="J31" s="117">
        <v>131.59</v>
      </c>
      <c r="K31" s="115">
        <f>J31/H31</f>
        <v>2.6855102040816328</v>
      </c>
      <c r="L31" s="116" t="e">
        <f t="shared" ref="L31:L38" si="17">J31/B31</f>
        <v>#DIV/0!</v>
      </c>
      <c r="M31" s="214">
        <v>1</v>
      </c>
      <c r="N31" s="215">
        <f t="shared" ref="N31:N38" si="18">C31/M31</f>
        <v>0</v>
      </c>
      <c r="O31" s="117">
        <v>0.25</v>
      </c>
      <c r="P31" s="115">
        <f>O31/M31</f>
        <v>0.25</v>
      </c>
      <c r="Q31" s="116" t="e">
        <f t="shared" ref="Q31:Q38" si="19">O31/C31</f>
        <v>#DIV/0!</v>
      </c>
      <c r="R31" s="109">
        <v>0</v>
      </c>
      <c r="S31" s="118" t="e">
        <f>(J31+O31)/R31</f>
        <v>#DIV/0!</v>
      </c>
      <c r="T31" s="119" t="e">
        <f t="shared" ref="T31:T38" si="20">R31/G31</f>
        <v>#DIV/0!</v>
      </c>
      <c r="U31" s="216">
        <v>1</v>
      </c>
      <c r="V31" s="259">
        <v>0</v>
      </c>
      <c r="W31" s="217">
        <v>0</v>
      </c>
      <c r="X31" s="217">
        <v>0</v>
      </c>
      <c r="Y31" s="217">
        <v>1</v>
      </c>
      <c r="Z31" s="218">
        <v>2</v>
      </c>
      <c r="AA31" s="219">
        <f t="shared" ref="AA31:AA38" si="21">(B31-U31)/U31</f>
        <v>-1</v>
      </c>
      <c r="AB31" s="220">
        <f t="shared" ref="AB31:AC38" si="22">(F31-Y31)/Y31</f>
        <v>-1</v>
      </c>
      <c r="AC31" s="119">
        <f t="shared" si="22"/>
        <v>-1</v>
      </c>
      <c r="AD31" s="221">
        <v>63</v>
      </c>
      <c r="AE31" s="128">
        <v>1.5873015873015872E-2</v>
      </c>
      <c r="AF31" s="129">
        <v>138.61000000000001</v>
      </c>
      <c r="AG31" s="130">
        <v>2.2001587301587304</v>
      </c>
      <c r="AH31" s="131">
        <v>138.61000000000001</v>
      </c>
      <c r="AI31" s="222">
        <f>(H31-AD31)/AD31</f>
        <v>-0.22222222222222221</v>
      </c>
      <c r="AJ31" s="223">
        <f>(I31-AE31)/AE31</f>
        <v>-1</v>
      </c>
      <c r="AK31" s="224">
        <f>(J31-AF31)/AF31</f>
        <v>-5.0645696558689918E-2</v>
      </c>
      <c r="AL31" s="224">
        <f>(K31-AG31)/AG31</f>
        <v>0.22059839013882723</v>
      </c>
      <c r="AM31" s="225" t="e">
        <f>(L31-AH31)/AH31</f>
        <v>#DIV/0!</v>
      </c>
    </row>
    <row r="32" spans="1:39">
      <c r="A32" s="136" t="s">
        <v>81</v>
      </c>
      <c r="B32" s="137">
        <v>0</v>
      </c>
      <c r="C32" s="138">
        <v>0</v>
      </c>
      <c r="D32" s="139">
        <v>0</v>
      </c>
      <c r="E32" s="139">
        <v>0</v>
      </c>
      <c r="F32" s="139">
        <v>0</v>
      </c>
      <c r="G32" s="139">
        <f t="shared" si="16"/>
        <v>0</v>
      </c>
      <c r="H32" s="214">
        <v>0</v>
      </c>
      <c r="I32" s="215">
        <v>0</v>
      </c>
      <c r="J32" s="140">
        <v>0</v>
      </c>
      <c r="K32" s="115" t="e">
        <f>J32/H32</f>
        <v>#DIV/0!</v>
      </c>
      <c r="L32" s="141" t="e">
        <f t="shared" si="17"/>
        <v>#DIV/0!</v>
      </c>
      <c r="M32" s="214">
        <v>0</v>
      </c>
      <c r="N32" s="215" t="e">
        <f t="shared" si="18"/>
        <v>#DIV/0!</v>
      </c>
      <c r="O32" s="140">
        <v>0</v>
      </c>
      <c r="P32" s="115" t="e">
        <f t="shared" ref="P32:P37" si="23">O32/M32</f>
        <v>#DIV/0!</v>
      </c>
      <c r="Q32" s="141" t="e">
        <f t="shared" si="19"/>
        <v>#DIV/0!</v>
      </c>
      <c r="R32" s="137">
        <v>0</v>
      </c>
      <c r="S32" s="142" t="e">
        <f t="shared" ref="S32:S38" si="24">(J32+O32)/R32</f>
        <v>#DIV/0!</v>
      </c>
      <c r="T32" s="143" t="e">
        <f t="shared" si="20"/>
        <v>#DIV/0!</v>
      </c>
      <c r="U32" s="226">
        <v>0</v>
      </c>
      <c r="V32" s="260">
        <v>0</v>
      </c>
      <c r="W32" s="227">
        <v>0</v>
      </c>
      <c r="X32" s="227">
        <v>0</v>
      </c>
      <c r="Y32" s="227">
        <v>1</v>
      </c>
      <c r="Z32" s="228">
        <v>1</v>
      </c>
      <c r="AA32" s="148" t="e">
        <f t="shared" si="21"/>
        <v>#DIV/0!</v>
      </c>
      <c r="AB32" s="149">
        <f t="shared" si="22"/>
        <v>-1</v>
      </c>
      <c r="AC32" s="143">
        <f t="shared" si="22"/>
        <v>-1</v>
      </c>
      <c r="AD32" s="221">
        <v>0</v>
      </c>
      <c r="AE32" s="128">
        <v>0</v>
      </c>
      <c r="AF32" s="150">
        <v>0</v>
      </c>
      <c r="AG32" s="130" t="e">
        <v>#DIV/0!</v>
      </c>
      <c r="AH32" s="151" t="e">
        <v>#DIV/0!</v>
      </c>
      <c r="AI32" s="152" t="e">
        <f t="shared" ref="AI32:AM38" si="25">(H32-AD32)/AD32</f>
        <v>#DIV/0!</v>
      </c>
      <c r="AJ32" s="153" t="e">
        <f t="shared" si="25"/>
        <v>#DIV/0!</v>
      </c>
      <c r="AK32" s="154" t="e">
        <f t="shared" si="25"/>
        <v>#DIV/0!</v>
      </c>
      <c r="AL32" s="154" t="e">
        <f t="shared" si="25"/>
        <v>#DIV/0!</v>
      </c>
      <c r="AM32" s="155" t="e">
        <f t="shared" si="25"/>
        <v>#DIV/0!</v>
      </c>
    </row>
    <row r="33" spans="1:39">
      <c r="A33" s="136" t="s">
        <v>110</v>
      </c>
      <c r="B33" s="137">
        <v>1</v>
      </c>
      <c r="C33" s="138">
        <v>0</v>
      </c>
      <c r="D33" s="139">
        <v>0</v>
      </c>
      <c r="E33" s="139">
        <v>0</v>
      </c>
      <c r="F33" s="139">
        <v>0</v>
      </c>
      <c r="G33" s="139">
        <f t="shared" si="16"/>
        <v>1</v>
      </c>
      <c r="H33" s="214">
        <v>11</v>
      </c>
      <c r="I33" s="215">
        <f t="shared" ref="I33:I38" si="26">B33/H33</f>
        <v>9.0909090909090912E-2</v>
      </c>
      <c r="J33" s="140">
        <v>15.25</v>
      </c>
      <c r="K33" s="115">
        <f t="shared" ref="K33:K36" si="27">J33/H33</f>
        <v>1.3863636363636365</v>
      </c>
      <c r="L33" s="141">
        <f t="shared" si="17"/>
        <v>15.25</v>
      </c>
      <c r="M33" s="214">
        <v>8</v>
      </c>
      <c r="N33" s="215">
        <f t="shared" si="18"/>
        <v>0</v>
      </c>
      <c r="O33" s="140">
        <v>5.2</v>
      </c>
      <c r="P33" s="115">
        <f t="shared" si="23"/>
        <v>0.65</v>
      </c>
      <c r="Q33" s="141" t="e">
        <f t="shared" si="19"/>
        <v>#DIV/0!</v>
      </c>
      <c r="R33" s="137">
        <v>0</v>
      </c>
      <c r="S33" s="142" t="e">
        <f t="shared" si="24"/>
        <v>#DIV/0!</v>
      </c>
      <c r="T33" s="143">
        <f t="shared" si="20"/>
        <v>0</v>
      </c>
      <c r="U33" s="226">
        <v>0</v>
      </c>
      <c r="V33" s="260">
        <v>0</v>
      </c>
      <c r="W33" s="227">
        <v>0</v>
      </c>
      <c r="X33" s="227">
        <v>0</v>
      </c>
      <c r="Y33" s="227">
        <v>1</v>
      </c>
      <c r="Z33" s="228">
        <v>1</v>
      </c>
      <c r="AA33" s="148" t="e">
        <f t="shared" si="21"/>
        <v>#DIV/0!</v>
      </c>
      <c r="AB33" s="149">
        <f t="shared" si="22"/>
        <v>-1</v>
      </c>
      <c r="AC33" s="143">
        <f t="shared" si="22"/>
        <v>0</v>
      </c>
      <c r="AD33" s="221">
        <v>17</v>
      </c>
      <c r="AE33" s="128">
        <v>0</v>
      </c>
      <c r="AF33" s="150">
        <v>27.33</v>
      </c>
      <c r="AG33" s="130">
        <v>1.6076470588235292</v>
      </c>
      <c r="AH33" s="151" t="e">
        <v>#DIV/0!</v>
      </c>
      <c r="AI33" s="152">
        <f t="shared" si="25"/>
        <v>-0.35294117647058826</v>
      </c>
      <c r="AJ33" s="153" t="e">
        <f t="shared" si="25"/>
        <v>#DIV/0!</v>
      </c>
      <c r="AK33" s="154">
        <f t="shared" si="25"/>
        <v>-0.44200512257592384</v>
      </c>
      <c r="AL33" s="154">
        <f t="shared" si="25"/>
        <v>-0.13764428034460949</v>
      </c>
      <c r="AM33" s="155" t="e">
        <f t="shared" si="25"/>
        <v>#DIV/0!</v>
      </c>
    </row>
    <row r="34" spans="1:39">
      <c r="A34" s="136" t="s">
        <v>32</v>
      </c>
      <c r="B34" s="137">
        <v>0</v>
      </c>
      <c r="C34" s="138">
        <v>0</v>
      </c>
      <c r="D34" s="139">
        <v>0</v>
      </c>
      <c r="E34" s="139">
        <v>0</v>
      </c>
      <c r="F34" s="139">
        <v>0</v>
      </c>
      <c r="G34" s="139">
        <f t="shared" si="16"/>
        <v>0</v>
      </c>
      <c r="H34" s="214">
        <v>0</v>
      </c>
      <c r="I34" s="215" t="e">
        <f t="shared" si="26"/>
        <v>#DIV/0!</v>
      </c>
      <c r="J34" s="140">
        <v>0</v>
      </c>
      <c r="K34" s="115" t="e">
        <f t="shared" si="27"/>
        <v>#DIV/0!</v>
      </c>
      <c r="L34" s="141" t="e">
        <f t="shared" si="17"/>
        <v>#DIV/0!</v>
      </c>
      <c r="M34" s="214">
        <v>0</v>
      </c>
      <c r="N34" s="215" t="e">
        <f t="shared" si="18"/>
        <v>#DIV/0!</v>
      </c>
      <c r="O34" s="140">
        <v>0</v>
      </c>
      <c r="P34" s="115" t="e">
        <f t="shared" si="23"/>
        <v>#DIV/0!</v>
      </c>
      <c r="Q34" s="141" t="e">
        <f t="shared" si="19"/>
        <v>#DIV/0!</v>
      </c>
      <c r="R34" s="137">
        <v>0</v>
      </c>
      <c r="S34" s="142" t="e">
        <f t="shared" si="24"/>
        <v>#DIV/0!</v>
      </c>
      <c r="T34" s="143" t="e">
        <f t="shared" si="20"/>
        <v>#DIV/0!</v>
      </c>
      <c r="U34" s="226">
        <v>0</v>
      </c>
      <c r="V34" s="260">
        <v>0</v>
      </c>
      <c r="W34" s="227">
        <v>0</v>
      </c>
      <c r="X34" s="227">
        <v>0</v>
      </c>
      <c r="Y34" s="227">
        <v>0</v>
      </c>
      <c r="Z34" s="228">
        <v>0</v>
      </c>
      <c r="AA34" s="148" t="e">
        <f t="shared" si="21"/>
        <v>#DIV/0!</v>
      </c>
      <c r="AB34" s="149" t="e">
        <f t="shared" si="22"/>
        <v>#DIV/0!</v>
      </c>
      <c r="AC34" s="143" t="e">
        <f t="shared" si="22"/>
        <v>#DIV/0!</v>
      </c>
      <c r="AD34" s="221">
        <v>0</v>
      </c>
      <c r="AE34" s="128" t="e">
        <v>#DIV/0!</v>
      </c>
      <c r="AF34" s="150">
        <v>0</v>
      </c>
      <c r="AG34" s="130" t="e">
        <v>#DIV/0!</v>
      </c>
      <c r="AH34" s="151" t="e">
        <v>#DIV/0!</v>
      </c>
      <c r="AI34" s="152" t="e">
        <f t="shared" si="25"/>
        <v>#DIV/0!</v>
      </c>
      <c r="AJ34" s="153" t="e">
        <f t="shared" si="25"/>
        <v>#DIV/0!</v>
      </c>
      <c r="AK34" s="154" t="e">
        <f t="shared" si="25"/>
        <v>#DIV/0!</v>
      </c>
      <c r="AL34" s="154" t="e">
        <f t="shared" si="25"/>
        <v>#DIV/0!</v>
      </c>
      <c r="AM34" s="155" t="e">
        <f t="shared" si="25"/>
        <v>#DIV/0!</v>
      </c>
    </row>
    <row r="35" spans="1:39">
      <c r="A35" s="136" t="s">
        <v>695</v>
      </c>
      <c r="B35" s="137">
        <v>0</v>
      </c>
      <c r="C35" s="138">
        <v>0</v>
      </c>
      <c r="D35" s="139">
        <v>0</v>
      </c>
      <c r="E35" s="139">
        <v>0</v>
      </c>
      <c r="F35" s="139">
        <v>0</v>
      </c>
      <c r="G35" s="139">
        <f t="shared" si="16"/>
        <v>0</v>
      </c>
      <c r="H35" s="214">
        <v>0</v>
      </c>
      <c r="I35" s="215" t="e">
        <f t="shared" si="26"/>
        <v>#DIV/0!</v>
      </c>
      <c r="J35" s="140">
        <v>0</v>
      </c>
      <c r="K35" s="115" t="e">
        <f t="shared" si="27"/>
        <v>#DIV/0!</v>
      </c>
      <c r="L35" s="141" t="e">
        <f t="shared" si="17"/>
        <v>#DIV/0!</v>
      </c>
      <c r="M35" s="214">
        <v>0</v>
      </c>
      <c r="N35" s="215" t="e">
        <f t="shared" si="18"/>
        <v>#DIV/0!</v>
      </c>
      <c r="O35" s="140">
        <v>0</v>
      </c>
      <c r="P35" s="115" t="e">
        <f t="shared" si="23"/>
        <v>#DIV/0!</v>
      </c>
      <c r="Q35" s="141" t="e">
        <f t="shared" si="19"/>
        <v>#DIV/0!</v>
      </c>
      <c r="R35" s="137">
        <v>0</v>
      </c>
      <c r="S35" s="142" t="e">
        <f t="shared" si="24"/>
        <v>#DIV/0!</v>
      </c>
      <c r="T35" s="143" t="e">
        <f t="shared" si="20"/>
        <v>#DIV/0!</v>
      </c>
      <c r="U35" s="226">
        <v>0</v>
      </c>
      <c r="V35" s="260">
        <v>0</v>
      </c>
      <c r="W35" s="227">
        <v>0</v>
      </c>
      <c r="X35" s="227">
        <v>0</v>
      </c>
      <c r="Y35" s="227">
        <v>0</v>
      </c>
      <c r="Z35" s="228">
        <v>0</v>
      </c>
      <c r="AA35" s="148" t="e">
        <f t="shared" si="21"/>
        <v>#DIV/0!</v>
      </c>
      <c r="AB35" s="149" t="e">
        <f t="shared" si="22"/>
        <v>#DIV/0!</v>
      </c>
      <c r="AC35" s="143" t="e">
        <f t="shared" si="22"/>
        <v>#DIV/0!</v>
      </c>
      <c r="AD35" s="221">
        <v>0</v>
      </c>
      <c r="AE35" s="128" t="e">
        <v>#DIV/0!</v>
      </c>
      <c r="AF35" s="150">
        <v>0</v>
      </c>
      <c r="AG35" s="130" t="e">
        <v>#DIV/0!</v>
      </c>
      <c r="AH35" s="151" t="e">
        <v>#DIV/0!</v>
      </c>
      <c r="AI35" s="152" t="e">
        <f t="shared" si="25"/>
        <v>#DIV/0!</v>
      </c>
      <c r="AJ35" s="153" t="e">
        <f t="shared" si="25"/>
        <v>#DIV/0!</v>
      </c>
      <c r="AK35" s="154" t="e">
        <f t="shared" si="25"/>
        <v>#DIV/0!</v>
      </c>
      <c r="AL35" s="154" t="e">
        <f t="shared" si="25"/>
        <v>#DIV/0!</v>
      </c>
      <c r="AM35" s="155" t="e">
        <f t="shared" si="25"/>
        <v>#DIV/0!</v>
      </c>
    </row>
    <row r="36" spans="1:39">
      <c r="A36" s="157" t="s">
        <v>3779</v>
      </c>
      <c r="B36" s="137">
        <v>2</v>
      </c>
      <c r="C36" s="138">
        <v>0</v>
      </c>
      <c r="D36" s="139">
        <v>1</v>
      </c>
      <c r="E36" s="139">
        <v>0</v>
      </c>
      <c r="F36" s="139">
        <v>3</v>
      </c>
      <c r="G36" s="139">
        <f t="shared" si="16"/>
        <v>6</v>
      </c>
      <c r="H36" s="214">
        <v>41</v>
      </c>
      <c r="I36" s="215">
        <f t="shared" si="26"/>
        <v>4.878048780487805E-2</v>
      </c>
      <c r="J36" s="140">
        <v>44.29</v>
      </c>
      <c r="K36" s="115">
        <f t="shared" si="27"/>
        <v>1.0802439024390245</v>
      </c>
      <c r="L36" s="141">
        <f t="shared" si="17"/>
        <v>22.145</v>
      </c>
      <c r="M36" s="214">
        <v>0</v>
      </c>
      <c r="N36" s="215" t="e">
        <f t="shared" si="18"/>
        <v>#DIV/0!</v>
      </c>
      <c r="O36" s="140">
        <v>0</v>
      </c>
      <c r="P36" s="115" t="e">
        <f t="shared" si="23"/>
        <v>#DIV/0!</v>
      </c>
      <c r="Q36" s="141" t="e">
        <f t="shared" si="19"/>
        <v>#DIV/0!</v>
      </c>
      <c r="R36" s="137">
        <v>1</v>
      </c>
      <c r="S36" s="142">
        <f t="shared" si="24"/>
        <v>44.29</v>
      </c>
      <c r="T36" s="143">
        <f t="shared" si="20"/>
        <v>0.16666666666666666</v>
      </c>
      <c r="U36" s="226">
        <v>2</v>
      </c>
      <c r="V36" s="260">
        <v>0</v>
      </c>
      <c r="W36" s="227">
        <v>0</v>
      </c>
      <c r="X36" s="227">
        <v>0</v>
      </c>
      <c r="Y36" s="227">
        <v>1</v>
      </c>
      <c r="Z36" s="228">
        <v>3</v>
      </c>
      <c r="AA36" s="148">
        <f t="shared" si="21"/>
        <v>0</v>
      </c>
      <c r="AB36" s="149">
        <f t="shared" si="22"/>
        <v>2</v>
      </c>
      <c r="AC36" s="143">
        <f t="shared" si="22"/>
        <v>1</v>
      </c>
      <c r="AD36" s="221">
        <v>68</v>
      </c>
      <c r="AE36" s="128">
        <v>2.9411764705882353E-2</v>
      </c>
      <c r="AF36" s="150">
        <v>71.790000000000006</v>
      </c>
      <c r="AG36" s="130">
        <v>1.0557352941176472</v>
      </c>
      <c r="AH36" s="151">
        <v>35.895000000000003</v>
      </c>
      <c r="AI36" s="152">
        <f t="shared" si="25"/>
        <v>-0.39705882352941174</v>
      </c>
      <c r="AJ36" s="153">
        <f t="shared" si="25"/>
        <v>0.65853658536585369</v>
      </c>
      <c r="AK36" s="154">
        <f t="shared" si="25"/>
        <v>-0.38306170775874082</v>
      </c>
      <c r="AL36" s="154">
        <f t="shared" si="25"/>
        <v>2.3214728595259124E-2</v>
      </c>
      <c r="AM36" s="155">
        <f t="shared" si="25"/>
        <v>-0.38306170775874082</v>
      </c>
    </row>
    <row r="37" spans="1:39" ht="15" thickBot="1">
      <c r="A37" s="158" t="s">
        <v>3754</v>
      </c>
      <c r="B37" s="159">
        <v>3</v>
      </c>
      <c r="C37" s="160">
        <v>3</v>
      </c>
      <c r="D37" s="161">
        <v>0</v>
      </c>
      <c r="E37" s="161">
        <v>0</v>
      </c>
      <c r="F37" s="161">
        <v>7</v>
      </c>
      <c r="G37" s="161">
        <f t="shared" si="16"/>
        <v>13</v>
      </c>
      <c r="H37" s="229">
        <v>25</v>
      </c>
      <c r="I37" s="230">
        <f t="shared" si="26"/>
        <v>0.12</v>
      </c>
      <c r="J37" s="161">
        <v>37.869999999999997</v>
      </c>
      <c r="K37" s="164">
        <f>J37/H37</f>
        <v>1.5147999999999999</v>
      </c>
      <c r="L37" s="165">
        <f t="shared" si="17"/>
        <v>12.623333333333333</v>
      </c>
      <c r="M37" s="229">
        <v>48</v>
      </c>
      <c r="N37" s="230">
        <f t="shared" si="18"/>
        <v>6.25E-2</v>
      </c>
      <c r="O37" s="161">
        <v>33.96</v>
      </c>
      <c r="P37" s="164">
        <f t="shared" si="23"/>
        <v>0.70750000000000002</v>
      </c>
      <c r="Q37" s="165">
        <f t="shared" si="19"/>
        <v>11.32</v>
      </c>
      <c r="R37" s="159">
        <v>1</v>
      </c>
      <c r="S37" s="166">
        <f t="shared" si="24"/>
        <v>71.83</v>
      </c>
      <c r="T37" s="167">
        <f t="shared" si="20"/>
        <v>7.6923076923076927E-2</v>
      </c>
      <c r="U37" s="231">
        <v>2</v>
      </c>
      <c r="V37" s="261">
        <v>5</v>
      </c>
      <c r="W37" s="232">
        <v>0</v>
      </c>
      <c r="X37" s="232">
        <v>0</v>
      </c>
      <c r="Y37" s="232">
        <v>0</v>
      </c>
      <c r="Z37" s="233">
        <v>7</v>
      </c>
      <c r="AA37" s="172">
        <f t="shared" si="21"/>
        <v>0.5</v>
      </c>
      <c r="AB37" s="173" t="e">
        <f t="shared" si="22"/>
        <v>#DIV/0!</v>
      </c>
      <c r="AC37" s="167">
        <f t="shared" si="22"/>
        <v>0.8571428571428571</v>
      </c>
      <c r="AD37" s="234">
        <v>60</v>
      </c>
      <c r="AE37" s="175">
        <v>3.3333333333333333E-2</v>
      </c>
      <c r="AF37" s="176">
        <v>113.96</v>
      </c>
      <c r="AG37" s="177">
        <v>1.8993333333333333</v>
      </c>
      <c r="AH37" s="177">
        <v>56.98</v>
      </c>
      <c r="AI37" s="178">
        <f t="shared" si="25"/>
        <v>-0.58333333333333337</v>
      </c>
      <c r="AJ37" s="179">
        <f t="shared" si="25"/>
        <v>2.6</v>
      </c>
      <c r="AK37" s="180">
        <f t="shared" si="25"/>
        <v>-0.6676904176904177</v>
      </c>
      <c r="AL37" s="180">
        <f t="shared" si="25"/>
        <v>-0.20245700245700249</v>
      </c>
      <c r="AM37" s="181">
        <f t="shared" si="25"/>
        <v>-0.77846027846027843</v>
      </c>
    </row>
    <row r="38" spans="1:39">
      <c r="B38" s="6">
        <f>SUM(B31:B37)</f>
        <v>6</v>
      </c>
      <c r="C38" s="6">
        <f>SUM(C31:C37)</f>
        <v>3</v>
      </c>
      <c r="F38" s="6">
        <f>SUM(F31:F37)</f>
        <v>10</v>
      </c>
      <c r="G38" s="235">
        <f>SUM(G31:G37)</f>
        <v>20</v>
      </c>
      <c r="H38" s="7">
        <f>SUM(H31:H37)</f>
        <v>126</v>
      </c>
      <c r="I38" s="15">
        <f t="shared" si="26"/>
        <v>4.7619047619047616E-2</v>
      </c>
      <c r="J38" s="6">
        <f>SUM(J31:J37)</f>
        <v>229</v>
      </c>
      <c r="K38" s="24">
        <f>J38/H38</f>
        <v>1.8174603174603174</v>
      </c>
      <c r="L38" s="24">
        <f t="shared" si="17"/>
        <v>38.166666666666664</v>
      </c>
      <c r="M38" s="7">
        <f>SUM(M31:M37)</f>
        <v>57</v>
      </c>
      <c r="N38" s="236">
        <f t="shared" si="18"/>
        <v>5.2631578947368418E-2</v>
      </c>
      <c r="O38" s="24">
        <f>SUM(O31:O37)</f>
        <v>39.410000000000004</v>
      </c>
      <c r="P38" s="24"/>
      <c r="Q38" s="24">
        <f t="shared" si="19"/>
        <v>13.136666666666668</v>
      </c>
      <c r="R38" s="6">
        <v>2</v>
      </c>
      <c r="S38" s="24">
        <f t="shared" si="24"/>
        <v>134.20500000000001</v>
      </c>
      <c r="T38" s="183">
        <f t="shared" si="20"/>
        <v>0.1</v>
      </c>
      <c r="U38" s="237">
        <v>5</v>
      </c>
      <c r="V38" s="237">
        <v>5</v>
      </c>
      <c r="W38" s="237"/>
      <c r="X38" s="237"/>
      <c r="Y38" s="237">
        <v>4</v>
      </c>
      <c r="Z38" s="238">
        <v>14</v>
      </c>
      <c r="AA38" s="187">
        <f t="shared" si="21"/>
        <v>0.2</v>
      </c>
      <c r="AB38" s="187">
        <f t="shared" si="22"/>
        <v>1.5</v>
      </c>
      <c r="AC38" s="187">
        <f t="shared" si="22"/>
        <v>0.42857142857142855</v>
      </c>
      <c r="AD38" s="239">
        <v>208</v>
      </c>
      <c r="AE38" s="192">
        <v>2.403846153846154E-2</v>
      </c>
      <c r="AF38" s="190">
        <v>351.69</v>
      </c>
      <c r="AG38" s="191">
        <v>1.6908173076923076</v>
      </c>
      <c r="AH38" s="191">
        <v>70.337999999999994</v>
      </c>
      <c r="AI38" s="189">
        <f t="shared" si="25"/>
        <v>-0.39423076923076922</v>
      </c>
      <c r="AJ38" s="193">
        <f t="shared" si="25"/>
        <v>0.98095238095238069</v>
      </c>
      <c r="AK38" s="189">
        <f t="shared" si="25"/>
        <v>-0.34885836958685207</v>
      </c>
      <c r="AL38" s="189">
        <f t="shared" si="25"/>
        <v>7.4900469253450591E-2</v>
      </c>
      <c r="AM38" s="189">
        <f t="shared" si="25"/>
        <v>-0.45738197465571001</v>
      </c>
    </row>
    <row r="40" spans="1:39">
      <c r="A40" s="194" t="s">
        <v>3810</v>
      </c>
    </row>
    <row r="41" spans="1:39">
      <c r="A41" s="6" t="s">
        <v>3836</v>
      </c>
    </row>
    <row r="43" spans="1:39">
      <c r="A43" s="30"/>
    </row>
    <row r="44" spans="1:39">
      <c r="A44" s="30"/>
    </row>
    <row r="45" spans="1:39" ht="18" thickBot="1">
      <c r="A45" s="240" t="s">
        <v>3812</v>
      </c>
    </row>
    <row r="46" spans="1:39" ht="22.8" customHeight="1">
      <c r="A46" s="241" t="s">
        <v>3813</v>
      </c>
      <c r="B46" s="56" t="s">
        <v>3797</v>
      </c>
      <c r="C46" s="57"/>
      <c r="D46" s="57"/>
      <c r="E46" s="57"/>
      <c r="F46" s="58"/>
      <c r="G46" s="66" t="s">
        <v>36</v>
      </c>
      <c r="H46" s="60"/>
      <c r="I46" s="60"/>
      <c r="J46" s="61"/>
      <c r="K46" s="62"/>
      <c r="L46" s="63" t="s">
        <v>97</v>
      </c>
      <c r="M46" s="64"/>
      <c r="N46" s="64"/>
      <c r="O46" s="64"/>
      <c r="P46" s="65"/>
      <c r="Q46" s="59" t="s">
        <v>1673</v>
      </c>
      <c r="R46" s="60" t="s">
        <v>1695</v>
      </c>
      <c r="S46" s="67" t="s">
        <v>3798</v>
      </c>
    </row>
    <row r="47" spans="1:39" ht="29.4" thickBot="1">
      <c r="A47" s="242"/>
      <c r="B47" s="80" t="s">
        <v>36</v>
      </c>
      <c r="C47" s="83" t="s">
        <v>1692</v>
      </c>
      <c r="D47" s="83" t="s">
        <v>1680</v>
      </c>
      <c r="E47" s="243" t="s">
        <v>3814</v>
      </c>
      <c r="F47" s="244" t="s">
        <v>1705</v>
      </c>
      <c r="G47" s="245" t="s">
        <v>1722</v>
      </c>
      <c r="H47" s="85" t="s">
        <v>3804</v>
      </c>
      <c r="I47" s="86" t="s">
        <v>3805</v>
      </c>
      <c r="J47" s="86" t="s">
        <v>3806</v>
      </c>
      <c r="K47" s="87" t="s">
        <v>3807</v>
      </c>
      <c r="L47" s="84" t="s">
        <v>1722</v>
      </c>
      <c r="M47" s="85" t="s">
        <v>3804</v>
      </c>
      <c r="N47" s="86" t="s">
        <v>3805</v>
      </c>
      <c r="O47" s="86" t="s">
        <v>3806</v>
      </c>
      <c r="P47" s="87" t="s">
        <v>3807</v>
      </c>
      <c r="Q47" s="203"/>
      <c r="R47" s="89"/>
      <c r="S47" s="90"/>
    </row>
    <row r="48" spans="1:39">
      <c r="A48" s="30" t="s">
        <v>3815</v>
      </c>
      <c r="B48" s="6">
        <v>5</v>
      </c>
      <c r="C48" s="6">
        <v>0</v>
      </c>
      <c r="D48" s="6">
        <f>F48-B48-C48</f>
        <v>2</v>
      </c>
      <c r="F48" s="6">
        <v>7</v>
      </c>
      <c r="G48" s="6">
        <v>228</v>
      </c>
      <c r="H48" s="15">
        <f t="shared" ref="H48:H59" si="28">B48/G48</f>
        <v>2.1929824561403508E-2</v>
      </c>
      <c r="I48" s="6">
        <v>87.06</v>
      </c>
      <c r="J48" s="24">
        <f t="shared" ref="J48:J59" si="29">I48/G48</f>
        <v>0.38184210526315793</v>
      </c>
      <c r="K48" s="24">
        <f t="shared" ref="K48:K59" si="30">I48/B48</f>
        <v>17.411999999999999</v>
      </c>
      <c r="M48" s="15"/>
      <c r="O48" s="24"/>
      <c r="Q48" s="6">
        <v>0</v>
      </c>
      <c r="R48" s="24" t="e">
        <f>(I48+N48)/Q48</f>
        <v>#DIV/0!</v>
      </c>
      <c r="S48" s="15">
        <f>Q48/F48</f>
        <v>0</v>
      </c>
    </row>
    <row r="49" spans="1:19">
      <c r="A49" s="30" t="s">
        <v>3816</v>
      </c>
      <c r="B49" s="6">
        <v>30</v>
      </c>
      <c r="D49" s="6">
        <v>3</v>
      </c>
      <c r="F49" s="6">
        <f>SUM(B49:D49)</f>
        <v>33</v>
      </c>
      <c r="G49" s="6">
        <v>517</v>
      </c>
      <c r="H49" s="15">
        <f t="shared" si="28"/>
        <v>5.8027079303675046E-2</v>
      </c>
      <c r="I49" s="6">
        <v>91.3</v>
      </c>
      <c r="J49" s="24">
        <f t="shared" si="29"/>
        <v>0.17659574468085107</v>
      </c>
      <c r="K49" s="24">
        <f t="shared" si="30"/>
        <v>3.0433333333333334</v>
      </c>
      <c r="M49" s="15"/>
      <c r="O49" s="24"/>
      <c r="Q49" s="6">
        <v>0</v>
      </c>
      <c r="R49" s="24" t="e">
        <f>(I49+N49)/Q49</f>
        <v>#DIV/0!</v>
      </c>
      <c r="S49" s="15">
        <f>Q49/F49</f>
        <v>0</v>
      </c>
    </row>
    <row r="50" spans="1:19">
      <c r="A50" s="30" t="s">
        <v>3817</v>
      </c>
      <c r="B50" s="6">
        <v>19</v>
      </c>
      <c r="C50" s="6">
        <v>0</v>
      </c>
      <c r="D50" s="6">
        <v>0</v>
      </c>
      <c r="E50" s="6">
        <v>6</v>
      </c>
      <c r="F50" s="6">
        <f>SUM(B50:D50)</f>
        <v>19</v>
      </c>
      <c r="G50" s="6">
        <v>790</v>
      </c>
      <c r="H50" s="15">
        <f t="shared" si="28"/>
        <v>2.4050632911392405E-2</v>
      </c>
      <c r="I50" s="6">
        <v>62.01</v>
      </c>
      <c r="J50" s="24">
        <f t="shared" si="29"/>
        <v>7.849367088607595E-2</v>
      </c>
      <c r="K50" s="24">
        <f t="shared" si="30"/>
        <v>3.2636842105263155</v>
      </c>
      <c r="M50" s="15"/>
      <c r="O50" s="24"/>
      <c r="Q50" s="6">
        <v>0</v>
      </c>
      <c r="R50" s="24" t="e">
        <f>(I50+N50)/Q50</f>
        <v>#DIV/0!</v>
      </c>
      <c r="S50" s="15">
        <f>Q50/F50</f>
        <v>0</v>
      </c>
    </row>
    <row r="51" spans="1:19">
      <c r="A51" s="30" t="s">
        <v>3818</v>
      </c>
      <c r="B51" s="6">
        <v>46</v>
      </c>
      <c r="C51" s="6">
        <v>0</v>
      </c>
      <c r="D51" s="6">
        <v>1</v>
      </c>
      <c r="E51" s="6">
        <v>11</v>
      </c>
      <c r="F51" s="6">
        <f>SUM(B51:D51)</f>
        <v>47</v>
      </c>
      <c r="G51" s="6">
        <v>1874</v>
      </c>
      <c r="H51" s="15">
        <f t="shared" si="28"/>
        <v>2.454642475987193E-2</v>
      </c>
      <c r="I51" s="6">
        <v>153.38</v>
      </c>
      <c r="J51" s="24">
        <f t="shared" si="29"/>
        <v>8.1846318036286017E-2</v>
      </c>
      <c r="K51" s="24">
        <f t="shared" si="30"/>
        <v>3.3343478260869563</v>
      </c>
      <c r="Q51" s="6">
        <v>0</v>
      </c>
      <c r="R51" s="24" t="e">
        <f t="shared" ref="R51:R57" si="31">(I51+N51)/Q51</f>
        <v>#DIV/0!</v>
      </c>
      <c r="S51" s="15">
        <f t="shared" ref="S51:S53" si="32">Q51/F51</f>
        <v>0</v>
      </c>
    </row>
    <row r="52" spans="1:19">
      <c r="A52" s="30" t="s">
        <v>3819</v>
      </c>
      <c r="B52" s="6">
        <v>72</v>
      </c>
      <c r="C52" s="6">
        <v>0</v>
      </c>
      <c r="D52" s="6">
        <v>1</v>
      </c>
      <c r="E52" s="6">
        <v>35</v>
      </c>
      <c r="F52" s="6">
        <f>SUM(B52:D52)</f>
        <v>73</v>
      </c>
      <c r="G52" s="6">
        <v>1403</v>
      </c>
      <c r="H52" s="184">
        <f t="shared" si="28"/>
        <v>5.1318602993585177E-2</v>
      </c>
      <c r="I52" s="6">
        <v>132.22999999999999</v>
      </c>
      <c r="J52" s="24">
        <f t="shared" si="29"/>
        <v>9.4248039914468992E-2</v>
      </c>
      <c r="K52" s="24">
        <f t="shared" si="30"/>
        <v>1.8365277777777775</v>
      </c>
      <c r="Q52" s="6">
        <v>0</v>
      </c>
      <c r="R52" s="24" t="e">
        <f t="shared" si="31"/>
        <v>#DIV/0!</v>
      </c>
      <c r="S52" s="15">
        <f t="shared" si="32"/>
        <v>0</v>
      </c>
    </row>
    <row r="53" spans="1:19">
      <c r="A53" s="30" t="s">
        <v>3820</v>
      </c>
      <c r="B53" s="6">
        <v>5</v>
      </c>
      <c r="C53" s="6">
        <v>0</v>
      </c>
      <c r="D53" s="6">
        <v>0</v>
      </c>
      <c r="F53" s="6">
        <f>SUM(B53:D53)</f>
        <v>5</v>
      </c>
      <c r="G53" s="6">
        <v>800</v>
      </c>
      <c r="H53" s="184">
        <f t="shared" si="28"/>
        <v>6.2500000000000003E-3</v>
      </c>
      <c r="I53" s="6">
        <v>175.29</v>
      </c>
      <c r="J53" s="24">
        <f t="shared" si="29"/>
        <v>0.21911249999999999</v>
      </c>
      <c r="K53" s="24">
        <f t="shared" si="30"/>
        <v>35.058</v>
      </c>
      <c r="Q53" s="6">
        <v>0</v>
      </c>
      <c r="R53" s="24" t="e">
        <f t="shared" si="31"/>
        <v>#DIV/0!</v>
      </c>
      <c r="S53" s="15">
        <f t="shared" si="32"/>
        <v>0</v>
      </c>
    </row>
    <row r="54" spans="1:19">
      <c r="A54" s="30" t="s">
        <v>3821</v>
      </c>
      <c r="B54" s="246" t="s">
        <v>3822</v>
      </c>
      <c r="C54" s="246"/>
      <c r="D54" s="246"/>
      <c r="E54" s="246"/>
      <c r="F54" s="246"/>
      <c r="G54" s="6">
        <v>198</v>
      </c>
      <c r="H54" s="184"/>
      <c r="I54" s="6">
        <v>50.72</v>
      </c>
      <c r="J54" s="24">
        <f t="shared" si="29"/>
        <v>0.25616161616161615</v>
      </c>
      <c r="K54" s="24"/>
      <c r="Q54" s="6">
        <v>0</v>
      </c>
      <c r="R54" s="24" t="e">
        <f t="shared" si="31"/>
        <v>#DIV/0!</v>
      </c>
      <c r="S54" s="15"/>
    </row>
    <row r="55" spans="1:19">
      <c r="A55" s="30" t="s">
        <v>3823</v>
      </c>
      <c r="B55" s="247">
        <v>6</v>
      </c>
      <c r="C55" s="247">
        <v>0</v>
      </c>
      <c r="D55" s="247">
        <v>1</v>
      </c>
      <c r="E55" s="247">
        <v>0</v>
      </c>
      <c r="F55" s="6">
        <f>SUM(B55:D55)</f>
        <v>7</v>
      </c>
      <c r="G55" s="248">
        <v>364</v>
      </c>
      <c r="H55" s="184">
        <f t="shared" si="28"/>
        <v>1.6483516483516484E-2</v>
      </c>
      <c r="I55" s="248">
        <v>46.82</v>
      </c>
      <c r="J55" s="24">
        <f t="shared" si="29"/>
        <v>0.12862637362637364</v>
      </c>
      <c r="K55" s="24">
        <f t="shared" si="30"/>
        <v>7.8033333333333337</v>
      </c>
      <c r="Q55" s="6">
        <v>0</v>
      </c>
      <c r="R55" s="24" t="e">
        <f t="shared" si="31"/>
        <v>#DIV/0!</v>
      </c>
      <c r="S55" s="15"/>
    </row>
    <row r="56" spans="1:19">
      <c r="A56" s="30" t="s">
        <v>3824</v>
      </c>
      <c r="B56" s="247">
        <v>3</v>
      </c>
      <c r="C56" s="247">
        <v>0</v>
      </c>
      <c r="D56" s="247">
        <v>0</v>
      </c>
      <c r="E56" s="247">
        <v>0</v>
      </c>
      <c r="F56" s="6">
        <f t="shared" ref="F56:F57" si="33">SUM(B56:D56)</f>
        <v>3</v>
      </c>
      <c r="G56" s="248">
        <v>175</v>
      </c>
      <c r="H56" s="249">
        <f t="shared" si="28"/>
        <v>1.7142857142857144E-2</v>
      </c>
      <c r="I56" s="248">
        <v>49.3</v>
      </c>
      <c r="J56" s="24">
        <f t="shared" si="29"/>
        <v>0.28171428571428569</v>
      </c>
      <c r="K56" s="24">
        <f t="shared" si="30"/>
        <v>16.433333333333334</v>
      </c>
      <c r="Q56" s="6">
        <v>0</v>
      </c>
      <c r="R56" s="24" t="e">
        <f t="shared" si="31"/>
        <v>#DIV/0!</v>
      </c>
      <c r="S56" s="15"/>
    </row>
    <row r="57" spans="1:19">
      <c r="A57" s="30" t="s">
        <v>3815</v>
      </c>
      <c r="B57" s="247">
        <v>6</v>
      </c>
      <c r="C57" s="247">
        <v>0</v>
      </c>
      <c r="D57" s="247">
        <v>0</v>
      </c>
      <c r="E57" s="247">
        <v>0</v>
      </c>
      <c r="F57" s="6">
        <f t="shared" si="33"/>
        <v>6</v>
      </c>
      <c r="G57" s="248">
        <v>36</v>
      </c>
      <c r="H57" s="249">
        <f t="shared" si="28"/>
        <v>0.16666666666666666</v>
      </c>
      <c r="I57" s="248">
        <v>19.23</v>
      </c>
      <c r="J57" s="24">
        <f t="shared" si="29"/>
        <v>0.53416666666666668</v>
      </c>
      <c r="K57" s="24">
        <f t="shared" si="30"/>
        <v>3.2050000000000001</v>
      </c>
      <c r="Q57" s="6">
        <v>2</v>
      </c>
      <c r="R57" s="24">
        <f t="shared" si="31"/>
        <v>9.6150000000000002</v>
      </c>
      <c r="S57" s="15"/>
    </row>
    <row r="58" spans="1:19">
      <c r="A58" s="30" t="s">
        <v>3816</v>
      </c>
      <c r="B58" s="247">
        <v>3</v>
      </c>
      <c r="C58" s="247">
        <v>0</v>
      </c>
      <c r="D58" s="247">
        <v>0</v>
      </c>
      <c r="E58" s="247">
        <v>0</v>
      </c>
      <c r="F58" s="6">
        <f>SUM(B58:E58)</f>
        <v>3</v>
      </c>
      <c r="G58" s="248">
        <v>217</v>
      </c>
      <c r="H58" s="249">
        <f t="shared" si="28"/>
        <v>1.3824884792626729E-2</v>
      </c>
      <c r="I58" s="248">
        <v>444.73</v>
      </c>
      <c r="J58" s="24">
        <f t="shared" si="29"/>
        <v>2.0494470046082949</v>
      </c>
      <c r="K58" s="24">
        <f t="shared" si="30"/>
        <v>148.24333333333334</v>
      </c>
      <c r="R58" s="24"/>
      <c r="S58" s="15"/>
    </row>
    <row r="59" spans="1:19">
      <c r="A59" s="30" t="s">
        <v>3817</v>
      </c>
      <c r="B59" s="247">
        <v>5</v>
      </c>
      <c r="C59" s="247">
        <v>0</v>
      </c>
      <c r="D59" s="247">
        <v>0</v>
      </c>
      <c r="E59" s="247">
        <v>0</v>
      </c>
      <c r="F59" s="6">
        <f>SUM(B59:E59)</f>
        <v>5</v>
      </c>
      <c r="G59" s="248">
        <v>125</v>
      </c>
      <c r="H59" s="249">
        <f t="shared" si="28"/>
        <v>0.04</v>
      </c>
      <c r="I59" s="248">
        <v>245.63</v>
      </c>
      <c r="J59" s="24">
        <f t="shared" si="29"/>
        <v>1.9650399999999999</v>
      </c>
      <c r="K59" s="24">
        <f t="shared" si="30"/>
        <v>49.125999999999998</v>
      </c>
      <c r="R59" s="24"/>
      <c r="S59" s="15"/>
    </row>
    <row r="60" spans="1:19">
      <c r="A60" s="30"/>
      <c r="B60" s="247"/>
      <c r="C60" s="247"/>
      <c r="D60" s="247"/>
      <c r="E60" s="247"/>
      <c r="G60" s="248"/>
      <c r="H60" s="249"/>
      <c r="I60" s="248"/>
      <c r="J60" s="24"/>
      <c r="K60" s="24"/>
      <c r="R60" s="24"/>
      <c r="S60" s="15"/>
    </row>
    <row r="61" spans="1:19">
      <c r="A61" s="194" t="s">
        <v>3810</v>
      </c>
      <c r="B61" s="247"/>
      <c r="C61" s="247"/>
      <c r="D61" s="247"/>
      <c r="E61" s="247"/>
      <c r="G61" s="248"/>
      <c r="H61" s="249"/>
      <c r="I61" s="248"/>
      <c r="J61" s="24"/>
      <c r="K61" s="24"/>
      <c r="R61" s="24"/>
      <c r="S61" s="15"/>
    </row>
    <row r="62" spans="1:19">
      <c r="A62" s="262" t="s">
        <v>3837</v>
      </c>
      <c r="B62" s="247"/>
      <c r="C62" s="247"/>
      <c r="D62" s="247"/>
      <c r="E62" s="247"/>
      <c r="G62" s="248"/>
      <c r="H62" s="249"/>
      <c r="I62" s="248"/>
      <c r="J62" s="24"/>
      <c r="K62" s="24"/>
      <c r="R62" s="24"/>
      <c r="S62" s="15"/>
    </row>
  </sheetData>
  <mergeCells count="32">
    <mergeCell ref="S46:S47"/>
    <mergeCell ref="B54:F54"/>
    <mergeCell ref="A46:A47"/>
    <mergeCell ref="B46:F46"/>
    <mergeCell ref="G46:K46"/>
    <mergeCell ref="L46:P46"/>
    <mergeCell ref="Q46:Q47"/>
    <mergeCell ref="R46:R47"/>
    <mergeCell ref="S29:S30"/>
    <mergeCell ref="T29:T30"/>
    <mergeCell ref="U29:Z29"/>
    <mergeCell ref="AA29:AC29"/>
    <mergeCell ref="AD29:AH29"/>
    <mergeCell ref="AI29:AM29"/>
    <mergeCell ref="B28:N28"/>
    <mergeCell ref="A29:A30"/>
    <mergeCell ref="B29:G29"/>
    <mergeCell ref="H29:L29"/>
    <mergeCell ref="M29:Q29"/>
    <mergeCell ref="R29:R30"/>
    <mergeCell ref="T2:T3"/>
    <mergeCell ref="U2:U3"/>
    <mergeCell ref="V2:AB2"/>
    <mergeCell ref="AC2:AF2"/>
    <mergeCell ref="AG2:AK2"/>
    <mergeCell ref="AL2:AP2"/>
    <mergeCell ref="B1:P1"/>
    <mergeCell ref="A2:A3"/>
    <mergeCell ref="B2:H2"/>
    <mergeCell ref="I2:M2"/>
    <mergeCell ref="N2:R2"/>
    <mergeCell ref="S2:S3"/>
  </mergeCells>
  <conditionalFormatting sqref="A1017">
    <cfRule type="expression" dxfId="189" priority="5">
      <formula>COUNTIF(#REF!,A1017)&gt;1</formula>
    </cfRule>
  </conditionalFormatting>
  <conditionalFormatting sqref="A1017">
    <cfRule type="expression" dxfId="188" priority="6">
      <formula>COUNTIF(#REF!,A1017)&gt;1</formula>
    </cfRule>
  </conditionalFormatting>
  <conditionalFormatting sqref="A1017">
    <cfRule type="expression" dxfId="187" priority="7">
      <formula>COUNTIF(#REF!,A1017)&gt;1</formula>
    </cfRule>
  </conditionalFormatting>
  <conditionalFormatting sqref="A1017">
    <cfRule type="expression" dxfId="186" priority="8">
      <formula>COUNTIF(#REF!,A1017)&gt;1</formula>
    </cfRule>
  </conditionalFormatting>
  <conditionalFormatting sqref="A1017">
    <cfRule type="expression" dxfId="185" priority="9">
      <formula>COUNTIF(#REF!,A1017)&gt;1</formula>
    </cfRule>
  </conditionalFormatting>
  <conditionalFormatting sqref="A1017">
    <cfRule type="expression" dxfId="184" priority="10">
      <formula>COUNTIF(#REF!,A1017)&gt;1</formula>
    </cfRule>
  </conditionalFormatting>
  <conditionalFormatting sqref="A1017">
    <cfRule type="expression" dxfId="183" priority="11">
      <formula>COUNTIF(#REF!,A1017)&gt;1</formula>
    </cfRule>
  </conditionalFormatting>
  <conditionalFormatting sqref="A1017">
    <cfRule type="expression" dxfId="182" priority="12">
      <formula>COUNTIF(#REF!,A1017)&gt;1</formula>
    </cfRule>
  </conditionalFormatting>
  <conditionalFormatting sqref="A1017">
    <cfRule type="expression" dxfId="181" priority="13">
      <formula>COUNTIF(#REF!,A1017)&gt;1</formula>
    </cfRule>
  </conditionalFormatting>
  <conditionalFormatting sqref="A1017">
    <cfRule type="expression" dxfId="180" priority="14">
      <formula>COUNTIF(#REF!,A1017)&gt;1</formula>
    </cfRule>
  </conditionalFormatting>
  <conditionalFormatting sqref="A1017">
    <cfRule type="expression" dxfId="179" priority="15">
      <formula>COUNTIF(#REF!,A1017)&gt;1</formula>
    </cfRule>
  </conditionalFormatting>
  <conditionalFormatting sqref="A1017">
    <cfRule type="expression" dxfId="178" priority="16">
      <formula>COUNTIF(#REF!,A1017)&gt;1</formula>
    </cfRule>
  </conditionalFormatting>
  <conditionalFormatting sqref="A1017">
    <cfRule type="expression" dxfId="177" priority="17">
      <formula>COUNTIF(#REF!,A1017)&gt;1</formula>
    </cfRule>
  </conditionalFormatting>
  <conditionalFormatting sqref="A1017">
    <cfRule type="expression" dxfId="176" priority="18">
      <formula>COUNTIF(#REF!,A1017)&gt;1</formula>
    </cfRule>
  </conditionalFormatting>
  <conditionalFormatting sqref="A1017">
    <cfRule type="expression" dxfId="175" priority="19">
      <formula>COUNTIF(#REF!,A1017)&gt;1</formula>
    </cfRule>
  </conditionalFormatting>
  <conditionalFormatting sqref="A1017">
    <cfRule type="expression" dxfId="174" priority="20">
      <formula>COUNTIF(#REF!,A1017)&gt;1</formula>
    </cfRule>
  </conditionalFormatting>
  <conditionalFormatting sqref="A1017">
    <cfRule type="expression" dxfId="173" priority="21">
      <formula>COUNTIF(#REF!,A1017)&gt;1</formula>
    </cfRule>
  </conditionalFormatting>
  <conditionalFormatting sqref="A1017">
    <cfRule type="expression" dxfId="172" priority="22">
      <formula>COUNTIF(#REF!,A1017)&gt;1</formula>
    </cfRule>
  </conditionalFormatting>
  <conditionalFormatting sqref="A1017">
    <cfRule type="expression" dxfId="171" priority="23">
      <formula>COUNTIF(#REF!,A1017)&gt;1</formula>
    </cfRule>
  </conditionalFormatting>
  <conditionalFormatting sqref="A1017">
    <cfRule type="expression" dxfId="170" priority="24">
      <formula>COUNTIF(#REF!,A1017)&gt;1</formula>
    </cfRule>
  </conditionalFormatting>
  <conditionalFormatting sqref="A1017">
    <cfRule type="expression" dxfId="169" priority="25">
      <formula>COUNTIF(#REF!,A1017)&gt;1</formula>
    </cfRule>
  </conditionalFormatting>
  <conditionalFormatting sqref="A1017">
    <cfRule type="expression" dxfId="168" priority="26">
      <formula>COUNTIF(#REF!,A1017)&gt;1</formula>
    </cfRule>
  </conditionalFormatting>
  <conditionalFormatting sqref="A1017">
    <cfRule type="expression" dxfId="167" priority="27">
      <formula>COUNTIF(#REF!,A1017)&gt;1</formula>
    </cfRule>
  </conditionalFormatting>
  <conditionalFormatting sqref="A1016">
    <cfRule type="expression" dxfId="166" priority="28">
      <formula>COUNTIF(#REF!,A1016)&gt;1</formula>
    </cfRule>
  </conditionalFormatting>
  <conditionalFormatting sqref="A1016">
    <cfRule type="expression" dxfId="165" priority="29">
      <formula>COUNTIF(#REF!,A1016)&gt;1</formula>
    </cfRule>
  </conditionalFormatting>
  <conditionalFormatting sqref="A1016">
    <cfRule type="expression" dxfId="164" priority="30">
      <formula>COUNTIF(#REF!,A1016)&gt;1</formula>
    </cfRule>
  </conditionalFormatting>
  <conditionalFormatting sqref="A1016">
    <cfRule type="expression" dxfId="163" priority="31">
      <formula>COUNTIF(#REF!,A1016)&gt;1</formula>
    </cfRule>
  </conditionalFormatting>
  <conditionalFormatting sqref="A1016">
    <cfRule type="expression" dxfId="162" priority="32">
      <formula>COUNTIF(#REF!,A1016)&gt;1</formula>
    </cfRule>
  </conditionalFormatting>
  <conditionalFormatting sqref="A1016">
    <cfRule type="expression" dxfId="161" priority="33">
      <formula>COUNTIF(#REF!,A1016)&gt;1</formula>
    </cfRule>
  </conditionalFormatting>
  <conditionalFormatting sqref="A1016">
    <cfRule type="expression" dxfId="160" priority="34">
      <formula>COUNTIF(#REF!,A1016)&gt;1</formula>
    </cfRule>
  </conditionalFormatting>
  <conditionalFormatting sqref="A1016">
    <cfRule type="expression" dxfId="159" priority="35">
      <formula>COUNTIF(#REF!,A1016)&gt;1</formula>
    </cfRule>
  </conditionalFormatting>
  <conditionalFormatting sqref="A1016">
    <cfRule type="expression" dxfId="158" priority="36">
      <formula>COUNTIF(#REF!,A1016)&gt;1</formula>
    </cfRule>
  </conditionalFormatting>
  <conditionalFormatting sqref="A1016">
    <cfRule type="expression" dxfId="157" priority="37">
      <formula>COUNTIF(#REF!,A1016)&gt;1</formula>
    </cfRule>
  </conditionalFormatting>
  <conditionalFormatting sqref="A1016">
    <cfRule type="expression" dxfId="156" priority="38">
      <formula>COUNTIF(#REF!,A1016)&gt;1</formula>
    </cfRule>
  </conditionalFormatting>
  <conditionalFormatting sqref="A1016">
    <cfRule type="expression" dxfId="155" priority="39">
      <formula>COUNTIF(#REF!,A1016)&gt;1</formula>
    </cfRule>
  </conditionalFormatting>
  <conditionalFormatting sqref="A1016">
    <cfRule type="expression" dxfId="154" priority="40">
      <formula>COUNTIF(#REF!,A1016)&gt;1</formula>
    </cfRule>
  </conditionalFormatting>
  <conditionalFormatting sqref="A1016">
    <cfRule type="expression" dxfId="153" priority="41">
      <formula>COUNTIF(#REF!,A1016)&gt;1</formula>
    </cfRule>
  </conditionalFormatting>
  <conditionalFormatting sqref="A1016">
    <cfRule type="expression" dxfId="152" priority="42">
      <formula>COUNTIF(#REF!,A1016)&gt;1</formula>
    </cfRule>
  </conditionalFormatting>
  <conditionalFormatting sqref="A1016">
    <cfRule type="expression" dxfId="151" priority="43">
      <formula>COUNTIF(#REF!,A1016)&gt;1</formula>
    </cfRule>
  </conditionalFormatting>
  <conditionalFormatting sqref="A1016">
    <cfRule type="expression" dxfId="150" priority="44">
      <formula>COUNTIF(#REF!,A1016)&gt;1</formula>
    </cfRule>
  </conditionalFormatting>
  <conditionalFormatting sqref="A1016">
    <cfRule type="expression" dxfId="149" priority="45">
      <formula>COUNTIF(#REF!,A1016)&gt;1</formula>
    </cfRule>
  </conditionalFormatting>
  <conditionalFormatting sqref="A1016">
    <cfRule type="expression" dxfId="148" priority="46">
      <formula>COUNTIF(#REF!,A1016)&gt;1</formula>
    </cfRule>
  </conditionalFormatting>
  <conditionalFormatting sqref="A1016">
    <cfRule type="expression" dxfId="147" priority="47">
      <formula>COUNTIF(#REF!,A1016)&gt;1</formula>
    </cfRule>
  </conditionalFormatting>
  <conditionalFormatting sqref="A1016">
    <cfRule type="expression" dxfId="146" priority="48">
      <formula>COUNTIF(#REF!,A1016)&gt;1</formula>
    </cfRule>
  </conditionalFormatting>
  <conditionalFormatting sqref="A1016">
    <cfRule type="expression" dxfId="145" priority="49">
      <formula>COUNTIF(#REF!,A1016)&gt;1</formula>
    </cfRule>
  </conditionalFormatting>
  <conditionalFormatting sqref="A1016">
    <cfRule type="expression" dxfId="144" priority="50">
      <formula>COUNTIF(#REF!,A1016)&gt;1</formula>
    </cfRule>
  </conditionalFormatting>
  <conditionalFormatting sqref="A1015">
    <cfRule type="expression" dxfId="143" priority="51">
      <formula>COUNTIF(#REF!,A1015)&gt;1</formula>
    </cfRule>
  </conditionalFormatting>
  <conditionalFormatting sqref="A1015">
    <cfRule type="expression" dxfId="142" priority="52">
      <formula>COUNTIF(#REF!,A1015)&gt;1</formula>
    </cfRule>
  </conditionalFormatting>
  <conditionalFormatting sqref="A1015">
    <cfRule type="expression" dxfId="141" priority="53">
      <formula>COUNTIF(#REF!,A1015)&gt;1</formula>
    </cfRule>
  </conditionalFormatting>
  <conditionalFormatting sqref="A1015">
    <cfRule type="expression" dxfId="140" priority="54">
      <formula>COUNTIF(#REF!,A1015)&gt;1</formula>
    </cfRule>
  </conditionalFormatting>
  <conditionalFormatting sqref="A1015">
    <cfRule type="expression" dxfId="139" priority="55">
      <formula>COUNTIF(#REF!,A1015)&gt;1</formula>
    </cfRule>
  </conditionalFormatting>
  <conditionalFormatting sqref="A1015">
    <cfRule type="expression" dxfId="138" priority="56">
      <formula>COUNTIF(#REF!,A1015)&gt;1</formula>
    </cfRule>
  </conditionalFormatting>
  <conditionalFormatting sqref="A1015">
    <cfRule type="expression" dxfId="137" priority="57">
      <formula>COUNTIF(#REF!,A1015)&gt;1</formula>
    </cfRule>
  </conditionalFormatting>
  <conditionalFormatting sqref="A1015">
    <cfRule type="expression" dxfId="136" priority="58">
      <formula>COUNTIF(#REF!,A1015)&gt;1</formula>
    </cfRule>
  </conditionalFormatting>
  <conditionalFormatting sqref="A1015">
    <cfRule type="expression" dxfId="135" priority="59">
      <formula>COUNTIF(#REF!,A1015)&gt;1</formula>
    </cfRule>
  </conditionalFormatting>
  <conditionalFormatting sqref="A1015">
    <cfRule type="expression" dxfId="134" priority="60">
      <formula>COUNTIF(#REF!,A1015)&gt;1</formula>
    </cfRule>
  </conditionalFormatting>
  <conditionalFormatting sqref="A1015">
    <cfRule type="expression" dxfId="133" priority="61">
      <formula>COUNTIF(#REF!,A1015)&gt;1</formula>
    </cfRule>
  </conditionalFormatting>
  <conditionalFormatting sqref="A1015">
    <cfRule type="expression" dxfId="132" priority="62">
      <formula>COUNTIF(#REF!,A1015)&gt;1</formula>
    </cfRule>
  </conditionalFormatting>
  <conditionalFormatting sqref="A1015">
    <cfRule type="expression" dxfId="131" priority="63">
      <formula>COUNTIF(#REF!,A1015)&gt;1</formula>
    </cfRule>
  </conditionalFormatting>
  <conditionalFormatting sqref="A1015">
    <cfRule type="expression" dxfId="130" priority="64">
      <formula>COUNTIF(#REF!,A1015)&gt;1</formula>
    </cfRule>
  </conditionalFormatting>
  <conditionalFormatting sqref="A1015">
    <cfRule type="expression" dxfId="129" priority="65">
      <formula>COUNTIF(#REF!,A1015)&gt;1</formula>
    </cfRule>
  </conditionalFormatting>
  <conditionalFormatting sqref="A1015">
    <cfRule type="expression" dxfId="128" priority="66">
      <formula>COUNTIF(#REF!,A1015)&gt;1</formula>
    </cfRule>
  </conditionalFormatting>
  <conditionalFormatting sqref="A1015">
    <cfRule type="expression" dxfId="127" priority="67">
      <formula>COUNTIF(#REF!,A1015)&gt;1</formula>
    </cfRule>
  </conditionalFormatting>
  <conditionalFormatting sqref="A1015">
    <cfRule type="expression" dxfId="126" priority="68">
      <formula>COUNTIF(#REF!,A1015)&gt;1</formula>
    </cfRule>
  </conditionalFormatting>
  <conditionalFormatting sqref="A1015">
    <cfRule type="expression" dxfId="125" priority="69">
      <formula>COUNTIF(#REF!,A1015)&gt;1</formula>
    </cfRule>
  </conditionalFormatting>
  <conditionalFormatting sqref="A1015">
    <cfRule type="expression" dxfId="124" priority="70">
      <formula>COUNTIF(#REF!,A1015)&gt;1</formula>
    </cfRule>
  </conditionalFormatting>
  <conditionalFormatting sqref="A1015">
    <cfRule type="expression" dxfId="123" priority="71">
      <formula>COUNTIF(#REF!,A1015)&gt;1</formula>
    </cfRule>
  </conditionalFormatting>
  <conditionalFormatting sqref="A1015">
    <cfRule type="expression" dxfId="122" priority="72">
      <formula>COUNTIF(#REF!,A1015)&gt;1</formula>
    </cfRule>
  </conditionalFormatting>
  <conditionalFormatting sqref="A1015">
    <cfRule type="expression" dxfId="121" priority="73">
      <formula>COUNTIF(#REF!,A1015)&gt;1</formula>
    </cfRule>
  </conditionalFormatting>
  <conditionalFormatting sqref="A1014">
    <cfRule type="expression" dxfId="120" priority="74">
      <formula>COUNTIF(#REF!,A1014)&gt;1</formula>
    </cfRule>
  </conditionalFormatting>
  <conditionalFormatting sqref="A1014">
    <cfRule type="expression" dxfId="119" priority="75">
      <formula>COUNTIF(#REF!,A1014)&gt;1</formula>
    </cfRule>
  </conditionalFormatting>
  <conditionalFormatting sqref="A1014">
    <cfRule type="expression" dxfId="118" priority="76">
      <formula>COUNTIF(#REF!,A1014)&gt;1</formula>
    </cfRule>
  </conditionalFormatting>
  <conditionalFormatting sqref="A1014">
    <cfRule type="expression" dxfId="117" priority="77">
      <formula>COUNTIF(#REF!,A1014)&gt;1</formula>
    </cfRule>
  </conditionalFormatting>
  <conditionalFormatting sqref="A1014">
    <cfRule type="expression" dxfId="116" priority="78">
      <formula>COUNTIF(#REF!,A1014)&gt;1</formula>
    </cfRule>
  </conditionalFormatting>
  <conditionalFormatting sqref="A1014">
    <cfRule type="expression" dxfId="115" priority="79">
      <formula>COUNTIF(#REF!,A1014)&gt;1</formula>
    </cfRule>
  </conditionalFormatting>
  <conditionalFormatting sqref="A1014">
    <cfRule type="expression" dxfId="114" priority="80">
      <formula>COUNTIF(#REF!,A1014)&gt;1</formula>
    </cfRule>
  </conditionalFormatting>
  <conditionalFormatting sqref="A1014">
    <cfRule type="expression" dxfId="113" priority="81">
      <formula>COUNTIF(#REF!,A1014)&gt;1</formula>
    </cfRule>
  </conditionalFormatting>
  <conditionalFormatting sqref="A1014">
    <cfRule type="expression" dxfId="112" priority="82">
      <formula>COUNTIF(#REF!,A1014)&gt;1</formula>
    </cfRule>
  </conditionalFormatting>
  <conditionalFormatting sqref="A1014">
    <cfRule type="expression" dxfId="111" priority="83">
      <formula>COUNTIF(#REF!,A1014)&gt;1</formula>
    </cfRule>
  </conditionalFormatting>
  <conditionalFormatting sqref="A1014">
    <cfRule type="expression" dxfId="110" priority="84">
      <formula>COUNTIF(#REF!,A1014)&gt;1</formula>
    </cfRule>
  </conditionalFormatting>
  <conditionalFormatting sqref="A1014">
    <cfRule type="expression" dxfId="109" priority="85">
      <formula>COUNTIF(#REF!,A1014)&gt;1</formula>
    </cfRule>
  </conditionalFormatting>
  <conditionalFormatting sqref="A1014">
    <cfRule type="expression" dxfId="108" priority="86">
      <formula>COUNTIF(#REF!,A1014)&gt;1</formula>
    </cfRule>
  </conditionalFormatting>
  <conditionalFormatting sqref="A1014">
    <cfRule type="expression" dxfId="107" priority="87">
      <formula>COUNTIF(#REF!,A1014)&gt;1</formula>
    </cfRule>
  </conditionalFormatting>
  <conditionalFormatting sqref="A1014">
    <cfRule type="expression" dxfId="106" priority="88">
      <formula>COUNTIF(#REF!,A1014)&gt;1</formula>
    </cfRule>
  </conditionalFormatting>
  <conditionalFormatting sqref="A1014">
    <cfRule type="expression" dxfId="105" priority="89">
      <formula>COUNTIF(#REF!,A1014)&gt;1</formula>
    </cfRule>
  </conditionalFormatting>
  <conditionalFormatting sqref="A1014">
    <cfRule type="expression" dxfId="104" priority="90">
      <formula>COUNTIF(#REF!,A1014)&gt;1</formula>
    </cfRule>
  </conditionalFormatting>
  <conditionalFormatting sqref="A1014">
    <cfRule type="expression" dxfId="103" priority="91">
      <formula>COUNTIF(#REF!,A1014)&gt;1</formula>
    </cfRule>
  </conditionalFormatting>
  <conditionalFormatting sqref="A1014">
    <cfRule type="expression" dxfId="102" priority="92">
      <formula>COUNTIF(#REF!,A1014)&gt;1</formula>
    </cfRule>
  </conditionalFormatting>
  <conditionalFormatting sqref="A1014">
    <cfRule type="expression" dxfId="101" priority="93">
      <formula>COUNTIF(#REF!,A1014)&gt;1</formula>
    </cfRule>
  </conditionalFormatting>
  <conditionalFormatting sqref="A1014">
    <cfRule type="expression" dxfId="100" priority="94">
      <formula>COUNTIF(#REF!,A1014)&gt;1</formula>
    </cfRule>
  </conditionalFormatting>
  <conditionalFormatting sqref="A1014">
    <cfRule type="expression" dxfId="99" priority="95">
      <formula>COUNTIF(#REF!,A1014)&gt;1</formula>
    </cfRule>
  </conditionalFormatting>
  <conditionalFormatting sqref="A1014">
    <cfRule type="expression" dxfId="98" priority="96">
      <formula>COUNTIF(#REF!,A1014)&gt;1</formula>
    </cfRule>
  </conditionalFormatting>
  <conditionalFormatting sqref="A1013">
    <cfRule type="expression" dxfId="97" priority="97">
      <formula>COUNTIF(#REF!,A1013)&gt;1</formula>
    </cfRule>
  </conditionalFormatting>
  <conditionalFormatting sqref="A1013">
    <cfRule type="expression" dxfId="96" priority="98">
      <formula>COUNTIF(#REF!,A1013)&gt;1</formula>
    </cfRule>
  </conditionalFormatting>
  <conditionalFormatting sqref="A1013">
    <cfRule type="expression" dxfId="95" priority="99">
      <formula>COUNTIF(#REF!,A1013)&gt;1</formula>
    </cfRule>
  </conditionalFormatting>
  <conditionalFormatting sqref="A1013">
    <cfRule type="expression" dxfId="94" priority="100">
      <formula>COUNTIF(#REF!,A1013)&gt;1</formula>
    </cfRule>
  </conditionalFormatting>
  <conditionalFormatting sqref="A1013">
    <cfRule type="expression" dxfId="93" priority="101">
      <formula>COUNTIF(#REF!,A1013)&gt;1</formula>
    </cfRule>
  </conditionalFormatting>
  <conditionalFormatting sqref="A1013">
    <cfRule type="expression" dxfId="92" priority="102">
      <formula>COUNTIF(#REF!,A1013)&gt;1</formula>
    </cfRule>
  </conditionalFormatting>
  <conditionalFormatting sqref="A1013">
    <cfRule type="expression" dxfId="91" priority="103">
      <formula>COUNTIF(#REF!,A1013)&gt;1</formula>
    </cfRule>
  </conditionalFormatting>
  <conditionalFormatting sqref="A1013">
    <cfRule type="expression" dxfId="90" priority="104">
      <formula>COUNTIF(#REF!,A1013)&gt;1</formula>
    </cfRule>
  </conditionalFormatting>
  <conditionalFormatting sqref="A1013">
    <cfRule type="expression" dxfId="89" priority="105">
      <formula>COUNTIF(#REF!,A1013)&gt;1</formula>
    </cfRule>
  </conditionalFormatting>
  <conditionalFormatting sqref="A1013">
    <cfRule type="expression" dxfId="88" priority="106">
      <formula>COUNTIF(#REF!,A1013)&gt;1</formula>
    </cfRule>
  </conditionalFormatting>
  <conditionalFormatting sqref="A1013">
    <cfRule type="expression" dxfId="87" priority="107">
      <formula>COUNTIF(#REF!,A1013)&gt;1</formula>
    </cfRule>
  </conditionalFormatting>
  <conditionalFormatting sqref="A1013">
    <cfRule type="expression" dxfId="86" priority="108">
      <formula>COUNTIF(#REF!,A1013)&gt;1</formula>
    </cfRule>
  </conditionalFormatting>
  <conditionalFormatting sqref="A1013">
    <cfRule type="expression" dxfId="85" priority="109">
      <formula>COUNTIF(#REF!,A1013)&gt;1</formula>
    </cfRule>
  </conditionalFormatting>
  <conditionalFormatting sqref="A1013">
    <cfRule type="expression" dxfId="84" priority="110">
      <formula>COUNTIF(#REF!,A1013)&gt;1</formula>
    </cfRule>
  </conditionalFormatting>
  <conditionalFormatting sqref="A1013">
    <cfRule type="expression" dxfId="83" priority="111">
      <formula>COUNTIF(#REF!,A1013)&gt;1</formula>
    </cfRule>
  </conditionalFormatting>
  <conditionalFormatting sqref="A1013">
    <cfRule type="expression" dxfId="82" priority="112">
      <formula>COUNTIF(#REF!,A1013)&gt;1</formula>
    </cfRule>
  </conditionalFormatting>
  <conditionalFormatting sqref="A1013">
    <cfRule type="expression" dxfId="81" priority="113">
      <formula>COUNTIF(#REF!,A1013)&gt;1</formula>
    </cfRule>
  </conditionalFormatting>
  <conditionalFormatting sqref="A1013">
    <cfRule type="expression" dxfId="80" priority="114">
      <formula>COUNTIF(#REF!,A1013)&gt;1</formula>
    </cfRule>
  </conditionalFormatting>
  <conditionalFormatting sqref="A1013">
    <cfRule type="expression" dxfId="79" priority="115">
      <formula>COUNTIF(#REF!,A1013)&gt;1</formula>
    </cfRule>
  </conditionalFormatting>
  <conditionalFormatting sqref="A1013">
    <cfRule type="expression" dxfId="78" priority="116">
      <formula>COUNTIF(#REF!,A1013)&gt;1</formula>
    </cfRule>
  </conditionalFormatting>
  <conditionalFormatting sqref="A1013">
    <cfRule type="expression" dxfId="77" priority="117">
      <formula>COUNTIF(#REF!,A1013)&gt;1</formula>
    </cfRule>
  </conditionalFormatting>
  <conditionalFormatting sqref="A1013">
    <cfRule type="expression" dxfId="76" priority="118">
      <formula>COUNTIF(#REF!,A1013)&gt;1</formula>
    </cfRule>
  </conditionalFormatting>
  <conditionalFormatting sqref="A1013">
    <cfRule type="expression" dxfId="75" priority="119">
      <formula>COUNTIF(#REF!,A1013)&gt;1</formula>
    </cfRule>
  </conditionalFormatting>
  <conditionalFormatting sqref="A995">
    <cfRule type="expression" dxfId="74" priority="120">
      <formula>COUNTIF(#REF!,A995)&gt;1</formula>
    </cfRule>
  </conditionalFormatting>
  <conditionalFormatting sqref="A995">
    <cfRule type="expression" dxfId="73" priority="121">
      <formula>COUNTIF(#REF!,A995)&gt;1</formula>
    </cfRule>
  </conditionalFormatting>
  <conditionalFormatting sqref="A995">
    <cfRule type="expression" dxfId="72" priority="122">
      <formula>COUNTIF(#REF!,A995)&gt;1</formula>
    </cfRule>
  </conditionalFormatting>
  <conditionalFormatting sqref="A995">
    <cfRule type="expression" dxfId="71" priority="123">
      <formula>COUNTIF(#REF!,A995)&gt;1</formula>
    </cfRule>
  </conditionalFormatting>
  <conditionalFormatting sqref="A995">
    <cfRule type="expression" dxfId="70" priority="124">
      <formula>COUNTIF(#REF!,A995)&gt;1</formula>
    </cfRule>
  </conditionalFormatting>
  <conditionalFormatting sqref="A995">
    <cfRule type="expression" dxfId="69" priority="125">
      <formula>COUNTIF(#REF!,A995)&gt;1</formula>
    </cfRule>
  </conditionalFormatting>
  <conditionalFormatting sqref="A995">
    <cfRule type="expression" dxfId="68" priority="126">
      <formula>COUNTIF(#REF!,A995)&gt;1</formula>
    </cfRule>
  </conditionalFormatting>
  <conditionalFormatting sqref="A995">
    <cfRule type="expression" dxfId="67" priority="127">
      <formula>COUNTIF(#REF!,A995)&gt;1</formula>
    </cfRule>
  </conditionalFormatting>
  <conditionalFormatting sqref="A995">
    <cfRule type="expression" dxfId="66" priority="128">
      <formula>COUNTIF(#REF!,A995)&gt;1</formula>
    </cfRule>
  </conditionalFormatting>
  <conditionalFormatting sqref="A995">
    <cfRule type="expression" dxfId="65" priority="129">
      <formula>COUNTIF(#REF!,A995)&gt;1</formula>
    </cfRule>
  </conditionalFormatting>
  <conditionalFormatting sqref="A995">
    <cfRule type="expression" dxfId="64" priority="130">
      <formula>COUNTIF(#REF!,A995)&gt;1</formula>
    </cfRule>
  </conditionalFormatting>
  <conditionalFormatting sqref="A995">
    <cfRule type="expression" dxfId="63" priority="131">
      <formula>COUNTIF(#REF!,A995)&gt;1</formula>
    </cfRule>
  </conditionalFormatting>
  <conditionalFormatting sqref="A995">
    <cfRule type="expression" dxfId="62" priority="132">
      <formula>COUNTIF(#REF!,A995)&gt;1</formula>
    </cfRule>
  </conditionalFormatting>
  <conditionalFormatting sqref="A995">
    <cfRule type="expression" dxfId="61" priority="133">
      <formula>COUNTIF(#REF!,A995)&gt;1</formula>
    </cfRule>
  </conditionalFormatting>
  <conditionalFormatting sqref="A995">
    <cfRule type="expression" dxfId="60" priority="134">
      <formula>COUNTIF(#REF!,A995)&gt;1</formula>
    </cfRule>
  </conditionalFormatting>
  <conditionalFormatting sqref="A995">
    <cfRule type="expression" dxfId="59" priority="135">
      <formula>COUNTIF(#REF!,A995)&gt;1</formula>
    </cfRule>
  </conditionalFormatting>
  <conditionalFormatting sqref="A995">
    <cfRule type="expression" dxfId="58" priority="136">
      <formula>COUNTIF(#REF!,A995)&gt;1</formula>
    </cfRule>
  </conditionalFormatting>
  <conditionalFormatting sqref="A995">
    <cfRule type="expression" dxfId="57" priority="137">
      <formula>COUNTIF(#REF!,A995)&gt;1</formula>
    </cfRule>
  </conditionalFormatting>
  <conditionalFormatting sqref="A995">
    <cfRule type="expression" dxfId="56" priority="138">
      <formula>COUNTIF(#REF!,A995)&gt;1</formula>
    </cfRule>
  </conditionalFormatting>
  <conditionalFormatting sqref="A995">
    <cfRule type="expression" dxfId="55" priority="139">
      <formula>COUNTIF(#REF!,A995)&gt;1</formula>
    </cfRule>
  </conditionalFormatting>
  <conditionalFormatting sqref="A995">
    <cfRule type="expression" dxfId="54" priority="140">
      <formula>COUNTIF(#REF!,A995)&gt;1</formula>
    </cfRule>
  </conditionalFormatting>
  <conditionalFormatting sqref="A995">
    <cfRule type="expression" dxfId="53" priority="141">
      <formula>COUNTIF(#REF!,A995)&gt;1</formula>
    </cfRule>
  </conditionalFormatting>
  <conditionalFormatting sqref="A995">
    <cfRule type="expression" dxfId="52" priority="142">
      <formula>COUNTIF(#REF!,A995)&gt;1</formula>
    </cfRule>
  </conditionalFormatting>
  <conditionalFormatting sqref="A994">
    <cfRule type="expression" dxfId="51" priority="143">
      <formula>COUNTIF(#REF!,A994)&gt;1</formula>
    </cfRule>
  </conditionalFormatting>
  <conditionalFormatting sqref="A994">
    <cfRule type="expression" dxfId="50" priority="144">
      <formula>COUNTIF(#REF!,A994)&gt;1</formula>
    </cfRule>
  </conditionalFormatting>
  <conditionalFormatting sqref="A994">
    <cfRule type="expression" dxfId="49" priority="145">
      <formula>COUNTIF(#REF!,A994)&gt;1</formula>
    </cfRule>
  </conditionalFormatting>
  <conditionalFormatting sqref="A994">
    <cfRule type="expression" dxfId="48" priority="146">
      <formula>COUNTIF(#REF!,A994)&gt;1</formula>
    </cfRule>
  </conditionalFormatting>
  <conditionalFormatting sqref="A994">
    <cfRule type="expression" dxfId="47" priority="147">
      <formula>COUNTIF(#REF!,A994)&gt;1</formula>
    </cfRule>
  </conditionalFormatting>
  <conditionalFormatting sqref="A994">
    <cfRule type="expression" dxfId="46" priority="148">
      <formula>COUNTIF(#REF!,A994)&gt;1</formula>
    </cfRule>
  </conditionalFormatting>
  <conditionalFormatting sqref="A994">
    <cfRule type="expression" dxfId="45" priority="149">
      <formula>COUNTIF(#REF!,A994)&gt;1</formula>
    </cfRule>
  </conditionalFormatting>
  <conditionalFormatting sqref="A994">
    <cfRule type="expression" dxfId="44" priority="150">
      <formula>COUNTIF(#REF!,A994)&gt;1</formula>
    </cfRule>
  </conditionalFormatting>
  <conditionalFormatting sqref="A994">
    <cfRule type="expression" dxfId="43" priority="151">
      <formula>COUNTIF(#REF!,A994)&gt;1</formula>
    </cfRule>
  </conditionalFormatting>
  <conditionalFormatting sqref="A994">
    <cfRule type="expression" dxfId="42" priority="152">
      <formula>COUNTIF(#REF!,A994)&gt;1</formula>
    </cfRule>
  </conditionalFormatting>
  <conditionalFormatting sqref="A994">
    <cfRule type="expression" dxfId="41" priority="153">
      <formula>COUNTIF(#REF!,A994)&gt;1</formula>
    </cfRule>
  </conditionalFormatting>
  <conditionalFormatting sqref="A994">
    <cfRule type="expression" dxfId="40" priority="154">
      <formula>COUNTIF(#REF!,A994)&gt;1</formula>
    </cfRule>
  </conditionalFormatting>
  <conditionalFormatting sqref="A994">
    <cfRule type="expression" dxfId="39" priority="155">
      <formula>COUNTIF(#REF!,A994)&gt;1</formula>
    </cfRule>
  </conditionalFormatting>
  <conditionalFormatting sqref="A994">
    <cfRule type="expression" dxfId="38" priority="156">
      <formula>COUNTIF(#REF!,A994)&gt;1</formula>
    </cfRule>
  </conditionalFormatting>
  <conditionalFormatting sqref="A994">
    <cfRule type="expression" dxfId="37" priority="157">
      <formula>COUNTIF(#REF!,A994)&gt;1</formula>
    </cfRule>
  </conditionalFormatting>
  <conditionalFormatting sqref="A994">
    <cfRule type="expression" dxfId="36" priority="158">
      <formula>COUNTIF(#REF!,A994)&gt;1</formula>
    </cfRule>
  </conditionalFormatting>
  <conditionalFormatting sqref="A994">
    <cfRule type="expression" dxfId="35" priority="159">
      <formula>COUNTIF(#REF!,A994)&gt;1</formula>
    </cfRule>
  </conditionalFormatting>
  <conditionalFormatting sqref="A994">
    <cfRule type="expression" dxfId="34" priority="160">
      <formula>COUNTIF(#REF!,A994)&gt;1</formula>
    </cfRule>
  </conditionalFormatting>
  <conditionalFormatting sqref="A994">
    <cfRule type="expression" dxfId="33" priority="161">
      <formula>COUNTIF(#REF!,A994)&gt;1</formula>
    </cfRule>
  </conditionalFormatting>
  <conditionalFormatting sqref="A994">
    <cfRule type="expression" dxfId="32" priority="162">
      <formula>COUNTIF(#REF!,A994)&gt;1</formula>
    </cfRule>
  </conditionalFormatting>
  <conditionalFormatting sqref="A994">
    <cfRule type="expression" dxfId="31" priority="163">
      <formula>COUNTIF(#REF!,A994)&gt;1</formula>
    </cfRule>
  </conditionalFormatting>
  <conditionalFormatting sqref="A994">
    <cfRule type="expression" dxfId="30" priority="164">
      <formula>COUNTIF(#REF!,A994)&gt;1</formula>
    </cfRule>
  </conditionalFormatting>
  <conditionalFormatting sqref="A994">
    <cfRule type="expression" dxfId="29" priority="165">
      <formula>COUNTIF(#REF!,A994)&gt;1</formula>
    </cfRule>
  </conditionalFormatting>
  <conditionalFormatting sqref="A993">
    <cfRule type="expression" dxfId="28" priority="166">
      <formula>COUNTIF(#REF!,A993)&gt;1</formula>
    </cfRule>
  </conditionalFormatting>
  <conditionalFormatting sqref="A993">
    <cfRule type="expression" dxfId="27" priority="167">
      <formula>COUNTIF(#REF!,A993)&gt;1</formula>
    </cfRule>
  </conditionalFormatting>
  <conditionalFormatting sqref="A993">
    <cfRule type="expression" dxfId="26" priority="168">
      <formula>COUNTIF(#REF!,A993)&gt;1</formula>
    </cfRule>
  </conditionalFormatting>
  <conditionalFormatting sqref="A993">
    <cfRule type="expression" dxfId="25" priority="169">
      <formula>COUNTIF(#REF!,A993)&gt;1</formula>
    </cfRule>
  </conditionalFormatting>
  <conditionalFormatting sqref="A993">
    <cfRule type="expression" dxfId="24" priority="170">
      <formula>COUNTIF(#REF!,A993)&gt;1</formula>
    </cfRule>
  </conditionalFormatting>
  <conditionalFormatting sqref="A993">
    <cfRule type="expression" dxfId="23" priority="171">
      <formula>COUNTIF(#REF!,A993)&gt;1</formula>
    </cfRule>
  </conditionalFormatting>
  <conditionalFormatting sqref="A993">
    <cfRule type="expression" dxfId="22" priority="172">
      <formula>COUNTIF(#REF!,A993)&gt;1</formula>
    </cfRule>
  </conditionalFormatting>
  <conditionalFormatting sqref="A993">
    <cfRule type="expression" dxfId="21" priority="173">
      <formula>COUNTIF(#REF!,A993)&gt;1</formula>
    </cfRule>
  </conditionalFormatting>
  <conditionalFormatting sqref="A993">
    <cfRule type="expression" dxfId="20" priority="174">
      <formula>COUNTIF(#REF!,A993)&gt;1</formula>
    </cfRule>
  </conditionalFormatting>
  <conditionalFormatting sqref="A993">
    <cfRule type="expression" dxfId="19" priority="175">
      <formula>COUNTIF(#REF!,A993)&gt;1</formula>
    </cfRule>
  </conditionalFormatting>
  <conditionalFormatting sqref="A993">
    <cfRule type="expression" dxfId="18" priority="176">
      <formula>COUNTIF(#REF!,A993)&gt;1</formula>
    </cfRule>
  </conditionalFormatting>
  <conditionalFormatting sqref="A993">
    <cfRule type="expression" dxfId="17" priority="177">
      <formula>COUNTIF(#REF!,A993)&gt;1</formula>
    </cfRule>
  </conditionalFormatting>
  <conditionalFormatting sqref="A993">
    <cfRule type="expression" dxfId="16" priority="178">
      <formula>COUNTIF(#REF!,A993)&gt;1</formula>
    </cfRule>
  </conditionalFormatting>
  <conditionalFormatting sqref="A993">
    <cfRule type="expression" dxfId="15" priority="179">
      <formula>COUNTIF(#REF!,A993)&gt;1</formula>
    </cfRule>
  </conditionalFormatting>
  <conditionalFormatting sqref="A993">
    <cfRule type="expression" dxfId="14" priority="180">
      <formula>COUNTIF(#REF!,A993)&gt;1</formula>
    </cfRule>
  </conditionalFormatting>
  <conditionalFormatting sqref="A993">
    <cfRule type="expression" dxfId="13" priority="181">
      <formula>COUNTIF(#REF!,A993)&gt;1</formula>
    </cfRule>
  </conditionalFormatting>
  <conditionalFormatting sqref="A993">
    <cfRule type="expression" dxfId="12" priority="182">
      <formula>COUNTIF(#REF!,A993)&gt;1</formula>
    </cfRule>
  </conditionalFormatting>
  <conditionalFormatting sqref="A993">
    <cfRule type="expression" dxfId="11" priority="183">
      <formula>COUNTIF(#REF!,A993)&gt;1</formula>
    </cfRule>
  </conditionalFormatting>
  <conditionalFormatting sqref="A993">
    <cfRule type="expression" dxfId="10" priority="184">
      <formula>COUNTIF(#REF!,A993)&gt;1</formula>
    </cfRule>
  </conditionalFormatting>
  <conditionalFormatting sqref="A993">
    <cfRule type="expression" dxfId="9" priority="185">
      <formula>COUNTIF(#REF!,A993)&gt;1</formula>
    </cfRule>
  </conditionalFormatting>
  <conditionalFormatting sqref="A993">
    <cfRule type="expression" dxfId="8" priority="186">
      <formula>COUNTIF(#REF!,A993)&gt;1</formula>
    </cfRule>
  </conditionalFormatting>
  <conditionalFormatting sqref="A993">
    <cfRule type="expression" dxfId="7" priority="187">
      <formula>COUNTIF(#REF!,A993)&gt;1</formula>
    </cfRule>
  </conditionalFormatting>
  <conditionalFormatting sqref="A993">
    <cfRule type="expression" dxfId="6" priority="188">
      <formula>COUNTIF(#REF!,A993)&gt;1</formula>
    </cfRule>
  </conditionalFormatting>
  <conditionalFormatting sqref="A989 A997 A1000:A1001 A1003:A1005 A1018">
    <cfRule type="expression" dxfId="5" priority="189">
      <formula>COUNTIF(A:A,A989)&gt;1</formula>
    </cfRule>
  </conditionalFormatting>
  <conditionalFormatting sqref="A996:A1012 A1018:A1019 A984:A992">
    <cfRule type="expression" dxfId="4" priority="190">
      <formula>COUNTIF(C984:C3927,C984)&gt;1</formula>
    </cfRule>
  </conditionalFormatting>
  <conditionalFormatting sqref="AC4:AF16 AA31:AC37">
    <cfRule type="cellIs" dxfId="3" priority="3" operator="lessThan">
      <formula>0</formula>
    </cfRule>
    <cfRule type="cellIs" dxfId="2" priority="4" operator="greaterThan">
      <formula>0</formula>
    </cfRule>
  </conditionalFormatting>
  <conditionalFormatting sqref="AA38:AC38">
    <cfRule type="cellIs" dxfId="1" priority="1" operator="lessThan">
      <formula>0</formula>
    </cfRule>
    <cfRule type="cellIs" dxfId="0" priority="2" operator="greaterThan">
      <formula>0</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4BEEE-A329-4E76-A238-72832BFE7DAC}">
  <sheetPr filterMode="1"/>
  <dimension ref="A1:J17"/>
  <sheetViews>
    <sheetView workbookViewId="0">
      <selection activeCell="C7" sqref="C7"/>
    </sheetView>
  </sheetViews>
  <sheetFormatPr defaultRowHeight="14.4"/>
  <cols>
    <col min="1" max="1" width="20.88671875" customWidth="1"/>
    <col min="7" max="7" width="12.77734375" customWidth="1"/>
  </cols>
  <sheetData>
    <row r="1" spans="1:10" s="6" customFormat="1" ht="15" thickBot="1">
      <c r="A1" s="37" t="s">
        <v>3744</v>
      </c>
      <c r="B1" s="38" t="s">
        <v>3745</v>
      </c>
      <c r="C1" s="38" t="s">
        <v>3746</v>
      </c>
      <c r="D1" s="38" t="s">
        <v>3747</v>
      </c>
      <c r="E1" s="39" t="s">
        <v>3748</v>
      </c>
      <c r="F1" s="39" t="s">
        <v>9</v>
      </c>
      <c r="G1" s="39" t="s">
        <v>3749</v>
      </c>
      <c r="H1" s="38" t="s">
        <v>3750</v>
      </c>
      <c r="I1" s="38" t="s">
        <v>3751</v>
      </c>
      <c r="J1" s="38" t="s">
        <v>4</v>
      </c>
    </row>
    <row r="2" spans="1:10" ht="15" hidden="1" thickBot="1">
      <c r="A2" s="46" t="s">
        <v>3764</v>
      </c>
      <c r="B2" s="47">
        <v>972547444881</v>
      </c>
      <c r="C2" s="47" t="s">
        <v>3765</v>
      </c>
      <c r="D2" s="47" t="s">
        <v>3763</v>
      </c>
      <c r="E2" s="47" t="s">
        <v>3753</v>
      </c>
      <c r="F2" s="41"/>
      <c r="G2" s="47" t="s">
        <v>3766</v>
      </c>
      <c r="H2" s="41" t="s">
        <v>32</v>
      </c>
      <c r="I2" s="41" t="s">
        <v>1679</v>
      </c>
      <c r="J2" s="41" t="s">
        <v>3755</v>
      </c>
    </row>
    <row r="3" spans="1:10" ht="15" hidden="1" thickBot="1">
      <c r="A3" s="45" t="s">
        <v>3767</v>
      </c>
      <c r="B3" s="43"/>
      <c r="C3" s="43" t="s">
        <v>3768</v>
      </c>
      <c r="D3" s="43" t="s">
        <v>3763</v>
      </c>
      <c r="E3" s="43" t="s">
        <v>3761</v>
      </c>
      <c r="F3" s="42"/>
      <c r="G3" s="43" t="s">
        <v>3769</v>
      </c>
      <c r="H3" s="42" t="s">
        <v>3754</v>
      </c>
      <c r="I3" s="42" t="s">
        <v>1679</v>
      </c>
      <c r="J3" s="42" t="s">
        <v>3755</v>
      </c>
    </row>
    <row r="4" spans="1:10" ht="15" hidden="1" thickBot="1">
      <c r="A4" s="45" t="s">
        <v>3770</v>
      </c>
      <c r="B4" s="48">
        <v>4234142203</v>
      </c>
      <c r="C4" s="48" t="s">
        <v>3771</v>
      </c>
      <c r="D4" s="43" t="s">
        <v>3763</v>
      </c>
      <c r="E4" s="43" t="s">
        <v>3753</v>
      </c>
      <c r="F4" s="42"/>
      <c r="G4" s="43" t="s">
        <v>3772</v>
      </c>
      <c r="H4" s="42" t="s">
        <v>3754</v>
      </c>
      <c r="I4" s="42" t="s">
        <v>1679</v>
      </c>
      <c r="J4" s="42" t="s">
        <v>3757</v>
      </c>
    </row>
    <row r="5" spans="1:10" ht="15" thickBot="1">
      <c r="A5" s="45" t="s">
        <v>186</v>
      </c>
      <c r="B5" s="43">
        <v>16038310359</v>
      </c>
      <c r="C5" s="43" t="s">
        <v>190</v>
      </c>
      <c r="D5" s="43" t="s">
        <v>3763</v>
      </c>
      <c r="E5" s="43" t="s">
        <v>3761</v>
      </c>
      <c r="F5" s="42" t="s">
        <v>3773</v>
      </c>
      <c r="G5" s="43" t="s">
        <v>3774</v>
      </c>
      <c r="H5" s="42" t="s">
        <v>3754</v>
      </c>
      <c r="I5" s="42" t="s">
        <v>1681</v>
      </c>
      <c r="J5" s="42" t="s">
        <v>3755</v>
      </c>
    </row>
    <row r="6" spans="1:10" ht="15" hidden="1" thickBot="1">
      <c r="A6" s="45" t="s">
        <v>427</v>
      </c>
      <c r="B6" s="43"/>
      <c r="C6" s="43" t="s">
        <v>429</v>
      </c>
      <c r="D6" s="43" t="s">
        <v>3763</v>
      </c>
      <c r="E6" s="43" t="s">
        <v>3760</v>
      </c>
      <c r="F6" s="42"/>
      <c r="G6" s="43" t="s">
        <v>3774</v>
      </c>
      <c r="H6" s="42" t="s">
        <v>32</v>
      </c>
      <c r="I6" s="42" t="s">
        <v>1679</v>
      </c>
      <c r="J6" s="42" t="s">
        <v>3755</v>
      </c>
    </row>
    <row r="7" spans="1:10" ht="15" hidden="1" thickBot="1">
      <c r="A7" s="44" t="s">
        <v>3775</v>
      </c>
      <c r="B7" s="42">
        <v>89969400829</v>
      </c>
      <c r="C7" s="42" t="s">
        <v>525</v>
      </c>
      <c r="D7" s="42" t="s">
        <v>3752</v>
      </c>
      <c r="E7" s="42" t="s">
        <v>3760</v>
      </c>
      <c r="F7" s="42"/>
      <c r="G7" s="43" t="s">
        <v>3774</v>
      </c>
      <c r="H7" s="42" t="s">
        <v>658</v>
      </c>
      <c r="I7" s="42" t="s">
        <v>1679</v>
      </c>
      <c r="J7" s="42" t="s">
        <v>3755</v>
      </c>
    </row>
    <row r="8" spans="1:10" ht="15" thickBot="1">
      <c r="A8" s="45" t="s">
        <v>3776</v>
      </c>
      <c r="B8" s="43"/>
      <c r="C8" s="43" t="s">
        <v>3777</v>
      </c>
      <c r="D8" s="43" t="s">
        <v>3763</v>
      </c>
      <c r="E8" s="43" t="s">
        <v>3761</v>
      </c>
      <c r="F8" s="42" t="s">
        <v>3773</v>
      </c>
      <c r="G8" s="43" t="s">
        <v>3778</v>
      </c>
      <c r="H8" s="42" t="s">
        <v>3779</v>
      </c>
      <c r="I8" s="42" t="s">
        <v>1681</v>
      </c>
      <c r="J8" s="42" t="s">
        <v>3757</v>
      </c>
    </row>
    <row r="9" spans="1:10" ht="15" hidden="1" thickBot="1">
      <c r="A9" s="44" t="s">
        <v>275</v>
      </c>
      <c r="B9" s="42">
        <v>5511979772514</v>
      </c>
      <c r="C9" s="42" t="s">
        <v>279</v>
      </c>
      <c r="D9" s="42" t="s">
        <v>3756</v>
      </c>
      <c r="E9" s="42" t="s">
        <v>3759</v>
      </c>
      <c r="F9" s="42"/>
      <c r="G9" s="49" t="s">
        <v>3774</v>
      </c>
      <c r="H9" s="50" t="s">
        <v>81</v>
      </c>
      <c r="I9" s="42" t="s">
        <v>1679</v>
      </c>
      <c r="J9" s="42" t="s">
        <v>3755</v>
      </c>
    </row>
    <row r="10" spans="1:10" ht="15" hidden="1" thickBot="1">
      <c r="A10" s="44" t="s">
        <v>3780</v>
      </c>
      <c r="B10" s="42">
        <v>5511978340707</v>
      </c>
      <c r="C10" s="42" t="s">
        <v>3781</v>
      </c>
      <c r="D10" s="42" t="s">
        <v>3756</v>
      </c>
      <c r="E10" s="42" t="s">
        <v>3753</v>
      </c>
      <c r="F10" s="42"/>
      <c r="G10" s="49" t="s">
        <v>3782</v>
      </c>
      <c r="H10" s="50" t="s">
        <v>81</v>
      </c>
      <c r="I10" s="42" t="s">
        <v>1679</v>
      </c>
      <c r="J10" s="42" t="s">
        <v>3755</v>
      </c>
    </row>
    <row r="11" spans="1:10" ht="15" hidden="1" thickBot="1">
      <c r="A11" s="51" t="s">
        <v>3783</v>
      </c>
      <c r="B11" s="42">
        <v>79129545186</v>
      </c>
      <c r="C11" s="42" t="s">
        <v>1106</v>
      </c>
      <c r="D11" s="42" t="s">
        <v>3752</v>
      </c>
      <c r="E11" s="42" t="s">
        <v>3759</v>
      </c>
      <c r="F11" s="42"/>
      <c r="G11" s="42" t="s">
        <v>3784</v>
      </c>
      <c r="H11" s="42" t="s">
        <v>658</v>
      </c>
      <c r="I11" s="42" t="s">
        <v>1679</v>
      </c>
      <c r="J11" s="42" t="s">
        <v>3755</v>
      </c>
    </row>
    <row r="12" spans="1:10" ht="16.2" hidden="1" thickBot="1">
      <c r="A12" s="52" t="s">
        <v>1153</v>
      </c>
      <c r="B12" s="53">
        <v>7973479230</v>
      </c>
      <c r="C12" s="50" t="s">
        <v>1155</v>
      </c>
      <c r="D12" s="42" t="s">
        <v>3756</v>
      </c>
      <c r="E12" s="42" t="s">
        <v>49</v>
      </c>
      <c r="F12" s="42"/>
      <c r="G12" s="49" t="s">
        <v>3785</v>
      </c>
      <c r="H12" s="42" t="s">
        <v>3779</v>
      </c>
      <c r="I12" s="42" t="s">
        <v>1679</v>
      </c>
      <c r="J12" s="42" t="s">
        <v>3757</v>
      </c>
    </row>
    <row r="13" spans="1:10" ht="15" hidden="1" thickBot="1">
      <c r="A13" s="45" t="s">
        <v>3786</v>
      </c>
      <c r="B13" s="43">
        <v>18185361877</v>
      </c>
      <c r="C13" s="43" t="s">
        <v>3787</v>
      </c>
      <c r="D13" s="42" t="s">
        <v>3763</v>
      </c>
      <c r="E13" s="42" t="s">
        <v>3753</v>
      </c>
      <c r="F13" s="42" t="s">
        <v>3788</v>
      </c>
      <c r="G13" s="43" t="s">
        <v>3789</v>
      </c>
      <c r="H13" s="42" t="s">
        <v>3754</v>
      </c>
      <c r="I13" s="42" t="s">
        <v>1679</v>
      </c>
      <c r="J13" s="42" t="s">
        <v>3757</v>
      </c>
    </row>
    <row r="14" spans="1:10" ht="15" hidden="1" thickBot="1">
      <c r="A14" s="44" t="s">
        <v>937</v>
      </c>
      <c r="B14" s="42" t="s">
        <v>3790</v>
      </c>
      <c r="C14" s="42" t="s">
        <v>939</v>
      </c>
      <c r="D14" s="42" t="s">
        <v>3756</v>
      </c>
      <c r="E14" s="42" t="s">
        <v>3761</v>
      </c>
      <c r="F14" s="42"/>
      <c r="G14" s="49" t="s">
        <v>3791</v>
      </c>
      <c r="H14" s="50" t="s">
        <v>3792</v>
      </c>
      <c r="I14" s="42" t="s">
        <v>1679</v>
      </c>
      <c r="J14" s="42" t="s">
        <v>3757</v>
      </c>
    </row>
    <row r="15" spans="1:10" ht="15" hidden="1" thickBot="1">
      <c r="A15" s="44" t="s">
        <v>448</v>
      </c>
      <c r="B15" s="42">
        <v>8604903611</v>
      </c>
      <c r="C15" s="42" t="s">
        <v>475</v>
      </c>
      <c r="D15" s="42" t="s">
        <v>3752</v>
      </c>
      <c r="E15" s="42" t="s">
        <v>3762</v>
      </c>
      <c r="F15" s="42"/>
      <c r="G15" s="42" t="s">
        <v>3782</v>
      </c>
      <c r="H15" s="42" t="s">
        <v>3754</v>
      </c>
      <c r="I15" s="42" t="s">
        <v>1679</v>
      </c>
      <c r="J15" s="42" t="s">
        <v>3757</v>
      </c>
    </row>
    <row r="16" spans="1:10" ht="15" hidden="1" thickBot="1">
      <c r="A16" s="44" t="s">
        <v>3793</v>
      </c>
      <c r="B16" s="42">
        <v>381611355044</v>
      </c>
      <c r="C16" s="42" t="s">
        <v>72</v>
      </c>
      <c r="D16" s="42" t="s">
        <v>3758</v>
      </c>
      <c r="E16" s="42" t="s">
        <v>3759</v>
      </c>
      <c r="F16" s="42"/>
      <c r="G16" s="43" t="s">
        <v>3778</v>
      </c>
      <c r="H16" s="42" t="s">
        <v>71</v>
      </c>
      <c r="I16" s="42" t="s">
        <v>1679</v>
      </c>
      <c r="J16" s="42" t="s">
        <v>3755</v>
      </c>
    </row>
    <row r="17" spans="1:10" ht="15" hidden="1" thickBot="1">
      <c r="A17" s="40" t="s">
        <v>3794</v>
      </c>
      <c r="B17" s="41">
        <v>33672187620</v>
      </c>
      <c r="C17" s="41" t="s">
        <v>3795</v>
      </c>
      <c r="D17" s="41" t="s">
        <v>3752</v>
      </c>
      <c r="E17" s="41" t="s">
        <v>3762</v>
      </c>
      <c r="F17" s="41"/>
      <c r="G17" s="41" t="s">
        <v>3791</v>
      </c>
      <c r="H17" s="41" t="s">
        <v>345</v>
      </c>
      <c r="I17" s="41" t="s">
        <v>3796</v>
      </c>
      <c r="J17" s="41" t="s">
        <v>3755</v>
      </c>
    </row>
  </sheetData>
  <autoFilter ref="A1:J17" xr:uid="{9A24BEEE-A329-4E76-A238-72832BFE7DAC}">
    <filterColumn colId="8">
      <filters>
        <filter val="LV"/>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EB9E9-F703-4602-9052-3D5713C89254}">
  <dimension ref="A1:O415"/>
  <sheetViews>
    <sheetView workbookViewId="0">
      <selection activeCell="A422" sqref="A422"/>
    </sheetView>
  </sheetViews>
  <sheetFormatPr defaultColWidth="12.6640625" defaultRowHeight="14.4"/>
  <cols>
    <col min="1" max="1" width="25.109375" style="6" customWidth="1"/>
    <col min="2" max="16384" width="12.6640625" style="6"/>
  </cols>
  <sheetData>
    <row r="1" spans="1:15">
      <c r="A1" s="31" t="s">
        <v>1715</v>
      </c>
    </row>
    <row r="2" spans="1:15">
      <c r="A2" s="31" t="s">
        <v>1716</v>
      </c>
    </row>
    <row r="3" spans="1:15">
      <c r="A3" s="31" t="s">
        <v>1717</v>
      </c>
      <c r="B3" s="31" t="s">
        <v>1718</v>
      </c>
      <c r="C3" s="31" t="s">
        <v>1719</v>
      </c>
      <c r="D3" s="31" t="s">
        <v>1720</v>
      </c>
      <c r="E3" s="31" t="s">
        <v>1721</v>
      </c>
      <c r="F3" s="31" t="s">
        <v>1722</v>
      </c>
      <c r="G3" s="31" t="s">
        <v>1723</v>
      </c>
      <c r="H3" s="31" t="s">
        <v>1724</v>
      </c>
      <c r="I3" s="31" t="s">
        <v>1725</v>
      </c>
      <c r="J3" s="31" t="s">
        <v>1726</v>
      </c>
      <c r="K3" s="31" t="s">
        <v>1727</v>
      </c>
      <c r="L3" s="31" t="s">
        <v>1728</v>
      </c>
      <c r="M3" s="31" t="s">
        <v>1729</v>
      </c>
      <c r="N3" s="31" t="s">
        <v>1730</v>
      </c>
      <c r="O3" s="31" t="s">
        <v>1731</v>
      </c>
    </row>
    <row r="4" spans="1:15">
      <c r="A4" s="31" t="s">
        <v>2810</v>
      </c>
      <c r="B4" s="31" t="s">
        <v>3678</v>
      </c>
      <c r="C4" s="31" t="s">
        <v>1734</v>
      </c>
      <c r="D4" s="31" t="s">
        <v>695</v>
      </c>
      <c r="E4" s="31" t="s">
        <v>1740</v>
      </c>
      <c r="F4" s="31">
        <v>4</v>
      </c>
      <c r="G4" s="31">
        <v>21</v>
      </c>
      <c r="H4" s="32">
        <v>0.1905</v>
      </c>
      <c r="I4" s="31" t="s">
        <v>1736</v>
      </c>
      <c r="J4" s="31">
        <v>2.42</v>
      </c>
      <c r="K4" s="31">
        <v>9.6999999999999993</v>
      </c>
      <c r="L4" s="31">
        <v>0</v>
      </c>
      <c r="M4" s="31">
        <v>0</v>
      </c>
      <c r="N4" s="31">
        <v>0</v>
      </c>
      <c r="O4" s="32">
        <v>0</v>
      </c>
    </row>
    <row r="5" spans="1:15">
      <c r="A5" s="31" t="s">
        <v>2810</v>
      </c>
      <c r="B5" s="31" t="s">
        <v>3678</v>
      </c>
      <c r="C5" s="31" t="s">
        <v>1734</v>
      </c>
      <c r="D5" s="31" t="s">
        <v>695</v>
      </c>
      <c r="E5" s="31" t="s">
        <v>1739</v>
      </c>
      <c r="F5" s="31">
        <v>7</v>
      </c>
      <c r="G5" s="31">
        <v>30</v>
      </c>
      <c r="H5" s="32">
        <v>0.23330000000000001</v>
      </c>
      <c r="I5" s="31" t="s">
        <v>1736</v>
      </c>
      <c r="J5" s="31">
        <v>2.75</v>
      </c>
      <c r="K5" s="31">
        <v>19.25</v>
      </c>
      <c r="L5" s="31">
        <v>0</v>
      </c>
      <c r="M5" s="31">
        <v>0</v>
      </c>
      <c r="N5" s="31">
        <v>0</v>
      </c>
      <c r="O5" s="32">
        <v>0</v>
      </c>
    </row>
    <row r="6" spans="1:15">
      <c r="A6" s="31" t="s">
        <v>2810</v>
      </c>
      <c r="B6" s="31" t="s">
        <v>3678</v>
      </c>
      <c r="C6" s="31" t="s">
        <v>1734</v>
      </c>
      <c r="D6" s="31" t="s">
        <v>695</v>
      </c>
      <c r="E6" s="31" t="s">
        <v>1735</v>
      </c>
      <c r="F6" s="31">
        <v>1</v>
      </c>
      <c r="G6" s="31">
        <v>3</v>
      </c>
      <c r="H6" s="32">
        <v>0.33329999999999999</v>
      </c>
      <c r="I6" s="31" t="s">
        <v>1736</v>
      </c>
      <c r="J6" s="31">
        <v>1.59</v>
      </c>
      <c r="K6" s="31">
        <v>1.59</v>
      </c>
      <c r="L6" s="31">
        <v>0</v>
      </c>
      <c r="M6" s="31">
        <v>0</v>
      </c>
      <c r="N6" s="31">
        <v>0</v>
      </c>
      <c r="O6" s="32">
        <v>0</v>
      </c>
    </row>
    <row r="7" spans="1:15">
      <c r="A7" s="31" t="s">
        <v>2810</v>
      </c>
      <c r="B7" s="31" t="s">
        <v>3678</v>
      </c>
      <c r="C7" s="31" t="s">
        <v>1734</v>
      </c>
      <c r="D7" s="31" t="s">
        <v>695</v>
      </c>
      <c r="E7" s="31" t="s">
        <v>1741</v>
      </c>
      <c r="F7" s="31">
        <v>0</v>
      </c>
      <c r="G7" s="31">
        <v>1</v>
      </c>
      <c r="H7" s="32">
        <v>0</v>
      </c>
      <c r="I7" s="31" t="s">
        <v>1736</v>
      </c>
      <c r="J7" s="31">
        <v>0</v>
      </c>
      <c r="K7" s="31">
        <v>0</v>
      </c>
      <c r="L7" s="31">
        <v>0</v>
      </c>
      <c r="M7" s="31">
        <v>0</v>
      </c>
      <c r="N7" s="31">
        <v>0</v>
      </c>
      <c r="O7" s="32">
        <v>0</v>
      </c>
    </row>
    <row r="8" spans="1:15">
      <c r="A8" s="31" t="s">
        <v>2810</v>
      </c>
      <c r="B8" s="31" t="s">
        <v>3678</v>
      </c>
      <c r="C8" s="31" t="s">
        <v>1734</v>
      </c>
      <c r="D8" s="31" t="s">
        <v>695</v>
      </c>
      <c r="E8" s="31" t="s">
        <v>1747</v>
      </c>
      <c r="F8" s="31">
        <v>17</v>
      </c>
      <c r="G8" s="31">
        <v>124</v>
      </c>
      <c r="H8" s="32">
        <v>0.1371</v>
      </c>
      <c r="I8" s="31" t="s">
        <v>1736</v>
      </c>
      <c r="J8" s="31">
        <v>2.14</v>
      </c>
      <c r="K8" s="31">
        <v>36.36</v>
      </c>
      <c r="L8" s="31">
        <v>2</v>
      </c>
      <c r="M8" s="31">
        <v>0</v>
      </c>
      <c r="N8" s="31">
        <v>18.18</v>
      </c>
      <c r="O8" s="32">
        <v>0.1176</v>
      </c>
    </row>
    <row r="9" spans="1:15">
      <c r="A9" s="31" t="s">
        <v>2810</v>
      </c>
      <c r="B9" s="31" t="s">
        <v>3678</v>
      </c>
      <c r="C9" s="31" t="s">
        <v>1734</v>
      </c>
      <c r="D9" s="31" t="s">
        <v>695</v>
      </c>
      <c r="E9" s="31" t="s">
        <v>1742</v>
      </c>
      <c r="F9" s="31">
        <v>4</v>
      </c>
      <c r="G9" s="31">
        <v>34</v>
      </c>
      <c r="H9" s="32">
        <v>0.1176</v>
      </c>
      <c r="I9" s="31" t="s">
        <v>1736</v>
      </c>
      <c r="J9" s="31">
        <v>2.4500000000000002</v>
      </c>
      <c r="K9" s="31">
        <v>9.8000000000000007</v>
      </c>
      <c r="L9" s="31">
        <v>0</v>
      </c>
      <c r="M9" s="31">
        <v>0</v>
      </c>
      <c r="N9" s="31">
        <v>0</v>
      </c>
      <c r="O9" s="32">
        <v>0</v>
      </c>
    </row>
    <row r="10" spans="1:15">
      <c r="A10" s="31" t="s">
        <v>2819</v>
      </c>
      <c r="B10" s="31" t="s">
        <v>3678</v>
      </c>
      <c r="C10" s="31" t="s">
        <v>1734</v>
      </c>
      <c r="D10" s="31" t="s">
        <v>32</v>
      </c>
      <c r="E10" s="31" t="s">
        <v>1740</v>
      </c>
      <c r="F10" s="31">
        <v>20</v>
      </c>
      <c r="G10" s="31">
        <v>119</v>
      </c>
      <c r="H10" s="32">
        <v>0.1681</v>
      </c>
      <c r="I10" s="31" t="s">
        <v>1736</v>
      </c>
      <c r="J10" s="31">
        <v>2.62</v>
      </c>
      <c r="K10" s="31">
        <v>52.32</v>
      </c>
      <c r="L10" s="31">
        <v>1</v>
      </c>
      <c r="M10" s="31">
        <v>0</v>
      </c>
      <c r="N10" s="31">
        <v>52.32</v>
      </c>
      <c r="O10" s="32">
        <v>0.05</v>
      </c>
    </row>
    <row r="11" spans="1:15">
      <c r="A11" s="31" t="s">
        <v>2819</v>
      </c>
      <c r="B11" s="31" t="s">
        <v>3678</v>
      </c>
      <c r="C11" s="31" t="s">
        <v>1734</v>
      </c>
      <c r="D11" s="31" t="s">
        <v>32</v>
      </c>
      <c r="E11" s="31" t="s">
        <v>1735</v>
      </c>
      <c r="F11" s="31">
        <v>4</v>
      </c>
      <c r="G11" s="31">
        <v>14</v>
      </c>
      <c r="H11" s="32">
        <v>0.28570000000000001</v>
      </c>
      <c r="I11" s="31" t="s">
        <v>1736</v>
      </c>
      <c r="J11" s="31">
        <v>3.35</v>
      </c>
      <c r="K11" s="31">
        <v>13.41</v>
      </c>
      <c r="L11" s="31">
        <v>0</v>
      </c>
      <c r="M11" s="31">
        <v>0</v>
      </c>
      <c r="N11" s="31">
        <v>0</v>
      </c>
      <c r="O11" s="32">
        <v>0</v>
      </c>
    </row>
    <row r="12" spans="1:15">
      <c r="A12" s="31" t="s">
        <v>2819</v>
      </c>
      <c r="B12" s="31" t="s">
        <v>3678</v>
      </c>
      <c r="C12" s="31" t="s">
        <v>1734</v>
      </c>
      <c r="D12" s="31" t="s">
        <v>32</v>
      </c>
      <c r="E12" s="31" t="s">
        <v>1741</v>
      </c>
      <c r="F12" s="31">
        <v>0</v>
      </c>
      <c r="G12" s="31">
        <v>2</v>
      </c>
      <c r="H12" s="32">
        <v>0</v>
      </c>
      <c r="I12" s="31" t="s">
        <v>1736</v>
      </c>
      <c r="J12" s="31">
        <v>0</v>
      </c>
      <c r="K12" s="31">
        <v>0</v>
      </c>
      <c r="L12" s="31">
        <v>0</v>
      </c>
      <c r="M12" s="31">
        <v>0</v>
      </c>
      <c r="N12" s="31">
        <v>0</v>
      </c>
      <c r="O12" s="32">
        <v>0</v>
      </c>
    </row>
    <row r="13" spans="1:15">
      <c r="A13" s="31" t="s">
        <v>2819</v>
      </c>
      <c r="B13" s="31" t="s">
        <v>3678</v>
      </c>
      <c r="C13" s="31" t="s">
        <v>1734</v>
      </c>
      <c r="D13" s="31" t="s">
        <v>32</v>
      </c>
      <c r="E13" s="31" t="s">
        <v>1747</v>
      </c>
      <c r="F13" s="31">
        <v>1</v>
      </c>
      <c r="G13" s="31">
        <v>7</v>
      </c>
      <c r="H13" s="32">
        <v>0.1429</v>
      </c>
      <c r="I13" s="31" t="s">
        <v>1736</v>
      </c>
      <c r="J13" s="31">
        <v>3.07</v>
      </c>
      <c r="K13" s="31">
        <v>3.07</v>
      </c>
      <c r="L13" s="31">
        <v>0</v>
      </c>
      <c r="M13" s="31">
        <v>0</v>
      </c>
      <c r="N13" s="31">
        <v>0</v>
      </c>
      <c r="O13" s="32">
        <v>0</v>
      </c>
    </row>
    <row r="14" spans="1:15">
      <c r="A14" s="31" t="s">
        <v>2819</v>
      </c>
      <c r="B14" s="31" t="s">
        <v>3678</v>
      </c>
      <c r="C14" s="31" t="s">
        <v>1734</v>
      </c>
      <c r="D14" s="31" t="s">
        <v>32</v>
      </c>
      <c r="E14" s="31" t="s">
        <v>1742</v>
      </c>
      <c r="F14" s="31">
        <v>4</v>
      </c>
      <c r="G14" s="31">
        <v>20</v>
      </c>
      <c r="H14" s="32">
        <v>0.2</v>
      </c>
      <c r="I14" s="31" t="s">
        <v>1736</v>
      </c>
      <c r="J14" s="31">
        <v>3.02</v>
      </c>
      <c r="K14" s="31">
        <v>12.06</v>
      </c>
      <c r="L14" s="31">
        <v>0</v>
      </c>
      <c r="M14" s="31">
        <v>0</v>
      </c>
      <c r="N14" s="31">
        <v>0</v>
      </c>
      <c r="O14" s="32">
        <v>0</v>
      </c>
    </row>
    <row r="15" spans="1:15">
      <c r="A15" s="31" t="s">
        <v>2821</v>
      </c>
      <c r="B15" s="31" t="s">
        <v>3678</v>
      </c>
      <c r="C15" s="31" t="s">
        <v>1734</v>
      </c>
      <c r="D15" s="31" t="s">
        <v>88</v>
      </c>
      <c r="E15" s="31" t="s">
        <v>1740</v>
      </c>
      <c r="F15" s="31">
        <v>9</v>
      </c>
      <c r="G15" s="31">
        <v>108</v>
      </c>
      <c r="H15" s="32">
        <v>8.3299999999999999E-2</v>
      </c>
      <c r="I15" s="31" t="s">
        <v>1736</v>
      </c>
      <c r="J15" s="31">
        <v>1.71</v>
      </c>
      <c r="K15" s="31">
        <v>15.39</v>
      </c>
      <c r="L15" s="31">
        <v>1</v>
      </c>
      <c r="M15" s="31">
        <v>0</v>
      </c>
      <c r="N15" s="31">
        <v>15.39</v>
      </c>
      <c r="O15" s="32">
        <v>0.1111</v>
      </c>
    </row>
    <row r="16" spans="1:15">
      <c r="A16" s="31" t="s">
        <v>2821</v>
      </c>
      <c r="B16" s="31" t="s">
        <v>3678</v>
      </c>
      <c r="C16" s="31" t="s">
        <v>1734</v>
      </c>
      <c r="D16" s="31" t="s">
        <v>88</v>
      </c>
      <c r="E16" s="31" t="s">
        <v>1739</v>
      </c>
      <c r="F16" s="31">
        <v>0</v>
      </c>
      <c r="G16" s="31">
        <v>4</v>
      </c>
      <c r="H16" s="32">
        <v>0</v>
      </c>
      <c r="I16" s="31" t="s">
        <v>1736</v>
      </c>
      <c r="J16" s="31">
        <v>0</v>
      </c>
      <c r="K16" s="31">
        <v>0</v>
      </c>
      <c r="L16" s="31">
        <v>0</v>
      </c>
      <c r="M16" s="31">
        <v>0</v>
      </c>
      <c r="N16" s="31">
        <v>0</v>
      </c>
      <c r="O16" s="32">
        <v>0</v>
      </c>
    </row>
    <row r="17" spans="1:15">
      <c r="A17" s="31" t="s">
        <v>2821</v>
      </c>
      <c r="B17" s="31" t="s">
        <v>3678</v>
      </c>
      <c r="C17" s="31" t="s">
        <v>1734</v>
      </c>
      <c r="D17" s="31" t="s">
        <v>88</v>
      </c>
      <c r="E17" s="31" t="s">
        <v>1735</v>
      </c>
      <c r="F17" s="31">
        <v>4</v>
      </c>
      <c r="G17" s="31">
        <v>39</v>
      </c>
      <c r="H17" s="32">
        <v>0.1026</v>
      </c>
      <c r="I17" s="31" t="s">
        <v>1736</v>
      </c>
      <c r="J17" s="31">
        <v>1</v>
      </c>
      <c r="K17" s="31">
        <v>4.0199999999999996</v>
      </c>
      <c r="L17" s="31">
        <v>0</v>
      </c>
      <c r="M17" s="31">
        <v>0</v>
      </c>
      <c r="N17" s="31">
        <v>0</v>
      </c>
      <c r="O17" s="32">
        <v>0</v>
      </c>
    </row>
    <row r="18" spans="1:15">
      <c r="A18" s="31" t="s">
        <v>2821</v>
      </c>
      <c r="B18" s="31" t="s">
        <v>3678</v>
      </c>
      <c r="C18" s="31" t="s">
        <v>1734</v>
      </c>
      <c r="D18" s="31" t="s">
        <v>88</v>
      </c>
      <c r="E18" s="31" t="s">
        <v>1747</v>
      </c>
      <c r="F18" s="31">
        <v>12</v>
      </c>
      <c r="G18" s="31">
        <v>137</v>
      </c>
      <c r="H18" s="32">
        <v>8.7599999999999997E-2</v>
      </c>
      <c r="I18" s="31" t="s">
        <v>1736</v>
      </c>
      <c r="J18" s="31">
        <v>1.54</v>
      </c>
      <c r="K18" s="31">
        <v>18.46</v>
      </c>
      <c r="L18" s="31">
        <v>1</v>
      </c>
      <c r="M18" s="31">
        <v>0</v>
      </c>
      <c r="N18" s="31">
        <v>18.46</v>
      </c>
      <c r="O18" s="32">
        <v>8.3299999999999999E-2</v>
      </c>
    </row>
    <row r="19" spans="1:15">
      <c r="A19" s="31" t="s">
        <v>3295</v>
      </c>
      <c r="B19" s="31" t="s">
        <v>3678</v>
      </c>
      <c r="C19" s="31" t="s">
        <v>1734</v>
      </c>
      <c r="D19" s="31" t="s">
        <v>159</v>
      </c>
      <c r="E19" s="31" t="s">
        <v>1740</v>
      </c>
      <c r="F19" s="31">
        <v>19</v>
      </c>
      <c r="G19" s="31">
        <v>169</v>
      </c>
      <c r="H19" s="32">
        <v>0.1124</v>
      </c>
      <c r="I19" s="31" t="s">
        <v>1736</v>
      </c>
      <c r="J19" s="31">
        <v>2.6</v>
      </c>
      <c r="K19" s="31">
        <v>49.34</v>
      </c>
      <c r="L19" s="31">
        <v>0</v>
      </c>
      <c r="M19" s="31">
        <v>0</v>
      </c>
      <c r="N19" s="31">
        <v>0</v>
      </c>
      <c r="O19" s="32">
        <v>0</v>
      </c>
    </row>
    <row r="20" spans="1:15">
      <c r="A20" s="31" t="s">
        <v>3295</v>
      </c>
      <c r="B20" s="31" t="s">
        <v>3678</v>
      </c>
      <c r="C20" s="31" t="s">
        <v>1734</v>
      </c>
      <c r="D20" s="31" t="s">
        <v>3296</v>
      </c>
      <c r="E20" s="31" t="s">
        <v>1740</v>
      </c>
      <c r="F20" s="31">
        <v>2</v>
      </c>
      <c r="G20" s="31">
        <v>19</v>
      </c>
      <c r="H20" s="32">
        <v>0.1053</v>
      </c>
      <c r="I20" s="31" t="s">
        <v>1736</v>
      </c>
      <c r="J20" s="31">
        <v>2.37</v>
      </c>
      <c r="K20" s="31">
        <v>4.74</v>
      </c>
      <c r="L20" s="31">
        <v>0</v>
      </c>
      <c r="M20" s="31">
        <v>0</v>
      </c>
      <c r="N20" s="31">
        <v>0</v>
      </c>
      <c r="O20" s="32">
        <v>0</v>
      </c>
    </row>
    <row r="21" spans="1:15">
      <c r="A21" s="31" t="s">
        <v>3295</v>
      </c>
      <c r="B21" s="31" t="s">
        <v>3678</v>
      </c>
      <c r="C21" s="31" t="s">
        <v>1734</v>
      </c>
      <c r="D21" s="31" t="s">
        <v>159</v>
      </c>
      <c r="E21" s="31" t="s">
        <v>1739</v>
      </c>
      <c r="F21" s="31">
        <v>0</v>
      </c>
      <c r="G21" s="31">
        <v>18</v>
      </c>
      <c r="H21" s="32">
        <v>0</v>
      </c>
      <c r="I21" s="31" t="s">
        <v>1736</v>
      </c>
      <c r="J21" s="31">
        <v>0</v>
      </c>
      <c r="K21" s="31">
        <v>0</v>
      </c>
      <c r="L21" s="31">
        <v>0</v>
      </c>
      <c r="M21" s="31">
        <v>0</v>
      </c>
      <c r="N21" s="31">
        <v>0</v>
      </c>
      <c r="O21" s="32">
        <v>0</v>
      </c>
    </row>
    <row r="22" spans="1:15">
      <c r="A22" s="31" t="s">
        <v>3295</v>
      </c>
      <c r="B22" s="31" t="s">
        <v>3678</v>
      </c>
      <c r="C22" s="31" t="s">
        <v>1734</v>
      </c>
      <c r="D22" s="31" t="s">
        <v>3296</v>
      </c>
      <c r="E22" s="31" t="s">
        <v>1739</v>
      </c>
      <c r="F22" s="31">
        <v>0</v>
      </c>
      <c r="G22" s="31">
        <v>2</v>
      </c>
      <c r="H22" s="32">
        <v>0</v>
      </c>
      <c r="I22" s="31" t="s">
        <v>1736</v>
      </c>
      <c r="J22" s="31">
        <v>0</v>
      </c>
      <c r="K22" s="31">
        <v>0</v>
      </c>
      <c r="L22" s="31">
        <v>0</v>
      </c>
      <c r="M22" s="31">
        <v>0</v>
      </c>
      <c r="N22" s="31">
        <v>0</v>
      </c>
      <c r="O22" s="32">
        <v>0</v>
      </c>
    </row>
    <row r="23" spans="1:15">
      <c r="A23" s="31" t="s">
        <v>3295</v>
      </c>
      <c r="B23" s="31" t="s">
        <v>3678</v>
      </c>
      <c r="C23" s="31" t="s">
        <v>1734</v>
      </c>
      <c r="D23" s="31" t="s">
        <v>159</v>
      </c>
      <c r="E23" s="31" t="s">
        <v>1735</v>
      </c>
      <c r="F23" s="31">
        <v>10</v>
      </c>
      <c r="G23" s="31">
        <v>39</v>
      </c>
      <c r="H23" s="32">
        <v>0.25640000000000002</v>
      </c>
      <c r="I23" s="31" t="s">
        <v>1736</v>
      </c>
      <c r="J23" s="31">
        <v>3.19</v>
      </c>
      <c r="K23" s="31">
        <v>31.88</v>
      </c>
      <c r="L23" s="31">
        <v>0</v>
      </c>
      <c r="M23" s="31">
        <v>0</v>
      </c>
      <c r="N23" s="31">
        <v>0</v>
      </c>
      <c r="O23" s="32">
        <v>0</v>
      </c>
    </row>
    <row r="24" spans="1:15">
      <c r="A24" s="31" t="s">
        <v>3295</v>
      </c>
      <c r="B24" s="31" t="s">
        <v>3678</v>
      </c>
      <c r="C24" s="31" t="s">
        <v>1734</v>
      </c>
      <c r="D24" s="31" t="s">
        <v>159</v>
      </c>
      <c r="E24" s="31" t="s">
        <v>1747</v>
      </c>
      <c r="F24" s="31">
        <v>16</v>
      </c>
      <c r="G24" s="31">
        <v>127</v>
      </c>
      <c r="H24" s="32">
        <v>0.126</v>
      </c>
      <c r="I24" s="31" t="s">
        <v>1736</v>
      </c>
      <c r="J24" s="31">
        <v>2.52</v>
      </c>
      <c r="K24" s="31">
        <v>40.31</v>
      </c>
      <c r="L24" s="31">
        <v>0</v>
      </c>
      <c r="M24" s="31">
        <v>0</v>
      </c>
      <c r="N24" s="31">
        <v>0</v>
      </c>
      <c r="O24" s="32">
        <v>0</v>
      </c>
    </row>
    <row r="25" spans="1:15">
      <c r="A25" s="31" t="s">
        <v>3295</v>
      </c>
      <c r="B25" s="31" t="s">
        <v>3678</v>
      </c>
      <c r="C25" s="31" t="s">
        <v>1734</v>
      </c>
      <c r="D25" s="31" t="s">
        <v>3296</v>
      </c>
      <c r="E25" s="31" t="s">
        <v>1747</v>
      </c>
      <c r="F25" s="31">
        <v>2</v>
      </c>
      <c r="G25" s="31">
        <v>14</v>
      </c>
      <c r="H25" s="32">
        <v>0.1429</v>
      </c>
      <c r="I25" s="31" t="s">
        <v>1736</v>
      </c>
      <c r="J25" s="31">
        <v>2.66</v>
      </c>
      <c r="K25" s="31">
        <v>5.32</v>
      </c>
      <c r="L25" s="31">
        <v>0</v>
      </c>
      <c r="M25" s="31">
        <v>0</v>
      </c>
      <c r="N25" s="31">
        <v>0</v>
      </c>
      <c r="O25" s="32">
        <v>0</v>
      </c>
    </row>
    <row r="26" spans="1:15">
      <c r="A26" s="31" t="s">
        <v>3471</v>
      </c>
      <c r="B26" s="31" t="s">
        <v>3678</v>
      </c>
      <c r="C26" s="31" t="s">
        <v>1734</v>
      </c>
      <c r="D26" s="31" t="s">
        <v>110</v>
      </c>
      <c r="E26" s="31" t="s">
        <v>1740</v>
      </c>
      <c r="F26" s="31">
        <v>9</v>
      </c>
      <c r="G26" s="31">
        <v>64</v>
      </c>
      <c r="H26" s="32">
        <v>0.1406</v>
      </c>
      <c r="I26" s="31" t="s">
        <v>1736</v>
      </c>
      <c r="J26" s="31">
        <v>1.47</v>
      </c>
      <c r="K26" s="31">
        <v>13.26</v>
      </c>
      <c r="L26" s="31">
        <v>0</v>
      </c>
      <c r="M26" s="31">
        <v>0</v>
      </c>
      <c r="N26" s="31">
        <v>0</v>
      </c>
      <c r="O26" s="32">
        <v>0</v>
      </c>
    </row>
    <row r="27" spans="1:15">
      <c r="A27" s="31" t="s">
        <v>3471</v>
      </c>
      <c r="B27" s="31" t="s">
        <v>3678</v>
      </c>
      <c r="C27" s="31" t="s">
        <v>1734</v>
      </c>
      <c r="D27" s="31" t="s">
        <v>110</v>
      </c>
      <c r="E27" s="31" t="s">
        <v>1739</v>
      </c>
      <c r="F27" s="31">
        <v>0</v>
      </c>
      <c r="G27" s="31">
        <v>1</v>
      </c>
      <c r="H27" s="32">
        <v>0</v>
      </c>
      <c r="I27" s="31" t="s">
        <v>1736</v>
      </c>
      <c r="J27" s="31">
        <v>0</v>
      </c>
      <c r="K27" s="31">
        <v>0</v>
      </c>
      <c r="L27" s="31">
        <v>0</v>
      </c>
      <c r="M27" s="31">
        <v>0</v>
      </c>
      <c r="N27" s="31">
        <v>0</v>
      </c>
      <c r="O27" s="32">
        <v>0</v>
      </c>
    </row>
    <row r="28" spans="1:15">
      <c r="A28" s="31" t="s">
        <v>3471</v>
      </c>
      <c r="B28" s="31" t="s">
        <v>3678</v>
      </c>
      <c r="C28" s="31" t="s">
        <v>1734</v>
      </c>
      <c r="D28" s="31" t="s">
        <v>110</v>
      </c>
      <c r="E28" s="31" t="s">
        <v>1735</v>
      </c>
      <c r="F28" s="31">
        <v>2</v>
      </c>
      <c r="G28" s="31">
        <v>12</v>
      </c>
      <c r="H28" s="32">
        <v>0.16669999999999999</v>
      </c>
      <c r="I28" s="31" t="s">
        <v>1736</v>
      </c>
      <c r="J28" s="31">
        <v>1</v>
      </c>
      <c r="K28" s="31">
        <v>1.99</v>
      </c>
      <c r="L28" s="31">
        <v>0</v>
      </c>
      <c r="M28" s="31">
        <v>0</v>
      </c>
      <c r="N28" s="31">
        <v>0</v>
      </c>
      <c r="O28" s="32">
        <v>0</v>
      </c>
    </row>
    <row r="29" spans="1:15">
      <c r="A29" s="31" t="s">
        <v>3471</v>
      </c>
      <c r="B29" s="31" t="s">
        <v>3678</v>
      </c>
      <c r="C29" s="31" t="s">
        <v>1734</v>
      </c>
      <c r="D29" s="31" t="s">
        <v>110</v>
      </c>
      <c r="E29" s="31" t="s">
        <v>1747</v>
      </c>
      <c r="F29" s="31">
        <v>0</v>
      </c>
      <c r="G29" s="31">
        <v>7</v>
      </c>
      <c r="H29" s="32">
        <v>0</v>
      </c>
      <c r="I29" s="31" t="s">
        <v>1736</v>
      </c>
      <c r="J29" s="31">
        <v>0</v>
      </c>
      <c r="K29" s="31">
        <v>0</v>
      </c>
      <c r="L29" s="31">
        <v>0</v>
      </c>
      <c r="M29" s="31">
        <v>0</v>
      </c>
      <c r="N29" s="31">
        <v>0</v>
      </c>
      <c r="O29" s="32">
        <v>0</v>
      </c>
    </row>
    <row r="30" spans="1:15">
      <c r="A30" s="31" t="s">
        <v>3521</v>
      </c>
      <c r="B30" s="31" t="s">
        <v>3678</v>
      </c>
      <c r="C30" s="31" t="s">
        <v>1734</v>
      </c>
      <c r="D30" s="31" t="s">
        <v>98</v>
      </c>
      <c r="E30" s="31" t="s">
        <v>3679</v>
      </c>
      <c r="F30" s="31">
        <v>175</v>
      </c>
      <c r="G30" s="31">
        <v>2997</v>
      </c>
      <c r="H30" s="32">
        <v>5.8400000000000001E-2</v>
      </c>
      <c r="I30" s="31" t="s">
        <v>1736</v>
      </c>
      <c r="J30" s="31">
        <v>0.52</v>
      </c>
      <c r="K30" s="31">
        <v>90.85</v>
      </c>
      <c r="L30" s="31">
        <v>9</v>
      </c>
      <c r="M30" s="31">
        <v>0</v>
      </c>
      <c r="N30" s="31">
        <v>10.09</v>
      </c>
      <c r="O30" s="32">
        <v>5.1400000000000001E-2</v>
      </c>
    </row>
    <row r="31" spans="1:15">
      <c r="A31" s="31" t="s">
        <v>3521</v>
      </c>
      <c r="B31" s="31" t="s">
        <v>3678</v>
      </c>
      <c r="C31" s="31" t="s">
        <v>1734</v>
      </c>
      <c r="D31" s="31" t="s">
        <v>983</v>
      </c>
      <c r="E31" s="31" t="s">
        <v>3679</v>
      </c>
      <c r="F31" s="31">
        <v>32</v>
      </c>
      <c r="G31" s="31">
        <v>251</v>
      </c>
      <c r="H31" s="32">
        <v>0.1275</v>
      </c>
      <c r="I31" s="31" t="s">
        <v>1736</v>
      </c>
      <c r="J31" s="31">
        <v>0.85</v>
      </c>
      <c r="K31" s="31">
        <v>27.28</v>
      </c>
      <c r="L31" s="31">
        <v>1</v>
      </c>
      <c r="M31" s="31">
        <v>0</v>
      </c>
      <c r="N31" s="31">
        <v>27.28</v>
      </c>
      <c r="O31" s="32">
        <v>3.1300000000000001E-2</v>
      </c>
    </row>
    <row r="32" spans="1:15">
      <c r="A32" s="31" t="s">
        <v>3521</v>
      </c>
      <c r="B32" s="31" t="s">
        <v>3678</v>
      </c>
      <c r="C32" s="31" t="s">
        <v>1734</v>
      </c>
      <c r="D32" s="31" t="s">
        <v>453</v>
      </c>
      <c r="E32" s="31" t="s">
        <v>3679</v>
      </c>
      <c r="F32" s="31">
        <v>21</v>
      </c>
      <c r="G32" s="31">
        <v>162</v>
      </c>
      <c r="H32" s="32">
        <v>0.12959999999999999</v>
      </c>
      <c r="I32" s="31" t="s">
        <v>1736</v>
      </c>
      <c r="J32" s="31">
        <v>0.94</v>
      </c>
      <c r="K32" s="31">
        <v>19.82</v>
      </c>
      <c r="L32" s="31">
        <v>0</v>
      </c>
      <c r="M32" s="31">
        <v>0</v>
      </c>
      <c r="N32" s="31">
        <v>0</v>
      </c>
      <c r="O32" s="32">
        <v>0</v>
      </c>
    </row>
    <row r="33" spans="1:15">
      <c r="A33" s="31" t="s">
        <v>3521</v>
      </c>
      <c r="B33" s="31" t="s">
        <v>3678</v>
      </c>
      <c r="C33" s="31" t="s">
        <v>1734</v>
      </c>
      <c r="D33" s="31" t="s">
        <v>384</v>
      </c>
      <c r="E33" s="31" t="s">
        <v>3679</v>
      </c>
      <c r="F33" s="31">
        <v>12</v>
      </c>
      <c r="G33" s="31">
        <v>97</v>
      </c>
      <c r="H33" s="32">
        <v>0.1237</v>
      </c>
      <c r="I33" s="31" t="s">
        <v>1736</v>
      </c>
      <c r="J33" s="31">
        <v>0.94</v>
      </c>
      <c r="K33" s="31">
        <v>11.31</v>
      </c>
      <c r="L33" s="31">
        <v>2</v>
      </c>
      <c r="M33" s="31">
        <v>0</v>
      </c>
      <c r="N33" s="31">
        <v>5.66</v>
      </c>
      <c r="O33" s="32">
        <v>0.16669999999999999</v>
      </c>
    </row>
    <row r="34" spans="1:15">
      <c r="A34" s="31" t="s">
        <v>3680</v>
      </c>
      <c r="B34" s="31" t="s">
        <v>3678</v>
      </c>
      <c r="C34" s="31" t="s">
        <v>1734</v>
      </c>
      <c r="D34" s="31" t="s">
        <v>256</v>
      </c>
      <c r="E34" s="31" t="s">
        <v>1740</v>
      </c>
      <c r="F34" s="31">
        <v>1</v>
      </c>
      <c r="G34" s="31">
        <v>4</v>
      </c>
      <c r="H34" s="32">
        <v>0.25</v>
      </c>
      <c r="I34" s="31" t="s">
        <v>1736</v>
      </c>
      <c r="J34" s="31">
        <v>0.27</v>
      </c>
      <c r="K34" s="31">
        <v>0.27</v>
      </c>
      <c r="L34" s="31">
        <v>0</v>
      </c>
      <c r="M34" s="31">
        <v>0</v>
      </c>
      <c r="N34" s="31">
        <v>0</v>
      </c>
      <c r="O34" s="32">
        <v>0</v>
      </c>
    </row>
    <row r="35" spans="1:15">
      <c r="A35" s="31" t="s">
        <v>3680</v>
      </c>
      <c r="B35" s="31" t="s">
        <v>3678</v>
      </c>
      <c r="C35" s="31" t="s">
        <v>1734</v>
      </c>
      <c r="D35" s="31" t="s">
        <v>256</v>
      </c>
      <c r="E35" s="31" t="s">
        <v>1739</v>
      </c>
      <c r="F35" s="31">
        <v>16</v>
      </c>
      <c r="G35" s="31">
        <v>64</v>
      </c>
      <c r="H35" s="32">
        <v>0.25</v>
      </c>
      <c r="I35" s="31" t="s">
        <v>1736</v>
      </c>
      <c r="J35" s="31">
        <v>1.72</v>
      </c>
      <c r="K35" s="31">
        <v>27.52</v>
      </c>
      <c r="L35" s="31">
        <v>2</v>
      </c>
      <c r="M35" s="31">
        <v>0</v>
      </c>
      <c r="N35" s="31">
        <v>13.76</v>
      </c>
      <c r="O35" s="32">
        <v>0.125</v>
      </c>
    </row>
    <row r="36" spans="1:15">
      <c r="A36" s="31" t="s">
        <v>3680</v>
      </c>
      <c r="B36" s="31" t="s">
        <v>3678</v>
      </c>
      <c r="C36" s="31" t="s">
        <v>1734</v>
      </c>
      <c r="D36" s="31" t="s">
        <v>256</v>
      </c>
      <c r="E36" s="31" t="s">
        <v>1735</v>
      </c>
      <c r="F36" s="31">
        <v>5</v>
      </c>
      <c r="G36" s="31">
        <v>13</v>
      </c>
      <c r="H36" s="32">
        <v>0.3846</v>
      </c>
      <c r="I36" s="31" t="s">
        <v>1736</v>
      </c>
      <c r="J36" s="31">
        <v>1.51</v>
      </c>
      <c r="K36" s="31">
        <v>7.57</v>
      </c>
      <c r="L36" s="31">
        <v>0</v>
      </c>
      <c r="M36" s="31">
        <v>0</v>
      </c>
      <c r="N36" s="31">
        <v>0</v>
      </c>
      <c r="O36" s="32">
        <v>0</v>
      </c>
    </row>
    <row r="37" spans="1:15">
      <c r="A37" s="31" t="s">
        <v>3680</v>
      </c>
      <c r="B37" s="31" t="s">
        <v>3678</v>
      </c>
      <c r="C37" s="31" t="s">
        <v>1734</v>
      </c>
      <c r="D37" s="31" t="s">
        <v>256</v>
      </c>
      <c r="E37" s="31" t="s">
        <v>1747</v>
      </c>
      <c r="F37" s="31">
        <v>26</v>
      </c>
      <c r="G37" s="31">
        <v>159</v>
      </c>
      <c r="H37" s="32">
        <v>0.16350000000000001</v>
      </c>
      <c r="I37" s="31" t="s">
        <v>1736</v>
      </c>
      <c r="J37" s="31">
        <v>1.62</v>
      </c>
      <c r="K37" s="31">
        <v>42.01</v>
      </c>
      <c r="L37" s="31">
        <v>4</v>
      </c>
      <c r="M37" s="31">
        <v>0</v>
      </c>
      <c r="N37" s="31">
        <v>10.5</v>
      </c>
      <c r="O37" s="32">
        <v>0.15379999999999999</v>
      </c>
    </row>
    <row r="38" spans="1:15">
      <c r="A38" s="31" t="s">
        <v>3680</v>
      </c>
      <c r="B38" s="31" t="s">
        <v>3678</v>
      </c>
      <c r="C38" s="31" t="s">
        <v>1734</v>
      </c>
      <c r="D38" s="31" t="s">
        <v>256</v>
      </c>
      <c r="E38" s="31" t="s">
        <v>1742</v>
      </c>
      <c r="F38" s="31">
        <v>14</v>
      </c>
      <c r="G38" s="31">
        <v>130</v>
      </c>
      <c r="H38" s="32">
        <v>0.1077</v>
      </c>
      <c r="I38" s="31" t="s">
        <v>1736</v>
      </c>
      <c r="J38" s="31">
        <v>2.5</v>
      </c>
      <c r="K38" s="31">
        <v>35.04</v>
      </c>
      <c r="L38" s="31">
        <v>2</v>
      </c>
      <c r="M38" s="31">
        <v>0</v>
      </c>
      <c r="N38" s="31">
        <v>17.52</v>
      </c>
      <c r="O38" s="32">
        <v>0.1429</v>
      </c>
    </row>
    <row r="39" spans="1:15">
      <c r="A39" s="31" t="s">
        <v>3680</v>
      </c>
      <c r="B39" s="31" t="s">
        <v>3678</v>
      </c>
      <c r="C39" s="31" t="s">
        <v>1734</v>
      </c>
      <c r="D39" s="31" t="s">
        <v>256</v>
      </c>
      <c r="E39" s="31" t="s">
        <v>1751</v>
      </c>
      <c r="F39" s="31">
        <v>4</v>
      </c>
      <c r="G39" s="31">
        <v>51</v>
      </c>
      <c r="H39" s="32">
        <v>7.8399999999999997E-2</v>
      </c>
      <c r="I39" s="31" t="s">
        <v>1736</v>
      </c>
      <c r="J39" s="31">
        <v>2.2999999999999998</v>
      </c>
      <c r="K39" s="31">
        <v>9.19</v>
      </c>
      <c r="L39" s="31">
        <v>2</v>
      </c>
      <c r="M39" s="31">
        <v>0</v>
      </c>
      <c r="N39" s="31">
        <v>4.5999999999999996</v>
      </c>
      <c r="O39" s="32">
        <v>0.5</v>
      </c>
    </row>
    <row r="40" spans="1:15">
      <c r="A40" s="31" t="s">
        <v>3681</v>
      </c>
      <c r="B40" s="31" t="s">
        <v>3678</v>
      </c>
      <c r="C40" s="31" t="s">
        <v>1734</v>
      </c>
      <c r="D40" s="31" t="s">
        <v>256</v>
      </c>
      <c r="E40" s="31" t="s">
        <v>1740</v>
      </c>
      <c r="F40" s="31">
        <v>16</v>
      </c>
      <c r="G40" s="31">
        <v>285</v>
      </c>
      <c r="H40" s="32">
        <v>5.6099999999999997E-2</v>
      </c>
      <c r="I40" s="31" t="s">
        <v>1736</v>
      </c>
      <c r="J40" s="31">
        <v>1.1200000000000001</v>
      </c>
      <c r="K40" s="31">
        <v>17.95</v>
      </c>
      <c r="L40" s="31">
        <v>1</v>
      </c>
      <c r="M40" s="31">
        <v>0</v>
      </c>
      <c r="N40" s="31">
        <v>17.95</v>
      </c>
      <c r="O40" s="32">
        <v>6.25E-2</v>
      </c>
    </row>
    <row r="41" spans="1:15">
      <c r="A41" s="31" t="s">
        <v>3681</v>
      </c>
      <c r="B41" s="31" t="s">
        <v>3678</v>
      </c>
      <c r="C41" s="31" t="s">
        <v>1734</v>
      </c>
      <c r="D41" s="31" t="s">
        <v>256</v>
      </c>
      <c r="E41" s="31" t="s">
        <v>1739</v>
      </c>
      <c r="F41" s="31">
        <v>3</v>
      </c>
      <c r="G41" s="31">
        <v>31</v>
      </c>
      <c r="H41" s="32">
        <v>9.6799999999999997E-2</v>
      </c>
      <c r="I41" s="31" t="s">
        <v>1736</v>
      </c>
      <c r="J41" s="31">
        <v>1.84</v>
      </c>
      <c r="K41" s="31">
        <v>5.53</v>
      </c>
      <c r="L41" s="31">
        <v>0</v>
      </c>
      <c r="M41" s="31">
        <v>0</v>
      </c>
      <c r="N41" s="31">
        <v>0</v>
      </c>
      <c r="O41" s="32">
        <v>0</v>
      </c>
    </row>
    <row r="42" spans="1:15">
      <c r="A42" s="31" t="s">
        <v>3681</v>
      </c>
      <c r="B42" s="31" t="s">
        <v>3678</v>
      </c>
      <c r="C42" s="31" t="s">
        <v>1734</v>
      </c>
      <c r="D42" s="31" t="s">
        <v>256</v>
      </c>
      <c r="E42" s="31" t="s">
        <v>1735</v>
      </c>
      <c r="F42" s="31">
        <v>0</v>
      </c>
      <c r="G42" s="31">
        <v>23</v>
      </c>
      <c r="H42" s="32">
        <v>0</v>
      </c>
      <c r="I42" s="31" t="s">
        <v>1736</v>
      </c>
      <c r="J42" s="31">
        <v>0</v>
      </c>
      <c r="K42" s="31">
        <v>0</v>
      </c>
      <c r="L42" s="31">
        <v>0</v>
      </c>
      <c r="M42" s="31">
        <v>0</v>
      </c>
      <c r="N42" s="31">
        <v>0</v>
      </c>
      <c r="O42" s="32">
        <v>0</v>
      </c>
    </row>
    <row r="43" spans="1:15">
      <c r="A43" s="31" t="s">
        <v>3681</v>
      </c>
      <c r="B43" s="31" t="s">
        <v>3678</v>
      </c>
      <c r="C43" s="31" t="s">
        <v>1734</v>
      </c>
      <c r="D43" s="31" t="s">
        <v>256</v>
      </c>
      <c r="E43" s="31" t="s">
        <v>1747</v>
      </c>
      <c r="F43" s="31">
        <v>22</v>
      </c>
      <c r="G43" s="31">
        <v>265</v>
      </c>
      <c r="H43" s="32">
        <v>8.3000000000000004E-2</v>
      </c>
      <c r="I43" s="31" t="s">
        <v>1736</v>
      </c>
      <c r="J43" s="31">
        <v>0.95</v>
      </c>
      <c r="K43" s="31">
        <v>20.81</v>
      </c>
      <c r="L43" s="31">
        <v>2</v>
      </c>
      <c r="M43" s="31">
        <v>0</v>
      </c>
      <c r="N43" s="31">
        <v>10.41</v>
      </c>
      <c r="O43" s="32">
        <v>9.0899999999999995E-2</v>
      </c>
    </row>
    <row r="44" spans="1:15">
      <c r="A44" s="31" t="s">
        <v>3682</v>
      </c>
      <c r="B44" s="31" t="s">
        <v>3678</v>
      </c>
      <c r="C44" s="31" t="s">
        <v>1734</v>
      </c>
      <c r="D44" s="31" t="s">
        <v>677</v>
      </c>
      <c r="E44" s="31" t="s">
        <v>1746</v>
      </c>
      <c r="F44" s="31">
        <v>4</v>
      </c>
      <c r="G44" s="31">
        <v>25</v>
      </c>
      <c r="H44" s="32">
        <v>0.16</v>
      </c>
      <c r="I44" s="31" t="s">
        <v>1736</v>
      </c>
      <c r="J44" s="31">
        <v>0.49</v>
      </c>
      <c r="K44" s="31">
        <v>1.97</v>
      </c>
      <c r="L44" s="31">
        <v>2</v>
      </c>
      <c r="M44" s="31">
        <v>0</v>
      </c>
      <c r="N44" s="31">
        <v>0.98</v>
      </c>
      <c r="O44" s="32">
        <v>0.5</v>
      </c>
    </row>
    <row r="45" spans="1:15">
      <c r="A45" s="31" t="s">
        <v>3682</v>
      </c>
      <c r="B45" s="31" t="s">
        <v>3678</v>
      </c>
      <c r="C45" s="31" t="s">
        <v>1734</v>
      </c>
      <c r="D45" s="31" t="s">
        <v>3683</v>
      </c>
      <c r="E45" s="31" t="s">
        <v>1746</v>
      </c>
      <c r="F45" s="31">
        <v>0</v>
      </c>
      <c r="G45" s="31">
        <v>2</v>
      </c>
      <c r="H45" s="32">
        <v>0</v>
      </c>
      <c r="I45" s="31" t="s">
        <v>1736</v>
      </c>
      <c r="J45" s="31">
        <v>0</v>
      </c>
      <c r="K45" s="31">
        <v>0</v>
      </c>
      <c r="L45" s="31">
        <v>0</v>
      </c>
      <c r="M45" s="31">
        <v>0</v>
      </c>
      <c r="N45" s="31">
        <v>0</v>
      </c>
      <c r="O45" s="32">
        <v>0</v>
      </c>
    </row>
    <row r="46" spans="1:15">
      <c r="A46" s="31" t="s">
        <v>3682</v>
      </c>
      <c r="B46" s="31" t="s">
        <v>3678</v>
      </c>
      <c r="C46" s="31" t="s">
        <v>1734</v>
      </c>
      <c r="D46" s="31" t="s">
        <v>98</v>
      </c>
      <c r="E46" s="31" t="s">
        <v>1746</v>
      </c>
      <c r="F46" s="31">
        <v>2</v>
      </c>
      <c r="G46" s="31">
        <v>14</v>
      </c>
      <c r="H46" s="32">
        <v>0.1429</v>
      </c>
      <c r="I46" s="31" t="s">
        <v>1736</v>
      </c>
      <c r="J46" s="31">
        <v>0.2</v>
      </c>
      <c r="K46" s="31">
        <v>0.41</v>
      </c>
      <c r="L46" s="31">
        <v>0</v>
      </c>
      <c r="M46" s="31">
        <v>0</v>
      </c>
      <c r="N46" s="31">
        <v>0</v>
      </c>
      <c r="O46" s="32">
        <v>0</v>
      </c>
    </row>
    <row r="47" spans="1:15">
      <c r="A47" s="31" t="s">
        <v>3682</v>
      </c>
      <c r="B47" s="31" t="s">
        <v>3678</v>
      </c>
      <c r="C47" s="31" t="s">
        <v>1734</v>
      </c>
      <c r="D47" s="31" t="s">
        <v>3684</v>
      </c>
      <c r="E47" s="31" t="s">
        <v>1746</v>
      </c>
      <c r="F47" s="31">
        <v>1</v>
      </c>
      <c r="G47" s="31">
        <v>20</v>
      </c>
      <c r="H47" s="32">
        <v>0.05</v>
      </c>
      <c r="I47" s="31" t="s">
        <v>1736</v>
      </c>
      <c r="J47" s="31">
        <v>7.0000000000000007E-2</v>
      </c>
      <c r="K47" s="31">
        <v>7.0000000000000007E-2</v>
      </c>
      <c r="L47" s="31">
        <v>0</v>
      </c>
      <c r="M47" s="31">
        <v>0</v>
      </c>
      <c r="N47" s="31">
        <v>0</v>
      </c>
      <c r="O47" s="32">
        <v>0</v>
      </c>
    </row>
    <row r="48" spans="1:15">
      <c r="A48" s="31" t="s">
        <v>3682</v>
      </c>
      <c r="B48" s="31" t="s">
        <v>3678</v>
      </c>
      <c r="C48" s="31" t="s">
        <v>1734</v>
      </c>
      <c r="D48" s="31" t="s">
        <v>159</v>
      </c>
      <c r="E48" s="31" t="s">
        <v>1746</v>
      </c>
      <c r="F48" s="31">
        <v>6</v>
      </c>
      <c r="G48" s="31">
        <v>58</v>
      </c>
      <c r="H48" s="32">
        <v>0.10340000000000001</v>
      </c>
      <c r="I48" s="31" t="s">
        <v>1736</v>
      </c>
      <c r="J48" s="31">
        <v>0.36</v>
      </c>
      <c r="K48" s="31">
        <v>2.16</v>
      </c>
      <c r="L48" s="31">
        <v>0</v>
      </c>
      <c r="M48" s="31">
        <v>0</v>
      </c>
      <c r="N48" s="31">
        <v>0</v>
      </c>
      <c r="O48" s="32">
        <v>0</v>
      </c>
    </row>
    <row r="49" spans="1:15">
      <c r="A49" s="31" t="s">
        <v>3682</v>
      </c>
      <c r="B49" s="31" t="s">
        <v>3678</v>
      </c>
      <c r="C49" s="31" t="s">
        <v>1734</v>
      </c>
      <c r="D49" s="31" t="s">
        <v>58</v>
      </c>
      <c r="E49" s="31" t="s">
        <v>1746</v>
      </c>
      <c r="F49" s="31">
        <v>2</v>
      </c>
      <c r="G49" s="31">
        <v>31</v>
      </c>
      <c r="H49" s="32">
        <v>6.4500000000000002E-2</v>
      </c>
      <c r="I49" s="31" t="s">
        <v>1736</v>
      </c>
      <c r="J49" s="31">
        <v>0.74</v>
      </c>
      <c r="K49" s="31">
        <v>1.48</v>
      </c>
      <c r="L49" s="31">
        <v>0</v>
      </c>
      <c r="M49" s="31">
        <v>0</v>
      </c>
      <c r="N49" s="31">
        <v>0</v>
      </c>
      <c r="O49" s="32">
        <v>0</v>
      </c>
    </row>
    <row r="50" spans="1:15">
      <c r="A50" s="31" t="s">
        <v>3682</v>
      </c>
      <c r="B50" s="31" t="s">
        <v>3678</v>
      </c>
      <c r="C50" s="31" t="s">
        <v>1734</v>
      </c>
      <c r="D50" s="31" t="s">
        <v>3685</v>
      </c>
      <c r="E50" s="31" t="s">
        <v>1746</v>
      </c>
      <c r="F50" s="31">
        <v>4</v>
      </c>
      <c r="G50" s="31">
        <v>21</v>
      </c>
      <c r="H50" s="32">
        <v>0.1905</v>
      </c>
      <c r="I50" s="31" t="s">
        <v>1736</v>
      </c>
      <c r="J50" s="31">
        <v>0.23</v>
      </c>
      <c r="K50" s="31">
        <v>0.9</v>
      </c>
      <c r="L50" s="31">
        <v>0</v>
      </c>
      <c r="M50" s="31">
        <v>0</v>
      </c>
      <c r="N50" s="31">
        <v>0</v>
      </c>
      <c r="O50" s="32">
        <v>0</v>
      </c>
    </row>
    <row r="51" spans="1:15">
      <c r="A51" s="31" t="s">
        <v>3682</v>
      </c>
      <c r="B51" s="31" t="s">
        <v>3678</v>
      </c>
      <c r="C51" s="31" t="s">
        <v>1734</v>
      </c>
      <c r="D51" s="31" t="s">
        <v>1763</v>
      </c>
      <c r="E51" s="31" t="s">
        <v>1746</v>
      </c>
      <c r="F51" s="31">
        <v>6</v>
      </c>
      <c r="G51" s="31">
        <v>30</v>
      </c>
      <c r="H51" s="32">
        <v>0.2</v>
      </c>
      <c r="I51" s="31" t="s">
        <v>1736</v>
      </c>
      <c r="J51" s="31">
        <v>1.76</v>
      </c>
      <c r="K51" s="31">
        <v>10.55</v>
      </c>
      <c r="L51" s="31">
        <v>1</v>
      </c>
      <c r="M51" s="31">
        <v>0</v>
      </c>
      <c r="N51" s="31">
        <v>10.55</v>
      </c>
      <c r="O51" s="32">
        <v>0.16669999999999999</v>
      </c>
    </row>
    <row r="52" spans="1:15">
      <c r="A52" s="31" t="s">
        <v>3682</v>
      </c>
      <c r="B52" s="31" t="s">
        <v>3678</v>
      </c>
      <c r="C52" s="31" t="s">
        <v>1734</v>
      </c>
      <c r="D52" s="31" t="s">
        <v>3686</v>
      </c>
      <c r="E52" s="31" t="s">
        <v>1746</v>
      </c>
      <c r="F52" s="31">
        <v>0</v>
      </c>
      <c r="G52" s="31">
        <v>2</v>
      </c>
      <c r="H52" s="32">
        <v>0</v>
      </c>
      <c r="I52" s="31" t="s">
        <v>1736</v>
      </c>
      <c r="J52" s="31">
        <v>0</v>
      </c>
      <c r="K52" s="31">
        <v>0</v>
      </c>
      <c r="L52" s="31">
        <v>0</v>
      </c>
      <c r="M52" s="31">
        <v>0</v>
      </c>
      <c r="N52" s="31">
        <v>0</v>
      </c>
      <c r="O52" s="32">
        <v>0</v>
      </c>
    </row>
    <row r="53" spans="1:15">
      <c r="A53" s="31" t="s">
        <v>3682</v>
      </c>
      <c r="B53" s="31" t="s">
        <v>3678</v>
      </c>
      <c r="C53" s="31" t="s">
        <v>1734</v>
      </c>
      <c r="D53" s="31" t="s">
        <v>1752</v>
      </c>
      <c r="E53" s="31" t="s">
        <v>1746</v>
      </c>
      <c r="F53" s="31">
        <v>5</v>
      </c>
      <c r="G53" s="31">
        <v>29</v>
      </c>
      <c r="H53" s="32">
        <v>0.1724</v>
      </c>
      <c r="I53" s="31" t="s">
        <v>1736</v>
      </c>
      <c r="J53" s="31">
        <v>0.84</v>
      </c>
      <c r="K53" s="31">
        <v>4.1900000000000004</v>
      </c>
      <c r="L53" s="31">
        <v>0</v>
      </c>
      <c r="M53" s="31">
        <v>0</v>
      </c>
      <c r="N53" s="31">
        <v>0</v>
      </c>
      <c r="O53" s="32">
        <v>0</v>
      </c>
    </row>
    <row r="54" spans="1:15">
      <c r="A54" s="31" t="s">
        <v>3682</v>
      </c>
      <c r="B54" s="31" t="s">
        <v>3678</v>
      </c>
      <c r="C54" s="31" t="s">
        <v>1734</v>
      </c>
      <c r="D54" s="31" t="s">
        <v>3687</v>
      </c>
      <c r="E54" s="31" t="s">
        <v>1746</v>
      </c>
      <c r="F54" s="31">
        <v>0</v>
      </c>
      <c r="G54" s="31">
        <v>33</v>
      </c>
      <c r="H54" s="32">
        <v>0</v>
      </c>
      <c r="I54" s="31" t="s">
        <v>1736</v>
      </c>
      <c r="J54" s="31">
        <v>0</v>
      </c>
      <c r="K54" s="31">
        <v>0</v>
      </c>
      <c r="L54" s="31">
        <v>0</v>
      </c>
      <c r="M54" s="31">
        <v>0</v>
      </c>
      <c r="N54" s="31">
        <v>0</v>
      </c>
      <c r="O54" s="32">
        <v>0</v>
      </c>
    </row>
    <row r="55" spans="1:15">
      <c r="A55" s="31" t="s">
        <v>3682</v>
      </c>
      <c r="B55" s="31" t="s">
        <v>3678</v>
      </c>
      <c r="C55" s="31" t="s">
        <v>1734</v>
      </c>
      <c r="D55" s="31" t="s">
        <v>3688</v>
      </c>
      <c r="E55" s="31" t="s">
        <v>1746</v>
      </c>
      <c r="F55" s="31">
        <v>0</v>
      </c>
      <c r="G55" s="31">
        <v>2</v>
      </c>
      <c r="H55" s="32">
        <v>0</v>
      </c>
      <c r="I55" s="31" t="s">
        <v>1736</v>
      </c>
      <c r="J55" s="31">
        <v>0</v>
      </c>
      <c r="K55" s="31">
        <v>0</v>
      </c>
      <c r="L55" s="31">
        <v>0</v>
      </c>
      <c r="M55" s="31">
        <v>0</v>
      </c>
      <c r="N55" s="31">
        <v>0</v>
      </c>
      <c r="O55" s="32">
        <v>0</v>
      </c>
    </row>
    <row r="56" spans="1:15">
      <c r="A56" s="31" t="s">
        <v>3682</v>
      </c>
      <c r="B56" s="31" t="s">
        <v>3678</v>
      </c>
      <c r="C56" s="31" t="s">
        <v>1734</v>
      </c>
      <c r="D56" s="31" t="s">
        <v>3689</v>
      </c>
      <c r="E56" s="31" t="s">
        <v>1746</v>
      </c>
      <c r="F56" s="31">
        <v>0</v>
      </c>
      <c r="G56" s="31">
        <v>2</v>
      </c>
      <c r="H56" s="32">
        <v>0</v>
      </c>
      <c r="I56" s="31" t="s">
        <v>1736</v>
      </c>
      <c r="J56" s="31">
        <v>0</v>
      </c>
      <c r="K56" s="31">
        <v>0</v>
      </c>
      <c r="L56" s="31">
        <v>0</v>
      </c>
      <c r="M56" s="31">
        <v>0</v>
      </c>
      <c r="N56" s="31">
        <v>0</v>
      </c>
      <c r="O56" s="32">
        <v>0</v>
      </c>
    </row>
    <row r="57" spans="1:15">
      <c r="A57" s="31" t="s">
        <v>3682</v>
      </c>
      <c r="B57" s="31" t="s">
        <v>3678</v>
      </c>
      <c r="C57" s="31" t="s">
        <v>1734</v>
      </c>
      <c r="D57" s="31" t="s">
        <v>81</v>
      </c>
      <c r="E57" s="31" t="s">
        <v>1746</v>
      </c>
      <c r="F57" s="31">
        <v>3</v>
      </c>
      <c r="G57" s="31">
        <v>19</v>
      </c>
      <c r="H57" s="32">
        <v>0.15790000000000001</v>
      </c>
      <c r="I57" s="31" t="s">
        <v>1736</v>
      </c>
      <c r="J57" s="31">
        <v>0.18</v>
      </c>
      <c r="K57" s="31">
        <v>0.55000000000000004</v>
      </c>
      <c r="L57" s="31">
        <v>1</v>
      </c>
      <c r="M57" s="31">
        <v>0</v>
      </c>
      <c r="N57" s="31">
        <v>0.55000000000000004</v>
      </c>
      <c r="O57" s="32">
        <v>0.33329999999999999</v>
      </c>
    </row>
    <row r="58" spans="1:15">
      <c r="A58" s="31" t="s">
        <v>3682</v>
      </c>
      <c r="B58" s="31" t="s">
        <v>3678</v>
      </c>
      <c r="C58" s="31" t="s">
        <v>1734</v>
      </c>
      <c r="D58" s="31" t="s">
        <v>1753</v>
      </c>
      <c r="E58" s="31" t="s">
        <v>1746</v>
      </c>
      <c r="F58" s="31">
        <v>3</v>
      </c>
      <c r="G58" s="31">
        <v>12</v>
      </c>
      <c r="H58" s="32">
        <v>0.25</v>
      </c>
      <c r="I58" s="31" t="s">
        <v>1736</v>
      </c>
      <c r="J58" s="31">
        <v>0.06</v>
      </c>
      <c r="K58" s="31">
        <v>0.18</v>
      </c>
      <c r="L58" s="31">
        <v>0</v>
      </c>
      <c r="M58" s="31">
        <v>0</v>
      </c>
      <c r="N58" s="31">
        <v>0</v>
      </c>
      <c r="O58" s="32">
        <v>0</v>
      </c>
    </row>
    <row r="59" spans="1:15">
      <c r="A59" s="31" t="s">
        <v>3682</v>
      </c>
      <c r="B59" s="31" t="s">
        <v>3678</v>
      </c>
      <c r="C59" s="31" t="s">
        <v>1734</v>
      </c>
      <c r="D59" s="31" t="s">
        <v>110</v>
      </c>
      <c r="E59" s="31" t="s">
        <v>1746</v>
      </c>
      <c r="F59" s="31">
        <v>10</v>
      </c>
      <c r="G59" s="31">
        <v>97</v>
      </c>
      <c r="H59" s="32">
        <v>0.1031</v>
      </c>
      <c r="I59" s="31" t="s">
        <v>1736</v>
      </c>
      <c r="J59" s="31">
        <v>0.4</v>
      </c>
      <c r="K59" s="31">
        <v>4.0199999999999996</v>
      </c>
      <c r="L59" s="31">
        <v>0</v>
      </c>
      <c r="M59" s="31">
        <v>0</v>
      </c>
      <c r="N59" s="31">
        <v>0</v>
      </c>
      <c r="O59" s="32">
        <v>0</v>
      </c>
    </row>
    <row r="60" spans="1:15">
      <c r="A60" s="31" t="s">
        <v>3682</v>
      </c>
      <c r="B60" s="31" t="s">
        <v>3678</v>
      </c>
      <c r="C60" s="31" t="s">
        <v>1734</v>
      </c>
      <c r="D60" s="31" t="s">
        <v>3690</v>
      </c>
      <c r="E60" s="31" t="s">
        <v>1746</v>
      </c>
      <c r="F60" s="31">
        <v>0</v>
      </c>
      <c r="G60" s="31">
        <v>12</v>
      </c>
      <c r="H60" s="32">
        <v>0</v>
      </c>
      <c r="I60" s="31" t="s">
        <v>1736</v>
      </c>
      <c r="J60" s="31">
        <v>0</v>
      </c>
      <c r="K60" s="31">
        <v>0</v>
      </c>
      <c r="L60" s="31">
        <v>0</v>
      </c>
      <c r="M60" s="31">
        <v>0</v>
      </c>
      <c r="N60" s="31">
        <v>0</v>
      </c>
      <c r="O60" s="32">
        <v>0</v>
      </c>
    </row>
    <row r="61" spans="1:15">
      <c r="A61" s="31" t="s">
        <v>3682</v>
      </c>
      <c r="B61" s="31" t="s">
        <v>3678</v>
      </c>
      <c r="C61" s="31" t="s">
        <v>1734</v>
      </c>
      <c r="D61" s="31" t="s">
        <v>3319</v>
      </c>
      <c r="E61" s="31" t="s">
        <v>1746</v>
      </c>
      <c r="F61" s="31">
        <v>3</v>
      </c>
      <c r="G61" s="31">
        <v>18</v>
      </c>
      <c r="H61" s="32">
        <v>0.16669999999999999</v>
      </c>
      <c r="I61" s="31" t="s">
        <v>1736</v>
      </c>
      <c r="J61" s="31">
        <v>0.76</v>
      </c>
      <c r="K61" s="31">
        <v>2.2799999999999998</v>
      </c>
      <c r="L61" s="31">
        <v>0</v>
      </c>
      <c r="M61" s="31">
        <v>0</v>
      </c>
      <c r="N61" s="31">
        <v>0</v>
      </c>
      <c r="O61" s="32">
        <v>0</v>
      </c>
    </row>
    <row r="62" spans="1:15">
      <c r="A62" s="31" t="s">
        <v>3682</v>
      </c>
      <c r="B62" s="31" t="s">
        <v>3678</v>
      </c>
      <c r="C62" s="31" t="s">
        <v>1734</v>
      </c>
      <c r="D62" s="31" t="s">
        <v>3691</v>
      </c>
      <c r="E62" s="31" t="s">
        <v>1746</v>
      </c>
      <c r="F62" s="31">
        <v>2</v>
      </c>
      <c r="G62" s="31">
        <v>7</v>
      </c>
      <c r="H62" s="32">
        <v>0.28570000000000001</v>
      </c>
      <c r="I62" s="31" t="s">
        <v>1736</v>
      </c>
      <c r="J62" s="31">
        <v>0.08</v>
      </c>
      <c r="K62" s="31">
        <v>0.15</v>
      </c>
      <c r="L62" s="31">
        <v>0</v>
      </c>
      <c r="M62" s="31">
        <v>0</v>
      </c>
      <c r="N62" s="31">
        <v>0</v>
      </c>
      <c r="O62" s="32">
        <v>0</v>
      </c>
    </row>
    <row r="63" spans="1:15">
      <c r="A63" s="31" t="s">
        <v>3682</v>
      </c>
      <c r="B63" s="31" t="s">
        <v>3678</v>
      </c>
      <c r="C63" s="31" t="s">
        <v>1734</v>
      </c>
      <c r="D63" s="31" t="s">
        <v>1765</v>
      </c>
      <c r="E63" s="31" t="s">
        <v>1746</v>
      </c>
      <c r="F63" s="31">
        <v>0</v>
      </c>
      <c r="G63" s="31">
        <v>6</v>
      </c>
      <c r="H63" s="32">
        <v>0</v>
      </c>
      <c r="I63" s="31" t="s">
        <v>1736</v>
      </c>
      <c r="J63" s="31">
        <v>0</v>
      </c>
      <c r="K63" s="31">
        <v>0</v>
      </c>
      <c r="L63" s="31">
        <v>0</v>
      </c>
      <c r="M63" s="31">
        <v>0</v>
      </c>
      <c r="N63" s="31">
        <v>0</v>
      </c>
      <c r="O63" s="32">
        <v>0</v>
      </c>
    </row>
    <row r="64" spans="1:15">
      <c r="A64" s="31" t="s">
        <v>3682</v>
      </c>
      <c r="B64" s="31" t="s">
        <v>3678</v>
      </c>
      <c r="C64" s="31" t="s">
        <v>1734</v>
      </c>
      <c r="D64" s="31" t="s">
        <v>1754</v>
      </c>
      <c r="E64" s="31" t="s">
        <v>1746</v>
      </c>
      <c r="F64" s="31">
        <v>1</v>
      </c>
      <c r="G64" s="31">
        <v>17</v>
      </c>
      <c r="H64" s="32">
        <v>5.8799999999999998E-2</v>
      </c>
      <c r="I64" s="31" t="s">
        <v>1736</v>
      </c>
      <c r="J64" s="31">
        <v>0.5</v>
      </c>
      <c r="K64" s="31">
        <v>0.5</v>
      </c>
      <c r="L64" s="31">
        <v>0</v>
      </c>
      <c r="M64" s="31">
        <v>0</v>
      </c>
      <c r="N64" s="31">
        <v>0</v>
      </c>
      <c r="O64" s="32">
        <v>0</v>
      </c>
    </row>
    <row r="65" spans="1:15">
      <c r="A65" s="31" t="s">
        <v>3682</v>
      </c>
      <c r="B65" s="31" t="s">
        <v>3678</v>
      </c>
      <c r="C65" s="31" t="s">
        <v>1734</v>
      </c>
      <c r="D65" s="31" t="s">
        <v>1766</v>
      </c>
      <c r="E65" s="31" t="s">
        <v>1746</v>
      </c>
      <c r="F65" s="31">
        <v>1</v>
      </c>
      <c r="G65" s="31">
        <v>11</v>
      </c>
      <c r="H65" s="32">
        <v>9.0899999999999995E-2</v>
      </c>
      <c r="I65" s="31" t="s">
        <v>1736</v>
      </c>
      <c r="J65" s="31">
        <v>0.15</v>
      </c>
      <c r="K65" s="31">
        <v>0.15</v>
      </c>
      <c r="L65" s="31">
        <v>0</v>
      </c>
      <c r="M65" s="31">
        <v>0</v>
      </c>
      <c r="N65" s="31">
        <v>0</v>
      </c>
      <c r="O65" s="32">
        <v>0</v>
      </c>
    </row>
    <row r="66" spans="1:15">
      <c r="A66" s="31" t="s">
        <v>3682</v>
      </c>
      <c r="B66" s="31" t="s">
        <v>3678</v>
      </c>
      <c r="C66" s="31" t="s">
        <v>1734</v>
      </c>
      <c r="D66" s="31" t="s">
        <v>1758</v>
      </c>
      <c r="E66" s="31" t="s">
        <v>1746</v>
      </c>
      <c r="F66" s="31">
        <v>3</v>
      </c>
      <c r="G66" s="31">
        <v>36</v>
      </c>
      <c r="H66" s="32">
        <v>8.3299999999999999E-2</v>
      </c>
      <c r="I66" s="31" t="s">
        <v>1736</v>
      </c>
      <c r="J66" s="31">
        <v>0.83</v>
      </c>
      <c r="K66" s="31">
        <v>2.48</v>
      </c>
      <c r="L66" s="31">
        <v>0</v>
      </c>
      <c r="M66" s="31">
        <v>0</v>
      </c>
      <c r="N66" s="31">
        <v>0</v>
      </c>
      <c r="O66" s="32">
        <v>0</v>
      </c>
    </row>
    <row r="67" spans="1:15">
      <c r="A67" s="31" t="s">
        <v>3682</v>
      </c>
      <c r="B67" s="31" t="s">
        <v>3678</v>
      </c>
      <c r="C67" s="31" t="s">
        <v>1734</v>
      </c>
      <c r="D67" s="31" t="s">
        <v>1756</v>
      </c>
      <c r="E67" s="31" t="s">
        <v>1746</v>
      </c>
      <c r="F67" s="31">
        <v>0</v>
      </c>
      <c r="G67" s="31">
        <v>14</v>
      </c>
      <c r="H67" s="32">
        <v>0</v>
      </c>
      <c r="I67" s="31" t="s">
        <v>1736</v>
      </c>
      <c r="J67" s="31">
        <v>0</v>
      </c>
      <c r="K67" s="31">
        <v>0</v>
      </c>
      <c r="L67" s="31">
        <v>0</v>
      </c>
      <c r="M67" s="31">
        <v>0</v>
      </c>
      <c r="N67" s="31">
        <v>0</v>
      </c>
      <c r="O67" s="32">
        <v>0</v>
      </c>
    </row>
    <row r="68" spans="1:15">
      <c r="A68" s="31" t="s">
        <v>3682</v>
      </c>
      <c r="B68" s="31" t="s">
        <v>3678</v>
      </c>
      <c r="C68" s="31" t="s">
        <v>1734</v>
      </c>
      <c r="D68" s="31" t="s">
        <v>3692</v>
      </c>
      <c r="E68" s="31" t="s">
        <v>1746</v>
      </c>
      <c r="F68" s="31">
        <v>0</v>
      </c>
      <c r="G68" s="31">
        <v>2</v>
      </c>
      <c r="H68" s="32">
        <v>0</v>
      </c>
      <c r="I68" s="31" t="s">
        <v>1736</v>
      </c>
      <c r="J68" s="31">
        <v>0</v>
      </c>
      <c r="K68" s="31">
        <v>0</v>
      </c>
      <c r="L68" s="31">
        <v>0</v>
      </c>
      <c r="M68" s="31">
        <v>0</v>
      </c>
      <c r="N68" s="31">
        <v>0</v>
      </c>
      <c r="O68" s="32">
        <v>0</v>
      </c>
    </row>
    <row r="69" spans="1:15">
      <c r="A69" s="31" t="s">
        <v>3682</v>
      </c>
      <c r="B69" s="31" t="s">
        <v>3678</v>
      </c>
      <c r="C69" s="31" t="s">
        <v>1734</v>
      </c>
      <c r="D69" s="31" t="s">
        <v>519</v>
      </c>
      <c r="E69" s="31" t="s">
        <v>1746</v>
      </c>
      <c r="F69" s="31">
        <v>6</v>
      </c>
      <c r="G69" s="31">
        <v>37</v>
      </c>
      <c r="H69" s="32">
        <v>0.16220000000000001</v>
      </c>
      <c r="I69" s="31" t="s">
        <v>1736</v>
      </c>
      <c r="J69" s="31">
        <v>0.74</v>
      </c>
      <c r="K69" s="31">
        <v>4.47</v>
      </c>
      <c r="L69" s="31">
        <v>2</v>
      </c>
      <c r="M69" s="31">
        <v>0</v>
      </c>
      <c r="N69" s="31">
        <v>2.23</v>
      </c>
      <c r="O69" s="32">
        <v>0.33329999999999999</v>
      </c>
    </row>
    <row r="70" spans="1:15">
      <c r="A70" s="31" t="s">
        <v>3682</v>
      </c>
      <c r="B70" s="31" t="s">
        <v>3678</v>
      </c>
      <c r="C70" s="31" t="s">
        <v>1734</v>
      </c>
      <c r="D70" s="31" t="s">
        <v>345</v>
      </c>
      <c r="E70" s="31" t="s">
        <v>1746</v>
      </c>
      <c r="F70" s="31">
        <v>13</v>
      </c>
      <c r="G70" s="31">
        <v>91</v>
      </c>
      <c r="H70" s="32">
        <v>0.1429</v>
      </c>
      <c r="I70" s="31" t="s">
        <v>1736</v>
      </c>
      <c r="J70" s="31">
        <v>0.8</v>
      </c>
      <c r="K70" s="31">
        <v>10.42</v>
      </c>
      <c r="L70" s="31">
        <v>1</v>
      </c>
      <c r="M70" s="31">
        <v>0</v>
      </c>
      <c r="N70" s="31">
        <v>10.42</v>
      </c>
      <c r="O70" s="32">
        <v>7.6899999999999996E-2</v>
      </c>
    </row>
    <row r="71" spans="1:15">
      <c r="A71" s="31" t="s">
        <v>3682</v>
      </c>
      <c r="B71" s="31" t="s">
        <v>3678</v>
      </c>
      <c r="C71" s="31" t="s">
        <v>1734</v>
      </c>
      <c r="D71" s="31" t="s">
        <v>3693</v>
      </c>
      <c r="E71" s="31" t="s">
        <v>1746</v>
      </c>
      <c r="F71" s="31">
        <v>1</v>
      </c>
      <c r="G71" s="31">
        <v>2</v>
      </c>
      <c r="H71" s="32">
        <v>0.5</v>
      </c>
      <c r="I71" s="31" t="s">
        <v>1736</v>
      </c>
      <c r="J71" s="31">
        <v>1.21</v>
      </c>
      <c r="K71" s="31">
        <v>1.21</v>
      </c>
      <c r="L71" s="31">
        <v>0</v>
      </c>
      <c r="M71" s="31">
        <v>0</v>
      </c>
      <c r="N71" s="31">
        <v>0</v>
      </c>
      <c r="O71" s="32">
        <v>0</v>
      </c>
    </row>
    <row r="72" spans="1:15">
      <c r="A72" s="31" t="s">
        <v>3682</v>
      </c>
      <c r="B72" s="31" t="s">
        <v>3678</v>
      </c>
      <c r="C72" s="31" t="s">
        <v>1734</v>
      </c>
      <c r="D72" s="31" t="s">
        <v>2955</v>
      </c>
      <c r="E72" s="31" t="s">
        <v>1746</v>
      </c>
      <c r="F72" s="31">
        <v>1</v>
      </c>
      <c r="G72" s="31">
        <v>22</v>
      </c>
      <c r="H72" s="32">
        <v>4.5499999999999999E-2</v>
      </c>
      <c r="I72" s="31" t="s">
        <v>1736</v>
      </c>
      <c r="J72" s="31">
        <v>1.39</v>
      </c>
      <c r="K72" s="31">
        <v>1.39</v>
      </c>
      <c r="L72" s="31">
        <v>0</v>
      </c>
      <c r="M72" s="31">
        <v>0</v>
      </c>
      <c r="N72" s="31">
        <v>0</v>
      </c>
      <c r="O72" s="32">
        <v>0</v>
      </c>
    </row>
    <row r="73" spans="1:15">
      <c r="A73" s="31" t="s">
        <v>3682</v>
      </c>
      <c r="B73" s="31" t="s">
        <v>3678</v>
      </c>
      <c r="C73" s="31" t="s">
        <v>1734</v>
      </c>
      <c r="D73" s="31" t="s">
        <v>380</v>
      </c>
      <c r="E73" s="31" t="s">
        <v>1746</v>
      </c>
      <c r="F73" s="31">
        <v>5</v>
      </c>
      <c r="G73" s="31">
        <v>55</v>
      </c>
      <c r="H73" s="32">
        <v>9.0899999999999995E-2</v>
      </c>
      <c r="I73" s="31" t="s">
        <v>1736</v>
      </c>
      <c r="J73" s="31">
        <v>0.54</v>
      </c>
      <c r="K73" s="31">
        <v>2.69</v>
      </c>
      <c r="L73" s="31">
        <v>0</v>
      </c>
      <c r="M73" s="31">
        <v>0</v>
      </c>
      <c r="N73" s="31">
        <v>0</v>
      </c>
      <c r="O73" s="32">
        <v>0</v>
      </c>
    </row>
    <row r="74" spans="1:15">
      <c r="A74" s="31" t="s">
        <v>3682</v>
      </c>
      <c r="B74" s="31" t="s">
        <v>3678</v>
      </c>
      <c r="C74" s="31" t="s">
        <v>1734</v>
      </c>
      <c r="D74" s="31" t="s">
        <v>1759</v>
      </c>
      <c r="E74" s="31" t="s">
        <v>1746</v>
      </c>
      <c r="F74" s="31">
        <v>5</v>
      </c>
      <c r="G74" s="31">
        <v>25</v>
      </c>
      <c r="H74" s="32">
        <v>0.2</v>
      </c>
      <c r="I74" s="31" t="s">
        <v>1736</v>
      </c>
      <c r="J74" s="31">
        <v>0.74</v>
      </c>
      <c r="K74" s="31">
        <v>3.72</v>
      </c>
      <c r="L74" s="31">
        <v>1</v>
      </c>
      <c r="M74" s="31">
        <v>0</v>
      </c>
      <c r="N74" s="31">
        <v>3.72</v>
      </c>
      <c r="O74" s="32">
        <v>0.2</v>
      </c>
    </row>
    <row r="75" spans="1:15">
      <c r="A75" s="31" t="s">
        <v>3682</v>
      </c>
      <c r="B75" s="31" t="s">
        <v>3678</v>
      </c>
      <c r="C75" s="31" t="s">
        <v>1734</v>
      </c>
      <c r="D75" s="31" t="s">
        <v>3694</v>
      </c>
      <c r="E75" s="31" t="s">
        <v>1746</v>
      </c>
      <c r="F75" s="31">
        <v>0</v>
      </c>
      <c r="G75" s="31">
        <v>11</v>
      </c>
      <c r="H75" s="32">
        <v>0</v>
      </c>
      <c r="I75" s="31" t="s">
        <v>1736</v>
      </c>
      <c r="J75" s="31">
        <v>0</v>
      </c>
      <c r="K75" s="31">
        <v>0</v>
      </c>
      <c r="L75" s="31">
        <v>0</v>
      </c>
      <c r="M75" s="31">
        <v>0</v>
      </c>
      <c r="N75" s="31">
        <v>0</v>
      </c>
      <c r="O75" s="32">
        <v>0</v>
      </c>
    </row>
    <row r="76" spans="1:15">
      <c r="A76" s="31" t="s">
        <v>3682</v>
      </c>
      <c r="B76" s="31" t="s">
        <v>3678</v>
      </c>
      <c r="C76" s="31" t="s">
        <v>1734</v>
      </c>
      <c r="D76" s="31" t="s">
        <v>1764</v>
      </c>
      <c r="E76" s="31" t="s">
        <v>1746</v>
      </c>
      <c r="F76" s="31">
        <v>2</v>
      </c>
      <c r="G76" s="31">
        <v>20</v>
      </c>
      <c r="H76" s="32">
        <v>0.1</v>
      </c>
      <c r="I76" s="31" t="s">
        <v>1736</v>
      </c>
      <c r="J76" s="31">
        <v>0.26</v>
      </c>
      <c r="K76" s="31">
        <v>0.52</v>
      </c>
      <c r="L76" s="31">
        <v>0</v>
      </c>
      <c r="M76" s="31">
        <v>0</v>
      </c>
      <c r="N76" s="31">
        <v>0</v>
      </c>
      <c r="O76" s="32">
        <v>0</v>
      </c>
    </row>
    <row r="77" spans="1:15">
      <c r="A77" s="31" t="s">
        <v>3682</v>
      </c>
      <c r="B77" s="31" t="s">
        <v>3678</v>
      </c>
      <c r="C77" s="31" t="s">
        <v>1734</v>
      </c>
      <c r="D77" s="31" t="s">
        <v>1760</v>
      </c>
      <c r="E77" s="31" t="s">
        <v>1746</v>
      </c>
      <c r="F77" s="31">
        <v>1</v>
      </c>
      <c r="G77" s="31">
        <v>19</v>
      </c>
      <c r="H77" s="32">
        <v>5.2600000000000001E-2</v>
      </c>
      <c r="I77" s="31" t="s">
        <v>1736</v>
      </c>
      <c r="J77" s="31">
        <v>0.1</v>
      </c>
      <c r="K77" s="31">
        <v>0.1</v>
      </c>
      <c r="L77" s="31">
        <v>0</v>
      </c>
      <c r="M77" s="31">
        <v>0</v>
      </c>
      <c r="N77" s="31">
        <v>0</v>
      </c>
      <c r="O77" s="32">
        <v>0</v>
      </c>
    </row>
    <row r="78" spans="1:15">
      <c r="A78" s="31" t="s">
        <v>3682</v>
      </c>
      <c r="B78" s="31" t="s">
        <v>3678</v>
      </c>
      <c r="C78" s="31" t="s">
        <v>1734</v>
      </c>
      <c r="D78" s="31" t="s">
        <v>3695</v>
      </c>
      <c r="E78" s="31" t="s">
        <v>1746</v>
      </c>
      <c r="F78" s="31">
        <v>0</v>
      </c>
      <c r="G78" s="31">
        <v>2</v>
      </c>
      <c r="H78" s="32">
        <v>0</v>
      </c>
      <c r="I78" s="31" t="s">
        <v>1736</v>
      </c>
      <c r="J78" s="31">
        <v>0</v>
      </c>
      <c r="K78" s="31">
        <v>0</v>
      </c>
      <c r="L78" s="31">
        <v>0</v>
      </c>
      <c r="M78" s="31">
        <v>0</v>
      </c>
      <c r="N78" s="31">
        <v>0</v>
      </c>
      <c r="O78" s="32">
        <v>0</v>
      </c>
    </row>
    <row r="79" spans="1:15">
      <c r="A79" s="31" t="s">
        <v>3682</v>
      </c>
      <c r="B79" s="31" t="s">
        <v>3678</v>
      </c>
      <c r="C79" s="31" t="s">
        <v>1734</v>
      </c>
      <c r="D79" s="31" t="s">
        <v>3696</v>
      </c>
      <c r="E79" s="31" t="s">
        <v>1746</v>
      </c>
      <c r="F79" s="31">
        <v>5</v>
      </c>
      <c r="G79" s="31">
        <v>23</v>
      </c>
      <c r="H79" s="32">
        <v>0.21740000000000001</v>
      </c>
      <c r="I79" s="31" t="s">
        <v>1736</v>
      </c>
      <c r="J79" s="31">
        <v>0.49</v>
      </c>
      <c r="K79" s="31">
        <v>2.4300000000000002</v>
      </c>
      <c r="L79" s="31">
        <v>0</v>
      </c>
      <c r="M79" s="31">
        <v>0</v>
      </c>
      <c r="N79" s="31">
        <v>0</v>
      </c>
      <c r="O79" s="32">
        <v>0</v>
      </c>
    </row>
    <row r="80" spans="1:15">
      <c r="A80" s="31" t="s">
        <v>3682</v>
      </c>
      <c r="B80" s="31" t="s">
        <v>3678</v>
      </c>
      <c r="C80" s="31" t="s">
        <v>1734</v>
      </c>
      <c r="D80" s="31" t="s">
        <v>445</v>
      </c>
      <c r="E80" s="31" t="s">
        <v>1746</v>
      </c>
      <c r="F80" s="31">
        <v>3</v>
      </c>
      <c r="G80" s="31">
        <v>22</v>
      </c>
      <c r="H80" s="32">
        <v>0.13639999999999999</v>
      </c>
      <c r="I80" s="31" t="s">
        <v>1736</v>
      </c>
      <c r="J80" s="31">
        <v>1.18</v>
      </c>
      <c r="K80" s="31">
        <v>3.55</v>
      </c>
      <c r="L80" s="31">
        <v>3</v>
      </c>
      <c r="M80" s="31">
        <v>0</v>
      </c>
      <c r="N80" s="31">
        <v>1.18</v>
      </c>
      <c r="O80" s="32">
        <v>1</v>
      </c>
    </row>
    <row r="81" spans="1:15">
      <c r="A81" s="31" t="s">
        <v>3682</v>
      </c>
      <c r="B81" s="31" t="s">
        <v>3678</v>
      </c>
      <c r="C81" s="31" t="s">
        <v>1734</v>
      </c>
      <c r="D81" s="31" t="s">
        <v>32</v>
      </c>
      <c r="E81" s="31" t="s">
        <v>1746</v>
      </c>
      <c r="F81" s="31">
        <v>0</v>
      </c>
      <c r="G81" s="31">
        <v>23</v>
      </c>
      <c r="H81" s="32">
        <v>0</v>
      </c>
      <c r="I81" s="31" t="s">
        <v>1736</v>
      </c>
      <c r="J81" s="31">
        <v>0</v>
      </c>
      <c r="K81" s="31">
        <v>0</v>
      </c>
      <c r="L81" s="31">
        <v>0</v>
      </c>
      <c r="M81" s="31">
        <v>0</v>
      </c>
      <c r="N81" s="31">
        <v>0</v>
      </c>
      <c r="O81" s="32">
        <v>0</v>
      </c>
    </row>
    <row r="82" spans="1:15">
      <c r="A82" s="31" t="s">
        <v>3682</v>
      </c>
      <c r="B82" s="31" t="s">
        <v>3678</v>
      </c>
      <c r="C82" s="31" t="s">
        <v>1734</v>
      </c>
      <c r="D82" s="31" t="s">
        <v>776</v>
      </c>
      <c r="E82" s="31" t="s">
        <v>1746</v>
      </c>
      <c r="F82" s="31">
        <v>4</v>
      </c>
      <c r="G82" s="31">
        <v>44</v>
      </c>
      <c r="H82" s="32">
        <v>9.0899999999999995E-2</v>
      </c>
      <c r="I82" s="31" t="s">
        <v>1736</v>
      </c>
      <c r="J82" s="31">
        <v>0.77</v>
      </c>
      <c r="K82" s="31">
        <v>3.06</v>
      </c>
      <c r="L82" s="31">
        <v>0</v>
      </c>
      <c r="M82" s="31">
        <v>0</v>
      </c>
      <c r="N82" s="31">
        <v>0</v>
      </c>
      <c r="O82" s="32">
        <v>0</v>
      </c>
    </row>
    <row r="83" spans="1:15">
      <c r="A83" s="31" t="s">
        <v>3682</v>
      </c>
      <c r="B83" s="31" t="s">
        <v>3678</v>
      </c>
      <c r="C83" s="31" t="s">
        <v>1734</v>
      </c>
      <c r="D83" s="31" t="s">
        <v>3697</v>
      </c>
      <c r="E83" s="31" t="s">
        <v>1746</v>
      </c>
      <c r="F83" s="31">
        <v>2</v>
      </c>
      <c r="G83" s="31">
        <v>25</v>
      </c>
      <c r="H83" s="32">
        <v>0.08</v>
      </c>
      <c r="I83" s="31" t="s">
        <v>1736</v>
      </c>
      <c r="J83" s="31">
        <v>0.99</v>
      </c>
      <c r="K83" s="31">
        <v>1.97</v>
      </c>
      <c r="L83" s="31">
        <v>0</v>
      </c>
      <c r="M83" s="31">
        <v>0</v>
      </c>
      <c r="N83" s="31">
        <v>0</v>
      </c>
      <c r="O83" s="32">
        <v>0</v>
      </c>
    </row>
    <row r="84" spans="1:15">
      <c r="A84" s="31" t="s">
        <v>3682</v>
      </c>
      <c r="B84" s="31" t="s">
        <v>3678</v>
      </c>
      <c r="C84" s="31" t="s">
        <v>1734</v>
      </c>
      <c r="D84" s="31" t="s">
        <v>3698</v>
      </c>
      <c r="E84" s="31" t="s">
        <v>1746</v>
      </c>
      <c r="F84" s="31">
        <v>0</v>
      </c>
      <c r="G84" s="31">
        <v>2</v>
      </c>
      <c r="H84" s="32">
        <v>0</v>
      </c>
      <c r="I84" s="31" t="s">
        <v>1736</v>
      </c>
      <c r="J84" s="31">
        <v>0</v>
      </c>
      <c r="K84" s="31">
        <v>0</v>
      </c>
      <c r="L84" s="31">
        <v>0</v>
      </c>
      <c r="M84" s="31">
        <v>0</v>
      </c>
      <c r="N84" s="31">
        <v>0</v>
      </c>
      <c r="O84" s="32">
        <v>0</v>
      </c>
    </row>
    <row r="85" spans="1:15">
      <c r="A85" s="31" t="s">
        <v>3682</v>
      </c>
      <c r="B85" s="31" t="s">
        <v>3678</v>
      </c>
      <c r="C85" s="31" t="s">
        <v>1734</v>
      </c>
      <c r="D85" s="31" t="s">
        <v>3699</v>
      </c>
      <c r="E85" s="31" t="s">
        <v>1746</v>
      </c>
      <c r="F85" s="31">
        <v>6</v>
      </c>
      <c r="G85" s="31">
        <v>47</v>
      </c>
      <c r="H85" s="32">
        <v>0.12770000000000001</v>
      </c>
      <c r="I85" s="31" t="s">
        <v>1736</v>
      </c>
      <c r="J85" s="31">
        <v>0.43</v>
      </c>
      <c r="K85" s="31">
        <v>2.58</v>
      </c>
      <c r="L85" s="31">
        <v>0</v>
      </c>
      <c r="M85" s="31">
        <v>0</v>
      </c>
      <c r="N85" s="31">
        <v>0</v>
      </c>
      <c r="O85" s="32">
        <v>0</v>
      </c>
    </row>
    <row r="86" spans="1:15">
      <c r="A86" s="31" t="s">
        <v>3682</v>
      </c>
      <c r="B86" s="31" t="s">
        <v>3678</v>
      </c>
      <c r="C86" s="31" t="s">
        <v>1734</v>
      </c>
      <c r="D86" s="31" t="s">
        <v>3700</v>
      </c>
      <c r="E86" s="31" t="s">
        <v>1746</v>
      </c>
      <c r="F86" s="31">
        <v>0</v>
      </c>
      <c r="G86" s="31">
        <v>7</v>
      </c>
      <c r="H86" s="32">
        <v>0</v>
      </c>
      <c r="I86" s="31" t="s">
        <v>1736</v>
      </c>
      <c r="J86" s="31">
        <v>0</v>
      </c>
      <c r="K86" s="31">
        <v>0</v>
      </c>
      <c r="L86" s="31">
        <v>0</v>
      </c>
      <c r="M86" s="31">
        <v>0</v>
      </c>
      <c r="N86" s="31">
        <v>0</v>
      </c>
      <c r="O86" s="32">
        <v>0</v>
      </c>
    </row>
    <row r="87" spans="1:15">
      <c r="A87" s="31" t="s">
        <v>3682</v>
      </c>
      <c r="B87" s="31" t="s">
        <v>3678</v>
      </c>
      <c r="C87" s="31" t="s">
        <v>1734</v>
      </c>
      <c r="D87" s="31" t="s">
        <v>3701</v>
      </c>
      <c r="E87" s="31" t="s">
        <v>1746</v>
      </c>
      <c r="F87" s="31">
        <v>0</v>
      </c>
      <c r="G87" s="31">
        <v>1</v>
      </c>
      <c r="H87" s="32">
        <v>0</v>
      </c>
      <c r="I87" s="31" t="s">
        <v>1736</v>
      </c>
      <c r="J87" s="31">
        <v>0</v>
      </c>
      <c r="K87" s="31">
        <v>0</v>
      </c>
      <c r="L87" s="31">
        <v>0</v>
      </c>
      <c r="M87" s="31">
        <v>0</v>
      </c>
      <c r="N87" s="31">
        <v>0</v>
      </c>
      <c r="O87" s="32">
        <v>0</v>
      </c>
    </row>
    <row r="88" spans="1:15">
      <c r="A88" s="31" t="s">
        <v>3682</v>
      </c>
      <c r="B88" s="31" t="s">
        <v>3678</v>
      </c>
      <c r="C88" s="31" t="s">
        <v>1734</v>
      </c>
      <c r="D88" s="31" t="s">
        <v>3702</v>
      </c>
      <c r="E88" s="31" t="s">
        <v>1746</v>
      </c>
      <c r="F88" s="31">
        <v>12</v>
      </c>
      <c r="G88" s="31">
        <v>75</v>
      </c>
      <c r="H88" s="32">
        <v>0.16</v>
      </c>
      <c r="I88" s="31" t="s">
        <v>1736</v>
      </c>
      <c r="J88" s="31">
        <v>0.7</v>
      </c>
      <c r="K88" s="31">
        <v>8.42</v>
      </c>
      <c r="L88" s="31">
        <v>0</v>
      </c>
      <c r="M88" s="31">
        <v>0</v>
      </c>
      <c r="N88" s="31">
        <v>0</v>
      </c>
      <c r="O88" s="32">
        <v>0</v>
      </c>
    </row>
    <row r="89" spans="1:15">
      <c r="A89" s="31" t="s">
        <v>3682</v>
      </c>
      <c r="B89" s="31" t="s">
        <v>3678</v>
      </c>
      <c r="C89" s="31" t="s">
        <v>1734</v>
      </c>
      <c r="D89" s="31" t="s">
        <v>64</v>
      </c>
      <c r="E89" s="31" t="s">
        <v>1746</v>
      </c>
      <c r="F89" s="31">
        <v>0</v>
      </c>
      <c r="G89" s="31">
        <v>0</v>
      </c>
      <c r="H89" s="32">
        <v>0</v>
      </c>
      <c r="I89" s="31" t="s">
        <v>1736</v>
      </c>
      <c r="J89" s="31">
        <v>0</v>
      </c>
      <c r="K89" s="31">
        <v>0</v>
      </c>
      <c r="L89" s="31">
        <v>0</v>
      </c>
      <c r="M89" s="31">
        <v>0</v>
      </c>
      <c r="N89" s="31">
        <v>0</v>
      </c>
      <c r="O89" s="32">
        <v>0</v>
      </c>
    </row>
    <row r="90" spans="1:15">
      <c r="A90" s="31" t="s">
        <v>3682</v>
      </c>
      <c r="B90" s="31" t="s">
        <v>3678</v>
      </c>
      <c r="C90" s="31" t="s">
        <v>1734</v>
      </c>
      <c r="D90" s="31" t="s">
        <v>1470</v>
      </c>
      <c r="E90" s="31" t="s">
        <v>1746</v>
      </c>
      <c r="F90" s="31">
        <v>18</v>
      </c>
      <c r="G90" s="31">
        <v>260</v>
      </c>
      <c r="H90" s="32">
        <v>6.9199999999999998E-2</v>
      </c>
      <c r="I90" s="31" t="s">
        <v>1736</v>
      </c>
      <c r="J90" s="31">
        <v>0.36</v>
      </c>
      <c r="K90" s="31">
        <v>6.42</v>
      </c>
      <c r="L90" s="31">
        <v>2</v>
      </c>
      <c r="M90" s="31">
        <v>0</v>
      </c>
      <c r="N90" s="31">
        <v>3.21</v>
      </c>
      <c r="O90" s="32">
        <v>0.1111</v>
      </c>
    </row>
    <row r="91" spans="1:15">
      <c r="A91" s="31" t="s">
        <v>3682</v>
      </c>
      <c r="B91" s="31" t="s">
        <v>3678</v>
      </c>
      <c r="C91" s="31" t="s">
        <v>1734</v>
      </c>
      <c r="D91" s="31" t="s">
        <v>3348</v>
      </c>
      <c r="E91" s="31" t="s">
        <v>1746</v>
      </c>
      <c r="F91" s="31">
        <v>7</v>
      </c>
      <c r="G91" s="31">
        <v>31</v>
      </c>
      <c r="H91" s="32">
        <v>0.2258</v>
      </c>
      <c r="I91" s="31" t="s">
        <v>1736</v>
      </c>
      <c r="J91" s="31">
        <v>0.71</v>
      </c>
      <c r="K91" s="31">
        <v>4.9800000000000004</v>
      </c>
      <c r="L91" s="31">
        <v>0</v>
      </c>
      <c r="M91" s="31">
        <v>0</v>
      </c>
      <c r="N91" s="31">
        <v>0</v>
      </c>
      <c r="O91" s="32">
        <v>0</v>
      </c>
    </row>
    <row r="92" spans="1:15">
      <c r="A92" s="31" t="s">
        <v>3682</v>
      </c>
      <c r="B92" s="31" t="s">
        <v>3678</v>
      </c>
      <c r="C92" s="31" t="s">
        <v>1734</v>
      </c>
      <c r="D92" s="31" t="s">
        <v>3703</v>
      </c>
      <c r="E92" s="31" t="s">
        <v>1746</v>
      </c>
      <c r="F92" s="31">
        <v>1</v>
      </c>
      <c r="G92" s="31">
        <v>7</v>
      </c>
      <c r="H92" s="32">
        <v>0.1429</v>
      </c>
      <c r="I92" s="31" t="s">
        <v>1736</v>
      </c>
      <c r="J92" s="31">
        <v>1.1399999999999999</v>
      </c>
      <c r="K92" s="31">
        <v>1.1399999999999999</v>
      </c>
      <c r="L92" s="31">
        <v>0</v>
      </c>
      <c r="M92" s="31">
        <v>0</v>
      </c>
      <c r="N92" s="31">
        <v>0</v>
      </c>
      <c r="O92" s="32">
        <v>0</v>
      </c>
    </row>
    <row r="93" spans="1:15">
      <c r="A93" s="31" t="s">
        <v>3682</v>
      </c>
      <c r="B93" s="31" t="s">
        <v>3678</v>
      </c>
      <c r="C93" s="31" t="s">
        <v>1734</v>
      </c>
      <c r="D93" s="31" t="s">
        <v>236</v>
      </c>
      <c r="E93" s="31" t="s">
        <v>1746</v>
      </c>
      <c r="F93" s="31">
        <v>5</v>
      </c>
      <c r="G93" s="31">
        <v>56</v>
      </c>
      <c r="H93" s="32">
        <v>8.9300000000000004E-2</v>
      </c>
      <c r="I93" s="31" t="s">
        <v>1736</v>
      </c>
      <c r="J93" s="31">
        <v>0.21</v>
      </c>
      <c r="K93" s="31">
        <v>1.06</v>
      </c>
      <c r="L93" s="31">
        <v>0</v>
      </c>
      <c r="M93" s="31">
        <v>0</v>
      </c>
      <c r="N93" s="31">
        <v>0</v>
      </c>
      <c r="O93" s="32">
        <v>0</v>
      </c>
    </row>
    <row r="94" spans="1:15">
      <c r="A94" s="31" t="s">
        <v>3682</v>
      </c>
      <c r="B94" s="31" t="s">
        <v>3678</v>
      </c>
      <c r="C94" s="31" t="s">
        <v>1734</v>
      </c>
      <c r="D94" s="31" t="s">
        <v>3704</v>
      </c>
      <c r="E94" s="31" t="s">
        <v>1746</v>
      </c>
      <c r="F94" s="31">
        <v>0</v>
      </c>
      <c r="G94" s="31">
        <v>0</v>
      </c>
      <c r="H94" s="32">
        <v>0</v>
      </c>
      <c r="I94" s="31" t="s">
        <v>1736</v>
      </c>
      <c r="J94" s="31">
        <v>0</v>
      </c>
      <c r="K94" s="31">
        <v>0</v>
      </c>
      <c r="L94" s="31">
        <v>0</v>
      </c>
      <c r="M94" s="31">
        <v>0</v>
      </c>
      <c r="N94" s="31">
        <v>0</v>
      </c>
      <c r="O94" s="32">
        <v>0</v>
      </c>
    </row>
    <row r="95" spans="1:15">
      <c r="A95" s="31" t="s">
        <v>3682</v>
      </c>
      <c r="B95" s="31" t="s">
        <v>3678</v>
      </c>
      <c r="C95" s="31" t="s">
        <v>1734</v>
      </c>
      <c r="D95" s="31" t="s">
        <v>1755</v>
      </c>
      <c r="E95" s="31" t="s">
        <v>1746</v>
      </c>
      <c r="F95" s="31">
        <v>6</v>
      </c>
      <c r="G95" s="31">
        <v>30</v>
      </c>
      <c r="H95" s="32">
        <v>0.2</v>
      </c>
      <c r="I95" s="31" t="s">
        <v>1736</v>
      </c>
      <c r="J95" s="31">
        <v>0.55000000000000004</v>
      </c>
      <c r="K95" s="31">
        <v>3.31</v>
      </c>
      <c r="L95" s="31">
        <v>0</v>
      </c>
      <c r="M95" s="31">
        <v>0</v>
      </c>
      <c r="N95" s="31">
        <v>0</v>
      </c>
      <c r="O95" s="32">
        <v>0</v>
      </c>
    </row>
    <row r="96" spans="1:15">
      <c r="A96" s="31" t="s">
        <v>3682</v>
      </c>
      <c r="B96" s="31" t="s">
        <v>3678</v>
      </c>
      <c r="C96" s="31" t="s">
        <v>1734</v>
      </c>
      <c r="D96" s="31" t="s">
        <v>453</v>
      </c>
      <c r="E96" s="31" t="s">
        <v>1746</v>
      </c>
      <c r="F96" s="31">
        <v>6</v>
      </c>
      <c r="G96" s="31">
        <v>29</v>
      </c>
      <c r="H96" s="32">
        <v>0.2069</v>
      </c>
      <c r="I96" s="31" t="s">
        <v>1736</v>
      </c>
      <c r="J96" s="31">
        <v>0.19</v>
      </c>
      <c r="K96" s="31">
        <v>1.1499999999999999</v>
      </c>
      <c r="L96" s="31">
        <v>0</v>
      </c>
      <c r="M96" s="31">
        <v>0</v>
      </c>
      <c r="N96" s="31">
        <v>0</v>
      </c>
      <c r="O96" s="32">
        <v>0</v>
      </c>
    </row>
    <row r="97" spans="1:15">
      <c r="A97" s="31" t="s">
        <v>3682</v>
      </c>
      <c r="B97" s="31" t="s">
        <v>3678</v>
      </c>
      <c r="C97" s="31" t="s">
        <v>1734</v>
      </c>
      <c r="D97" s="31" t="s">
        <v>3705</v>
      </c>
      <c r="E97" s="31" t="s">
        <v>1746</v>
      </c>
      <c r="F97" s="31">
        <v>0</v>
      </c>
      <c r="G97" s="31">
        <v>3</v>
      </c>
      <c r="H97" s="32">
        <v>0</v>
      </c>
      <c r="I97" s="31" t="s">
        <v>1736</v>
      </c>
      <c r="J97" s="31">
        <v>0</v>
      </c>
      <c r="K97" s="31">
        <v>0</v>
      </c>
      <c r="L97" s="31">
        <v>0</v>
      </c>
      <c r="M97" s="31">
        <v>0</v>
      </c>
      <c r="N97" s="31">
        <v>0</v>
      </c>
      <c r="O97" s="32">
        <v>0</v>
      </c>
    </row>
    <row r="98" spans="1:15">
      <c r="A98" s="31" t="s">
        <v>3682</v>
      </c>
      <c r="B98" s="31" t="s">
        <v>3678</v>
      </c>
      <c r="C98" s="31" t="s">
        <v>1734</v>
      </c>
      <c r="D98" s="31" t="s">
        <v>1749</v>
      </c>
      <c r="E98" s="31" t="s">
        <v>1746</v>
      </c>
      <c r="F98" s="31">
        <v>2</v>
      </c>
      <c r="G98" s="31">
        <v>43</v>
      </c>
      <c r="H98" s="32">
        <v>4.65E-2</v>
      </c>
      <c r="I98" s="31" t="s">
        <v>1736</v>
      </c>
      <c r="J98" s="31">
        <v>0.46</v>
      </c>
      <c r="K98" s="31">
        <v>0.92</v>
      </c>
      <c r="L98" s="31">
        <v>0</v>
      </c>
      <c r="M98" s="31">
        <v>0</v>
      </c>
      <c r="N98" s="31">
        <v>0</v>
      </c>
      <c r="O98" s="32">
        <v>0</v>
      </c>
    </row>
    <row r="99" spans="1:15">
      <c r="A99" s="31" t="s">
        <v>3682</v>
      </c>
      <c r="B99" s="31" t="s">
        <v>3678</v>
      </c>
      <c r="C99" s="31" t="s">
        <v>1734</v>
      </c>
      <c r="D99" s="31" t="s">
        <v>3296</v>
      </c>
      <c r="E99" s="31" t="s">
        <v>1746</v>
      </c>
      <c r="F99" s="31">
        <v>2</v>
      </c>
      <c r="G99" s="31">
        <v>18</v>
      </c>
      <c r="H99" s="32">
        <v>0.1111</v>
      </c>
      <c r="I99" s="31" t="s">
        <v>1736</v>
      </c>
      <c r="J99" s="31">
        <v>0.73</v>
      </c>
      <c r="K99" s="31">
        <v>1.45</v>
      </c>
      <c r="L99" s="31">
        <v>0</v>
      </c>
      <c r="M99" s="31">
        <v>0</v>
      </c>
      <c r="N99" s="31">
        <v>0</v>
      </c>
      <c r="O99" s="32">
        <v>0</v>
      </c>
    </row>
    <row r="100" spans="1:15">
      <c r="A100" s="31" t="s">
        <v>3682</v>
      </c>
      <c r="B100" s="31" t="s">
        <v>3678</v>
      </c>
      <c r="C100" s="31" t="s">
        <v>1734</v>
      </c>
      <c r="D100" s="31" t="s">
        <v>3706</v>
      </c>
      <c r="E100" s="31" t="s">
        <v>1746</v>
      </c>
      <c r="F100" s="31">
        <v>1</v>
      </c>
      <c r="G100" s="31">
        <v>8</v>
      </c>
      <c r="H100" s="32">
        <v>0.125</v>
      </c>
      <c r="I100" s="31" t="s">
        <v>1736</v>
      </c>
      <c r="J100" s="31">
        <v>0.09</v>
      </c>
      <c r="K100" s="31">
        <v>0.09</v>
      </c>
      <c r="L100" s="31">
        <v>0</v>
      </c>
      <c r="M100" s="31">
        <v>0</v>
      </c>
      <c r="N100" s="31">
        <v>0</v>
      </c>
      <c r="O100" s="32">
        <v>0</v>
      </c>
    </row>
    <row r="101" spans="1:15">
      <c r="A101" s="31" t="s">
        <v>3682</v>
      </c>
      <c r="B101" s="31" t="s">
        <v>3678</v>
      </c>
      <c r="C101" s="31" t="s">
        <v>1734</v>
      </c>
      <c r="D101" s="31" t="s">
        <v>3707</v>
      </c>
      <c r="E101" s="31" t="s">
        <v>1746</v>
      </c>
      <c r="F101" s="31">
        <v>1</v>
      </c>
      <c r="G101" s="31">
        <v>14</v>
      </c>
      <c r="H101" s="32">
        <v>7.1400000000000005E-2</v>
      </c>
      <c r="I101" s="31" t="s">
        <v>1736</v>
      </c>
      <c r="J101" s="31">
        <v>1.72</v>
      </c>
      <c r="K101" s="31">
        <v>1.72</v>
      </c>
      <c r="L101" s="31">
        <v>0</v>
      </c>
      <c r="M101" s="31">
        <v>0</v>
      </c>
      <c r="N101" s="31">
        <v>0</v>
      </c>
      <c r="O101" s="32">
        <v>0</v>
      </c>
    </row>
    <row r="102" spans="1:15">
      <c r="A102" s="31" t="s">
        <v>3682</v>
      </c>
      <c r="B102" s="31" t="s">
        <v>3678</v>
      </c>
      <c r="C102" s="31" t="s">
        <v>1734</v>
      </c>
      <c r="D102" s="31" t="s">
        <v>3708</v>
      </c>
      <c r="E102" s="31" t="s">
        <v>1746</v>
      </c>
      <c r="F102" s="31">
        <v>13</v>
      </c>
      <c r="G102" s="31">
        <v>49</v>
      </c>
      <c r="H102" s="32">
        <v>0.26529999999999998</v>
      </c>
      <c r="I102" s="31" t="s">
        <v>1736</v>
      </c>
      <c r="J102" s="31">
        <v>0.54</v>
      </c>
      <c r="K102" s="31">
        <v>6.98</v>
      </c>
      <c r="L102" s="31">
        <v>1</v>
      </c>
      <c r="M102" s="31">
        <v>0</v>
      </c>
      <c r="N102" s="31">
        <v>6.98</v>
      </c>
      <c r="O102" s="32">
        <v>7.6899999999999996E-2</v>
      </c>
    </row>
    <row r="103" spans="1:15">
      <c r="A103" s="31" t="s">
        <v>3682</v>
      </c>
      <c r="B103" s="31" t="s">
        <v>3678</v>
      </c>
      <c r="C103" s="31" t="s">
        <v>1734</v>
      </c>
      <c r="D103" s="31" t="s">
        <v>3709</v>
      </c>
      <c r="E103" s="31" t="s">
        <v>1746</v>
      </c>
      <c r="F103" s="31">
        <v>2</v>
      </c>
      <c r="G103" s="31">
        <v>13</v>
      </c>
      <c r="H103" s="32">
        <v>0.15379999999999999</v>
      </c>
      <c r="I103" s="31" t="s">
        <v>1736</v>
      </c>
      <c r="J103" s="31">
        <v>0.38</v>
      </c>
      <c r="K103" s="31">
        <v>0.76</v>
      </c>
      <c r="L103" s="31">
        <v>0</v>
      </c>
      <c r="M103" s="31">
        <v>0</v>
      </c>
      <c r="N103" s="31">
        <v>0</v>
      </c>
      <c r="O103" s="32">
        <v>0</v>
      </c>
    </row>
    <row r="104" spans="1:15">
      <c r="A104" s="31" t="s">
        <v>3682</v>
      </c>
      <c r="B104" s="31" t="s">
        <v>3678</v>
      </c>
      <c r="C104" s="31" t="s">
        <v>1734</v>
      </c>
      <c r="D104" s="31" t="s">
        <v>3710</v>
      </c>
      <c r="E104" s="31" t="s">
        <v>1746</v>
      </c>
      <c r="F104" s="31">
        <v>0</v>
      </c>
      <c r="G104" s="31">
        <v>7</v>
      </c>
      <c r="H104" s="32">
        <v>0</v>
      </c>
      <c r="I104" s="31" t="s">
        <v>1736</v>
      </c>
      <c r="J104" s="31">
        <v>0</v>
      </c>
      <c r="K104" s="31">
        <v>0</v>
      </c>
      <c r="L104" s="31">
        <v>0</v>
      </c>
      <c r="M104" s="31">
        <v>0</v>
      </c>
      <c r="N104" s="31">
        <v>0</v>
      </c>
      <c r="O104" s="32">
        <v>0</v>
      </c>
    </row>
    <row r="105" spans="1:15">
      <c r="A105" s="31" t="s">
        <v>3682</v>
      </c>
      <c r="B105" s="31" t="s">
        <v>3678</v>
      </c>
      <c r="C105" s="31" t="s">
        <v>1734</v>
      </c>
      <c r="D105" s="31" t="s">
        <v>3711</v>
      </c>
      <c r="E105" s="31" t="s">
        <v>1746</v>
      </c>
      <c r="F105" s="31">
        <v>2</v>
      </c>
      <c r="G105" s="31">
        <v>6</v>
      </c>
      <c r="H105" s="32">
        <v>0.33329999999999999</v>
      </c>
      <c r="I105" s="31" t="s">
        <v>1736</v>
      </c>
      <c r="J105" s="31">
        <v>0.7</v>
      </c>
      <c r="K105" s="31">
        <v>1.4</v>
      </c>
      <c r="L105" s="31">
        <v>0</v>
      </c>
      <c r="M105" s="31">
        <v>0</v>
      </c>
      <c r="N105" s="31">
        <v>0</v>
      </c>
      <c r="O105" s="32">
        <v>0</v>
      </c>
    </row>
    <row r="106" spans="1:15">
      <c r="A106" s="31" t="s">
        <v>3682</v>
      </c>
      <c r="B106" s="31" t="s">
        <v>3678</v>
      </c>
      <c r="C106" s="31" t="s">
        <v>1734</v>
      </c>
      <c r="D106" s="31" t="s">
        <v>910</v>
      </c>
      <c r="E106" s="31" t="s">
        <v>1746</v>
      </c>
      <c r="F106" s="31">
        <v>4</v>
      </c>
      <c r="G106" s="31">
        <v>49</v>
      </c>
      <c r="H106" s="32">
        <v>8.1600000000000006E-2</v>
      </c>
      <c r="I106" s="31" t="s">
        <v>1736</v>
      </c>
      <c r="J106" s="31">
        <v>0.22</v>
      </c>
      <c r="K106" s="31">
        <v>0.87</v>
      </c>
      <c r="L106" s="31">
        <v>1</v>
      </c>
      <c r="M106" s="31">
        <v>0</v>
      </c>
      <c r="N106" s="31">
        <v>0.87</v>
      </c>
      <c r="O106" s="32">
        <v>0.25</v>
      </c>
    </row>
    <row r="107" spans="1:15">
      <c r="A107" s="31" t="s">
        <v>3682</v>
      </c>
      <c r="B107" s="31" t="s">
        <v>3678</v>
      </c>
      <c r="C107" s="31" t="s">
        <v>1734</v>
      </c>
      <c r="D107" s="31" t="s">
        <v>1761</v>
      </c>
      <c r="E107" s="31" t="s">
        <v>1746</v>
      </c>
      <c r="F107" s="31">
        <v>5</v>
      </c>
      <c r="G107" s="31">
        <v>61</v>
      </c>
      <c r="H107" s="32">
        <v>8.2000000000000003E-2</v>
      </c>
      <c r="I107" s="31" t="s">
        <v>1736</v>
      </c>
      <c r="J107" s="31">
        <v>1.06</v>
      </c>
      <c r="K107" s="31">
        <v>5.28</v>
      </c>
      <c r="L107" s="31">
        <v>0</v>
      </c>
      <c r="M107" s="31">
        <v>0</v>
      </c>
      <c r="N107" s="31">
        <v>0</v>
      </c>
      <c r="O107" s="32">
        <v>0</v>
      </c>
    </row>
    <row r="108" spans="1:15">
      <c r="A108" s="31" t="s">
        <v>3682</v>
      </c>
      <c r="B108" s="31" t="s">
        <v>3678</v>
      </c>
      <c r="C108" s="31" t="s">
        <v>1734</v>
      </c>
      <c r="D108" s="31" t="s">
        <v>1750</v>
      </c>
      <c r="E108" s="31" t="s">
        <v>1746</v>
      </c>
      <c r="F108" s="31">
        <v>11</v>
      </c>
      <c r="G108" s="31">
        <v>97</v>
      </c>
      <c r="H108" s="32">
        <v>0.1134</v>
      </c>
      <c r="I108" s="31" t="s">
        <v>1736</v>
      </c>
      <c r="J108" s="31">
        <v>0.9</v>
      </c>
      <c r="K108" s="31">
        <v>9.89</v>
      </c>
      <c r="L108" s="31">
        <v>0</v>
      </c>
      <c r="M108" s="31">
        <v>0</v>
      </c>
      <c r="N108" s="31">
        <v>0</v>
      </c>
      <c r="O108" s="32">
        <v>0</v>
      </c>
    </row>
    <row r="109" spans="1:15">
      <c r="A109" s="31" t="s">
        <v>3682</v>
      </c>
      <c r="B109" s="31" t="s">
        <v>3678</v>
      </c>
      <c r="C109" s="31" t="s">
        <v>1734</v>
      </c>
      <c r="D109" s="31" t="s">
        <v>1762</v>
      </c>
      <c r="E109" s="31" t="s">
        <v>1746</v>
      </c>
      <c r="F109" s="31">
        <v>4</v>
      </c>
      <c r="G109" s="31">
        <v>21</v>
      </c>
      <c r="H109" s="32">
        <v>0.1905</v>
      </c>
      <c r="I109" s="31" t="s">
        <v>1736</v>
      </c>
      <c r="J109" s="31">
        <v>1.84</v>
      </c>
      <c r="K109" s="31">
        <v>7.36</v>
      </c>
      <c r="L109" s="31">
        <v>1</v>
      </c>
      <c r="M109" s="31">
        <v>0</v>
      </c>
      <c r="N109" s="31">
        <v>7.36</v>
      </c>
      <c r="O109" s="32">
        <v>0.25</v>
      </c>
    </row>
    <row r="110" spans="1:15">
      <c r="A110" s="31" t="s">
        <v>3682</v>
      </c>
      <c r="B110" s="31" t="s">
        <v>3678</v>
      </c>
      <c r="C110" s="31" t="s">
        <v>1734</v>
      </c>
      <c r="D110" s="31" t="s">
        <v>3712</v>
      </c>
      <c r="E110" s="31" t="s">
        <v>1746</v>
      </c>
      <c r="F110" s="31">
        <v>30</v>
      </c>
      <c r="G110" s="31">
        <v>244</v>
      </c>
      <c r="H110" s="32">
        <v>0.123</v>
      </c>
      <c r="I110" s="31" t="s">
        <v>1736</v>
      </c>
      <c r="J110" s="31">
        <v>0.78</v>
      </c>
      <c r="K110" s="31">
        <v>23.3</v>
      </c>
      <c r="L110" s="31">
        <v>9</v>
      </c>
      <c r="M110" s="31">
        <v>0</v>
      </c>
      <c r="N110" s="31">
        <v>2.59</v>
      </c>
      <c r="O110" s="32">
        <v>0.3</v>
      </c>
    </row>
    <row r="111" spans="1:15">
      <c r="A111" s="31" t="s">
        <v>3682</v>
      </c>
      <c r="B111" s="31" t="s">
        <v>3678</v>
      </c>
      <c r="C111" s="31" t="s">
        <v>1734</v>
      </c>
      <c r="D111" s="31" t="s">
        <v>24</v>
      </c>
      <c r="E111" s="31" t="s">
        <v>1746</v>
      </c>
      <c r="F111" s="31">
        <v>6</v>
      </c>
      <c r="G111" s="31">
        <v>35</v>
      </c>
      <c r="H111" s="32">
        <v>0.1714</v>
      </c>
      <c r="I111" s="31" t="s">
        <v>1736</v>
      </c>
      <c r="J111" s="31">
        <v>0.42</v>
      </c>
      <c r="K111" s="31">
        <v>2.52</v>
      </c>
      <c r="L111" s="31">
        <v>0</v>
      </c>
      <c r="M111" s="31">
        <v>0</v>
      </c>
      <c r="N111" s="31">
        <v>0</v>
      </c>
      <c r="O111" s="32">
        <v>0</v>
      </c>
    </row>
    <row r="112" spans="1:15">
      <c r="A112" s="31" t="s">
        <v>3682</v>
      </c>
      <c r="B112" s="31" t="s">
        <v>3678</v>
      </c>
      <c r="C112" s="31" t="s">
        <v>1734</v>
      </c>
      <c r="D112" s="31" t="s">
        <v>3713</v>
      </c>
      <c r="E112" s="31" t="s">
        <v>1746</v>
      </c>
      <c r="F112" s="31">
        <v>1</v>
      </c>
      <c r="G112" s="31">
        <v>3</v>
      </c>
      <c r="H112" s="32">
        <v>0.33329999999999999</v>
      </c>
      <c r="I112" s="31" t="s">
        <v>1736</v>
      </c>
      <c r="J112" s="31">
        <v>1.1299999999999999</v>
      </c>
      <c r="K112" s="31">
        <v>1.1299999999999999</v>
      </c>
      <c r="L112" s="31">
        <v>0</v>
      </c>
      <c r="M112" s="31">
        <v>0</v>
      </c>
      <c r="N112" s="31">
        <v>0</v>
      </c>
      <c r="O112" s="32">
        <v>0</v>
      </c>
    </row>
    <row r="113" spans="1:15">
      <c r="A113" s="31" t="s">
        <v>3682</v>
      </c>
      <c r="B113" s="31" t="s">
        <v>3678</v>
      </c>
      <c r="C113" s="31" t="s">
        <v>1734</v>
      </c>
      <c r="D113" s="31" t="s">
        <v>44</v>
      </c>
      <c r="E113" s="31" t="s">
        <v>1746</v>
      </c>
      <c r="F113" s="31">
        <v>5</v>
      </c>
      <c r="G113" s="31">
        <v>61</v>
      </c>
      <c r="H113" s="32">
        <v>8.2000000000000003E-2</v>
      </c>
      <c r="I113" s="31" t="s">
        <v>1736</v>
      </c>
      <c r="J113" s="31">
        <v>0.54</v>
      </c>
      <c r="K113" s="31">
        <v>2.72</v>
      </c>
      <c r="L113" s="31">
        <v>2</v>
      </c>
      <c r="M113" s="31">
        <v>0</v>
      </c>
      <c r="N113" s="31">
        <v>1.36</v>
      </c>
      <c r="O113" s="32">
        <v>0.4</v>
      </c>
    </row>
    <row r="114" spans="1:15">
      <c r="A114" s="31" t="s">
        <v>3682</v>
      </c>
      <c r="B114" s="31" t="s">
        <v>3678</v>
      </c>
      <c r="C114" s="31" t="s">
        <v>1734</v>
      </c>
      <c r="D114" s="31" t="s">
        <v>1769</v>
      </c>
      <c r="E114" s="31" t="s">
        <v>1746</v>
      </c>
      <c r="F114" s="31">
        <v>1</v>
      </c>
      <c r="G114" s="31">
        <v>4</v>
      </c>
      <c r="H114" s="32">
        <v>0.25</v>
      </c>
      <c r="I114" s="31" t="s">
        <v>1736</v>
      </c>
      <c r="J114" s="31">
        <v>0.3</v>
      </c>
      <c r="K114" s="31">
        <v>0.3</v>
      </c>
      <c r="L114" s="31">
        <v>0</v>
      </c>
      <c r="M114" s="31">
        <v>0</v>
      </c>
      <c r="N114" s="31">
        <v>0</v>
      </c>
      <c r="O114" s="32">
        <v>0</v>
      </c>
    </row>
    <row r="115" spans="1:15">
      <c r="A115" s="31" t="s">
        <v>3682</v>
      </c>
      <c r="B115" s="31" t="s">
        <v>3678</v>
      </c>
      <c r="C115" s="31" t="s">
        <v>1734</v>
      </c>
      <c r="D115" s="31" t="s">
        <v>1768</v>
      </c>
      <c r="E115" s="31" t="s">
        <v>1746</v>
      </c>
      <c r="F115" s="31">
        <v>0</v>
      </c>
      <c r="G115" s="31">
        <v>4</v>
      </c>
      <c r="H115" s="32">
        <v>0</v>
      </c>
      <c r="I115" s="31" t="s">
        <v>1736</v>
      </c>
      <c r="J115" s="31">
        <v>0</v>
      </c>
      <c r="K115" s="31">
        <v>0</v>
      </c>
      <c r="L115" s="31">
        <v>0</v>
      </c>
      <c r="M115" s="31">
        <v>0</v>
      </c>
      <c r="N115" s="31">
        <v>0</v>
      </c>
      <c r="O115" s="32">
        <v>0</v>
      </c>
    </row>
    <row r="116" spans="1:15">
      <c r="A116" s="31" t="s">
        <v>3682</v>
      </c>
      <c r="B116" s="31" t="s">
        <v>3678</v>
      </c>
      <c r="C116" s="31" t="s">
        <v>1734</v>
      </c>
      <c r="D116" s="31" t="s">
        <v>695</v>
      </c>
      <c r="E116" s="31" t="s">
        <v>1746</v>
      </c>
      <c r="F116" s="31">
        <v>8</v>
      </c>
      <c r="G116" s="31">
        <v>99</v>
      </c>
      <c r="H116" s="32">
        <v>8.0799999999999997E-2</v>
      </c>
      <c r="I116" s="31" t="s">
        <v>1736</v>
      </c>
      <c r="J116" s="31">
        <v>0.46</v>
      </c>
      <c r="K116" s="31">
        <v>3.71</v>
      </c>
      <c r="L116" s="31">
        <v>1</v>
      </c>
      <c r="M116" s="31">
        <v>0</v>
      </c>
      <c r="N116" s="31">
        <v>3.71</v>
      </c>
      <c r="O116" s="32">
        <v>0.125</v>
      </c>
    </row>
    <row r="117" spans="1:15">
      <c r="A117" s="31" t="s">
        <v>3682</v>
      </c>
      <c r="B117" s="31" t="s">
        <v>3678</v>
      </c>
      <c r="C117" s="31" t="s">
        <v>1734</v>
      </c>
      <c r="D117" s="31" t="s">
        <v>3714</v>
      </c>
      <c r="E117" s="31" t="s">
        <v>1746</v>
      </c>
      <c r="F117" s="31">
        <v>0</v>
      </c>
      <c r="G117" s="31">
        <v>5</v>
      </c>
      <c r="H117" s="32">
        <v>0</v>
      </c>
      <c r="I117" s="31" t="s">
        <v>1736</v>
      </c>
      <c r="J117" s="31">
        <v>0</v>
      </c>
      <c r="K117" s="31">
        <v>0</v>
      </c>
      <c r="L117" s="31">
        <v>0</v>
      </c>
      <c r="M117" s="31">
        <v>0</v>
      </c>
      <c r="N117" s="31">
        <v>0</v>
      </c>
      <c r="O117" s="32">
        <v>0</v>
      </c>
    </row>
    <row r="118" spans="1:15">
      <c r="A118" s="31" t="s">
        <v>3682</v>
      </c>
      <c r="B118" s="31" t="s">
        <v>3678</v>
      </c>
      <c r="C118" s="31" t="s">
        <v>1734</v>
      </c>
      <c r="D118" s="31" t="s">
        <v>648</v>
      </c>
      <c r="E118" s="31" t="s">
        <v>1746</v>
      </c>
      <c r="F118" s="31">
        <v>0</v>
      </c>
      <c r="G118" s="31">
        <v>25</v>
      </c>
      <c r="H118" s="32">
        <v>0</v>
      </c>
      <c r="I118" s="31" t="s">
        <v>1736</v>
      </c>
      <c r="J118" s="31">
        <v>0</v>
      </c>
      <c r="K118" s="31">
        <v>0</v>
      </c>
      <c r="L118" s="31">
        <v>0</v>
      </c>
      <c r="M118" s="31">
        <v>0</v>
      </c>
      <c r="N118" s="31">
        <v>0</v>
      </c>
      <c r="O118" s="32">
        <v>0</v>
      </c>
    </row>
    <row r="119" spans="1:15">
      <c r="A119" s="31" t="s">
        <v>3682</v>
      </c>
      <c r="B119" s="31" t="s">
        <v>3678</v>
      </c>
      <c r="C119" s="31" t="s">
        <v>1734</v>
      </c>
      <c r="D119" s="31" t="s">
        <v>3715</v>
      </c>
      <c r="E119" s="31" t="s">
        <v>1746</v>
      </c>
      <c r="F119" s="31">
        <v>0</v>
      </c>
      <c r="G119" s="31">
        <v>5</v>
      </c>
      <c r="H119" s="32">
        <v>0</v>
      </c>
      <c r="I119" s="31" t="s">
        <v>1736</v>
      </c>
      <c r="J119" s="31">
        <v>0</v>
      </c>
      <c r="K119" s="31">
        <v>0</v>
      </c>
      <c r="L119" s="31">
        <v>0</v>
      </c>
      <c r="M119" s="31">
        <v>0</v>
      </c>
      <c r="N119" s="31">
        <v>0</v>
      </c>
      <c r="O119" s="32">
        <v>0</v>
      </c>
    </row>
    <row r="120" spans="1:15">
      <c r="A120" s="31" t="s">
        <v>3682</v>
      </c>
      <c r="B120" s="31" t="s">
        <v>3678</v>
      </c>
      <c r="C120" s="31" t="s">
        <v>1734</v>
      </c>
      <c r="D120" s="31" t="s">
        <v>428</v>
      </c>
      <c r="E120" s="31" t="s">
        <v>1746</v>
      </c>
      <c r="F120" s="31">
        <v>6</v>
      </c>
      <c r="G120" s="31">
        <v>55</v>
      </c>
      <c r="H120" s="32">
        <v>0.1091</v>
      </c>
      <c r="I120" s="31" t="s">
        <v>1736</v>
      </c>
      <c r="J120" s="31">
        <v>0.55000000000000004</v>
      </c>
      <c r="K120" s="31">
        <v>3.27</v>
      </c>
      <c r="L120" s="31">
        <v>0</v>
      </c>
      <c r="M120" s="31">
        <v>0</v>
      </c>
      <c r="N120" s="31">
        <v>0</v>
      </c>
      <c r="O120" s="32">
        <v>0</v>
      </c>
    </row>
    <row r="121" spans="1:15">
      <c r="A121" s="31" t="s">
        <v>3682</v>
      </c>
      <c r="B121" s="31" t="s">
        <v>3678</v>
      </c>
      <c r="C121" s="31" t="s">
        <v>1734</v>
      </c>
      <c r="D121" s="31" t="s">
        <v>245</v>
      </c>
      <c r="E121" s="31" t="s">
        <v>1746</v>
      </c>
      <c r="F121" s="31">
        <v>8</v>
      </c>
      <c r="G121" s="31">
        <v>90</v>
      </c>
      <c r="H121" s="32">
        <v>8.8900000000000007E-2</v>
      </c>
      <c r="I121" s="31" t="s">
        <v>1736</v>
      </c>
      <c r="J121" s="31">
        <v>0.72</v>
      </c>
      <c r="K121" s="31">
        <v>5.74</v>
      </c>
      <c r="L121" s="31">
        <v>0</v>
      </c>
      <c r="M121" s="31">
        <v>0</v>
      </c>
      <c r="N121" s="31">
        <v>0</v>
      </c>
      <c r="O121" s="32">
        <v>0</v>
      </c>
    </row>
    <row r="122" spans="1:15">
      <c r="A122" s="31" t="s">
        <v>3682</v>
      </c>
      <c r="B122" s="31" t="s">
        <v>3678</v>
      </c>
      <c r="C122" s="31" t="s">
        <v>1734</v>
      </c>
      <c r="D122" s="31" t="s">
        <v>3716</v>
      </c>
      <c r="E122" s="31" t="s">
        <v>1746</v>
      </c>
      <c r="F122" s="31">
        <v>7</v>
      </c>
      <c r="G122" s="31">
        <v>36</v>
      </c>
      <c r="H122" s="32">
        <v>0.19439999999999999</v>
      </c>
      <c r="I122" s="31" t="s">
        <v>1736</v>
      </c>
      <c r="J122" s="31">
        <v>0.17</v>
      </c>
      <c r="K122" s="31">
        <v>1.19</v>
      </c>
      <c r="L122" s="31">
        <v>1</v>
      </c>
      <c r="M122" s="31">
        <v>0</v>
      </c>
      <c r="N122" s="31">
        <v>1.19</v>
      </c>
      <c r="O122" s="32">
        <v>0.1429</v>
      </c>
    </row>
    <row r="123" spans="1:15">
      <c r="A123" s="31" t="s">
        <v>3682</v>
      </c>
      <c r="B123" s="31" t="s">
        <v>3678</v>
      </c>
      <c r="C123" s="31" t="s">
        <v>1734</v>
      </c>
      <c r="D123" s="31" t="s">
        <v>1771</v>
      </c>
      <c r="E123" s="31" t="s">
        <v>1746</v>
      </c>
      <c r="F123" s="31">
        <v>0</v>
      </c>
      <c r="G123" s="31">
        <v>3</v>
      </c>
      <c r="H123" s="32">
        <v>0</v>
      </c>
      <c r="I123" s="31" t="s">
        <v>1736</v>
      </c>
      <c r="J123" s="31">
        <v>0</v>
      </c>
      <c r="K123" s="31">
        <v>0</v>
      </c>
      <c r="L123" s="31">
        <v>0</v>
      </c>
      <c r="M123" s="31">
        <v>0</v>
      </c>
      <c r="N123" s="31">
        <v>0</v>
      </c>
      <c r="O123" s="32">
        <v>0</v>
      </c>
    </row>
    <row r="124" spans="1:15">
      <c r="A124" s="31" t="s">
        <v>3682</v>
      </c>
      <c r="B124" s="31" t="s">
        <v>3678</v>
      </c>
      <c r="C124" s="31" t="s">
        <v>1734</v>
      </c>
      <c r="D124" s="31" t="s">
        <v>1320</v>
      </c>
      <c r="E124" s="31" t="s">
        <v>1746</v>
      </c>
      <c r="F124" s="31">
        <v>1</v>
      </c>
      <c r="G124" s="31">
        <v>3</v>
      </c>
      <c r="H124" s="32">
        <v>0.33329999999999999</v>
      </c>
      <c r="I124" s="31" t="s">
        <v>1736</v>
      </c>
      <c r="J124" s="31">
        <v>0.98</v>
      </c>
      <c r="K124" s="31">
        <v>0.98</v>
      </c>
      <c r="L124" s="31">
        <v>0</v>
      </c>
      <c r="M124" s="31">
        <v>0</v>
      </c>
      <c r="N124" s="31">
        <v>0</v>
      </c>
      <c r="O124" s="32">
        <v>0</v>
      </c>
    </row>
    <row r="125" spans="1:15">
      <c r="A125" s="31" t="s">
        <v>3682</v>
      </c>
      <c r="B125" s="31" t="s">
        <v>3678</v>
      </c>
      <c r="C125" s="31" t="s">
        <v>1734</v>
      </c>
      <c r="D125" s="31" t="s">
        <v>3423</v>
      </c>
      <c r="E125" s="31" t="s">
        <v>1746</v>
      </c>
      <c r="F125" s="31">
        <v>7</v>
      </c>
      <c r="G125" s="31">
        <v>95</v>
      </c>
      <c r="H125" s="32">
        <v>7.3700000000000002E-2</v>
      </c>
      <c r="I125" s="31" t="s">
        <v>1736</v>
      </c>
      <c r="J125" s="31">
        <v>0.26</v>
      </c>
      <c r="K125" s="31">
        <v>1.81</v>
      </c>
      <c r="L125" s="31">
        <v>0</v>
      </c>
      <c r="M125" s="31">
        <v>0</v>
      </c>
      <c r="N125" s="31">
        <v>0</v>
      </c>
      <c r="O125" s="32">
        <v>0</v>
      </c>
    </row>
    <row r="126" spans="1:15">
      <c r="A126" s="31" t="s">
        <v>3682</v>
      </c>
      <c r="B126" s="31" t="s">
        <v>3678</v>
      </c>
      <c r="C126" s="31" t="s">
        <v>1734</v>
      </c>
      <c r="D126" s="31" t="s">
        <v>3717</v>
      </c>
      <c r="E126" s="31" t="s">
        <v>1746</v>
      </c>
      <c r="F126" s="31">
        <v>2</v>
      </c>
      <c r="G126" s="31">
        <v>13</v>
      </c>
      <c r="H126" s="32">
        <v>0.15379999999999999</v>
      </c>
      <c r="I126" s="31" t="s">
        <v>1736</v>
      </c>
      <c r="J126" s="31">
        <v>0.53</v>
      </c>
      <c r="K126" s="31">
        <v>1.06</v>
      </c>
      <c r="L126" s="31">
        <v>0</v>
      </c>
      <c r="M126" s="31">
        <v>0</v>
      </c>
      <c r="N126" s="31">
        <v>0</v>
      </c>
      <c r="O126" s="32">
        <v>0</v>
      </c>
    </row>
    <row r="127" spans="1:15">
      <c r="A127" s="31" t="s">
        <v>3682</v>
      </c>
      <c r="B127" s="31" t="s">
        <v>3678</v>
      </c>
      <c r="C127" s="31" t="s">
        <v>1734</v>
      </c>
      <c r="D127" s="31" t="s">
        <v>3718</v>
      </c>
      <c r="E127" s="31" t="s">
        <v>1746</v>
      </c>
      <c r="F127" s="31">
        <v>8</v>
      </c>
      <c r="G127" s="31">
        <v>99</v>
      </c>
      <c r="H127" s="32">
        <v>8.0799999999999997E-2</v>
      </c>
      <c r="I127" s="31" t="s">
        <v>1736</v>
      </c>
      <c r="J127" s="31">
        <v>0.4</v>
      </c>
      <c r="K127" s="31">
        <v>3.18</v>
      </c>
      <c r="L127" s="31">
        <v>1</v>
      </c>
      <c r="M127" s="31">
        <v>0</v>
      </c>
      <c r="N127" s="31">
        <v>3.18</v>
      </c>
      <c r="O127" s="32">
        <v>0.125</v>
      </c>
    </row>
    <row r="128" spans="1:15">
      <c r="A128" s="31" t="s">
        <v>3682</v>
      </c>
      <c r="B128" s="31" t="s">
        <v>3678</v>
      </c>
      <c r="C128" s="31" t="s">
        <v>1734</v>
      </c>
      <c r="D128" s="31" t="s">
        <v>499</v>
      </c>
      <c r="E128" s="31" t="s">
        <v>1746</v>
      </c>
      <c r="F128" s="31">
        <v>1</v>
      </c>
      <c r="G128" s="31">
        <v>22</v>
      </c>
      <c r="H128" s="32">
        <v>4.5499999999999999E-2</v>
      </c>
      <c r="I128" s="31" t="s">
        <v>1736</v>
      </c>
      <c r="J128" s="31">
        <v>0.13</v>
      </c>
      <c r="K128" s="31">
        <v>0.13</v>
      </c>
      <c r="L128" s="31">
        <v>0</v>
      </c>
      <c r="M128" s="31">
        <v>0</v>
      </c>
      <c r="N128" s="31">
        <v>0</v>
      </c>
      <c r="O128" s="32">
        <v>0</v>
      </c>
    </row>
    <row r="129" spans="1:15">
      <c r="A129" s="31" t="s">
        <v>3682</v>
      </c>
      <c r="B129" s="31" t="s">
        <v>3678</v>
      </c>
      <c r="C129" s="31" t="s">
        <v>1734</v>
      </c>
      <c r="D129" s="31" t="s">
        <v>358</v>
      </c>
      <c r="E129" s="31" t="s">
        <v>1746</v>
      </c>
      <c r="F129" s="31">
        <v>50</v>
      </c>
      <c r="G129" s="31">
        <v>493</v>
      </c>
      <c r="H129" s="32">
        <v>0.1014</v>
      </c>
      <c r="I129" s="31" t="s">
        <v>1736</v>
      </c>
      <c r="J129" s="31">
        <v>1.33</v>
      </c>
      <c r="K129" s="31">
        <v>66.56</v>
      </c>
      <c r="L129" s="31">
        <v>5</v>
      </c>
      <c r="M129" s="31">
        <v>0</v>
      </c>
      <c r="N129" s="31">
        <v>13.31</v>
      </c>
      <c r="O129" s="32">
        <v>0.1</v>
      </c>
    </row>
    <row r="130" spans="1:15">
      <c r="A130" s="31" t="s">
        <v>3682</v>
      </c>
      <c r="B130" s="31" t="s">
        <v>3678</v>
      </c>
      <c r="C130" s="31" t="s">
        <v>1734</v>
      </c>
      <c r="D130" s="31" t="s">
        <v>256</v>
      </c>
      <c r="E130" s="31" t="s">
        <v>1746</v>
      </c>
      <c r="F130" s="31">
        <v>14</v>
      </c>
      <c r="G130" s="31">
        <v>191</v>
      </c>
      <c r="H130" s="32">
        <v>7.3300000000000004E-2</v>
      </c>
      <c r="I130" s="31" t="s">
        <v>1736</v>
      </c>
      <c r="J130" s="31">
        <v>0.94</v>
      </c>
      <c r="K130" s="31">
        <v>13.21</v>
      </c>
      <c r="L130" s="31">
        <v>1</v>
      </c>
      <c r="M130" s="31">
        <v>0</v>
      </c>
      <c r="N130" s="31">
        <v>13.21</v>
      </c>
      <c r="O130" s="32">
        <v>7.1400000000000005E-2</v>
      </c>
    </row>
    <row r="131" spans="1:15">
      <c r="A131" s="31" t="s">
        <v>3682</v>
      </c>
      <c r="B131" s="31" t="s">
        <v>3678</v>
      </c>
      <c r="C131" s="31" t="s">
        <v>1734</v>
      </c>
      <c r="D131" s="31" t="s">
        <v>88</v>
      </c>
      <c r="E131" s="31" t="s">
        <v>1746</v>
      </c>
      <c r="F131" s="31">
        <v>23</v>
      </c>
      <c r="G131" s="31">
        <v>314</v>
      </c>
      <c r="H131" s="32">
        <v>7.3200000000000001E-2</v>
      </c>
      <c r="I131" s="31" t="s">
        <v>1736</v>
      </c>
      <c r="J131" s="31">
        <v>0.83</v>
      </c>
      <c r="K131" s="31">
        <v>19.010000000000002</v>
      </c>
      <c r="L131" s="31">
        <v>2.75</v>
      </c>
      <c r="M131" s="31">
        <v>0</v>
      </c>
      <c r="N131" s="31">
        <v>6.91</v>
      </c>
      <c r="O131" s="32">
        <v>0.1196</v>
      </c>
    </row>
    <row r="132" spans="1:15">
      <c r="A132" s="31" t="s">
        <v>3682</v>
      </c>
      <c r="B132" s="31" t="s">
        <v>3678</v>
      </c>
      <c r="C132" s="31" t="s">
        <v>1734</v>
      </c>
      <c r="D132" s="31" t="s">
        <v>481</v>
      </c>
      <c r="E132" s="31" t="s">
        <v>1746</v>
      </c>
      <c r="F132" s="31">
        <v>5</v>
      </c>
      <c r="G132" s="31">
        <v>11</v>
      </c>
      <c r="H132" s="32">
        <v>0.45450000000000002</v>
      </c>
      <c r="I132" s="31" t="s">
        <v>1736</v>
      </c>
      <c r="J132" s="31">
        <v>0.46</v>
      </c>
      <c r="K132" s="31">
        <v>2.2999999999999998</v>
      </c>
      <c r="L132" s="31">
        <v>1</v>
      </c>
      <c r="M132" s="31">
        <v>0</v>
      </c>
      <c r="N132" s="31">
        <v>2.2999999999999998</v>
      </c>
      <c r="O132" s="32">
        <v>0.2</v>
      </c>
    </row>
    <row r="133" spans="1:15">
      <c r="A133" s="31" t="s">
        <v>3682</v>
      </c>
      <c r="B133" s="31" t="s">
        <v>3678</v>
      </c>
      <c r="C133" s="31" t="s">
        <v>1734</v>
      </c>
      <c r="D133" s="31" t="s">
        <v>3719</v>
      </c>
      <c r="E133" s="31" t="s">
        <v>1746</v>
      </c>
      <c r="F133" s="31">
        <v>0</v>
      </c>
      <c r="G133" s="31">
        <v>2</v>
      </c>
      <c r="H133" s="32">
        <v>0</v>
      </c>
      <c r="I133" s="31" t="s">
        <v>1736</v>
      </c>
      <c r="J133" s="31">
        <v>0</v>
      </c>
      <c r="K133" s="31">
        <v>0</v>
      </c>
      <c r="L133" s="31">
        <v>0</v>
      </c>
      <c r="M133" s="31">
        <v>0</v>
      </c>
      <c r="N133" s="31">
        <v>0</v>
      </c>
      <c r="O133" s="32">
        <v>0</v>
      </c>
    </row>
    <row r="134" spans="1:15">
      <c r="A134" s="31" t="s">
        <v>3682</v>
      </c>
      <c r="B134" s="31" t="s">
        <v>3678</v>
      </c>
      <c r="C134" s="31" t="s">
        <v>1734</v>
      </c>
      <c r="D134" s="31" t="s">
        <v>3720</v>
      </c>
      <c r="E134" s="31" t="s">
        <v>1746</v>
      </c>
      <c r="F134" s="31">
        <v>2</v>
      </c>
      <c r="G134" s="31">
        <v>7</v>
      </c>
      <c r="H134" s="32">
        <v>0.28570000000000001</v>
      </c>
      <c r="I134" s="31" t="s">
        <v>1736</v>
      </c>
      <c r="J134" s="31">
        <v>0.36</v>
      </c>
      <c r="K134" s="31">
        <v>0.71</v>
      </c>
      <c r="L134" s="31">
        <v>0</v>
      </c>
      <c r="M134" s="31">
        <v>0</v>
      </c>
      <c r="N134" s="31">
        <v>0</v>
      </c>
      <c r="O134" s="32">
        <v>0</v>
      </c>
    </row>
    <row r="135" spans="1:15">
      <c r="A135" s="31" t="s">
        <v>3682</v>
      </c>
      <c r="B135" s="31" t="s">
        <v>3678</v>
      </c>
      <c r="C135" s="31" t="s">
        <v>1734</v>
      </c>
      <c r="D135" s="31" t="s">
        <v>3721</v>
      </c>
      <c r="E135" s="31" t="s">
        <v>1746</v>
      </c>
      <c r="F135" s="31">
        <v>21</v>
      </c>
      <c r="G135" s="31">
        <v>75</v>
      </c>
      <c r="H135" s="32">
        <v>0.28000000000000003</v>
      </c>
      <c r="I135" s="31" t="s">
        <v>1736</v>
      </c>
      <c r="J135" s="31">
        <v>0.1</v>
      </c>
      <c r="K135" s="31">
        <v>2.19</v>
      </c>
      <c r="L135" s="31">
        <v>0</v>
      </c>
      <c r="M135" s="31">
        <v>0</v>
      </c>
      <c r="N135" s="31">
        <v>0</v>
      </c>
      <c r="O135" s="32">
        <v>0</v>
      </c>
    </row>
    <row r="136" spans="1:15">
      <c r="A136" s="31" t="s">
        <v>3722</v>
      </c>
      <c r="B136" s="31" t="s">
        <v>3678</v>
      </c>
      <c r="C136" s="31" t="s">
        <v>1734</v>
      </c>
      <c r="D136" s="31" t="s">
        <v>1763</v>
      </c>
      <c r="E136" s="31" t="s">
        <v>1746</v>
      </c>
      <c r="F136" s="31">
        <v>22</v>
      </c>
      <c r="G136" s="31">
        <v>195</v>
      </c>
      <c r="H136" s="32">
        <v>0.1128</v>
      </c>
      <c r="I136" s="31" t="s">
        <v>1736</v>
      </c>
      <c r="J136" s="31">
        <v>1.23</v>
      </c>
      <c r="K136" s="31">
        <v>27.11</v>
      </c>
      <c r="L136" s="31">
        <v>1</v>
      </c>
      <c r="M136" s="31">
        <v>0</v>
      </c>
      <c r="N136" s="31">
        <v>27.11</v>
      </c>
      <c r="O136" s="32">
        <v>4.5499999999999999E-2</v>
      </c>
    </row>
    <row r="137" spans="1:15">
      <c r="A137" s="31" t="s">
        <v>3722</v>
      </c>
      <c r="B137" s="31" t="s">
        <v>3678</v>
      </c>
      <c r="C137" s="31" t="s">
        <v>1734</v>
      </c>
      <c r="D137" s="31" t="s">
        <v>110</v>
      </c>
      <c r="E137" s="31" t="s">
        <v>1746</v>
      </c>
      <c r="F137" s="31">
        <v>27</v>
      </c>
      <c r="G137" s="31">
        <v>333</v>
      </c>
      <c r="H137" s="32">
        <v>8.1100000000000005E-2</v>
      </c>
      <c r="I137" s="31" t="s">
        <v>1736</v>
      </c>
      <c r="J137" s="31">
        <v>0.69</v>
      </c>
      <c r="K137" s="31">
        <v>18.579999999999998</v>
      </c>
      <c r="L137" s="31">
        <v>3</v>
      </c>
      <c r="M137" s="31">
        <v>0</v>
      </c>
      <c r="N137" s="31">
        <v>6.19</v>
      </c>
      <c r="O137" s="32">
        <v>0.1111</v>
      </c>
    </row>
    <row r="138" spans="1:15">
      <c r="A138" s="31" t="s">
        <v>3722</v>
      </c>
      <c r="B138" s="31" t="s">
        <v>3678</v>
      </c>
      <c r="C138" s="31" t="s">
        <v>1734</v>
      </c>
      <c r="D138" s="31" t="s">
        <v>3319</v>
      </c>
      <c r="E138" s="31" t="s">
        <v>1746</v>
      </c>
      <c r="F138" s="31">
        <v>5</v>
      </c>
      <c r="G138" s="31">
        <v>67</v>
      </c>
      <c r="H138" s="32">
        <v>7.46E-2</v>
      </c>
      <c r="I138" s="31" t="s">
        <v>1736</v>
      </c>
      <c r="J138" s="31">
        <v>1.08</v>
      </c>
      <c r="K138" s="31">
        <v>5.38</v>
      </c>
      <c r="L138" s="31">
        <v>1</v>
      </c>
      <c r="M138" s="31">
        <v>0</v>
      </c>
      <c r="N138" s="31">
        <v>5.38</v>
      </c>
      <c r="O138" s="32">
        <v>0.2</v>
      </c>
    </row>
    <row r="139" spans="1:15">
      <c r="A139" s="31" t="s">
        <v>3722</v>
      </c>
      <c r="B139" s="31" t="s">
        <v>3678</v>
      </c>
      <c r="C139" s="31" t="s">
        <v>1734</v>
      </c>
      <c r="D139" s="31" t="s">
        <v>1764</v>
      </c>
      <c r="E139" s="31" t="s">
        <v>1746</v>
      </c>
      <c r="F139" s="31">
        <v>5</v>
      </c>
      <c r="G139" s="31">
        <v>132</v>
      </c>
      <c r="H139" s="32">
        <v>3.7900000000000003E-2</v>
      </c>
      <c r="I139" s="31" t="s">
        <v>1736</v>
      </c>
      <c r="J139" s="31">
        <v>1.4</v>
      </c>
      <c r="K139" s="31">
        <v>6.98</v>
      </c>
      <c r="L139" s="31">
        <v>1</v>
      </c>
      <c r="M139" s="31">
        <v>0</v>
      </c>
      <c r="N139" s="31">
        <v>6.98</v>
      </c>
      <c r="O139" s="32">
        <v>0.2</v>
      </c>
    </row>
    <row r="140" spans="1:15">
      <c r="A140" s="31" t="s">
        <v>3722</v>
      </c>
      <c r="B140" s="31" t="s">
        <v>3678</v>
      </c>
      <c r="C140" s="31" t="s">
        <v>1734</v>
      </c>
      <c r="D140" s="31" t="s">
        <v>1750</v>
      </c>
      <c r="E140" s="31" t="s">
        <v>1746</v>
      </c>
      <c r="F140" s="31">
        <v>117</v>
      </c>
      <c r="G140" s="31">
        <v>547</v>
      </c>
      <c r="H140" s="32">
        <v>0.21390000000000001</v>
      </c>
      <c r="I140" s="31" t="s">
        <v>1736</v>
      </c>
      <c r="J140" s="31">
        <v>1.18</v>
      </c>
      <c r="K140" s="31">
        <v>137.97</v>
      </c>
      <c r="L140" s="31">
        <v>28</v>
      </c>
      <c r="M140" s="31">
        <v>0</v>
      </c>
      <c r="N140" s="31">
        <v>4.93</v>
      </c>
      <c r="O140" s="32">
        <v>0.23930000000000001</v>
      </c>
    </row>
    <row r="141" spans="1:15">
      <c r="A141" s="31" t="s">
        <v>3722</v>
      </c>
      <c r="B141" s="31" t="s">
        <v>3678</v>
      </c>
      <c r="C141" s="31" t="s">
        <v>1734</v>
      </c>
      <c r="D141" s="31" t="s">
        <v>1771</v>
      </c>
      <c r="E141" s="31" t="s">
        <v>1746</v>
      </c>
      <c r="F141" s="31">
        <v>3</v>
      </c>
      <c r="G141" s="31">
        <v>32</v>
      </c>
      <c r="H141" s="32">
        <v>9.3799999999999994E-2</v>
      </c>
      <c r="I141" s="31" t="s">
        <v>1736</v>
      </c>
      <c r="J141" s="31">
        <v>1.39</v>
      </c>
      <c r="K141" s="31">
        <v>4.18</v>
      </c>
      <c r="L141" s="31">
        <v>0</v>
      </c>
      <c r="M141" s="31">
        <v>0</v>
      </c>
      <c r="N141" s="31">
        <v>0</v>
      </c>
      <c r="O141" s="32">
        <v>0</v>
      </c>
    </row>
    <row r="142" spans="1:15">
      <c r="A142" s="31" t="s">
        <v>3722</v>
      </c>
      <c r="B142" s="31" t="s">
        <v>3678</v>
      </c>
      <c r="C142" s="31" t="s">
        <v>1734</v>
      </c>
      <c r="D142" s="31" t="s">
        <v>358</v>
      </c>
      <c r="E142" s="31" t="s">
        <v>1746</v>
      </c>
      <c r="F142" s="31">
        <v>298</v>
      </c>
      <c r="G142" s="31">
        <v>3006</v>
      </c>
      <c r="H142" s="32">
        <v>9.9099999999999994E-2</v>
      </c>
      <c r="I142" s="31" t="s">
        <v>1736</v>
      </c>
      <c r="J142" s="31">
        <v>1.3</v>
      </c>
      <c r="K142" s="31">
        <v>386.52</v>
      </c>
      <c r="L142" s="31">
        <v>36</v>
      </c>
      <c r="M142" s="31">
        <v>0</v>
      </c>
      <c r="N142" s="31">
        <v>10.74</v>
      </c>
      <c r="O142" s="32">
        <v>0.1208</v>
      </c>
    </row>
    <row r="143" spans="1:15">
      <c r="A143" s="31" t="s">
        <v>3722</v>
      </c>
      <c r="B143" s="31" t="s">
        <v>3678</v>
      </c>
      <c r="C143" s="31" t="s">
        <v>1734</v>
      </c>
      <c r="D143" s="31" t="s">
        <v>256</v>
      </c>
      <c r="E143" s="31" t="s">
        <v>1746</v>
      </c>
      <c r="F143" s="31">
        <v>63</v>
      </c>
      <c r="G143" s="31">
        <v>495</v>
      </c>
      <c r="H143" s="32">
        <v>0.1273</v>
      </c>
      <c r="I143" s="31" t="s">
        <v>1736</v>
      </c>
      <c r="J143" s="31">
        <v>0.79</v>
      </c>
      <c r="K143" s="31">
        <v>49.77</v>
      </c>
      <c r="L143" s="31">
        <v>4</v>
      </c>
      <c r="M143" s="31">
        <v>0</v>
      </c>
      <c r="N143" s="31">
        <v>12.44</v>
      </c>
      <c r="O143" s="32">
        <v>6.3500000000000001E-2</v>
      </c>
    </row>
    <row r="144" spans="1:15">
      <c r="A144" s="31" t="s">
        <v>3722</v>
      </c>
      <c r="B144" s="31" t="s">
        <v>3678</v>
      </c>
      <c r="C144" s="31" t="s">
        <v>1734</v>
      </c>
      <c r="D144" s="31" t="s">
        <v>88</v>
      </c>
      <c r="E144" s="31" t="s">
        <v>1746</v>
      </c>
      <c r="F144" s="31">
        <v>38</v>
      </c>
      <c r="G144" s="31">
        <v>647</v>
      </c>
      <c r="H144" s="32">
        <v>5.8700000000000002E-2</v>
      </c>
      <c r="I144" s="31" t="s">
        <v>1736</v>
      </c>
      <c r="J144" s="31">
        <v>0.82</v>
      </c>
      <c r="K144" s="31">
        <v>31.32</v>
      </c>
      <c r="L144" s="31">
        <v>2.25</v>
      </c>
      <c r="M144" s="31">
        <v>0</v>
      </c>
      <c r="N144" s="31">
        <v>13.92</v>
      </c>
      <c r="O144" s="32">
        <v>5.9200000000000003E-2</v>
      </c>
    </row>
    <row r="145" spans="1:15">
      <c r="A145" s="31" t="s">
        <v>3723</v>
      </c>
      <c r="B145" s="31" t="s">
        <v>3678</v>
      </c>
      <c r="C145" s="31" t="s">
        <v>3724</v>
      </c>
      <c r="D145" s="31" t="s">
        <v>159</v>
      </c>
      <c r="E145" s="31" t="s">
        <v>3725</v>
      </c>
      <c r="F145" s="31">
        <v>3</v>
      </c>
      <c r="G145" s="31">
        <v>92</v>
      </c>
      <c r="H145" s="32">
        <v>3.2599999999999997E-2</v>
      </c>
      <c r="I145" s="31" t="s">
        <v>1736</v>
      </c>
      <c r="J145" s="31">
        <v>0.17</v>
      </c>
      <c r="K145" s="31">
        <v>0.5</v>
      </c>
      <c r="L145" s="31">
        <v>0</v>
      </c>
      <c r="M145" s="31">
        <v>0</v>
      </c>
      <c r="N145" s="31">
        <v>0</v>
      </c>
      <c r="O145" s="32">
        <v>0</v>
      </c>
    </row>
    <row r="146" spans="1:15">
      <c r="A146" s="31" t="s">
        <v>3723</v>
      </c>
      <c r="B146" s="31" t="s">
        <v>3678</v>
      </c>
      <c r="C146" s="31" t="s">
        <v>3724</v>
      </c>
      <c r="D146" s="31" t="s">
        <v>32</v>
      </c>
      <c r="E146" s="31" t="s">
        <v>3725</v>
      </c>
      <c r="F146" s="31">
        <v>424</v>
      </c>
      <c r="G146" s="31">
        <v>18922</v>
      </c>
      <c r="H146" s="32">
        <v>2.24E-2</v>
      </c>
      <c r="I146" s="31" t="s">
        <v>1736</v>
      </c>
      <c r="J146" s="31">
        <v>0.33</v>
      </c>
      <c r="K146" s="31">
        <v>140.30000000000001</v>
      </c>
      <c r="L146" s="31">
        <v>7</v>
      </c>
      <c r="M146" s="31">
        <v>0</v>
      </c>
      <c r="N146" s="31">
        <v>20.04</v>
      </c>
      <c r="O146" s="32">
        <v>1.6500000000000001E-2</v>
      </c>
    </row>
    <row r="147" spans="1:15">
      <c r="A147" s="31" t="s">
        <v>3723</v>
      </c>
      <c r="B147" s="31" t="s">
        <v>3678</v>
      </c>
      <c r="C147" s="31" t="s">
        <v>3724</v>
      </c>
      <c r="D147" s="31" t="s">
        <v>256</v>
      </c>
      <c r="E147" s="31" t="s">
        <v>3725</v>
      </c>
      <c r="F147" s="31">
        <v>12</v>
      </c>
      <c r="G147" s="31">
        <v>380</v>
      </c>
      <c r="H147" s="32">
        <v>3.1600000000000003E-2</v>
      </c>
      <c r="I147" s="31" t="s">
        <v>1736</v>
      </c>
      <c r="J147" s="31">
        <v>0.76</v>
      </c>
      <c r="K147" s="31">
        <v>9.1</v>
      </c>
      <c r="L147" s="31">
        <v>0</v>
      </c>
      <c r="M147" s="31">
        <v>0</v>
      </c>
      <c r="N147" s="31">
        <v>0</v>
      </c>
      <c r="O147" s="32">
        <v>0</v>
      </c>
    </row>
    <row r="148" spans="1:15">
      <c r="A148" s="31" t="s">
        <v>3726</v>
      </c>
      <c r="B148" s="31" t="s">
        <v>3678</v>
      </c>
      <c r="C148" s="31" t="s">
        <v>3724</v>
      </c>
      <c r="D148" s="31" t="s">
        <v>88</v>
      </c>
      <c r="E148" s="31" t="s">
        <v>3725</v>
      </c>
      <c r="F148" s="31">
        <v>469</v>
      </c>
      <c r="G148" s="31">
        <v>16287</v>
      </c>
      <c r="H148" s="32">
        <v>2.8799999999999999E-2</v>
      </c>
      <c r="I148" s="31" t="s">
        <v>1736</v>
      </c>
      <c r="J148" s="31">
        <v>0.62</v>
      </c>
      <c r="K148" s="31">
        <v>291.18</v>
      </c>
      <c r="L148" s="31">
        <v>20</v>
      </c>
      <c r="M148" s="31">
        <v>0</v>
      </c>
      <c r="N148" s="31">
        <v>14.56</v>
      </c>
      <c r="O148" s="32">
        <v>4.2599999999999999E-2</v>
      </c>
    </row>
    <row r="149" spans="1:15">
      <c r="A149" s="31" t="s">
        <v>3727</v>
      </c>
      <c r="B149" s="31" t="s">
        <v>3678</v>
      </c>
      <c r="C149" s="31" t="s">
        <v>3724</v>
      </c>
      <c r="D149" s="31" t="s">
        <v>110</v>
      </c>
      <c r="E149" s="31" t="s">
        <v>3725</v>
      </c>
      <c r="F149" s="31">
        <v>272</v>
      </c>
      <c r="G149" s="31">
        <v>11809</v>
      </c>
      <c r="H149" s="32">
        <v>2.3E-2</v>
      </c>
      <c r="I149" s="31" t="s">
        <v>1736</v>
      </c>
      <c r="J149" s="31">
        <v>0.55000000000000004</v>
      </c>
      <c r="K149" s="31">
        <v>148.36000000000001</v>
      </c>
      <c r="L149" s="31">
        <v>2</v>
      </c>
      <c r="M149" s="31">
        <v>0</v>
      </c>
      <c r="N149" s="31">
        <v>74.180000000000007</v>
      </c>
      <c r="O149" s="32">
        <v>7.4000000000000003E-3</v>
      </c>
    </row>
    <row r="150" spans="1:15">
      <c r="A150" s="31" t="s">
        <v>3728</v>
      </c>
      <c r="B150" s="31" t="s">
        <v>3678</v>
      </c>
      <c r="C150" s="31" t="s">
        <v>1734</v>
      </c>
      <c r="D150" s="31" t="s">
        <v>677</v>
      </c>
      <c r="E150" s="31" t="s">
        <v>1770</v>
      </c>
      <c r="F150" s="31">
        <v>1</v>
      </c>
      <c r="G150" s="31">
        <v>2</v>
      </c>
      <c r="H150" s="32">
        <v>0.5</v>
      </c>
      <c r="I150" s="31" t="s">
        <v>1736</v>
      </c>
      <c r="J150" s="31">
        <v>1.72</v>
      </c>
      <c r="K150" s="31">
        <v>1.72</v>
      </c>
      <c r="L150" s="31">
        <v>0</v>
      </c>
      <c r="M150" s="31">
        <v>0</v>
      </c>
      <c r="N150" s="31">
        <v>0</v>
      </c>
      <c r="O150" s="32">
        <v>0</v>
      </c>
    </row>
    <row r="151" spans="1:15">
      <c r="A151" s="31" t="s">
        <v>3728</v>
      </c>
      <c r="B151" s="31" t="s">
        <v>3678</v>
      </c>
      <c r="C151" s="31" t="s">
        <v>1734</v>
      </c>
      <c r="D151" s="31" t="s">
        <v>98</v>
      </c>
      <c r="E151" s="31" t="s">
        <v>1770</v>
      </c>
      <c r="F151" s="31">
        <v>0</v>
      </c>
      <c r="G151" s="31">
        <v>0</v>
      </c>
      <c r="H151" s="32">
        <v>0</v>
      </c>
      <c r="I151" s="31" t="s">
        <v>1736</v>
      </c>
      <c r="J151" s="31">
        <v>0</v>
      </c>
      <c r="K151" s="31">
        <v>0</v>
      </c>
      <c r="L151" s="31">
        <v>0</v>
      </c>
      <c r="M151" s="31">
        <v>0</v>
      </c>
      <c r="N151" s="31">
        <v>0</v>
      </c>
      <c r="O151" s="32">
        <v>0</v>
      </c>
    </row>
    <row r="152" spans="1:15">
      <c r="A152" s="31" t="s">
        <v>3728</v>
      </c>
      <c r="B152" s="31" t="s">
        <v>3678</v>
      </c>
      <c r="C152" s="31" t="s">
        <v>1734</v>
      </c>
      <c r="D152" s="31" t="s">
        <v>3684</v>
      </c>
      <c r="E152" s="31" t="s">
        <v>1770</v>
      </c>
      <c r="F152" s="31">
        <v>0</v>
      </c>
      <c r="G152" s="31">
        <v>2</v>
      </c>
      <c r="H152" s="32">
        <v>0</v>
      </c>
      <c r="I152" s="31" t="s">
        <v>1736</v>
      </c>
      <c r="J152" s="31">
        <v>0</v>
      </c>
      <c r="K152" s="31">
        <v>0</v>
      </c>
      <c r="L152" s="31">
        <v>0</v>
      </c>
      <c r="M152" s="31">
        <v>0</v>
      </c>
      <c r="N152" s="31">
        <v>0</v>
      </c>
      <c r="O152" s="32">
        <v>0</v>
      </c>
    </row>
    <row r="153" spans="1:15">
      <c r="A153" s="31" t="s">
        <v>3728</v>
      </c>
      <c r="B153" s="31" t="s">
        <v>3678</v>
      </c>
      <c r="C153" s="31" t="s">
        <v>1734</v>
      </c>
      <c r="D153" s="31" t="s">
        <v>159</v>
      </c>
      <c r="E153" s="31" t="s">
        <v>1770</v>
      </c>
      <c r="F153" s="31">
        <v>0</v>
      </c>
      <c r="G153" s="31">
        <v>4</v>
      </c>
      <c r="H153" s="32">
        <v>0</v>
      </c>
      <c r="I153" s="31" t="s">
        <v>1736</v>
      </c>
      <c r="J153" s="31">
        <v>0</v>
      </c>
      <c r="K153" s="31">
        <v>0</v>
      </c>
      <c r="L153" s="31">
        <v>0</v>
      </c>
      <c r="M153" s="31">
        <v>0</v>
      </c>
      <c r="N153" s="31">
        <v>0</v>
      </c>
      <c r="O153" s="32">
        <v>0</v>
      </c>
    </row>
    <row r="154" spans="1:15">
      <c r="A154" s="31" t="s">
        <v>3728</v>
      </c>
      <c r="B154" s="31" t="s">
        <v>3678</v>
      </c>
      <c r="C154" s="31" t="s">
        <v>1734</v>
      </c>
      <c r="D154" s="31" t="s">
        <v>58</v>
      </c>
      <c r="E154" s="31" t="s">
        <v>1770</v>
      </c>
      <c r="F154" s="31">
        <v>2</v>
      </c>
      <c r="G154" s="31">
        <v>7</v>
      </c>
      <c r="H154" s="32">
        <v>0.28570000000000001</v>
      </c>
      <c r="I154" s="31" t="s">
        <v>1736</v>
      </c>
      <c r="J154" s="31">
        <v>0.87</v>
      </c>
      <c r="K154" s="31">
        <v>1.74</v>
      </c>
      <c r="L154" s="31">
        <v>0</v>
      </c>
      <c r="M154" s="31">
        <v>0</v>
      </c>
      <c r="N154" s="31">
        <v>0</v>
      </c>
      <c r="O154" s="32">
        <v>0</v>
      </c>
    </row>
    <row r="155" spans="1:15">
      <c r="A155" s="31" t="s">
        <v>3728</v>
      </c>
      <c r="B155" s="31" t="s">
        <v>3678</v>
      </c>
      <c r="C155" s="31" t="s">
        <v>1734</v>
      </c>
      <c r="D155" s="31" t="s">
        <v>3685</v>
      </c>
      <c r="E155" s="31" t="s">
        <v>1770</v>
      </c>
      <c r="F155" s="31">
        <v>1</v>
      </c>
      <c r="G155" s="31">
        <v>8</v>
      </c>
      <c r="H155" s="32">
        <v>0.125</v>
      </c>
      <c r="I155" s="31" t="s">
        <v>1736</v>
      </c>
      <c r="J155" s="31">
        <v>0.9</v>
      </c>
      <c r="K155" s="31">
        <v>0.9</v>
      </c>
      <c r="L155" s="31">
        <v>0</v>
      </c>
      <c r="M155" s="31">
        <v>0</v>
      </c>
      <c r="N155" s="31">
        <v>0</v>
      </c>
      <c r="O155" s="32">
        <v>0</v>
      </c>
    </row>
    <row r="156" spans="1:15">
      <c r="A156" s="31" t="s">
        <v>3728</v>
      </c>
      <c r="B156" s="31" t="s">
        <v>3678</v>
      </c>
      <c r="C156" s="31" t="s">
        <v>1734</v>
      </c>
      <c r="D156" s="31" t="s">
        <v>3687</v>
      </c>
      <c r="E156" s="31" t="s">
        <v>1770</v>
      </c>
      <c r="F156" s="31">
        <v>0</v>
      </c>
      <c r="G156" s="31">
        <v>2</v>
      </c>
      <c r="H156" s="32">
        <v>0</v>
      </c>
      <c r="I156" s="31" t="s">
        <v>1736</v>
      </c>
      <c r="J156" s="31">
        <v>0</v>
      </c>
      <c r="K156" s="31">
        <v>0</v>
      </c>
      <c r="L156" s="31">
        <v>0</v>
      </c>
      <c r="M156" s="31">
        <v>0</v>
      </c>
      <c r="N156" s="31">
        <v>0</v>
      </c>
      <c r="O156" s="32">
        <v>0</v>
      </c>
    </row>
    <row r="157" spans="1:15">
      <c r="A157" s="31" t="s">
        <v>3728</v>
      </c>
      <c r="B157" s="31" t="s">
        <v>3678</v>
      </c>
      <c r="C157" s="31" t="s">
        <v>1734</v>
      </c>
      <c r="D157" s="31" t="s">
        <v>81</v>
      </c>
      <c r="E157" s="31" t="s">
        <v>1770</v>
      </c>
      <c r="F157" s="31">
        <v>0</v>
      </c>
      <c r="G157" s="31">
        <v>2</v>
      </c>
      <c r="H157" s="32">
        <v>0</v>
      </c>
      <c r="I157" s="31" t="s">
        <v>1736</v>
      </c>
      <c r="J157" s="31">
        <v>0</v>
      </c>
      <c r="K157" s="31">
        <v>0</v>
      </c>
      <c r="L157" s="31">
        <v>0</v>
      </c>
      <c r="M157" s="31">
        <v>0</v>
      </c>
      <c r="N157" s="31">
        <v>0</v>
      </c>
      <c r="O157" s="32">
        <v>0</v>
      </c>
    </row>
    <row r="158" spans="1:15">
      <c r="A158" s="31" t="s">
        <v>3728</v>
      </c>
      <c r="B158" s="31" t="s">
        <v>3678</v>
      </c>
      <c r="C158" s="31" t="s">
        <v>1734</v>
      </c>
      <c r="D158" s="31" t="s">
        <v>110</v>
      </c>
      <c r="E158" s="31" t="s">
        <v>1770</v>
      </c>
      <c r="F158" s="31">
        <v>1</v>
      </c>
      <c r="G158" s="31">
        <v>9</v>
      </c>
      <c r="H158" s="32">
        <v>0.1111</v>
      </c>
      <c r="I158" s="31" t="s">
        <v>1736</v>
      </c>
      <c r="J158" s="31">
        <v>1.71</v>
      </c>
      <c r="K158" s="31">
        <v>1.71</v>
      </c>
      <c r="L158" s="31">
        <v>0</v>
      </c>
      <c r="M158" s="31">
        <v>0</v>
      </c>
      <c r="N158" s="31">
        <v>0</v>
      </c>
      <c r="O158" s="32">
        <v>0</v>
      </c>
    </row>
    <row r="159" spans="1:15">
      <c r="A159" s="31" t="s">
        <v>3728</v>
      </c>
      <c r="B159" s="31" t="s">
        <v>3678</v>
      </c>
      <c r="C159" s="31" t="s">
        <v>1734</v>
      </c>
      <c r="D159" s="31" t="s">
        <v>3691</v>
      </c>
      <c r="E159" s="31" t="s">
        <v>1770</v>
      </c>
      <c r="F159" s="31">
        <v>0</v>
      </c>
      <c r="G159" s="31">
        <v>3</v>
      </c>
      <c r="H159" s="32">
        <v>0</v>
      </c>
      <c r="I159" s="31" t="s">
        <v>1736</v>
      </c>
      <c r="J159" s="31">
        <v>0</v>
      </c>
      <c r="K159" s="31">
        <v>0</v>
      </c>
      <c r="L159" s="31">
        <v>0</v>
      </c>
      <c r="M159" s="31">
        <v>0</v>
      </c>
      <c r="N159" s="31">
        <v>0</v>
      </c>
      <c r="O159" s="32">
        <v>0</v>
      </c>
    </row>
    <row r="160" spans="1:15">
      <c r="A160" s="31" t="s">
        <v>3728</v>
      </c>
      <c r="B160" s="31" t="s">
        <v>3678</v>
      </c>
      <c r="C160" s="31" t="s">
        <v>1734</v>
      </c>
      <c r="D160" s="31" t="s">
        <v>1765</v>
      </c>
      <c r="E160" s="31" t="s">
        <v>1770</v>
      </c>
      <c r="F160" s="31">
        <v>0</v>
      </c>
      <c r="G160" s="31">
        <v>2</v>
      </c>
      <c r="H160" s="32">
        <v>0</v>
      </c>
      <c r="I160" s="31" t="s">
        <v>1736</v>
      </c>
      <c r="J160" s="31">
        <v>0</v>
      </c>
      <c r="K160" s="31">
        <v>0</v>
      </c>
      <c r="L160" s="31">
        <v>0</v>
      </c>
      <c r="M160" s="31">
        <v>0</v>
      </c>
      <c r="N160" s="31">
        <v>0</v>
      </c>
      <c r="O160" s="32">
        <v>0</v>
      </c>
    </row>
    <row r="161" spans="1:15">
      <c r="A161" s="31" t="s">
        <v>3728</v>
      </c>
      <c r="B161" s="31" t="s">
        <v>3678</v>
      </c>
      <c r="C161" s="31" t="s">
        <v>1734</v>
      </c>
      <c r="D161" s="31" t="s">
        <v>1754</v>
      </c>
      <c r="E161" s="31" t="s">
        <v>1770</v>
      </c>
      <c r="F161" s="31">
        <v>0</v>
      </c>
      <c r="G161" s="31">
        <v>17</v>
      </c>
      <c r="H161" s="32">
        <v>0</v>
      </c>
      <c r="I161" s="31" t="s">
        <v>1736</v>
      </c>
      <c r="J161" s="31">
        <v>0</v>
      </c>
      <c r="K161" s="31">
        <v>0</v>
      </c>
      <c r="L161" s="31">
        <v>0</v>
      </c>
      <c r="M161" s="31">
        <v>0</v>
      </c>
      <c r="N161" s="31">
        <v>0</v>
      </c>
      <c r="O161" s="32">
        <v>0</v>
      </c>
    </row>
    <row r="162" spans="1:15">
      <c r="A162" s="31" t="s">
        <v>3728</v>
      </c>
      <c r="B162" s="31" t="s">
        <v>3678</v>
      </c>
      <c r="C162" s="31" t="s">
        <v>1734</v>
      </c>
      <c r="D162" s="31" t="s">
        <v>1758</v>
      </c>
      <c r="E162" s="31" t="s">
        <v>1770</v>
      </c>
      <c r="F162" s="31">
        <v>0</v>
      </c>
      <c r="G162" s="31">
        <v>2</v>
      </c>
      <c r="H162" s="32">
        <v>0</v>
      </c>
      <c r="I162" s="31" t="s">
        <v>1736</v>
      </c>
      <c r="J162" s="31">
        <v>0</v>
      </c>
      <c r="K162" s="31">
        <v>0</v>
      </c>
      <c r="L162" s="31">
        <v>0</v>
      </c>
      <c r="M162" s="31">
        <v>0</v>
      </c>
      <c r="N162" s="31">
        <v>0</v>
      </c>
      <c r="O162" s="32">
        <v>0</v>
      </c>
    </row>
    <row r="163" spans="1:15">
      <c r="A163" s="31" t="s">
        <v>3728</v>
      </c>
      <c r="B163" s="31" t="s">
        <v>3678</v>
      </c>
      <c r="C163" s="31" t="s">
        <v>1734</v>
      </c>
      <c r="D163" s="31" t="s">
        <v>1756</v>
      </c>
      <c r="E163" s="31" t="s">
        <v>1770</v>
      </c>
      <c r="F163" s="31">
        <v>0</v>
      </c>
      <c r="G163" s="31">
        <v>4</v>
      </c>
      <c r="H163" s="32">
        <v>0</v>
      </c>
      <c r="I163" s="31" t="s">
        <v>1736</v>
      </c>
      <c r="J163" s="31">
        <v>0</v>
      </c>
      <c r="K163" s="31">
        <v>0</v>
      </c>
      <c r="L163" s="31">
        <v>0</v>
      </c>
      <c r="M163" s="31">
        <v>0</v>
      </c>
      <c r="N163" s="31">
        <v>0</v>
      </c>
      <c r="O163" s="32">
        <v>0</v>
      </c>
    </row>
    <row r="164" spans="1:15">
      <c r="A164" s="31" t="s">
        <v>3728</v>
      </c>
      <c r="B164" s="31" t="s">
        <v>3678</v>
      </c>
      <c r="C164" s="31" t="s">
        <v>1734</v>
      </c>
      <c r="D164" s="31" t="s">
        <v>519</v>
      </c>
      <c r="E164" s="31" t="s">
        <v>1770</v>
      </c>
      <c r="F164" s="31">
        <v>0</v>
      </c>
      <c r="G164" s="31">
        <v>5</v>
      </c>
      <c r="H164" s="32">
        <v>0</v>
      </c>
      <c r="I164" s="31" t="s">
        <v>1736</v>
      </c>
      <c r="J164" s="31">
        <v>0</v>
      </c>
      <c r="K164" s="31">
        <v>0</v>
      </c>
      <c r="L164" s="31">
        <v>0</v>
      </c>
      <c r="M164" s="31">
        <v>0</v>
      </c>
      <c r="N164" s="31">
        <v>0</v>
      </c>
      <c r="O164" s="32">
        <v>0</v>
      </c>
    </row>
    <row r="165" spans="1:15">
      <c r="A165" s="31" t="s">
        <v>3728</v>
      </c>
      <c r="B165" s="31" t="s">
        <v>3678</v>
      </c>
      <c r="C165" s="31" t="s">
        <v>1734</v>
      </c>
      <c r="D165" s="31" t="s">
        <v>345</v>
      </c>
      <c r="E165" s="31" t="s">
        <v>1770</v>
      </c>
      <c r="F165" s="31">
        <v>0</v>
      </c>
      <c r="G165" s="31">
        <v>1</v>
      </c>
      <c r="H165" s="32">
        <v>0</v>
      </c>
      <c r="I165" s="31" t="s">
        <v>1736</v>
      </c>
      <c r="J165" s="31">
        <v>0</v>
      </c>
      <c r="K165" s="31">
        <v>0</v>
      </c>
      <c r="L165" s="31">
        <v>0</v>
      </c>
      <c r="M165" s="31">
        <v>0</v>
      </c>
      <c r="N165" s="31">
        <v>0</v>
      </c>
      <c r="O165" s="32">
        <v>0</v>
      </c>
    </row>
    <row r="166" spans="1:15">
      <c r="A166" s="31" t="s">
        <v>3728</v>
      </c>
      <c r="B166" s="31" t="s">
        <v>3678</v>
      </c>
      <c r="C166" s="31" t="s">
        <v>1734</v>
      </c>
      <c r="D166" s="31" t="s">
        <v>2955</v>
      </c>
      <c r="E166" s="31" t="s">
        <v>1770</v>
      </c>
      <c r="F166" s="31">
        <v>1</v>
      </c>
      <c r="G166" s="31">
        <v>5</v>
      </c>
      <c r="H166" s="32">
        <v>0.2</v>
      </c>
      <c r="I166" s="31" t="s">
        <v>1736</v>
      </c>
      <c r="J166" s="31">
        <v>1.1299999999999999</v>
      </c>
      <c r="K166" s="31">
        <v>1.1299999999999999</v>
      </c>
      <c r="L166" s="31">
        <v>0</v>
      </c>
      <c r="M166" s="31">
        <v>0</v>
      </c>
      <c r="N166" s="31">
        <v>0</v>
      </c>
      <c r="O166" s="32">
        <v>0</v>
      </c>
    </row>
    <row r="167" spans="1:15">
      <c r="A167" s="31" t="s">
        <v>3728</v>
      </c>
      <c r="B167" s="31" t="s">
        <v>3678</v>
      </c>
      <c r="C167" s="31" t="s">
        <v>1734</v>
      </c>
      <c r="D167" s="31" t="s">
        <v>380</v>
      </c>
      <c r="E167" s="31" t="s">
        <v>1770</v>
      </c>
      <c r="F167" s="31">
        <v>0</v>
      </c>
      <c r="G167" s="31">
        <v>6</v>
      </c>
      <c r="H167" s="32">
        <v>0</v>
      </c>
      <c r="I167" s="31" t="s">
        <v>1736</v>
      </c>
      <c r="J167" s="31">
        <v>0</v>
      </c>
      <c r="K167" s="31">
        <v>0</v>
      </c>
      <c r="L167" s="31">
        <v>0</v>
      </c>
      <c r="M167" s="31">
        <v>0</v>
      </c>
      <c r="N167" s="31">
        <v>0</v>
      </c>
      <c r="O167" s="32">
        <v>0</v>
      </c>
    </row>
    <row r="168" spans="1:15">
      <c r="A168" s="31" t="s">
        <v>3728</v>
      </c>
      <c r="B168" s="31" t="s">
        <v>3678</v>
      </c>
      <c r="C168" s="31" t="s">
        <v>1734</v>
      </c>
      <c r="D168" s="31" t="s">
        <v>3729</v>
      </c>
      <c r="E168" s="31" t="s">
        <v>1770</v>
      </c>
      <c r="F168" s="31">
        <v>1</v>
      </c>
      <c r="G168" s="31">
        <v>1</v>
      </c>
      <c r="H168" s="32">
        <v>1</v>
      </c>
      <c r="I168" s="31" t="s">
        <v>1736</v>
      </c>
      <c r="J168" s="31">
        <v>0.38</v>
      </c>
      <c r="K168" s="31">
        <v>0.38</v>
      </c>
      <c r="L168" s="31">
        <v>0</v>
      </c>
      <c r="M168" s="31">
        <v>0</v>
      </c>
      <c r="N168" s="31">
        <v>0</v>
      </c>
      <c r="O168" s="32">
        <v>0</v>
      </c>
    </row>
    <row r="169" spans="1:15">
      <c r="A169" s="31" t="s">
        <v>3728</v>
      </c>
      <c r="B169" s="31" t="s">
        <v>3678</v>
      </c>
      <c r="C169" s="31" t="s">
        <v>1734</v>
      </c>
      <c r="D169" s="31" t="s">
        <v>3694</v>
      </c>
      <c r="E169" s="31" t="s">
        <v>1770</v>
      </c>
      <c r="F169" s="31">
        <v>0</v>
      </c>
      <c r="G169" s="31">
        <v>1</v>
      </c>
      <c r="H169" s="32">
        <v>0</v>
      </c>
      <c r="I169" s="31" t="s">
        <v>1736</v>
      </c>
      <c r="J169" s="31">
        <v>0</v>
      </c>
      <c r="K169" s="31">
        <v>0</v>
      </c>
      <c r="L169" s="31">
        <v>0</v>
      </c>
      <c r="M169" s="31">
        <v>0</v>
      </c>
      <c r="N169" s="31">
        <v>0</v>
      </c>
      <c r="O169" s="32">
        <v>0</v>
      </c>
    </row>
    <row r="170" spans="1:15">
      <c r="A170" s="31" t="s">
        <v>3728</v>
      </c>
      <c r="B170" s="31" t="s">
        <v>3678</v>
      </c>
      <c r="C170" s="31" t="s">
        <v>1734</v>
      </c>
      <c r="D170" s="31" t="s">
        <v>1764</v>
      </c>
      <c r="E170" s="31" t="s">
        <v>1770</v>
      </c>
      <c r="F170" s="31">
        <v>2</v>
      </c>
      <c r="G170" s="31">
        <v>5</v>
      </c>
      <c r="H170" s="32">
        <v>0.4</v>
      </c>
      <c r="I170" s="31" t="s">
        <v>1736</v>
      </c>
      <c r="J170" s="31">
        <v>2</v>
      </c>
      <c r="K170" s="31">
        <v>4</v>
      </c>
      <c r="L170" s="31">
        <v>0</v>
      </c>
      <c r="M170" s="31">
        <v>0</v>
      </c>
      <c r="N170" s="31">
        <v>0</v>
      </c>
      <c r="O170" s="32">
        <v>0</v>
      </c>
    </row>
    <row r="171" spans="1:15">
      <c r="A171" s="31" t="s">
        <v>3728</v>
      </c>
      <c r="B171" s="31" t="s">
        <v>3678</v>
      </c>
      <c r="C171" s="31" t="s">
        <v>1734</v>
      </c>
      <c r="D171" s="31" t="s">
        <v>1760</v>
      </c>
      <c r="E171" s="31" t="s">
        <v>1770</v>
      </c>
      <c r="F171" s="31">
        <v>0</v>
      </c>
      <c r="G171" s="31">
        <v>2</v>
      </c>
      <c r="H171" s="32">
        <v>0</v>
      </c>
      <c r="I171" s="31" t="s">
        <v>1736</v>
      </c>
      <c r="J171" s="31">
        <v>0</v>
      </c>
      <c r="K171" s="31">
        <v>0</v>
      </c>
      <c r="L171" s="31">
        <v>0</v>
      </c>
      <c r="M171" s="31">
        <v>0</v>
      </c>
      <c r="N171" s="31">
        <v>0</v>
      </c>
      <c r="O171" s="32">
        <v>0</v>
      </c>
    </row>
    <row r="172" spans="1:15">
      <c r="A172" s="31" t="s">
        <v>3728</v>
      </c>
      <c r="B172" s="31" t="s">
        <v>3678</v>
      </c>
      <c r="C172" s="31" t="s">
        <v>1734</v>
      </c>
      <c r="D172" s="31" t="s">
        <v>32</v>
      </c>
      <c r="E172" s="31" t="s">
        <v>1770</v>
      </c>
      <c r="F172" s="31">
        <v>1</v>
      </c>
      <c r="G172" s="31">
        <v>7</v>
      </c>
      <c r="H172" s="32">
        <v>0.1429</v>
      </c>
      <c r="I172" s="31" t="s">
        <v>1736</v>
      </c>
      <c r="J172" s="31">
        <v>1.29</v>
      </c>
      <c r="K172" s="31">
        <v>1.29</v>
      </c>
      <c r="L172" s="31">
        <v>0</v>
      </c>
      <c r="M172" s="31">
        <v>0</v>
      </c>
      <c r="N172" s="31">
        <v>0</v>
      </c>
      <c r="O172" s="32">
        <v>0</v>
      </c>
    </row>
    <row r="173" spans="1:15">
      <c r="A173" s="31" t="s">
        <v>3728</v>
      </c>
      <c r="B173" s="31" t="s">
        <v>3678</v>
      </c>
      <c r="C173" s="31" t="s">
        <v>1734</v>
      </c>
      <c r="D173" s="31" t="s">
        <v>776</v>
      </c>
      <c r="E173" s="31" t="s">
        <v>1770</v>
      </c>
      <c r="F173" s="31">
        <v>0</v>
      </c>
      <c r="G173" s="31">
        <v>3</v>
      </c>
      <c r="H173" s="32">
        <v>0</v>
      </c>
      <c r="I173" s="31" t="s">
        <v>1736</v>
      </c>
      <c r="J173" s="31">
        <v>0</v>
      </c>
      <c r="K173" s="31">
        <v>0</v>
      </c>
      <c r="L173" s="31">
        <v>0</v>
      </c>
      <c r="M173" s="31">
        <v>0</v>
      </c>
      <c r="N173" s="31">
        <v>0</v>
      </c>
      <c r="O173" s="32">
        <v>0</v>
      </c>
    </row>
    <row r="174" spans="1:15">
      <c r="A174" s="31" t="s">
        <v>3728</v>
      </c>
      <c r="B174" s="31" t="s">
        <v>3678</v>
      </c>
      <c r="C174" s="31" t="s">
        <v>1734</v>
      </c>
      <c r="D174" s="31" t="s">
        <v>3697</v>
      </c>
      <c r="E174" s="31" t="s">
        <v>1770</v>
      </c>
      <c r="F174" s="31">
        <v>0</v>
      </c>
      <c r="G174" s="31">
        <v>2</v>
      </c>
      <c r="H174" s="32">
        <v>0</v>
      </c>
      <c r="I174" s="31" t="s">
        <v>1736</v>
      </c>
      <c r="J174" s="31">
        <v>0</v>
      </c>
      <c r="K174" s="31">
        <v>0</v>
      </c>
      <c r="L174" s="31">
        <v>0</v>
      </c>
      <c r="M174" s="31">
        <v>0</v>
      </c>
      <c r="N174" s="31">
        <v>0</v>
      </c>
      <c r="O174" s="32">
        <v>0</v>
      </c>
    </row>
    <row r="175" spans="1:15">
      <c r="A175" s="31" t="s">
        <v>3728</v>
      </c>
      <c r="B175" s="31" t="s">
        <v>3678</v>
      </c>
      <c r="C175" s="31" t="s">
        <v>1734</v>
      </c>
      <c r="D175" s="31" t="s">
        <v>3698</v>
      </c>
      <c r="E175" s="31" t="s">
        <v>1770</v>
      </c>
      <c r="F175" s="31">
        <v>1</v>
      </c>
      <c r="G175" s="31">
        <v>2</v>
      </c>
      <c r="H175" s="32">
        <v>0.5</v>
      </c>
      <c r="I175" s="31" t="s">
        <v>1736</v>
      </c>
      <c r="J175" s="31">
        <v>1.07</v>
      </c>
      <c r="K175" s="31">
        <v>1.07</v>
      </c>
      <c r="L175" s="31">
        <v>0</v>
      </c>
      <c r="M175" s="31">
        <v>0</v>
      </c>
      <c r="N175" s="31">
        <v>0</v>
      </c>
      <c r="O175" s="32">
        <v>0</v>
      </c>
    </row>
    <row r="176" spans="1:15">
      <c r="A176" s="31" t="s">
        <v>3728</v>
      </c>
      <c r="B176" s="31" t="s">
        <v>3678</v>
      </c>
      <c r="C176" s="31" t="s">
        <v>1734</v>
      </c>
      <c r="D176" s="31" t="s">
        <v>3699</v>
      </c>
      <c r="E176" s="31" t="s">
        <v>1770</v>
      </c>
      <c r="F176" s="31">
        <v>1</v>
      </c>
      <c r="G176" s="31">
        <v>8</v>
      </c>
      <c r="H176" s="32">
        <v>0.125</v>
      </c>
      <c r="I176" s="31" t="s">
        <v>1736</v>
      </c>
      <c r="J176" s="31">
        <v>8.9600000000000009</v>
      </c>
      <c r="K176" s="31">
        <v>8.9600000000000009</v>
      </c>
      <c r="L176" s="31">
        <v>0</v>
      </c>
      <c r="M176" s="31">
        <v>0</v>
      </c>
      <c r="N176" s="31">
        <v>0</v>
      </c>
      <c r="O176" s="32">
        <v>0</v>
      </c>
    </row>
    <row r="177" spans="1:15">
      <c r="A177" s="31" t="s">
        <v>3728</v>
      </c>
      <c r="B177" s="31" t="s">
        <v>3678</v>
      </c>
      <c r="C177" s="31" t="s">
        <v>1734</v>
      </c>
      <c r="D177" s="31" t="s">
        <v>3702</v>
      </c>
      <c r="E177" s="31" t="s">
        <v>1770</v>
      </c>
      <c r="F177" s="31">
        <v>0</v>
      </c>
      <c r="G177" s="31">
        <v>6</v>
      </c>
      <c r="H177" s="32">
        <v>0</v>
      </c>
      <c r="I177" s="31" t="s">
        <v>1736</v>
      </c>
      <c r="J177" s="31">
        <v>0</v>
      </c>
      <c r="K177" s="31">
        <v>0</v>
      </c>
      <c r="L177" s="31">
        <v>0</v>
      </c>
      <c r="M177" s="31">
        <v>0</v>
      </c>
      <c r="N177" s="31">
        <v>0</v>
      </c>
      <c r="O177" s="32">
        <v>0</v>
      </c>
    </row>
    <row r="178" spans="1:15">
      <c r="A178" s="31" t="s">
        <v>3728</v>
      </c>
      <c r="B178" s="31" t="s">
        <v>3678</v>
      </c>
      <c r="C178" s="31" t="s">
        <v>1734</v>
      </c>
      <c r="D178" s="31" t="s">
        <v>1470</v>
      </c>
      <c r="E178" s="31" t="s">
        <v>1770</v>
      </c>
      <c r="F178" s="31">
        <v>10</v>
      </c>
      <c r="G178" s="31">
        <v>93</v>
      </c>
      <c r="H178" s="32">
        <v>0.1075</v>
      </c>
      <c r="I178" s="31" t="s">
        <v>1736</v>
      </c>
      <c r="J178" s="31">
        <v>0.61</v>
      </c>
      <c r="K178" s="31">
        <v>6.12</v>
      </c>
      <c r="L178" s="31">
        <v>0</v>
      </c>
      <c r="M178" s="31">
        <v>0</v>
      </c>
      <c r="N178" s="31">
        <v>0</v>
      </c>
      <c r="O178" s="32">
        <v>0</v>
      </c>
    </row>
    <row r="179" spans="1:15">
      <c r="A179" s="31" t="s">
        <v>3728</v>
      </c>
      <c r="B179" s="31" t="s">
        <v>3678</v>
      </c>
      <c r="C179" s="31" t="s">
        <v>1734</v>
      </c>
      <c r="D179" s="31" t="s">
        <v>3348</v>
      </c>
      <c r="E179" s="31" t="s">
        <v>1770</v>
      </c>
      <c r="F179" s="31">
        <v>1</v>
      </c>
      <c r="G179" s="31">
        <v>6</v>
      </c>
      <c r="H179" s="32">
        <v>0.16669999999999999</v>
      </c>
      <c r="I179" s="31" t="s">
        <v>1736</v>
      </c>
      <c r="J179" s="31">
        <v>0.95</v>
      </c>
      <c r="K179" s="31">
        <v>0.95</v>
      </c>
      <c r="L179" s="31">
        <v>0</v>
      </c>
      <c r="M179" s="31">
        <v>0</v>
      </c>
      <c r="N179" s="31">
        <v>0</v>
      </c>
      <c r="O179" s="32">
        <v>0</v>
      </c>
    </row>
    <row r="180" spans="1:15">
      <c r="A180" s="31" t="s">
        <v>3728</v>
      </c>
      <c r="B180" s="31" t="s">
        <v>3678</v>
      </c>
      <c r="C180" s="31" t="s">
        <v>1734</v>
      </c>
      <c r="D180" s="31" t="s">
        <v>236</v>
      </c>
      <c r="E180" s="31" t="s">
        <v>1770</v>
      </c>
      <c r="F180" s="31">
        <v>0</v>
      </c>
      <c r="G180" s="31">
        <v>2</v>
      </c>
      <c r="H180" s="32">
        <v>0</v>
      </c>
      <c r="I180" s="31" t="s">
        <v>1736</v>
      </c>
      <c r="J180" s="31">
        <v>0</v>
      </c>
      <c r="K180" s="31">
        <v>0</v>
      </c>
      <c r="L180" s="31">
        <v>0</v>
      </c>
      <c r="M180" s="31">
        <v>0</v>
      </c>
      <c r="N180" s="31">
        <v>0</v>
      </c>
      <c r="O180" s="32">
        <v>0</v>
      </c>
    </row>
    <row r="181" spans="1:15">
      <c r="A181" s="31" t="s">
        <v>3728</v>
      </c>
      <c r="B181" s="31" t="s">
        <v>3678</v>
      </c>
      <c r="C181" s="31" t="s">
        <v>1734</v>
      </c>
      <c r="D181" s="31" t="s">
        <v>3704</v>
      </c>
      <c r="E181" s="31" t="s">
        <v>1770</v>
      </c>
      <c r="F181" s="31">
        <v>0</v>
      </c>
      <c r="G181" s="31">
        <v>0</v>
      </c>
      <c r="H181" s="32">
        <v>0</v>
      </c>
      <c r="I181" s="31" t="s">
        <v>1736</v>
      </c>
      <c r="J181" s="31">
        <v>0</v>
      </c>
      <c r="K181" s="31">
        <v>0</v>
      </c>
      <c r="L181" s="31">
        <v>0</v>
      </c>
      <c r="M181" s="31">
        <v>0</v>
      </c>
      <c r="N181" s="31">
        <v>0</v>
      </c>
      <c r="O181" s="32">
        <v>0</v>
      </c>
    </row>
    <row r="182" spans="1:15">
      <c r="A182" s="31" t="s">
        <v>3728</v>
      </c>
      <c r="B182" s="31" t="s">
        <v>3678</v>
      </c>
      <c r="C182" s="31" t="s">
        <v>1734</v>
      </c>
      <c r="D182" s="31" t="s">
        <v>1755</v>
      </c>
      <c r="E182" s="31" t="s">
        <v>1770</v>
      </c>
      <c r="F182" s="31">
        <v>0</v>
      </c>
      <c r="G182" s="31">
        <v>2</v>
      </c>
      <c r="H182" s="32">
        <v>0</v>
      </c>
      <c r="I182" s="31" t="s">
        <v>1736</v>
      </c>
      <c r="J182" s="31">
        <v>0</v>
      </c>
      <c r="K182" s="31">
        <v>0</v>
      </c>
      <c r="L182" s="31">
        <v>0</v>
      </c>
      <c r="M182" s="31">
        <v>0</v>
      </c>
      <c r="N182" s="31">
        <v>0</v>
      </c>
      <c r="O182" s="32">
        <v>0</v>
      </c>
    </row>
    <row r="183" spans="1:15">
      <c r="A183" s="31" t="s">
        <v>3728</v>
      </c>
      <c r="B183" s="31" t="s">
        <v>3678</v>
      </c>
      <c r="C183" s="31" t="s">
        <v>1734</v>
      </c>
      <c r="D183" s="31" t="s">
        <v>453</v>
      </c>
      <c r="E183" s="31" t="s">
        <v>1770</v>
      </c>
      <c r="F183" s="31">
        <v>3</v>
      </c>
      <c r="G183" s="31">
        <v>8</v>
      </c>
      <c r="H183" s="32">
        <v>0.375</v>
      </c>
      <c r="I183" s="31" t="s">
        <v>1736</v>
      </c>
      <c r="J183" s="31">
        <v>0.7</v>
      </c>
      <c r="K183" s="31">
        <v>2.11</v>
      </c>
      <c r="L183" s="31">
        <v>0</v>
      </c>
      <c r="M183" s="31">
        <v>0</v>
      </c>
      <c r="N183" s="31">
        <v>0</v>
      </c>
      <c r="O183" s="32">
        <v>0</v>
      </c>
    </row>
    <row r="184" spans="1:15">
      <c r="A184" s="31" t="s">
        <v>3728</v>
      </c>
      <c r="B184" s="31" t="s">
        <v>3678</v>
      </c>
      <c r="C184" s="31" t="s">
        <v>1734</v>
      </c>
      <c r="D184" s="31" t="s">
        <v>3730</v>
      </c>
      <c r="E184" s="31" t="s">
        <v>1770</v>
      </c>
      <c r="F184" s="31">
        <v>0</v>
      </c>
      <c r="G184" s="31">
        <v>0</v>
      </c>
      <c r="H184" s="32">
        <v>0</v>
      </c>
      <c r="I184" s="31" t="s">
        <v>1736</v>
      </c>
      <c r="J184" s="31">
        <v>0</v>
      </c>
      <c r="K184" s="31">
        <v>0</v>
      </c>
      <c r="L184" s="31">
        <v>0</v>
      </c>
      <c r="M184" s="31">
        <v>0</v>
      </c>
      <c r="N184" s="31">
        <v>0</v>
      </c>
      <c r="O184" s="32">
        <v>0</v>
      </c>
    </row>
    <row r="185" spans="1:15">
      <c r="A185" s="31" t="s">
        <v>3728</v>
      </c>
      <c r="B185" s="31" t="s">
        <v>3678</v>
      </c>
      <c r="C185" s="31" t="s">
        <v>1734</v>
      </c>
      <c r="D185" s="31" t="s">
        <v>1749</v>
      </c>
      <c r="E185" s="31" t="s">
        <v>1770</v>
      </c>
      <c r="F185" s="31">
        <v>1</v>
      </c>
      <c r="G185" s="31">
        <v>4</v>
      </c>
      <c r="H185" s="32">
        <v>0.25</v>
      </c>
      <c r="I185" s="31" t="s">
        <v>1736</v>
      </c>
      <c r="J185" s="31">
        <v>1.17</v>
      </c>
      <c r="K185" s="31">
        <v>1.17</v>
      </c>
      <c r="L185" s="31">
        <v>0</v>
      </c>
      <c r="M185" s="31">
        <v>0</v>
      </c>
      <c r="N185" s="31">
        <v>0</v>
      </c>
      <c r="O185" s="32">
        <v>0</v>
      </c>
    </row>
    <row r="186" spans="1:15">
      <c r="A186" s="31" t="s">
        <v>3728</v>
      </c>
      <c r="B186" s="31" t="s">
        <v>3678</v>
      </c>
      <c r="C186" s="31" t="s">
        <v>1734</v>
      </c>
      <c r="D186" s="31" t="s">
        <v>3731</v>
      </c>
      <c r="E186" s="31" t="s">
        <v>1770</v>
      </c>
      <c r="F186" s="31">
        <v>0</v>
      </c>
      <c r="G186" s="31">
        <v>2</v>
      </c>
      <c r="H186" s="32">
        <v>0</v>
      </c>
      <c r="I186" s="31" t="s">
        <v>1736</v>
      </c>
      <c r="J186" s="31">
        <v>0</v>
      </c>
      <c r="K186" s="31">
        <v>0</v>
      </c>
      <c r="L186" s="31">
        <v>0</v>
      </c>
      <c r="M186" s="31">
        <v>0</v>
      </c>
      <c r="N186" s="31">
        <v>0</v>
      </c>
      <c r="O186" s="32">
        <v>0</v>
      </c>
    </row>
    <row r="187" spans="1:15">
      <c r="A187" s="31" t="s">
        <v>3728</v>
      </c>
      <c r="B187" s="31" t="s">
        <v>3678</v>
      </c>
      <c r="C187" s="31" t="s">
        <v>1734</v>
      </c>
      <c r="D187" s="31" t="s">
        <v>3706</v>
      </c>
      <c r="E187" s="31" t="s">
        <v>1770</v>
      </c>
      <c r="F187" s="31">
        <v>0</v>
      </c>
      <c r="G187" s="31">
        <v>1</v>
      </c>
      <c r="H187" s="32">
        <v>0</v>
      </c>
      <c r="I187" s="31" t="s">
        <v>1736</v>
      </c>
      <c r="J187" s="31">
        <v>0</v>
      </c>
      <c r="K187" s="31">
        <v>0</v>
      </c>
      <c r="L187" s="31">
        <v>0</v>
      </c>
      <c r="M187" s="31">
        <v>0</v>
      </c>
      <c r="N187" s="31">
        <v>0</v>
      </c>
      <c r="O187" s="32">
        <v>0</v>
      </c>
    </row>
    <row r="188" spans="1:15">
      <c r="A188" s="31" t="s">
        <v>3728</v>
      </c>
      <c r="B188" s="31" t="s">
        <v>3678</v>
      </c>
      <c r="C188" s="31" t="s">
        <v>1734</v>
      </c>
      <c r="D188" s="31" t="s">
        <v>3707</v>
      </c>
      <c r="E188" s="31" t="s">
        <v>1770</v>
      </c>
      <c r="F188" s="31">
        <v>0</v>
      </c>
      <c r="G188" s="31">
        <v>7</v>
      </c>
      <c r="H188" s="32">
        <v>0</v>
      </c>
      <c r="I188" s="31" t="s">
        <v>1736</v>
      </c>
      <c r="J188" s="31">
        <v>0</v>
      </c>
      <c r="K188" s="31">
        <v>0</v>
      </c>
      <c r="L188" s="31">
        <v>0</v>
      </c>
      <c r="M188" s="31">
        <v>0</v>
      </c>
      <c r="N188" s="31">
        <v>0</v>
      </c>
      <c r="O188" s="32">
        <v>0</v>
      </c>
    </row>
    <row r="189" spans="1:15">
      <c r="A189" s="31" t="s">
        <v>3728</v>
      </c>
      <c r="B189" s="31" t="s">
        <v>3678</v>
      </c>
      <c r="C189" s="31" t="s">
        <v>1734</v>
      </c>
      <c r="D189" s="31" t="s">
        <v>3708</v>
      </c>
      <c r="E189" s="31" t="s">
        <v>1770</v>
      </c>
      <c r="F189" s="31">
        <v>1</v>
      </c>
      <c r="G189" s="31">
        <v>5</v>
      </c>
      <c r="H189" s="32">
        <v>0.2</v>
      </c>
      <c r="I189" s="31" t="s">
        <v>1736</v>
      </c>
      <c r="J189" s="31">
        <v>0.26</v>
      </c>
      <c r="K189" s="31">
        <v>0.26</v>
      </c>
      <c r="L189" s="31">
        <v>0</v>
      </c>
      <c r="M189" s="31">
        <v>0</v>
      </c>
      <c r="N189" s="31">
        <v>0</v>
      </c>
      <c r="O189" s="32">
        <v>0</v>
      </c>
    </row>
    <row r="190" spans="1:15">
      <c r="A190" s="31" t="s">
        <v>3728</v>
      </c>
      <c r="B190" s="31" t="s">
        <v>3678</v>
      </c>
      <c r="C190" s="31" t="s">
        <v>1734</v>
      </c>
      <c r="D190" s="31" t="s">
        <v>3709</v>
      </c>
      <c r="E190" s="31" t="s">
        <v>1770</v>
      </c>
      <c r="F190" s="31">
        <v>1</v>
      </c>
      <c r="G190" s="31">
        <v>3</v>
      </c>
      <c r="H190" s="32">
        <v>0.33329999999999999</v>
      </c>
      <c r="I190" s="31" t="s">
        <v>1736</v>
      </c>
      <c r="J190" s="31">
        <v>1.99</v>
      </c>
      <c r="K190" s="31">
        <v>1.99</v>
      </c>
      <c r="L190" s="31">
        <v>0</v>
      </c>
      <c r="M190" s="31">
        <v>0</v>
      </c>
      <c r="N190" s="31">
        <v>0</v>
      </c>
      <c r="O190" s="32">
        <v>0</v>
      </c>
    </row>
    <row r="191" spans="1:15">
      <c r="A191" s="31" t="s">
        <v>3728</v>
      </c>
      <c r="B191" s="31" t="s">
        <v>3678</v>
      </c>
      <c r="C191" s="31" t="s">
        <v>1734</v>
      </c>
      <c r="D191" s="31" t="s">
        <v>3710</v>
      </c>
      <c r="E191" s="31" t="s">
        <v>1770</v>
      </c>
      <c r="F191" s="31">
        <v>0</v>
      </c>
      <c r="G191" s="31">
        <v>1</v>
      </c>
      <c r="H191" s="32">
        <v>0</v>
      </c>
      <c r="I191" s="31" t="s">
        <v>1736</v>
      </c>
      <c r="J191" s="31">
        <v>0</v>
      </c>
      <c r="K191" s="31">
        <v>0</v>
      </c>
      <c r="L191" s="31">
        <v>0</v>
      </c>
      <c r="M191" s="31">
        <v>0</v>
      </c>
      <c r="N191" s="31">
        <v>0</v>
      </c>
      <c r="O191" s="32">
        <v>0</v>
      </c>
    </row>
    <row r="192" spans="1:15">
      <c r="A192" s="31" t="s">
        <v>3728</v>
      </c>
      <c r="B192" s="31" t="s">
        <v>3678</v>
      </c>
      <c r="C192" s="31" t="s">
        <v>1734</v>
      </c>
      <c r="D192" s="31" t="s">
        <v>910</v>
      </c>
      <c r="E192" s="31" t="s">
        <v>1770</v>
      </c>
      <c r="F192" s="31">
        <v>0</v>
      </c>
      <c r="G192" s="31">
        <v>7</v>
      </c>
      <c r="H192" s="32">
        <v>0</v>
      </c>
      <c r="I192" s="31" t="s">
        <v>1736</v>
      </c>
      <c r="J192" s="31">
        <v>0</v>
      </c>
      <c r="K192" s="31">
        <v>0</v>
      </c>
      <c r="L192" s="31">
        <v>0</v>
      </c>
      <c r="M192" s="31">
        <v>0</v>
      </c>
      <c r="N192" s="31">
        <v>0</v>
      </c>
      <c r="O192" s="32">
        <v>0</v>
      </c>
    </row>
    <row r="193" spans="1:15">
      <c r="A193" s="31" t="s">
        <v>3728</v>
      </c>
      <c r="B193" s="31" t="s">
        <v>3678</v>
      </c>
      <c r="C193" s="31" t="s">
        <v>1734</v>
      </c>
      <c r="D193" s="31" t="s">
        <v>1761</v>
      </c>
      <c r="E193" s="31" t="s">
        <v>1770</v>
      </c>
      <c r="F193" s="31">
        <v>1</v>
      </c>
      <c r="G193" s="31">
        <v>10</v>
      </c>
      <c r="H193" s="32">
        <v>0.1</v>
      </c>
      <c r="I193" s="31" t="s">
        <v>1736</v>
      </c>
      <c r="J193" s="31">
        <v>0.86</v>
      </c>
      <c r="K193" s="31">
        <v>0.86</v>
      </c>
      <c r="L193" s="31">
        <v>0</v>
      </c>
      <c r="M193" s="31">
        <v>0</v>
      </c>
      <c r="N193" s="31">
        <v>0</v>
      </c>
      <c r="O193" s="32">
        <v>0</v>
      </c>
    </row>
    <row r="194" spans="1:15">
      <c r="A194" s="31" t="s">
        <v>3728</v>
      </c>
      <c r="B194" s="31" t="s">
        <v>3678</v>
      </c>
      <c r="C194" s="31" t="s">
        <v>1734</v>
      </c>
      <c r="D194" s="31" t="s">
        <v>1750</v>
      </c>
      <c r="E194" s="31" t="s">
        <v>1770</v>
      </c>
      <c r="F194" s="31">
        <v>1</v>
      </c>
      <c r="G194" s="31">
        <v>3</v>
      </c>
      <c r="H194" s="32">
        <v>0.33329999999999999</v>
      </c>
      <c r="I194" s="31" t="s">
        <v>1736</v>
      </c>
      <c r="J194" s="31">
        <v>3.53</v>
      </c>
      <c r="K194" s="31">
        <v>3.53</v>
      </c>
      <c r="L194" s="31">
        <v>0</v>
      </c>
      <c r="M194" s="31">
        <v>0</v>
      </c>
      <c r="N194" s="31">
        <v>0</v>
      </c>
      <c r="O194" s="32">
        <v>0</v>
      </c>
    </row>
    <row r="195" spans="1:15">
      <c r="A195" s="31" t="s">
        <v>3728</v>
      </c>
      <c r="B195" s="31" t="s">
        <v>3678</v>
      </c>
      <c r="C195" s="31" t="s">
        <v>1734</v>
      </c>
      <c r="D195" s="31" t="s">
        <v>1762</v>
      </c>
      <c r="E195" s="31" t="s">
        <v>1770</v>
      </c>
      <c r="F195" s="31">
        <v>0</v>
      </c>
      <c r="G195" s="31">
        <v>3</v>
      </c>
      <c r="H195" s="32">
        <v>0</v>
      </c>
      <c r="I195" s="31" t="s">
        <v>1736</v>
      </c>
      <c r="J195" s="31">
        <v>0</v>
      </c>
      <c r="K195" s="31">
        <v>0</v>
      </c>
      <c r="L195" s="31">
        <v>0</v>
      </c>
      <c r="M195" s="31">
        <v>0</v>
      </c>
      <c r="N195" s="31">
        <v>0</v>
      </c>
      <c r="O195" s="32">
        <v>0</v>
      </c>
    </row>
    <row r="196" spans="1:15">
      <c r="A196" s="31" t="s">
        <v>3728</v>
      </c>
      <c r="B196" s="31" t="s">
        <v>3678</v>
      </c>
      <c r="C196" s="31" t="s">
        <v>1734</v>
      </c>
      <c r="D196" s="31" t="s">
        <v>3712</v>
      </c>
      <c r="E196" s="31" t="s">
        <v>1770</v>
      </c>
      <c r="F196" s="31">
        <v>4</v>
      </c>
      <c r="G196" s="31">
        <v>33</v>
      </c>
      <c r="H196" s="32">
        <v>0.1212</v>
      </c>
      <c r="I196" s="31" t="s">
        <v>1736</v>
      </c>
      <c r="J196" s="31">
        <v>2.65</v>
      </c>
      <c r="K196" s="31">
        <v>10.59</v>
      </c>
      <c r="L196" s="31">
        <v>0</v>
      </c>
      <c r="M196" s="31">
        <v>0</v>
      </c>
      <c r="N196" s="31">
        <v>0</v>
      </c>
      <c r="O196" s="32">
        <v>0</v>
      </c>
    </row>
    <row r="197" spans="1:15">
      <c r="A197" s="31" t="s">
        <v>3728</v>
      </c>
      <c r="B197" s="31" t="s">
        <v>3678</v>
      </c>
      <c r="C197" s="31" t="s">
        <v>1734</v>
      </c>
      <c r="D197" s="31" t="s">
        <v>44</v>
      </c>
      <c r="E197" s="31" t="s">
        <v>1770</v>
      </c>
      <c r="F197" s="31">
        <v>2</v>
      </c>
      <c r="G197" s="31">
        <v>9</v>
      </c>
      <c r="H197" s="32">
        <v>0.22220000000000001</v>
      </c>
      <c r="I197" s="31" t="s">
        <v>1736</v>
      </c>
      <c r="J197" s="31">
        <v>0.83</v>
      </c>
      <c r="K197" s="31">
        <v>1.66</v>
      </c>
      <c r="L197" s="31">
        <v>0</v>
      </c>
      <c r="M197" s="31">
        <v>0</v>
      </c>
      <c r="N197" s="31">
        <v>0</v>
      </c>
      <c r="O197" s="32">
        <v>0</v>
      </c>
    </row>
    <row r="198" spans="1:15">
      <c r="A198" s="31" t="s">
        <v>3728</v>
      </c>
      <c r="B198" s="31" t="s">
        <v>3678</v>
      </c>
      <c r="C198" s="31" t="s">
        <v>1734</v>
      </c>
      <c r="D198" s="31" t="s">
        <v>1768</v>
      </c>
      <c r="E198" s="31" t="s">
        <v>1770</v>
      </c>
      <c r="F198" s="31">
        <v>1</v>
      </c>
      <c r="G198" s="31">
        <v>2</v>
      </c>
      <c r="H198" s="32">
        <v>0.5</v>
      </c>
      <c r="I198" s="31" t="s">
        <v>1736</v>
      </c>
      <c r="J198" s="31">
        <v>0.59</v>
      </c>
      <c r="K198" s="31">
        <v>0.59</v>
      </c>
      <c r="L198" s="31">
        <v>0</v>
      </c>
      <c r="M198" s="31">
        <v>0</v>
      </c>
      <c r="N198" s="31">
        <v>0</v>
      </c>
      <c r="O198" s="32">
        <v>0</v>
      </c>
    </row>
    <row r="199" spans="1:15">
      <c r="A199" s="31" t="s">
        <v>3728</v>
      </c>
      <c r="B199" s="31" t="s">
        <v>3678</v>
      </c>
      <c r="C199" s="31" t="s">
        <v>1734</v>
      </c>
      <c r="D199" s="31" t="s">
        <v>695</v>
      </c>
      <c r="E199" s="31" t="s">
        <v>1770</v>
      </c>
      <c r="F199" s="31">
        <v>2</v>
      </c>
      <c r="G199" s="31">
        <v>22</v>
      </c>
      <c r="H199" s="32">
        <v>9.0899999999999995E-2</v>
      </c>
      <c r="I199" s="31" t="s">
        <v>1736</v>
      </c>
      <c r="J199" s="31">
        <v>0.66</v>
      </c>
      <c r="K199" s="31">
        <v>1.31</v>
      </c>
      <c r="L199" s="31">
        <v>0</v>
      </c>
      <c r="M199" s="31">
        <v>0</v>
      </c>
      <c r="N199" s="31">
        <v>0</v>
      </c>
      <c r="O199" s="32">
        <v>0</v>
      </c>
    </row>
    <row r="200" spans="1:15">
      <c r="A200" s="31" t="s">
        <v>3728</v>
      </c>
      <c r="B200" s="31" t="s">
        <v>3678</v>
      </c>
      <c r="C200" s="31" t="s">
        <v>1734</v>
      </c>
      <c r="D200" s="31" t="s">
        <v>3714</v>
      </c>
      <c r="E200" s="31" t="s">
        <v>1770</v>
      </c>
      <c r="F200" s="31">
        <v>0</v>
      </c>
      <c r="G200" s="31">
        <v>1</v>
      </c>
      <c r="H200" s="32">
        <v>0</v>
      </c>
      <c r="I200" s="31" t="s">
        <v>1736</v>
      </c>
      <c r="J200" s="31">
        <v>0</v>
      </c>
      <c r="K200" s="31">
        <v>0</v>
      </c>
      <c r="L200" s="31">
        <v>0</v>
      </c>
      <c r="M200" s="31">
        <v>0</v>
      </c>
      <c r="N200" s="31">
        <v>0</v>
      </c>
      <c r="O200" s="32">
        <v>0</v>
      </c>
    </row>
    <row r="201" spans="1:15">
      <c r="A201" s="31" t="s">
        <v>3728</v>
      </c>
      <c r="B201" s="31" t="s">
        <v>3678</v>
      </c>
      <c r="C201" s="31" t="s">
        <v>1734</v>
      </c>
      <c r="D201" s="31" t="s">
        <v>648</v>
      </c>
      <c r="E201" s="31" t="s">
        <v>1770</v>
      </c>
      <c r="F201" s="31">
        <v>1</v>
      </c>
      <c r="G201" s="31">
        <v>9</v>
      </c>
      <c r="H201" s="32">
        <v>0.1111</v>
      </c>
      <c r="I201" s="31" t="s">
        <v>1736</v>
      </c>
      <c r="J201" s="31">
        <v>0.98</v>
      </c>
      <c r="K201" s="31">
        <v>0.98</v>
      </c>
      <c r="L201" s="31">
        <v>0</v>
      </c>
      <c r="M201" s="31">
        <v>0</v>
      </c>
      <c r="N201" s="31">
        <v>0</v>
      </c>
      <c r="O201" s="32">
        <v>0</v>
      </c>
    </row>
    <row r="202" spans="1:15">
      <c r="A202" s="31" t="s">
        <v>3728</v>
      </c>
      <c r="B202" s="31" t="s">
        <v>3678</v>
      </c>
      <c r="C202" s="31" t="s">
        <v>1734</v>
      </c>
      <c r="D202" s="31" t="s">
        <v>3715</v>
      </c>
      <c r="E202" s="31" t="s">
        <v>1770</v>
      </c>
      <c r="F202" s="31">
        <v>0</v>
      </c>
      <c r="G202" s="31">
        <v>1</v>
      </c>
      <c r="H202" s="32">
        <v>0</v>
      </c>
      <c r="I202" s="31" t="s">
        <v>1736</v>
      </c>
      <c r="J202" s="31">
        <v>0</v>
      </c>
      <c r="K202" s="31">
        <v>0</v>
      </c>
      <c r="L202" s="31">
        <v>0</v>
      </c>
      <c r="M202" s="31">
        <v>0</v>
      </c>
      <c r="N202" s="31">
        <v>0</v>
      </c>
      <c r="O202" s="32">
        <v>0</v>
      </c>
    </row>
    <row r="203" spans="1:15">
      <c r="A203" s="31" t="s">
        <v>3728</v>
      </c>
      <c r="B203" s="31" t="s">
        <v>3678</v>
      </c>
      <c r="C203" s="31" t="s">
        <v>1734</v>
      </c>
      <c r="D203" s="31" t="s">
        <v>428</v>
      </c>
      <c r="E203" s="31" t="s">
        <v>1770</v>
      </c>
      <c r="F203" s="31">
        <v>0</v>
      </c>
      <c r="G203" s="31">
        <v>6</v>
      </c>
      <c r="H203" s="32">
        <v>0</v>
      </c>
      <c r="I203" s="31" t="s">
        <v>1736</v>
      </c>
      <c r="J203" s="31">
        <v>0</v>
      </c>
      <c r="K203" s="31">
        <v>0</v>
      </c>
      <c r="L203" s="31">
        <v>0</v>
      </c>
      <c r="M203" s="31">
        <v>0</v>
      </c>
      <c r="N203" s="31">
        <v>0</v>
      </c>
      <c r="O203" s="32">
        <v>0</v>
      </c>
    </row>
    <row r="204" spans="1:15">
      <c r="A204" s="31" t="s">
        <v>3728</v>
      </c>
      <c r="B204" s="31" t="s">
        <v>3678</v>
      </c>
      <c r="C204" s="31" t="s">
        <v>1734</v>
      </c>
      <c r="D204" s="31" t="s">
        <v>245</v>
      </c>
      <c r="E204" s="31" t="s">
        <v>1770</v>
      </c>
      <c r="F204" s="31">
        <v>1</v>
      </c>
      <c r="G204" s="31">
        <v>8</v>
      </c>
      <c r="H204" s="32">
        <v>0.125</v>
      </c>
      <c r="I204" s="31" t="s">
        <v>1736</v>
      </c>
      <c r="J204" s="31">
        <v>4.3600000000000003</v>
      </c>
      <c r="K204" s="31">
        <v>4.3600000000000003</v>
      </c>
      <c r="L204" s="31">
        <v>0</v>
      </c>
      <c r="M204" s="31">
        <v>0</v>
      </c>
      <c r="N204" s="31">
        <v>0</v>
      </c>
      <c r="O204" s="32">
        <v>0</v>
      </c>
    </row>
    <row r="205" spans="1:15">
      <c r="A205" s="31" t="s">
        <v>3728</v>
      </c>
      <c r="B205" s="31" t="s">
        <v>3678</v>
      </c>
      <c r="C205" s="31" t="s">
        <v>1734</v>
      </c>
      <c r="D205" s="31" t="s">
        <v>3423</v>
      </c>
      <c r="E205" s="31" t="s">
        <v>1770</v>
      </c>
      <c r="F205" s="31">
        <v>0</v>
      </c>
      <c r="G205" s="31">
        <v>16</v>
      </c>
      <c r="H205" s="32">
        <v>0</v>
      </c>
      <c r="I205" s="31" t="s">
        <v>1736</v>
      </c>
      <c r="J205" s="31">
        <v>0</v>
      </c>
      <c r="K205" s="31">
        <v>0</v>
      </c>
      <c r="L205" s="31">
        <v>0</v>
      </c>
      <c r="M205" s="31">
        <v>0</v>
      </c>
      <c r="N205" s="31">
        <v>0</v>
      </c>
      <c r="O205" s="32">
        <v>0</v>
      </c>
    </row>
    <row r="206" spans="1:15">
      <c r="A206" s="31" t="s">
        <v>3728</v>
      </c>
      <c r="B206" s="31" t="s">
        <v>3678</v>
      </c>
      <c r="C206" s="31" t="s">
        <v>1734</v>
      </c>
      <c r="D206" s="31" t="s">
        <v>3718</v>
      </c>
      <c r="E206" s="31" t="s">
        <v>1770</v>
      </c>
      <c r="F206" s="31">
        <v>0</v>
      </c>
      <c r="G206" s="31">
        <v>28</v>
      </c>
      <c r="H206" s="32">
        <v>0</v>
      </c>
      <c r="I206" s="31" t="s">
        <v>1736</v>
      </c>
      <c r="J206" s="31">
        <v>0</v>
      </c>
      <c r="K206" s="31">
        <v>0</v>
      </c>
      <c r="L206" s="31">
        <v>0</v>
      </c>
      <c r="M206" s="31">
        <v>0</v>
      </c>
      <c r="N206" s="31">
        <v>0</v>
      </c>
      <c r="O206" s="32">
        <v>0</v>
      </c>
    </row>
    <row r="207" spans="1:15">
      <c r="A207" s="31" t="s">
        <v>3728</v>
      </c>
      <c r="B207" s="31" t="s">
        <v>3678</v>
      </c>
      <c r="C207" s="31" t="s">
        <v>1734</v>
      </c>
      <c r="D207" s="31" t="s">
        <v>499</v>
      </c>
      <c r="E207" s="31" t="s">
        <v>1770</v>
      </c>
      <c r="F207" s="31">
        <v>0</v>
      </c>
      <c r="G207" s="31">
        <v>2</v>
      </c>
      <c r="H207" s="32">
        <v>0</v>
      </c>
      <c r="I207" s="31" t="s">
        <v>1736</v>
      </c>
      <c r="J207" s="31">
        <v>0</v>
      </c>
      <c r="K207" s="31">
        <v>0</v>
      </c>
      <c r="L207" s="31">
        <v>0</v>
      </c>
      <c r="M207" s="31">
        <v>0</v>
      </c>
      <c r="N207" s="31">
        <v>0</v>
      </c>
      <c r="O207" s="32">
        <v>0</v>
      </c>
    </row>
    <row r="208" spans="1:15">
      <c r="A208" s="31" t="s">
        <v>3728</v>
      </c>
      <c r="B208" s="31" t="s">
        <v>3678</v>
      </c>
      <c r="C208" s="31" t="s">
        <v>1734</v>
      </c>
      <c r="D208" s="31" t="s">
        <v>358</v>
      </c>
      <c r="E208" s="31" t="s">
        <v>1770</v>
      </c>
      <c r="F208" s="31">
        <v>8</v>
      </c>
      <c r="G208" s="31">
        <v>57</v>
      </c>
      <c r="H208" s="32">
        <v>0.1404</v>
      </c>
      <c r="I208" s="31" t="s">
        <v>1736</v>
      </c>
      <c r="J208" s="31">
        <v>4.53</v>
      </c>
      <c r="K208" s="31">
        <v>36.229999999999997</v>
      </c>
      <c r="L208" s="31">
        <v>1</v>
      </c>
      <c r="M208" s="31">
        <v>0</v>
      </c>
      <c r="N208" s="31">
        <v>36.229999999999997</v>
      </c>
      <c r="O208" s="32">
        <v>0.125</v>
      </c>
    </row>
    <row r="209" spans="1:15">
      <c r="A209" s="31" t="s">
        <v>3728</v>
      </c>
      <c r="B209" s="31" t="s">
        <v>3678</v>
      </c>
      <c r="C209" s="31" t="s">
        <v>1734</v>
      </c>
      <c r="D209" s="31" t="s">
        <v>256</v>
      </c>
      <c r="E209" s="31" t="s">
        <v>1770</v>
      </c>
      <c r="F209" s="31">
        <v>2</v>
      </c>
      <c r="G209" s="31">
        <v>31</v>
      </c>
      <c r="H209" s="32">
        <v>6.4500000000000002E-2</v>
      </c>
      <c r="I209" s="31" t="s">
        <v>1736</v>
      </c>
      <c r="J209" s="31">
        <v>0.6</v>
      </c>
      <c r="K209" s="31">
        <v>1.19</v>
      </c>
      <c r="L209" s="31">
        <v>0</v>
      </c>
      <c r="M209" s="31">
        <v>0</v>
      </c>
      <c r="N209" s="31">
        <v>0</v>
      </c>
      <c r="O209" s="32">
        <v>0</v>
      </c>
    </row>
    <row r="210" spans="1:15">
      <c r="A210" s="31" t="s">
        <v>3728</v>
      </c>
      <c r="B210" s="31" t="s">
        <v>3678</v>
      </c>
      <c r="C210" s="31" t="s">
        <v>1734</v>
      </c>
      <c r="D210" s="31" t="s">
        <v>88</v>
      </c>
      <c r="E210" s="31" t="s">
        <v>1770</v>
      </c>
      <c r="F210" s="31">
        <v>1</v>
      </c>
      <c r="G210" s="31">
        <v>30</v>
      </c>
      <c r="H210" s="32">
        <v>3.3300000000000003E-2</v>
      </c>
      <c r="I210" s="31" t="s">
        <v>1736</v>
      </c>
      <c r="J210" s="31">
        <v>4.5599999999999996</v>
      </c>
      <c r="K210" s="31">
        <v>4.5599999999999996</v>
      </c>
      <c r="L210" s="31">
        <v>0</v>
      </c>
      <c r="M210" s="31">
        <v>0</v>
      </c>
      <c r="N210" s="31">
        <v>0</v>
      </c>
      <c r="O210" s="32">
        <v>0</v>
      </c>
    </row>
    <row r="211" spans="1:15">
      <c r="A211" s="31" t="s">
        <v>3728</v>
      </c>
      <c r="B211" s="31" t="s">
        <v>3678</v>
      </c>
      <c r="C211" s="31" t="s">
        <v>1734</v>
      </c>
      <c r="D211" s="31" t="s">
        <v>481</v>
      </c>
      <c r="E211" s="31" t="s">
        <v>1770</v>
      </c>
      <c r="F211" s="31">
        <v>0</v>
      </c>
      <c r="G211" s="31">
        <v>2</v>
      </c>
      <c r="H211" s="32">
        <v>0</v>
      </c>
      <c r="I211" s="31" t="s">
        <v>1736</v>
      </c>
      <c r="J211" s="31">
        <v>0</v>
      </c>
      <c r="K211" s="31">
        <v>0</v>
      </c>
      <c r="L211" s="31">
        <v>0</v>
      </c>
      <c r="M211" s="31">
        <v>0</v>
      </c>
      <c r="N211" s="31">
        <v>0</v>
      </c>
      <c r="O211" s="32">
        <v>0</v>
      </c>
    </row>
    <row r="212" spans="1:15">
      <c r="A212" s="31" t="s">
        <v>3728</v>
      </c>
      <c r="B212" s="31" t="s">
        <v>3678</v>
      </c>
      <c r="C212" s="31" t="s">
        <v>1734</v>
      </c>
      <c r="D212" s="31" t="s">
        <v>3721</v>
      </c>
      <c r="E212" s="31" t="s">
        <v>1770</v>
      </c>
      <c r="F212" s="31">
        <v>4</v>
      </c>
      <c r="G212" s="31">
        <v>17</v>
      </c>
      <c r="H212" s="32">
        <v>0.23530000000000001</v>
      </c>
      <c r="I212" s="31" t="s">
        <v>1736</v>
      </c>
      <c r="J212" s="31">
        <v>0.93</v>
      </c>
      <c r="K212" s="31">
        <v>3.72</v>
      </c>
      <c r="L212" s="31">
        <v>0</v>
      </c>
      <c r="M212" s="31">
        <v>0</v>
      </c>
      <c r="N212" s="31">
        <v>0</v>
      </c>
      <c r="O212" s="32">
        <v>0</v>
      </c>
    </row>
    <row r="213" spans="1:15">
      <c r="A213" s="31" t="s">
        <v>3732</v>
      </c>
      <c r="B213" s="31" t="s">
        <v>3678</v>
      </c>
      <c r="C213" s="31" t="s">
        <v>1734</v>
      </c>
      <c r="D213" s="31" t="s">
        <v>1763</v>
      </c>
      <c r="E213" s="31" t="s">
        <v>1770</v>
      </c>
      <c r="F213" s="31">
        <v>0</v>
      </c>
      <c r="G213" s="31">
        <v>0</v>
      </c>
      <c r="H213" s="32">
        <v>0</v>
      </c>
      <c r="I213" s="31" t="s">
        <v>1736</v>
      </c>
      <c r="J213" s="31">
        <v>0</v>
      </c>
      <c r="K213" s="31">
        <v>0</v>
      </c>
      <c r="L213" s="31">
        <v>0</v>
      </c>
      <c r="M213" s="31">
        <v>0</v>
      </c>
      <c r="N213" s="31">
        <v>0</v>
      </c>
      <c r="O213" s="32">
        <v>0</v>
      </c>
    </row>
    <row r="214" spans="1:15">
      <c r="A214" s="31" t="s">
        <v>3732</v>
      </c>
      <c r="B214" s="31" t="s">
        <v>3678</v>
      </c>
      <c r="C214" s="31" t="s">
        <v>1734</v>
      </c>
      <c r="D214" s="31" t="s">
        <v>110</v>
      </c>
      <c r="E214" s="31" t="s">
        <v>1770</v>
      </c>
      <c r="F214" s="31">
        <v>2</v>
      </c>
      <c r="G214" s="31">
        <v>16</v>
      </c>
      <c r="H214" s="32">
        <v>0.125</v>
      </c>
      <c r="I214" s="31" t="s">
        <v>1736</v>
      </c>
      <c r="J214" s="31">
        <v>1.3</v>
      </c>
      <c r="K214" s="31">
        <v>2.6</v>
      </c>
      <c r="L214" s="31">
        <v>0</v>
      </c>
      <c r="M214" s="31">
        <v>0</v>
      </c>
      <c r="N214" s="31">
        <v>0</v>
      </c>
      <c r="O214" s="32">
        <v>0</v>
      </c>
    </row>
    <row r="215" spans="1:15">
      <c r="A215" s="31" t="s">
        <v>3732</v>
      </c>
      <c r="B215" s="31" t="s">
        <v>3678</v>
      </c>
      <c r="C215" s="31" t="s">
        <v>1734</v>
      </c>
      <c r="D215" s="31" t="s">
        <v>1764</v>
      </c>
      <c r="E215" s="31" t="s">
        <v>1770</v>
      </c>
      <c r="F215" s="31">
        <v>1</v>
      </c>
      <c r="G215" s="31">
        <v>4</v>
      </c>
      <c r="H215" s="32">
        <v>0.25</v>
      </c>
      <c r="I215" s="31" t="s">
        <v>1736</v>
      </c>
      <c r="J215" s="31">
        <v>0.4</v>
      </c>
      <c r="K215" s="31">
        <v>0.4</v>
      </c>
      <c r="L215" s="31">
        <v>0</v>
      </c>
      <c r="M215" s="31">
        <v>0</v>
      </c>
      <c r="N215" s="31">
        <v>0</v>
      </c>
      <c r="O215" s="32">
        <v>0</v>
      </c>
    </row>
    <row r="216" spans="1:15">
      <c r="A216" s="31" t="s">
        <v>3732</v>
      </c>
      <c r="B216" s="31" t="s">
        <v>3678</v>
      </c>
      <c r="C216" s="31" t="s">
        <v>1734</v>
      </c>
      <c r="D216" s="31" t="s">
        <v>1750</v>
      </c>
      <c r="E216" s="31" t="s">
        <v>1770</v>
      </c>
      <c r="F216" s="31">
        <v>2</v>
      </c>
      <c r="G216" s="31">
        <v>14</v>
      </c>
      <c r="H216" s="32">
        <v>0.1429</v>
      </c>
      <c r="I216" s="31" t="s">
        <v>1736</v>
      </c>
      <c r="J216" s="31">
        <v>3.24</v>
      </c>
      <c r="K216" s="31">
        <v>6.47</v>
      </c>
      <c r="L216" s="31">
        <v>0</v>
      </c>
      <c r="M216" s="31">
        <v>0</v>
      </c>
      <c r="N216" s="31">
        <v>0</v>
      </c>
      <c r="O216" s="32">
        <v>0</v>
      </c>
    </row>
    <row r="217" spans="1:15">
      <c r="A217" s="31" t="s">
        <v>3732</v>
      </c>
      <c r="B217" s="31" t="s">
        <v>3678</v>
      </c>
      <c r="C217" s="31" t="s">
        <v>1734</v>
      </c>
      <c r="D217" s="31" t="s">
        <v>358</v>
      </c>
      <c r="E217" s="31" t="s">
        <v>1770</v>
      </c>
      <c r="F217" s="31">
        <v>13</v>
      </c>
      <c r="G217" s="31">
        <v>108</v>
      </c>
      <c r="H217" s="32">
        <v>0.12039999999999999</v>
      </c>
      <c r="I217" s="31" t="s">
        <v>1736</v>
      </c>
      <c r="J217" s="31">
        <v>3.95</v>
      </c>
      <c r="K217" s="31">
        <v>51.3</v>
      </c>
      <c r="L217" s="31">
        <v>0</v>
      </c>
      <c r="M217" s="31">
        <v>0</v>
      </c>
      <c r="N217" s="31">
        <v>0</v>
      </c>
      <c r="O217" s="32">
        <v>0</v>
      </c>
    </row>
    <row r="218" spans="1:15">
      <c r="A218" s="31" t="s">
        <v>3732</v>
      </c>
      <c r="B218" s="31" t="s">
        <v>3678</v>
      </c>
      <c r="C218" s="31" t="s">
        <v>1734</v>
      </c>
      <c r="D218" s="31" t="s">
        <v>256</v>
      </c>
      <c r="E218" s="31" t="s">
        <v>1770</v>
      </c>
      <c r="F218" s="31">
        <v>5</v>
      </c>
      <c r="G218" s="31">
        <v>41</v>
      </c>
      <c r="H218" s="32">
        <v>0.122</v>
      </c>
      <c r="I218" s="31" t="s">
        <v>1736</v>
      </c>
      <c r="J218" s="31">
        <v>2.56</v>
      </c>
      <c r="K218" s="31">
        <v>12.79</v>
      </c>
      <c r="L218" s="31">
        <v>0</v>
      </c>
      <c r="M218" s="31">
        <v>0</v>
      </c>
      <c r="N218" s="31">
        <v>0</v>
      </c>
      <c r="O218" s="32">
        <v>0</v>
      </c>
    </row>
    <row r="219" spans="1:15">
      <c r="A219" s="31" t="s">
        <v>3732</v>
      </c>
      <c r="B219" s="31" t="s">
        <v>3678</v>
      </c>
      <c r="C219" s="31" t="s">
        <v>1734</v>
      </c>
      <c r="D219" s="31" t="s">
        <v>88</v>
      </c>
      <c r="E219" s="31" t="s">
        <v>1770</v>
      </c>
      <c r="F219" s="31">
        <v>11</v>
      </c>
      <c r="G219" s="31">
        <v>66</v>
      </c>
      <c r="H219" s="32">
        <v>0.16669999999999999</v>
      </c>
      <c r="I219" s="31" t="s">
        <v>1736</v>
      </c>
      <c r="J219" s="31">
        <v>3.38</v>
      </c>
      <c r="K219" s="31">
        <v>37.18</v>
      </c>
      <c r="L219" s="31">
        <v>0</v>
      </c>
      <c r="M219" s="31">
        <v>0</v>
      </c>
      <c r="N219" s="31">
        <v>0</v>
      </c>
      <c r="O219" s="32">
        <v>0</v>
      </c>
    </row>
    <row r="220" spans="1:15">
      <c r="A220" s="31" t="s">
        <v>3733</v>
      </c>
      <c r="B220" s="31" t="s">
        <v>3678</v>
      </c>
      <c r="C220" s="31" t="s">
        <v>1734</v>
      </c>
      <c r="D220" s="31" t="s">
        <v>677</v>
      </c>
      <c r="E220" s="31" t="s">
        <v>3734</v>
      </c>
      <c r="F220" s="31">
        <v>0</v>
      </c>
      <c r="G220" s="31">
        <v>1</v>
      </c>
      <c r="H220" s="32">
        <v>0</v>
      </c>
      <c r="I220" s="31" t="s">
        <v>1736</v>
      </c>
      <c r="J220" s="31">
        <v>0</v>
      </c>
      <c r="K220" s="31">
        <v>0</v>
      </c>
      <c r="L220" s="31">
        <v>0</v>
      </c>
      <c r="M220" s="31">
        <v>0</v>
      </c>
      <c r="N220" s="31">
        <v>0</v>
      </c>
      <c r="O220" s="32">
        <v>0</v>
      </c>
    </row>
    <row r="221" spans="1:15">
      <c r="A221" s="31" t="s">
        <v>3733</v>
      </c>
      <c r="B221" s="31" t="s">
        <v>3678</v>
      </c>
      <c r="C221" s="31" t="s">
        <v>1734</v>
      </c>
      <c r="D221" s="31" t="s">
        <v>98</v>
      </c>
      <c r="E221" s="31" t="s">
        <v>3734</v>
      </c>
      <c r="F221" s="31">
        <v>0</v>
      </c>
      <c r="G221" s="31">
        <v>6</v>
      </c>
      <c r="H221" s="32">
        <v>0</v>
      </c>
      <c r="I221" s="31" t="s">
        <v>1736</v>
      </c>
      <c r="J221" s="31">
        <v>0</v>
      </c>
      <c r="K221" s="31">
        <v>0</v>
      </c>
      <c r="L221" s="31">
        <v>0</v>
      </c>
      <c r="M221" s="31">
        <v>0</v>
      </c>
      <c r="N221" s="31">
        <v>0</v>
      </c>
      <c r="O221" s="32">
        <v>0</v>
      </c>
    </row>
    <row r="222" spans="1:15">
      <c r="A222" s="31" t="s">
        <v>3733</v>
      </c>
      <c r="B222" s="31" t="s">
        <v>3678</v>
      </c>
      <c r="C222" s="31" t="s">
        <v>1734</v>
      </c>
      <c r="D222" s="31" t="s">
        <v>3684</v>
      </c>
      <c r="E222" s="31" t="s">
        <v>3734</v>
      </c>
      <c r="F222" s="31">
        <v>7</v>
      </c>
      <c r="G222" s="31">
        <v>47</v>
      </c>
      <c r="H222" s="32">
        <v>0.1489</v>
      </c>
      <c r="I222" s="31" t="s">
        <v>1736</v>
      </c>
      <c r="J222" s="31">
        <v>0.43</v>
      </c>
      <c r="K222" s="31">
        <v>3.02</v>
      </c>
      <c r="L222" s="31">
        <v>0</v>
      </c>
      <c r="M222" s="31">
        <v>0</v>
      </c>
      <c r="N222" s="31">
        <v>0</v>
      </c>
      <c r="O222" s="32">
        <v>0</v>
      </c>
    </row>
    <row r="223" spans="1:15">
      <c r="A223" s="31" t="s">
        <v>3733</v>
      </c>
      <c r="B223" s="31" t="s">
        <v>3678</v>
      </c>
      <c r="C223" s="31" t="s">
        <v>1734</v>
      </c>
      <c r="D223" s="31" t="s">
        <v>159</v>
      </c>
      <c r="E223" s="31" t="s">
        <v>3734</v>
      </c>
      <c r="F223" s="31">
        <v>0</v>
      </c>
      <c r="G223" s="31">
        <v>1</v>
      </c>
      <c r="H223" s="32">
        <v>0</v>
      </c>
      <c r="I223" s="31" t="s">
        <v>1736</v>
      </c>
      <c r="J223" s="31">
        <v>0</v>
      </c>
      <c r="K223" s="31">
        <v>0</v>
      </c>
      <c r="L223" s="31">
        <v>0</v>
      </c>
      <c r="M223" s="31">
        <v>0</v>
      </c>
      <c r="N223" s="31">
        <v>0</v>
      </c>
      <c r="O223" s="32">
        <v>0</v>
      </c>
    </row>
    <row r="224" spans="1:15">
      <c r="A224" s="31" t="s">
        <v>3733</v>
      </c>
      <c r="B224" s="31" t="s">
        <v>3678</v>
      </c>
      <c r="C224" s="31" t="s">
        <v>1734</v>
      </c>
      <c r="D224" s="31" t="s">
        <v>58</v>
      </c>
      <c r="E224" s="31" t="s">
        <v>3734</v>
      </c>
      <c r="F224" s="31">
        <v>2</v>
      </c>
      <c r="G224" s="31">
        <v>20</v>
      </c>
      <c r="H224" s="32">
        <v>0.1</v>
      </c>
      <c r="I224" s="31" t="s">
        <v>1736</v>
      </c>
      <c r="J224" s="31">
        <v>0.51</v>
      </c>
      <c r="K224" s="31">
        <v>1.01</v>
      </c>
      <c r="L224" s="31">
        <v>1</v>
      </c>
      <c r="M224" s="31">
        <v>0</v>
      </c>
      <c r="N224" s="31">
        <v>1.01</v>
      </c>
      <c r="O224" s="32">
        <v>0.5</v>
      </c>
    </row>
    <row r="225" spans="1:15">
      <c r="A225" s="31" t="s">
        <v>3733</v>
      </c>
      <c r="B225" s="31" t="s">
        <v>3678</v>
      </c>
      <c r="C225" s="31" t="s">
        <v>1734</v>
      </c>
      <c r="D225" s="31" t="s">
        <v>3685</v>
      </c>
      <c r="E225" s="31" t="s">
        <v>3734</v>
      </c>
      <c r="F225" s="31">
        <v>4</v>
      </c>
      <c r="G225" s="31">
        <v>42</v>
      </c>
      <c r="H225" s="32">
        <v>9.5200000000000007E-2</v>
      </c>
      <c r="I225" s="31" t="s">
        <v>1736</v>
      </c>
      <c r="J225" s="31">
        <v>0.52</v>
      </c>
      <c r="K225" s="31">
        <v>2.08</v>
      </c>
      <c r="L225" s="31">
        <v>0</v>
      </c>
      <c r="M225" s="31">
        <v>0</v>
      </c>
      <c r="N225" s="31">
        <v>0</v>
      </c>
      <c r="O225" s="32">
        <v>0</v>
      </c>
    </row>
    <row r="226" spans="1:15">
      <c r="A226" s="31" t="s">
        <v>3733</v>
      </c>
      <c r="B226" s="31" t="s">
        <v>3678</v>
      </c>
      <c r="C226" s="31" t="s">
        <v>1734</v>
      </c>
      <c r="D226" s="31" t="s">
        <v>1013</v>
      </c>
      <c r="E226" s="31" t="s">
        <v>3734</v>
      </c>
      <c r="F226" s="31">
        <v>0</v>
      </c>
      <c r="G226" s="31">
        <v>2</v>
      </c>
      <c r="H226" s="32">
        <v>0</v>
      </c>
      <c r="I226" s="31" t="s">
        <v>1736</v>
      </c>
      <c r="J226" s="31">
        <v>0</v>
      </c>
      <c r="K226" s="31">
        <v>0</v>
      </c>
      <c r="L226" s="31">
        <v>0</v>
      </c>
      <c r="M226" s="31">
        <v>0</v>
      </c>
      <c r="N226" s="31">
        <v>0</v>
      </c>
      <c r="O226" s="32">
        <v>0</v>
      </c>
    </row>
    <row r="227" spans="1:15">
      <c r="A227" s="31" t="s">
        <v>3733</v>
      </c>
      <c r="B227" s="31" t="s">
        <v>3678</v>
      </c>
      <c r="C227" s="31" t="s">
        <v>1734</v>
      </c>
      <c r="D227" s="31" t="s">
        <v>1752</v>
      </c>
      <c r="E227" s="31" t="s">
        <v>3734</v>
      </c>
      <c r="F227" s="31">
        <v>1</v>
      </c>
      <c r="G227" s="31">
        <v>23</v>
      </c>
      <c r="H227" s="32">
        <v>4.3499999999999997E-2</v>
      </c>
      <c r="I227" s="31" t="s">
        <v>1736</v>
      </c>
      <c r="J227" s="31">
        <v>0.68</v>
      </c>
      <c r="K227" s="31">
        <v>0.68</v>
      </c>
      <c r="L227" s="31">
        <v>0</v>
      </c>
      <c r="M227" s="31">
        <v>0</v>
      </c>
      <c r="N227" s="31">
        <v>0</v>
      </c>
      <c r="O227" s="32">
        <v>0</v>
      </c>
    </row>
    <row r="228" spans="1:15">
      <c r="A228" s="31" t="s">
        <v>3733</v>
      </c>
      <c r="B228" s="31" t="s">
        <v>3678</v>
      </c>
      <c r="C228" s="31" t="s">
        <v>1734</v>
      </c>
      <c r="D228" s="31" t="s">
        <v>1753</v>
      </c>
      <c r="E228" s="31" t="s">
        <v>3734</v>
      </c>
      <c r="F228" s="31">
        <v>3</v>
      </c>
      <c r="G228" s="31">
        <v>14</v>
      </c>
      <c r="H228" s="32">
        <v>0.21429999999999999</v>
      </c>
      <c r="I228" s="31" t="s">
        <v>1736</v>
      </c>
      <c r="J228" s="31">
        <v>0.18</v>
      </c>
      <c r="K228" s="31">
        <v>0.54</v>
      </c>
      <c r="L228" s="31">
        <v>0</v>
      </c>
      <c r="M228" s="31">
        <v>0</v>
      </c>
      <c r="N228" s="31">
        <v>0</v>
      </c>
      <c r="O228" s="32">
        <v>0</v>
      </c>
    </row>
    <row r="229" spans="1:15">
      <c r="A229" s="31" t="s">
        <v>3733</v>
      </c>
      <c r="B229" s="31" t="s">
        <v>3678</v>
      </c>
      <c r="C229" s="31" t="s">
        <v>1734</v>
      </c>
      <c r="D229" s="31" t="s">
        <v>110</v>
      </c>
      <c r="E229" s="31" t="s">
        <v>3734</v>
      </c>
      <c r="F229" s="31">
        <v>0</v>
      </c>
      <c r="G229" s="31">
        <v>4</v>
      </c>
      <c r="H229" s="32">
        <v>0</v>
      </c>
      <c r="I229" s="31" t="s">
        <v>1736</v>
      </c>
      <c r="J229" s="31">
        <v>0</v>
      </c>
      <c r="K229" s="31">
        <v>0</v>
      </c>
      <c r="L229" s="31">
        <v>0</v>
      </c>
      <c r="M229" s="31">
        <v>0</v>
      </c>
      <c r="N229" s="31">
        <v>0</v>
      </c>
      <c r="O229" s="32">
        <v>0</v>
      </c>
    </row>
    <row r="230" spans="1:15">
      <c r="A230" s="31" t="s">
        <v>3733</v>
      </c>
      <c r="B230" s="31" t="s">
        <v>3678</v>
      </c>
      <c r="C230" s="31" t="s">
        <v>1734</v>
      </c>
      <c r="D230" s="31" t="s">
        <v>3319</v>
      </c>
      <c r="E230" s="31" t="s">
        <v>3734</v>
      </c>
      <c r="F230" s="31">
        <v>0</v>
      </c>
      <c r="G230" s="31">
        <v>3</v>
      </c>
      <c r="H230" s="32">
        <v>0</v>
      </c>
      <c r="I230" s="31" t="s">
        <v>1736</v>
      </c>
      <c r="J230" s="31">
        <v>0</v>
      </c>
      <c r="K230" s="31">
        <v>0</v>
      </c>
      <c r="L230" s="31">
        <v>0</v>
      </c>
      <c r="M230" s="31">
        <v>0</v>
      </c>
      <c r="N230" s="31">
        <v>0</v>
      </c>
      <c r="O230" s="32">
        <v>0</v>
      </c>
    </row>
    <row r="231" spans="1:15">
      <c r="A231" s="31" t="s">
        <v>3733</v>
      </c>
      <c r="B231" s="31" t="s">
        <v>3678</v>
      </c>
      <c r="C231" s="31" t="s">
        <v>1734</v>
      </c>
      <c r="D231" s="31" t="s">
        <v>1754</v>
      </c>
      <c r="E231" s="31" t="s">
        <v>3734</v>
      </c>
      <c r="F231" s="31">
        <v>1</v>
      </c>
      <c r="G231" s="31">
        <v>14</v>
      </c>
      <c r="H231" s="32">
        <v>7.1400000000000005E-2</v>
      </c>
      <c r="I231" s="31" t="s">
        <v>1736</v>
      </c>
      <c r="J231" s="31">
        <v>0.4</v>
      </c>
      <c r="K231" s="31">
        <v>0.4</v>
      </c>
      <c r="L231" s="31">
        <v>0</v>
      </c>
      <c r="M231" s="31">
        <v>0</v>
      </c>
      <c r="N231" s="31">
        <v>0</v>
      </c>
      <c r="O231" s="32">
        <v>0</v>
      </c>
    </row>
    <row r="232" spans="1:15">
      <c r="A232" s="31" t="s">
        <v>3733</v>
      </c>
      <c r="B232" s="31" t="s">
        <v>3678</v>
      </c>
      <c r="C232" s="31" t="s">
        <v>1734</v>
      </c>
      <c r="D232" s="31" t="s">
        <v>1766</v>
      </c>
      <c r="E232" s="31" t="s">
        <v>3734</v>
      </c>
      <c r="F232" s="31">
        <v>4</v>
      </c>
      <c r="G232" s="31">
        <v>15</v>
      </c>
      <c r="H232" s="32">
        <v>0.26669999999999999</v>
      </c>
      <c r="I232" s="31" t="s">
        <v>1736</v>
      </c>
      <c r="J232" s="31">
        <v>0.4</v>
      </c>
      <c r="K232" s="31">
        <v>1.61</v>
      </c>
      <c r="L232" s="31">
        <v>0</v>
      </c>
      <c r="M232" s="31">
        <v>0</v>
      </c>
      <c r="N232" s="31">
        <v>0</v>
      </c>
      <c r="O232" s="32">
        <v>0</v>
      </c>
    </row>
    <row r="233" spans="1:15">
      <c r="A233" s="31" t="s">
        <v>3733</v>
      </c>
      <c r="B233" s="31" t="s">
        <v>3678</v>
      </c>
      <c r="C233" s="31" t="s">
        <v>1734</v>
      </c>
      <c r="D233" s="31" t="s">
        <v>1758</v>
      </c>
      <c r="E233" s="31" t="s">
        <v>3734</v>
      </c>
      <c r="F233" s="31">
        <v>0</v>
      </c>
      <c r="G233" s="31">
        <v>2</v>
      </c>
      <c r="H233" s="32">
        <v>0</v>
      </c>
      <c r="I233" s="31" t="s">
        <v>1736</v>
      </c>
      <c r="J233" s="31">
        <v>0</v>
      </c>
      <c r="K233" s="31">
        <v>0</v>
      </c>
      <c r="L233" s="31">
        <v>0</v>
      </c>
      <c r="M233" s="31">
        <v>0</v>
      </c>
      <c r="N233" s="31">
        <v>0</v>
      </c>
      <c r="O233" s="32">
        <v>0</v>
      </c>
    </row>
    <row r="234" spans="1:15">
      <c r="A234" s="31" t="s">
        <v>3733</v>
      </c>
      <c r="B234" s="31" t="s">
        <v>3678</v>
      </c>
      <c r="C234" s="31" t="s">
        <v>1734</v>
      </c>
      <c r="D234" s="31" t="s">
        <v>3735</v>
      </c>
      <c r="E234" s="31" t="s">
        <v>3734</v>
      </c>
      <c r="F234" s="31">
        <v>1</v>
      </c>
      <c r="G234" s="31">
        <v>3</v>
      </c>
      <c r="H234" s="32">
        <v>0.33329999999999999</v>
      </c>
      <c r="I234" s="31" t="s">
        <v>1736</v>
      </c>
      <c r="J234" s="31">
        <v>0.14000000000000001</v>
      </c>
      <c r="K234" s="31">
        <v>0.14000000000000001</v>
      </c>
      <c r="L234" s="31">
        <v>0</v>
      </c>
      <c r="M234" s="31">
        <v>0</v>
      </c>
      <c r="N234" s="31">
        <v>0</v>
      </c>
      <c r="O234" s="32">
        <v>0</v>
      </c>
    </row>
    <row r="235" spans="1:15">
      <c r="A235" s="31" t="s">
        <v>3733</v>
      </c>
      <c r="B235" s="31" t="s">
        <v>3678</v>
      </c>
      <c r="C235" s="31" t="s">
        <v>1734</v>
      </c>
      <c r="D235" s="31" t="s">
        <v>1756</v>
      </c>
      <c r="E235" s="31" t="s">
        <v>3734</v>
      </c>
      <c r="F235" s="31">
        <v>3</v>
      </c>
      <c r="G235" s="31">
        <v>43</v>
      </c>
      <c r="H235" s="32">
        <v>6.9800000000000001E-2</v>
      </c>
      <c r="I235" s="31" t="s">
        <v>1736</v>
      </c>
      <c r="J235" s="31">
        <v>0.26</v>
      </c>
      <c r="K235" s="31">
        <v>0.78</v>
      </c>
      <c r="L235" s="31">
        <v>0</v>
      </c>
      <c r="M235" s="31">
        <v>0</v>
      </c>
      <c r="N235" s="31">
        <v>0</v>
      </c>
      <c r="O235" s="32">
        <v>0</v>
      </c>
    </row>
    <row r="236" spans="1:15">
      <c r="A236" s="31" t="s">
        <v>3733</v>
      </c>
      <c r="B236" s="31" t="s">
        <v>3678</v>
      </c>
      <c r="C236" s="31" t="s">
        <v>1734</v>
      </c>
      <c r="D236" s="31" t="s">
        <v>519</v>
      </c>
      <c r="E236" s="31" t="s">
        <v>3734</v>
      </c>
      <c r="F236" s="31">
        <v>0</v>
      </c>
      <c r="G236" s="31">
        <v>13</v>
      </c>
      <c r="H236" s="32">
        <v>0</v>
      </c>
      <c r="I236" s="31" t="s">
        <v>1736</v>
      </c>
      <c r="J236" s="31">
        <v>0</v>
      </c>
      <c r="K236" s="31">
        <v>0</v>
      </c>
      <c r="L236" s="31">
        <v>0</v>
      </c>
      <c r="M236" s="31">
        <v>0</v>
      </c>
      <c r="N236" s="31">
        <v>0</v>
      </c>
      <c r="O236" s="32">
        <v>0</v>
      </c>
    </row>
    <row r="237" spans="1:15">
      <c r="A237" s="31" t="s">
        <v>3733</v>
      </c>
      <c r="B237" s="31" t="s">
        <v>3678</v>
      </c>
      <c r="C237" s="31" t="s">
        <v>1734</v>
      </c>
      <c r="D237" s="31" t="s">
        <v>345</v>
      </c>
      <c r="E237" s="31" t="s">
        <v>3734</v>
      </c>
      <c r="F237" s="31">
        <v>5</v>
      </c>
      <c r="G237" s="31">
        <v>23</v>
      </c>
      <c r="H237" s="32">
        <v>0.21740000000000001</v>
      </c>
      <c r="I237" s="31" t="s">
        <v>1736</v>
      </c>
      <c r="J237" s="31">
        <v>0.47</v>
      </c>
      <c r="K237" s="31">
        <v>2.35</v>
      </c>
      <c r="L237" s="31">
        <v>0</v>
      </c>
      <c r="M237" s="31">
        <v>0</v>
      </c>
      <c r="N237" s="31">
        <v>0</v>
      </c>
      <c r="O237" s="32">
        <v>0</v>
      </c>
    </row>
    <row r="238" spans="1:15">
      <c r="A238" s="31" t="s">
        <v>3733</v>
      </c>
      <c r="B238" s="31" t="s">
        <v>3678</v>
      </c>
      <c r="C238" s="31" t="s">
        <v>1734</v>
      </c>
      <c r="D238" s="31" t="s">
        <v>2955</v>
      </c>
      <c r="E238" s="31" t="s">
        <v>3734</v>
      </c>
      <c r="F238" s="31">
        <v>6</v>
      </c>
      <c r="G238" s="31">
        <v>57</v>
      </c>
      <c r="H238" s="32">
        <v>0.1053</v>
      </c>
      <c r="I238" s="31" t="s">
        <v>1736</v>
      </c>
      <c r="J238" s="31">
        <v>0.34</v>
      </c>
      <c r="K238" s="31">
        <v>2.04</v>
      </c>
      <c r="L238" s="31">
        <v>0</v>
      </c>
      <c r="M238" s="31">
        <v>0</v>
      </c>
      <c r="N238" s="31">
        <v>0</v>
      </c>
      <c r="O238" s="32">
        <v>0</v>
      </c>
    </row>
    <row r="239" spans="1:15">
      <c r="A239" s="31" t="s">
        <v>3733</v>
      </c>
      <c r="B239" s="31" t="s">
        <v>3678</v>
      </c>
      <c r="C239" s="31" t="s">
        <v>1734</v>
      </c>
      <c r="D239" s="31" t="s">
        <v>380</v>
      </c>
      <c r="E239" s="31" t="s">
        <v>3734</v>
      </c>
      <c r="F239" s="31">
        <v>8</v>
      </c>
      <c r="G239" s="31">
        <v>74</v>
      </c>
      <c r="H239" s="32">
        <v>0.1081</v>
      </c>
      <c r="I239" s="31" t="s">
        <v>1736</v>
      </c>
      <c r="J239" s="31">
        <v>0.65</v>
      </c>
      <c r="K239" s="31">
        <v>5.17</v>
      </c>
      <c r="L239" s="31">
        <v>0</v>
      </c>
      <c r="M239" s="31">
        <v>0</v>
      </c>
      <c r="N239" s="31">
        <v>0</v>
      </c>
      <c r="O239" s="32">
        <v>0</v>
      </c>
    </row>
    <row r="240" spans="1:15">
      <c r="A240" s="31" t="s">
        <v>3733</v>
      </c>
      <c r="B240" s="31" t="s">
        <v>3678</v>
      </c>
      <c r="C240" s="31" t="s">
        <v>1734</v>
      </c>
      <c r="D240" s="31" t="s">
        <v>1764</v>
      </c>
      <c r="E240" s="31" t="s">
        <v>3734</v>
      </c>
      <c r="F240" s="31">
        <v>0</v>
      </c>
      <c r="G240" s="31">
        <v>2</v>
      </c>
      <c r="H240" s="32">
        <v>0</v>
      </c>
      <c r="I240" s="31" t="s">
        <v>1736</v>
      </c>
      <c r="J240" s="31">
        <v>0</v>
      </c>
      <c r="K240" s="31">
        <v>0</v>
      </c>
      <c r="L240" s="31">
        <v>0</v>
      </c>
      <c r="M240" s="31">
        <v>0</v>
      </c>
      <c r="N240" s="31">
        <v>0</v>
      </c>
      <c r="O240" s="32">
        <v>0</v>
      </c>
    </row>
    <row r="241" spans="1:15">
      <c r="A241" s="31" t="s">
        <v>3733</v>
      </c>
      <c r="B241" s="31" t="s">
        <v>3678</v>
      </c>
      <c r="C241" s="31" t="s">
        <v>1734</v>
      </c>
      <c r="D241" s="31" t="s">
        <v>1760</v>
      </c>
      <c r="E241" s="31" t="s">
        <v>3734</v>
      </c>
      <c r="F241" s="31">
        <v>3</v>
      </c>
      <c r="G241" s="31">
        <v>14</v>
      </c>
      <c r="H241" s="32">
        <v>0.21429999999999999</v>
      </c>
      <c r="I241" s="31" t="s">
        <v>1736</v>
      </c>
      <c r="J241" s="31">
        <v>0.5</v>
      </c>
      <c r="K241" s="31">
        <v>1.5</v>
      </c>
      <c r="L241" s="31">
        <v>0</v>
      </c>
      <c r="M241" s="31">
        <v>0</v>
      </c>
      <c r="N241" s="31">
        <v>0</v>
      </c>
      <c r="O241" s="32">
        <v>0</v>
      </c>
    </row>
    <row r="242" spans="1:15">
      <c r="A242" s="31" t="s">
        <v>3733</v>
      </c>
      <c r="B242" s="31" t="s">
        <v>3678</v>
      </c>
      <c r="C242" s="31" t="s">
        <v>1734</v>
      </c>
      <c r="D242" s="31" t="s">
        <v>3695</v>
      </c>
      <c r="E242" s="31" t="s">
        <v>3734</v>
      </c>
      <c r="F242" s="31">
        <v>0</v>
      </c>
      <c r="G242" s="31">
        <v>1</v>
      </c>
      <c r="H242" s="32">
        <v>0</v>
      </c>
      <c r="I242" s="31" t="s">
        <v>1736</v>
      </c>
      <c r="J242" s="31">
        <v>0</v>
      </c>
      <c r="K242" s="31">
        <v>0</v>
      </c>
      <c r="L242" s="31">
        <v>0</v>
      </c>
      <c r="M242" s="31">
        <v>0</v>
      </c>
      <c r="N242" s="31">
        <v>0</v>
      </c>
      <c r="O242" s="32">
        <v>0</v>
      </c>
    </row>
    <row r="243" spans="1:15">
      <c r="A243" s="31" t="s">
        <v>3733</v>
      </c>
      <c r="B243" s="31" t="s">
        <v>3678</v>
      </c>
      <c r="C243" s="31" t="s">
        <v>1734</v>
      </c>
      <c r="D243" s="31" t="s">
        <v>350</v>
      </c>
      <c r="E243" s="31" t="s">
        <v>3734</v>
      </c>
      <c r="F243" s="31">
        <v>0</v>
      </c>
      <c r="G243" s="31">
        <v>2</v>
      </c>
      <c r="H243" s="32">
        <v>0</v>
      </c>
      <c r="I243" s="31" t="s">
        <v>1736</v>
      </c>
      <c r="J243" s="31">
        <v>0</v>
      </c>
      <c r="K243" s="31">
        <v>0</v>
      </c>
      <c r="L243" s="31">
        <v>0</v>
      </c>
      <c r="M243" s="31">
        <v>0</v>
      </c>
      <c r="N243" s="31">
        <v>0</v>
      </c>
      <c r="O243" s="32">
        <v>0</v>
      </c>
    </row>
    <row r="244" spans="1:15">
      <c r="A244" s="31" t="s">
        <v>3733</v>
      </c>
      <c r="B244" s="31" t="s">
        <v>3678</v>
      </c>
      <c r="C244" s="31" t="s">
        <v>1734</v>
      </c>
      <c r="D244" s="31" t="s">
        <v>3736</v>
      </c>
      <c r="E244" s="31" t="s">
        <v>3734</v>
      </c>
      <c r="F244" s="31">
        <v>0</v>
      </c>
      <c r="G244" s="31">
        <v>12</v>
      </c>
      <c r="H244" s="32">
        <v>0</v>
      </c>
      <c r="I244" s="31" t="s">
        <v>1736</v>
      </c>
      <c r="J244" s="31">
        <v>0</v>
      </c>
      <c r="K244" s="31">
        <v>0</v>
      </c>
      <c r="L244" s="31">
        <v>0</v>
      </c>
      <c r="M244" s="31">
        <v>0</v>
      </c>
      <c r="N244" s="31">
        <v>0</v>
      </c>
      <c r="O244" s="32">
        <v>0</v>
      </c>
    </row>
    <row r="245" spans="1:15">
      <c r="A245" s="31" t="s">
        <v>3733</v>
      </c>
      <c r="B245" s="31" t="s">
        <v>3678</v>
      </c>
      <c r="C245" s="31" t="s">
        <v>1734</v>
      </c>
      <c r="D245" s="31" t="s">
        <v>445</v>
      </c>
      <c r="E245" s="31" t="s">
        <v>3734</v>
      </c>
      <c r="F245" s="31">
        <v>0</v>
      </c>
      <c r="G245" s="31">
        <v>6</v>
      </c>
      <c r="H245" s="32">
        <v>0</v>
      </c>
      <c r="I245" s="31" t="s">
        <v>1736</v>
      </c>
      <c r="J245" s="31">
        <v>0</v>
      </c>
      <c r="K245" s="31">
        <v>0</v>
      </c>
      <c r="L245" s="31">
        <v>0</v>
      </c>
      <c r="M245" s="31">
        <v>0</v>
      </c>
      <c r="N245" s="31">
        <v>0</v>
      </c>
      <c r="O245" s="32">
        <v>0</v>
      </c>
    </row>
    <row r="246" spans="1:15">
      <c r="A246" s="31" t="s">
        <v>3733</v>
      </c>
      <c r="B246" s="31" t="s">
        <v>3678</v>
      </c>
      <c r="C246" s="31" t="s">
        <v>1734</v>
      </c>
      <c r="D246" s="31" t="s">
        <v>32</v>
      </c>
      <c r="E246" s="31" t="s">
        <v>3734</v>
      </c>
      <c r="F246" s="31">
        <v>5</v>
      </c>
      <c r="G246" s="31">
        <v>54</v>
      </c>
      <c r="H246" s="32">
        <v>9.2600000000000002E-2</v>
      </c>
      <c r="I246" s="31" t="s">
        <v>1736</v>
      </c>
      <c r="J246" s="31">
        <v>0.86</v>
      </c>
      <c r="K246" s="31">
        <v>4.28</v>
      </c>
      <c r="L246" s="31">
        <v>0</v>
      </c>
      <c r="M246" s="31">
        <v>0</v>
      </c>
      <c r="N246" s="31">
        <v>0</v>
      </c>
      <c r="O246" s="32">
        <v>0</v>
      </c>
    </row>
    <row r="247" spans="1:15">
      <c r="A247" s="31" t="s">
        <v>3733</v>
      </c>
      <c r="B247" s="31" t="s">
        <v>3678</v>
      </c>
      <c r="C247" s="31" t="s">
        <v>1734</v>
      </c>
      <c r="D247" s="31" t="s">
        <v>776</v>
      </c>
      <c r="E247" s="31" t="s">
        <v>3734</v>
      </c>
      <c r="F247" s="31">
        <v>1</v>
      </c>
      <c r="G247" s="31">
        <v>11</v>
      </c>
      <c r="H247" s="32">
        <v>9.0899999999999995E-2</v>
      </c>
      <c r="I247" s="31" t="s">
        <v>1736</v>
      </c>
      <c r="J247" s="31">
        <v>0.67</v>
      </c>
      <c r="K247" s="31">
        <v>0.67</v>
      </c>
      <c r="L247" s="31">
        <v>0</v>
      </c>
      <c r="M247" s="31">
        <v>0</v>
      </c>
      <c r="N247" s="31">
        <v>0</v>
      </c>
      <c r="O247" s="32">
        <v>0</v>
      </c>
    </row>
    <row r="248" spans="1:15">
      <c r="A248" s="31" t="s">
        <v>3733</v>
      </c>
      <c r="B248" s="31" t="s">
        <v>3678</v>
      </c>
      <c r="C248" s="31" t="s">
        <v>1734</v>
      </c>
      <c r="D248" s="31" t="s">
        <v>3697</v>
      </c>
      <c r="E248" s="31" t="s">
        <v>3734</v>
      </c>
      <c r="F248" s="31">
        <v>1</v>
      </c>
      <c r="G248" s="31">
        <v>2</v>
      </c>
      <c r="H248" s="32">
        <v>0.5</v>
      </c>
      <c r="I248" s="31" t="s">
        <v>1736</v>
      </c>
      <c r="J248" s="31">
        <v>0.28000000000000003</v>
      </c>
      <c r="K248" s="31">
        <v>0.28000000000000003</v>
      </c>
      <c r="L248" s="31">
        <v>0</v>
      </c>
      <c r="M248" s="31">
        <v>0</v>
      </c>
      <c r="N248" s="31">
        <v>0</v>
      </c>
      <c r="O248" s="32">
        <v>0</v>
      </c>
    </row>
    <row r="249" spans="1:15">
      <c r="A249" s="31" t="s">
        <v>3733</v>
      </c>
      <c r="B249" s="31" t="s">
        <v>3678</v>
      </c>
      <c r="C249" s="31" t="s">
        <v>1734</v>
      </c>
      <c r="D249" s="31" t="s">
        <v>3699</v>
      </c>
      <c r="E249" s="31" t="s">
        <v>3734</v>
      </c>
      <c r="F249" s="31">
        <v>0</v>
      </c>
      <c r="G249" s="31">
        <v>1</v>
      </c>
      <c r="H249" s="32">
        <v>0</v>
      </c>
      <c r="I249" s="31" t="s">
        <v>1736</v>
      </c>
      <c r="J249" s="31">
        <v>0</v>
      </c>
      <c r="K249" s="31">
        <v>0</v>
      </c>
      <c r="L249" s="31">
        <v>0</v>
      </c>
      <c r="M249" s="31">
        <v>0</v>
      </c>
      <c r="N249" s="31">
        <v>0</v>
      </c>
      <c r="O249" s="32">
        <v>0</v>
      </c>
    </row>
    <row r="250" spans="1:15">
      <c r="A250" s="31" t="s">
        <v>3733</v>
      </c>
      <c r="B250" s="31" t="s">
        <v>3678</v>
      </c>
      <c r="C250" s="31" t="s">
        <v>1734</v>
      </c>
      <c r="D250" s="31" t="s">
        <v>3700</v>
      </c>
      <c r="E250" s="31" t="s">
        <v>3734</v>
      </c>
      <c r="F250" s="31">
        <v>12</v>
      </c>
      <c r="G250" s="31">
        <v>279</v>
      </c>
      <c r="H250" s="32">
        <v>4.2999999999999997E-2</v>
      </c>
      <c r="I250" s="31" t="s">
        <v>1736</v>
      </c>
      <c r="J250" s="31">
        <v>0.64</v>
      </c>
      <c r="K250" s="31">
        <v>7.63</v>
      </c>
      <c r="L250" s="31">
        <v>0</v>
      </c>
      <c r="M250" s="31">
        <v>0</v>
      </c>
      <c r="N250" s="31">
        <v>0</v>
      </c>
      <c r="O250" s="32">
        <v>0</v>
      </c>
    </row>
    <row r="251" spans="1:15">
      <c r="A251" s="31" t="s">
        <v>3733</v>
      </c>
      <c r="B251" s="31" t="s">
        <v>3678</v>
      </c>
      <c r="C251" s="31" t="s">
        <v>1734</v>
      </c>
      <c r="D251" s="31" t="s">
        <v>64</v>
      </c>
      <c r="E251" s="31" t="s">
        <v>3734</v>
      </c>
      <c r="F251" s="31">
        <v>9</v>
      </c>
      <c r="G251" s="31">
        <v>83</v>
      </c>
      <c r="H251" s="32">
        <v>0.1084</v>
      </c>
      <c r="I251" s="31" t="s">
        <v>1736</v>
      </c>
      <c r="J251" s="31">
        <v>0.61</v>
      </c>
      <c r="K251" s="31">
        <v>5.52</v>
      </c>
      <c r="L251" s="31">
        <v>4</v>
      </c>
      <c r="M251" s="31">
        <v>0</v>
      </c>
      <c r="N251" s="31">
        <v>1.38</v>
      </c>
      <c r="O251" s="32">
        <v>0.44440000000000002</v>
      </c>
    </row>
    <row r="252" spans="1:15">
      <c r="A252" s="31" t="s">
        <v>3733</v>
      </c>
      <c r="B252" s="31" t="s">
        <v>3678</v>
      </c>
      <c r="C252" s="31" t="s">
        <v>1734</v>
      </c>
      <c r="D252" s="31" t="s">
        <v>1470</v>
      </c>
      <c r="E252" s="31" t="s">
        <v>3734</v>
      </c>
      <c r="F252" s="31">
        <v>22</v>
      </c>
      <c r="G252" s="31">
        <v>140</v>
      </c>
      <c r="H252" s="32">
        <v>0.15709999999999999</v>
      </c>
      <c r="I252" s="31" t="s">
        <v>1736</v>
      </c>
      <c r="J252" s="31">
        <v>0.34</v>
      </c>
      <c r="K252" s="31">
        <v>7.41</v>
      </c>
      <c r="L252" s="31">
        <v>2</v>
      </c>
      <c r="M252" s="31">
        <v>0</v>
      </c>
      <c r="N252" s="31">
        <v>3.7</v>
      </c>
      <c r="O252" s="32">
        <v>9.0899999999999995E-2</v>
      </c>
    </row>
    <row r="253" spans="1:15">
      <c r="A253" s="31" t="s">
        <v>3733</v>
      </c>
      <c r="B253" s="31" t="s">
        <v>3678</v>
      </c>
      <c r="C253" s="31" t="s">
        <v>1734</v>
      </c>
      <c r="D253" s="31" t="s">
        <v>1423</v>
      </c>
      <c r="E253" s="31" t="s">
        <v>3734</v>
      </c>
      <c r="F253" s="31">
        <v>124</v>
      </c>
      <c r="G253" s="31">
        <v>1210</v>
      </c>
      <c r="H253" s="32">
        <v>0.10249999999999999</v>
      </c>
      <c r="I253" s="31" t="s">
        <v>1736</v>
      </c>
      <c r="J253" s="31">
        <v>0.36</v>
      </c>
      <c r="K253" s="31">
        <v>44.67</v>
      </c>
      <c r="L253" s="31">
        <v>1</v>
      </c>
      <c r="M253" s="31">
        <v>0</v>
      </c>
      <c r="N253" s="31">
        <v>44.67</v>
      </c>
      <c r="O253" s="32">
        <v>8.0999999999999996E-3</v>
      </c>
    </row>
    <row r="254" spans="1:15">
      <c r="A254" s="31" t="s">
        <v>3733</v>
      </c>
      <c r="B254" s="31" t="s">
        <v>3678</v>
      </c>
      <c r="C254" s="31" t="s">
        <v>1734</v>
      </c>
      <c r="D254" s="31" t="s">
        <v>3704</v>
      </c>
      <c r="E254" s="31" t="s">
        <v>3734</v>
      </c>
      <c r="F254" s="31">
        <v>0</v>
      </c>
      <c r="G254" s="31">
        <v>1</v>
      </c>
      <c r="H254" s="32">
        <v>0</v>
      </c>
      <c r="I254" s="31" t="s">
        <v>1736</v>
      </c>
      <c r="J254" s="31">
        <v>0</v>
      </c>
      <c r="K254" s="31">
        <v>0</v>
      </c>
      <c r="L254" s="31">
        <v>0</v>
      </c>
      <c r="M254" s="31">
        <v>0</v>
      </c>
      <c r="N254" s="31">
        <v>0</v>
      </c>
      <c r="O254" s="32">
        <v>0</v>
      </c>
    </row>
    <row r="255" spans="1:15">
      <c r="A255" s="31" t="s">
        <v>3733</v>
      </c>
      <c r="B255" s="31" t="s">
        <v>3678</v>
      </c>
      <c r="C255" s="31" t="s">
        <v>1734</v>
      </c>
      <c r="D255" s="31" t="s">
        <v>51</v>
      </c>
      <c r="E255" s="31" t="s">
        <v>3734</v>
      </c>
      <c r="F255" s="31">
        <v>1</v>
      </c>
      <c r="G255" s="31">
        <v>2</v>
      </c>
      <c r="H255" s="32">
        <v>0.5</v>
      </c>
      <c r="I255" s="31" t="s">
        <v>1736</v>
      </c>
      <c r="J255" s="31">
        <v>0.34</v>
      </c>
      <c r="K255" s="31">
        <v>0.34</v>
      </c>
      <c r="L255" s="31">
        <v>1</v>
      </c>
      <c r="M255" s="31">
        <v>0</v>
      </c>
      <c r="N255" s="31">
        <v>0.34</v>
      </c>
      <c r="O255" s="32">
        <v>1</v>
      </c>
    </row>
    <row r="256" spans="1:15">
      <c r="A256" s="31" t="s">
        <v>3733</v>
      </c>
      <c r="B256" s="31" t="s">
        <v>3678</v>
      </c>
      <c r="C256" s="31" t="s">
        <v>1734</v>
      </c>
      <c r="D256" s="31" t="s">
        <v>453</v>
      </c>
      <c r="E256" s="31" t="s">
        <v>3734</v>
      </c>
      <c r="F256" s="31">
        <v>1</v>
      </c>
      <c r="G256" s="31">
        <v>4</v>
      </c>
      <c r="H256" s="32">
        <v>0.25</v>
      </c>
      <c r="I256" s="31" t="s">
        <v>1736</v>
      </c>
      <c r="J256" s="31">
        <v>0.11</v>
      </c>
      <c r="K256" s="31">
        <v>0.11</v>
      </c>
      <c r="L256" s="31">
        <v>0</v>
      </c>
      <c r="M256" s="31">
        <v>0</v>
      </c>
      <c r="N256" s="31">
        <v>0</v>
      </c>
      <c r="O256" s="32">
        <v>0</v>
      </c>
    </row>
    <row r="257" spans="1:15">
      <c r="A257" s="31" t="s">
        <v>3733</v>
      </c>
      <c r="B257" s="31" t="s">
        <v>3678</v>
      </c>
      <c r="C257" s="31" t="s">
        <v>1734</v>
      </c>
      <c r="D257" s="31" t="s">
        <v>720</v>
      </c>
      <c r="E257" s="31" t="s">
        <v>3734</v>
      </c>
      <c r="F257" s="31">
        <v>4</v>
      </c>
      <c r="G257" s="31">
        <v>38</v>
      </c>
      <c r="H257" s="32">
        <v>0.1053</v>
      </c>
      <c r="I257" s="31" t="s">
        <v>1736</v>
      </c>
      <c r="J257" s="31">
        <v>0.46</v>
      </c>
      <c r="K257" s="31">
        <v>1.83</v>
      </c>
      <c r="L257" s="31">
        <v>2</v>
      </c>
      <c r="M257" s="31">
        <v>0</v>
      </c>
      <c r="N257" s="31">
        <v>0.92</v>
      </c>
      <c r="O257" s="32">
        <v>0.5</v>
      </c>
    </row>
    <row r="258" spans="1:15">
      <c r="A258" s="31" t="s">
        <v>3733</v>
      </c>
      <c r="B258" s="31" t="s">
        <v>3678</v>
      </c>
      <c r="C258" s="31" t="s">
        <v>1734</v>
      </c>
      <c r="D258" s="31" t="s">
        <v>3705</v>
      </c>
      <c r="E258" s="31" t="s">
        <v>3734</v>
      </c>
      <c r="F258" s="31">
        <v>1</v>
      </c>
      <c r="G258" s="31">
        <v>6</v>
      </c>
      <c r="H258" s="32">
        <v>0.16669999999999999</v>
      </c>
      <c r="I258" s="31" t="s">
        <v>1736</v>
      </c>
      <c r="J258" s="31">
        <v>0.51</v>
      </c>
      <c r="K258" s="31">
        <v>0.51</v>
      </c>
      <c r="L258" s="31">
        <v>0</v>
      </c>
      <c r="M258" s="31">
        <v>0</v>
      </c>
      <c r="N258" s="31">
        <v>0</v>
      </c>
      <c r="O258" s="32">
        <v>0</v>
      </c>
    </row>
    <row r="259" spans="1:15">
      <c r="A259" s="31" t="s">
        <v>3733</v>
      </c>
      <c r="B259" s="31" t="s">
        <v>3678</v>
      </c>
      <c r="C259" s="31" t="s">
        <v>1734</v>
      </c>
      <c r="D259" s="31" t="s">
        <v>1749</v>
      </c>
      <c r="E259" s="31" t="s">
        <v>3734</v>
      </c>
      <c r="F259" s="31">
        <v>7</v>
      </c>
      <c r="G259" s="31">
        <v>42</v>
      </c>
      <c r="H259" s="32">
        <v>0.16669999999999999</v>
      </c>
      <c r="I259" s="31" t="s">
        <v>1736</v>
      </c>
      <c r="J259" s="31">
        <v>0.54</v>
      </c>
      <c r="K259" s="31">
        <v>3.78</v>
      </c>
      <c r="L259" s="31">
        <v>0</v>
      </c>
      <c r="M259" s="31">
        <v>0</v>
      </c>
      <c r="N259" s="31">
        <v>0</v>
      </c>
      <c r="O259" s="32">
        <v>0</v>
      </c>
    </row>
    <row r="260" spans="1:15">
      <c r="A260" s="31" t="s">
        <v>3733</v>
      </c>
      <c r="B260" s="31" t="s">
        <v>3678</v>
      </c>
      <c r="C260" s="31" t="s">
        <v>1734</v>
      </c>
      <c r="D260" s="31" t="s">
        <v>3296</v>
      </c>
      <c r="E260" s="31" t="s">
        <v>3734</v>
      </c>
      <c r="F260" s="31">
        <v>0</v>
      </c>
      <c r="G260" s="31">
        <v>0</v>
      </c>
      <c r="H260" s="32">
        <v>0</v>
      </c>
      <c r="I260" s="31" t="s">
        <v>1736</v>
      </c>
      <c r="J260" s="31">
        <v>0</v>
      </c>
      <c r="K260" s="31">
        <v>0</v>
      </c>
      <c r="L260" s="31">
        <v>0</v>
      </c>
      <c r="M260" s="31">
        <v>0</v>
      </c>
      <c r="N260" s="31">
        <v>0</v>
      </c>
      <c r="O260" s="32">
        <v>0</v>
      </c>
    </row>
    <row r="261" spans="1:15">
      <c r="A261" s="31" t="s">
        <v>3733</v>
      </c>
      <c r="B261" s="31" t="s">
        <v>3678</v>
      </c>
      <c r="C261" s="31" t="s">
        <v>1734</v>
      </c>
      <c r="D261" s="31" t="s">
        <v>3707</v>
      </c>
      <c r="E261" s="31" t="s">
        <v>3734</v>
      </c>
      <c r="F261" s="31">
        <v>0</v>
      </c>
      <c r="G261" s="31">
        <v>16</v>
      </c>
      <c r="H261" s="32">
        <v>0</v>
      </c>
      <c r="I261" s="31" t="s">
        <v>1736</v>
      </c>
      <c r="J261" s="31">
        <v>0</v>
      </c>
      <c r="K261" s="31">
        <v>0</v>
      </c>
      <c r="L261" s="31">
        <v>0</v>
      </c>
      <c r="M261" s="31">
        <v>0</v>
      </c>
      <c r="N261" s="31">
        <v>0</v>
      </c>
      <c r="O261" s="32">
        <v>0</v>
      </c>
    </row>
    <row r="262" spans="1:15">
      <c r="A262" s="31" t="s">
        <v>3733</v>
      </c>
      <c r="B262" s="31" t="s">
        <v>3678</v>
      </c>
      <c r="C262" s="31" t="s">
        <v>1734</v>
      </c>
      <c r="D262" s="31" t="s">
        <v>3708</v>
      </c>
      <c r="E262" s="31" t="s">
        <v>3734</v>
      </c>
      <c r="F262" s="31">
        <v>0</v>
      </c>
      <c r="G262" s="31">
        <v>2</v>
      </c>
      <c r="H262" s="32">
        <v>0</v>
      </c>
      <c r="I262" s="31" t="s">
        <v>1736</v>
      </c>
      <c r="J262" s="31">
        <v>0</v>
      </c>
      <c r="K262" s="31">
        <v>0</v>
      </c>
      <c r="L262" s="31">
        <v>0</v>
      </c>
      <c r="M262" s="31">
        <v>0</v>
      </c>
      <c r="N262" s="31">
        <v>0</v>
      </c>
      <c r="O262" s="32">
        <v>0</v>
      </c>
    </row>
    <row r="263" spans="1:15">
      <c r="A263" s="31" t="s">
        <v>3733</v>
      </c>
      <c r="B263" s="31" t="s">
        <v>3678</v>
      </c>
      <c r="C263" s="31" t="s">
        <v>1734</v>
      </c>
      <c r="D263" s="31" t="s">
        <v>3379</v>
      </c>
      <c r="E263" s="31" t="s">
        <v>3734</v>
      </c>
      <c r="F263" s="31">
        <v>0</v>
      </c>
      <c r="G263" s="31">
        <v>2</v>
      </c>
      <c r="H263" s="32">
        <v>0</v>
      </c>
      <c r="I263" s="31" t="s">
        <v>1736</v>
      </c>
      <c r="J263" s="31">
        <v>0</v>
      </c>
      <c r="K263" s="31">
        <v>0</v>
      </c>
      <c r="L263" s="31">
        <v>0</v>
      </c>
      <c r="M263" s="31">
        <v>0</v>
      </c>
      <c r="N263" s="31">
        <v>0</v>
      </c>
      <c r="O263" s="32">
        <v>0</v>
      </c>
    </row>
    <row r="264" spans="1:15">
      <c r="A264" s="31" t="s">
        <v>3733</v>
      </c>
      <c r="B264" s="31" t="s">
        <v>3678</v>
      </c>
      <c r="C264" s="31" t="s">
        <v>1734</v>
      </c>
      <c r="D264" s="31" t="s">
        <v>910</v>
      </c>
      <c r="E264" s="31" t="s">
        <v>3734</v>
      </c>
      <c r="F264" s="31">
        <v>22</v>
      </c>
      <c r="G264" s="31">
        <v>176</v>
      </c>
      <c r="H264" s="32">
        <v>0.125</v>
      </c>
      <c r="I264" s="31" t="s">
        <v>1736</v>
      </c>
      <c r="J264" s="31">
        <v>0.41</v>
      </c>
      <c r="K264" s="31">
        <v>9.08</v>
      </c>
      <c r="L264" s="31">
        <v>3</v>
      </c>
      <c r="M264" s="31">
        <v>0</v>
      </c>
      <c r="N264" s="31">
        <v>3.03</v>
      </c>
      <c r="O264" s="32">
        <v>0.13639999999999999</v>
      </c>
    </row>
    <row r="265" spans="1:15">
      <c r="A265" s="31" t="s">
        <v>3733</v>
      </c>
      <c r="B265" s="31" t="s">
        <v>3678</v>
      </c>
      <c r="C265" s="31" t="s">
        <v>1734</v>
      </c>
      <c r="D265" s="31" t="s">
        <v>1761</v>
      </c>
      <c r="E265" s="31" t="s">
        <v>3734</v>
      </c>
      <c r="F265" s="31">
        <v>1</v>
      </c>
      <c r="G265" s="31">
        <v>2</v>
      </c>
      <c r="H265" s="32">
        <v>0.5</v>
      </c>
      <c r="I265" s="31" t="s">
        <v>1736</v>
      </c>
      <c r="J265" s="31">
        <v>0.78</v>
      </c>
      <c r="K265" s="31">
        <v>0.78</v>
      </c>
      <c r="L265" s="31">
        <v>0</v>
      </c>
      <c r="M265" s="31">
        <v>0</v>
      </c>
      <c r="N265" s="31">
        <v>0</v>
      </c>
      <c r="O265" s="32">
        <v>0</v>
      </c>
    </row>
    <row r="266" spans="1:15">
      <c r="A266" s="31" t="s">
        <v>3733</v>
      </c>
      <c r="B266" s="31" t="s">
        <v>3678</v>
      </c>
      <c r="C266" s="31" t="s">
        <v>1734</v>
      </c>
      <c r="D266" s="31" t="s">
        <v>1762</v>
      </c>
      <c r="E266" s="31" t="s">
        <v>3734</v>
      </c>
      <c r="F266" s="31">
        <v>1</v>
      </c>
      <c r="G266" s="31">
        <v>6</v>
      </c>
      <c r="H266" s="32">
        <v>0.16669999999999999</v>
      </c>
      <c r="I266" s="31" t="s">
        <v>1736</v>
      </c>
      <c r="J266" s="31">
        <v>0.31</v>
      </c>
      <c r="K266" s="31">
        <v>0.31</v>
      </c>
      <c r="L266" s="31">
        <v>0</v>
      </c>
      <c r="M266" s="31">
        <v>0</v>
      </c>
      <c r="N266" s="31">
        <v>0</v>
      </c>
      <c r="O266" s="32">
        <v>0</v>
      </c>
    </row>
    <row r="267" spans="1:15">
      <c r="A267" s="31" t="s">
        <v>3733</v>
      </c>
      <c r="B267" s="31" t="s">
        <v>3678</v>
      </c>
      <c r="C267" s="31" t="s">
        <v>1734</v>
      </c>
      <c r="D267" s="31" t="s">
        <v>24</v>
      </c>
      <c r="E267" s="31" t="s">
        <v>3734</v>
      </c>
      <c r="F267" s="31">
        <v>3</v>
      </c>
      <c r="G267" s="31">
        <v>17</v>
      </c>
      <c r="H267" s="32">
        <v>0.17649999999999999</v>
      </c>
      <c r="I267" s="31" t="s">
        <v>1736</v>
      </c>
      <c r="J267" s="31">
        <v>0.64</v>
      </c>
      <c r="K267" s="31">
        <v>1.91</v>
      </c>
      <c r="L267" s="31">
        <v>0</v>
      </c>
      <c r="M267" s="31">
        <v>0</v>
      </c>
      <c r="N267" s="31">
        <v>0</v>
      </c>
      <c r="O267" s="32">
        <v>0</v>
      </c>
    </row>
    <row r="268" spans="1:15">
      <c r="A268" s="31" t="s">
        <v>3733</v>
      </c>
      <c r="B268" s="31" t="s">
        <v>3678</v>
      </c>
      <c r="C268" s="31" t="s">
        <v>1734</v>
      </c>
      <c r="D268" s="31" t="s">
        <v>1769</v>
      </c>
      <c r="E268" s="31" t="s">
        <v>3734</v>
      </c>
      <c r="F268" s="31">
        <v>0</v>
      </c>
      <c r="G268" s="31">
        <v>15</v>
      </c>
      <c r="H268" s="32">
        <v>0</v>
      </c>
      <c r="I268" s="31" t="s">
        <v>1736</v>
      </c>
      <c r="J268" s="31">
        <v>0</v>
      </c>
      <c r="K268" s="31">
        <v>0</v>
      </c>
      <c r="L268" s="31">
        <v>0</v>
      </c>
      <c r="M268" s="31">
        <v>0</v>
      </c>
      <c r="N268" s="31">
        <v>0</v>
      </c>
      <c r="O268" s="32">
        <v>0</v>
      </c>
    </row>
    <row r="269" spans="1:15">
      <c r="A269" s="31" t="s">
        <v>3733</v>
      </c>
      <c r="B269" s="31" t="s">
        <v>3678</v>
      </c>
      <c r="C269" s="31" t="s">
        <v>1734</v>
      </c>
      <c r="D269" s="31" t="s">
        <v>1768</v>
      </c>
      <c r="E269" s="31" t="s">
        <v>3734</v>
      </c>
      <c r="F269" s="31">
        <v>1</v>
      </c>
      <c r="G269" s="31">
        <v>2</v>
      </c>
      <c r="H269" s="32">
        <v>0.5</v>
      </c>
      <c r="I269" s="31" t="s">
        <v>1736</v>
      </c>
      <c r="J269" s="31">
        <v>0.27</v>
      </c>
      <c r="K269" s="31">
        <v>0.27</v>
      </c>
      <c r="L269" s="31">
        <v>0</v>
      </c>
      <c r="M269" s="31">
        <v>0</v>
      </c>
      <c r="N269" s="31">
        <v>0</v>
      </c>
      <c r="O269" s="32">
        <v>0</v>
      </c>
    </row>
    <row r="270" spans="1:15">
      <c r="A270" s="31" t="s">
        <v>3733</v>
      </c>
      <c r="B270" s="31" t="s">
        <v>3678</v>
      </c>
      <c r="C270" s="31" t="s">
        <v>1734</v>
      </c>
      <c r="D270" s="31" t="s">
        <v>695</v>
      </c>
      <c r="E270" s="31" t="s">
        <v>3734</v>
      </c>
      <c r="F270" s="31">
        <v>0</v>
      </c>
      <c r="G270" s="31">
        <v>1</v>
      </c>
      <c r="H270" s="32">
        <v>0</v>
      </c>
      <c r="I270" s="31" t="s">
        <v>1736</v>
      </c>
      <c r="J270" s="31">
        <v>0</v>
      </c>
      <c r="K270" s="31">
        <v>0</v>
      </c>
      <c r="L270" s="31">
        <v>0</v>
      </c>
      <c r="M270" s="31">
        <v>0</v>
      </c>
      <c r="N270" s="31">
        <v>0</v>
      </c>
      <c r="O270" s="32">
        <v>0</v>
      </c>
    </row>
    <row r="271" spans="1:15">
      <c r="A271" s="31" t="s">
        <v>3733</v>
      </c>
      <c r="B271" s="31" t="s">
        <v>3678</v>
      </c>
      <c r="C271" s="31" t="s">
        <v>1734</v>
      </c>
      <c r="D271" s="31" t="s">
        <v>648</v>
      </c>
      <c r="E271" s="31" t="s">
        <v>3734</v>
      </c>
      <c r="F271" s="31">
        <v>2</v>
      </c>
      <c r="G271" s="31">
        <v>18</v>
      </c>
      <c r="H271" s="32">
        <v>0.1111</v>
      </c>
      <c r="I271" s="31" t="s">
        <v>1736</v>
      </c>
      <c r="J271" s="31">
        <v>0.27</v>
      </c>
      <c r="K271" s="31">
        <v>0.53</v>
      </c>
      <c r="L271" s="31">
        <v>1</v>
      </c>
      <c r="M271" s="31">
        <v>0</v>
      </c>
      <c r="N271" s="31">
        <v>0.53</v>
      </c>
      <c r="O271" s="32">
        <v>0.5</v>
      </c>
    </row>
    <row r="272" spans="1:15">
      <c r="A272" s="31" t="s">
        <v>3733</v>
      </c>
      <c r="B272" s="31" t="s">
        <v>3678</v>
      </c>
      <c r="C272" s="31" t="s">
        <v>1734</v>
      </c>
      <c r="D272" s="31" t="s">
        <v>428</v>
      </c>
      <c r="E272" s="31" t="s">
        <v>3734</v>
      </c>
      <c r="F272" s="31">
        <v>1</v>
      </c>
      <c r="G272" s="31">
        <v>5</v>
      </c>
      <c r="H272" s="32">
        <v>0.2</v>
      </c>
      <c r="I272" s="31" t="s">
        <v>1736</v>
      </c>
      <c r="J272" s="31">
        <v>0.5</v>
      </c>
      <c r="K272" s="31">
        <v>0.5</v>
      </c>
      <c r="L272" s="31">
        <v>0</v>
      </c>
      <c r="M272" s="31">
        <v>0</v>
      </c>
      <c r="N272" s="31">
        <v>0</v>
      </c>
      <c r="O272" s="32">
        <v>0</v>
      </c>
    </row>
    <row r="273" spans="1:15">
      <c r="A273" s="31" t="s">
        <v>3733</v>
      </c>
      <c r="B273" s="31" t="s">
        <v>3678</v>
      </c>
      <c r="C273" s="31" t="s">
        <v>1734</v>
      </c>
      <c r="D273" s="31" t="s">
        <v>245</v>
      </c>
      <c r="E273" s="31" t="s">
        <v>3734</v>
      </c>
      <c r="F273" s="31">
        <v>1</v>
      </c>
      <c r="G273" s="31">
        <v>16</v>
      </c>
      <c r="H273" s="32">
        <v>6.25E-2</v>
      </c>
      <c r="I273" s="31" t="s">
        <v>1736</v>
      </c>
      <c r="J273" s="31">
        <v>0.62</v>
      </c>
      <c r="K273" s="31">
        <v>0.62</v>
      </c>
      <c r="L273" s="31">
        <v>0</v>
      </c>
      <c r="M273" s="31">
        <v>0</v>
      </c>
      <c r="N273" s="31">
        <v>0</v>
      </c>
      <c r="O273" s="32">
        <v>0</v>
      </c>
    </row>
    <row r="274" spans="1:15">
      <c r="A274" s="31" t="s">
        <v>3733</v>
      </c>
      <c r="B274" s="31" t="s">
        <v>3678</v>
      </c>
      <c r="C274" s="31" t="s">
        <v>1734</v>
      </c>
      <c r="D274" s="31" t="s">
        <v>1320</v>
      </c>
      <c r="E274" s="31" t="s">
        <v>3734</v>
      </c>
      <c r="F274" s="31">
        <v>12</v>
      </c>
      <c r="G274" s="31">
        <v>109</v>
      </c>
      <c r="H274" s="32">
        <v>0.1101</v>
      </c>
      <c r="I274" s="31" t="s">
        <v>1736</v>
      </c>
      <c r="J274" s="31">
        <v>0.88</v>
      </c>
      <c r="K274" s="31">
        <v>10.59</v>
      </c>
      <c r="L274" s="31">
        <v>1</v>
      </c>
      <c r="M274" s="31">
        <v>0</v>
      </c>
      <c r="N274" s="31">
        <v>10.59</v>
      </c>
      <c r="O274" s="32">
        <v>8.3299999999999999E-2</v>
      </c>
    </row>
    <row r="275" spans="1:15">
      <c r="A275" s="31" t="s">
        <v>3733</v>
      </c>
      <c r="B275" s="31" t="s">
        <v>3678</v>
      </c>
      <c r="C275" s="31" t="s">
        <v>1734</v>
      </c>
      <c r="D275" s="31" t="s">
        <v>3423</v>
      </c>
      <c r="E275" s="31" t="s">
        <v>3734</v>
      </c>
      <c r="F275" s="31">
        <v>2</v>
      </c>
      <c r="G275" s="31">
        <v>9</v>
      </c>
      <c r="H275" s="32">
        <v>0.22220000000000001</v>
      </c>
      <c r="I275" s="31" t="s">
        <v>1736</v>
      </c>
      <c r="J275" s="31">
        <v>0.28000000000000003</v>
      </c>
      <c r="K275" s="31">
        <v>0.55000000000000004</v>
      </c>
      <c r="L275" s="31">
        <v>0</v>
      </c>
      <c r="M275" s="31">
        <v>0</v>
      </c>
      <c r="N275" s="31">
        <v>0</v>
      </c>
      <c r="O275" s="32">
        <v>0</v>
      </c>
    </row>
    <row r="276" spans="1:15">
      <c r="A276" s="31" t="s">
        <v>3733</v>
      </c>
      <c r="B276" s="31" t="s">
        <v>3678</v>
      </c>
      <c r="C276" s="31" t="s">
        <v>1734</v>
      </c>
      <c r="D276" s="31" t="s">
        <v>3718</v>
      </c>
      <c r="E276" s="31" t="s">
        <v>3734</v>
      </c>
      <c r="F276" s="31">
        <v>1</v>
      </c>
      <c r="G276" s="31">
        <v>44</v>
      </c>
      <c r="H276" s="32">
        <v>2.2700000000000001E-2</v>
      </c>
      <c r="I276" s="31" t="s">
        <v>1736</v>
      </c>
      <c r="J276" s="31">
        <v>0.16</v>
      </c>
      <c r="K276" s="31">
        <v>0.16</v>
      </c>
      <c r="L276" s="31">
        <v>0</v>
      </c>
      <c r="M276" s="31">
        <v>0</v>
      </c>
      <c r="N276" s="31">
        <v>0</v>
      </c>
      <c r="O276" s="32">
        <v>0</v>
      </c>
    </row>
    <row r="277" spans="1:15">
      <c r="A277" s="31" t="s">
        <v>3733</v>
      </c>
      <c r="B277" s="31" t="s">
        <v>3678</v>
      </c>
      <c r="C277" s="31" t="s">
        <v>1734</v>
      </c>
      <c r="D277" s="31" t="s">
        <v>3737</v>
      </c>
      <c r="E277" s="31" t="s">
        <v>3734</v>
      </c>
      <c r="F277" s="31">
        <v>0</v>
      </c>
      <c r="G277" s="31">
        <v>8</v>
      </c>
      <c r="H277" s="32">
        <v>0</v>
      </c>
      <c r="I277" s="31" t="s">
        <v>1736</v>
      </c>
      <c r="J277" s="31">
        <v>0</v>
      </c>
      <c r="K277" s="31">
        <v>0</v>
      </c>
      <c r="L277" s="31">
        <v>0</v>
      </c>
      <c r="M277" s="31">
        <v>0</v>
      </c>
      <c r="N277" s="31">
        <v>0</v>
      </c>
      <c r="O277" s="32">
        <v>0</v>
      </c>
    </row>
    <row r="278" spans="1:15">
      <c r="A278" s="31" t="s">
        <v>3733</v>
      </c>
      <c r="B278" s="31" t="s">
        <v>3678</v>
      </c>
      <c r="C278" s="31" t="s">
        <v>1734</v>
      </c>
      <c r="D278" s="31" t="s">
        <v>499</v>
      </c>
      <c r="E278" s="31" t="s">
        <v>3734</v>
      </c>
      <c r="F278" s="31">
        <v>50</v>
      </c>
      <c r="G278" s="31">
        <v>616</v>
      </c>
      <c r="H278" s="32">
        <v>8.1199999999999994E-2</v>
      </c>
      <c r="I278" s="31" t="s">
        <v>1736</v>
      </c>
      <c r="J278" s="31">
        <v>0.31</v>
      </c>
      <c r="K278" s="31">
        <v>15.51</v>
      </c>
      <c r="L278" s="31">
        <v>8</v>
      </c>
      <c r="M278" s="31">
        <v>0</v>
      </c>
      <c r="N278" s="31">
        <v>1.94</v>
      </c>
      <c r="O278" s="32">
        <v>0.16</v>
      </c>
    </row>
    <row r="279" spans="1:15">
      <c r="A279" s="31" t="s">
        <v>3733</v>
      </c>
      <c r="B279" s="31" t="s">
        <v>3678</v>
      </c>
      <c r="C279" s="31" t="s">
        <v>1734</v>
      </c>
      <c r="D279" s="31" t="s">
        <v>358</v>
      </c>
      <c r="E279" s="31" t="s">
        <v>3734</v>
      </c>
      <c r="F279" s="31">
        <v>0</v>
      </c>
      <c r="G279" s="31">
        <v>9</v>
      </c>
      <c r="H279" s="32">
        <v>0</v>
      </c>
      <c r="I279" s="31" t="s">
        <v>1736</v>
      </c>
      <c r="J279" s="31">
        <v>0</v>
      </c>
      <c r="K279" s="31">
        <v>0</v>
      </c>
      <c r="L279" s="31">
        <v>0</v>
      </c>
      <c r="M279" s="31">
        <v>0</v>
      </c>
      <c r="N279" s="31">
        <v>0</v>
      </c>
      <c r="O279" s="32">
        <v>0</v>
      </c>
    </row>
    <row r="280" spans="1:15">
      <c r="A280" s="31" t="s">
        <v>3733</v>
      </c>
      <c r="B280" s="31" t="s">
        <v>3678</v>
      </c>
      <c r="C280" s="31" t="s">
        <v>1734</v>
      </c>
      <c r="D280" s="31" t="s">
        <v>256</v>
      </c>
      <c r="E280" s="31" t="s">
        <v>3734</v>
      </c>
      <c r="F280" s="31">
        <v>1</v>
      </c>
      <c r="G280" s="31">
        <v>15</v>
      </c>
      <c r="H280" s="32">
        <v>6.6699999999999995E-2</v>
      </c>
      <c r="I280" s="31" t="s">
        <v>1736</v>
      </c>
      <c r="J280" s="31">
        <v>0.21</v>
      </c>
      <c r="K280" s="31">
        <v>0.21</v>
      </c>
      <c r="L280" s="31">
        <v>0</v>
      </c>
      <c r="M280" s="31">
        <v>0</v>
      </c>
      <c r="N280" s="31">
        <v>0</v>
      </c>
      <c r="O280" s="32">
        <v>0</v>
      </c>
    </row>
    <row r="281" spans="1:15">
      <c r="A281" s="31" t="s">
        <v>3733</v>
      </c>
      <c r="B281" s="31" t="s">
        <v>3678</v>
      </c>
      <c r="C281" s="31" t="s">
        <v>1734</v>
      </c>
      <c r="D281" s="31" t="s">
        <v>88</v>
      </c>
      <c r="E281" s="31" t="s">
        <v>3734</v>
      </c>
      <c r="F281" s="31">
        <v>1</v>
      </c>
      <c r="G281" s="31">
        <v>8</v>
      </c>
      <c r="H281" s="32">
        <v>0.125</v>
      </c>
      <c r="I281" s="31" t="s">
        <v>1736</v>
      </c>
      <c r="J281" s="31">
        <v>0.66</v>
      </c>
      <c r="K281" s="31">
        <v>0.66</v>
      </c>
      <c r="L281" s="31">
        <v>0</v>
      </c>
      <c r="M281" s="31">
        <v>0</v>
      </c>
      <c r="N281" s="31">
        <v>0</v>
      </c>
      <c r="O281" s="32">
        <v>0</v>
      </c>
    </row>
    <row r="282" spans="1:15">
      <c r="A282" s="31" t="s">
        <v>3733</v>
      </c>
      <c r="B282" s="31" t="s">
        <v>3678</v>
      </c>
      <c r="C282" s="31" t="s">
        <v>1734</v>
      </c>
      <c r="D282" s="31" t="s">
        <v>481</v>
      </c>
      <c r="E282" s="31" t="s">
        <v>3734</v>
      </c>
      <c r="F282" s="31">
        <v>13</v>
      </c>
      <c r="G282" s="31">
        <v>132</v>
      </c>
      <c r="H282" s="32">
        <v>9.8500000000000004E-2</v>
      </c>
      <c r="I282" s="31" t="s">
        <v>1736</v>
      </c>
      <c r="J282" s="31">
        <v>0.63</v>
      </c>
      <c r="K282" s="31">
        <v>8.2200000000000006</v>
      </c>
      <c r="L282" s="31">
        <v>2</v>
      </c>
      <c r="M282" s="31">
        <v>0</v>
      </c>
      <c r="N282" s="31">
        <v>4.1100000000000003</v>
      </c>
      <c r="O282" s="32">
        <v>0.15379999999999999</v>
      </c>
    </row>
    <row r="283" spans="1:15">
      <c r="A283" s="31" t="s">
        <v>3733</v>
      </c>
      <c r="B283" s="31" t="s">
        <v>3678</v>
      </c>
      <c r="C283" s="31" t="s">
        <v>1734</v>
      </c>
      <c r="D283" s="31" t="s">
        <v>3721</v>
      </c>
      <c r="E283" s="31" t="s">
        <v>3734</v>
      </c>
      <c r="F283" s="31">
        <v>0</v>
      </c>
      <c r="G283" s="31">
        <v>10</v>
      </c>
      <c r="H283" s="32">
        <v>0</v>
      </c>
      <c r="I283" s="31" t="s">
        <v>1736</v>
      </c>
      <c r="J283" s="31">
        <v>0</v>
      </c>
      <c r="K283" s="31">
        <v>0</v>
      </c>
      <c r="L283" s="31">
        <v>0</v>
      </c>
      <c r="M283" s="31">
        <v>0</v>
      </c>
      <c r="N283" s="31">
        <v>0</v>
      </c>
      <c r="O283" s="32">
        <v>0</v>
      </c>
    </row>
    <row r="284" spans="1:15">
      <c r="A284" s="31" t="s">
        <v>3733</v>
      </c>
      <c r="B284" s="31" t="s">
        <v>3678</v>
      </c>
      <c r="C284" s="31" t="s">
        <v>1734</v>
      </c>
      <c r="D284" s="31" t="s">
        <v>3738</v>
      </c>
      <c r="E284" s="31" t="s">
        <v>3734</v>
      </c>
      <c r="F284" s="31">
        <v>0</v>
      </c>
      <c r="G284" s="31">
        <v>2</v>
      </c>
      <c r="H284" s="32">
        <v>0</v>
      </c>
      <c r="I284" s="31" t="s">
        <v>1736</v>
      </c>
      <c r="J284" s="31">
        <v>0</v>
      </c>
      <c r="K284" s="31">
        <v>0</v>
      </c>
      <c r="L284" s="31">
        <v>0</v>
      </c>
      <c r="M284" s="31">
        <v>0</v>
      </c>
      <c r="N284" s="31">
        <v>0</v>
      </c>
      <c r="O284" s="32">
        <v>0</v>
      </c>
    </row>
    <row r="285" spans="1:15">
      <c r="A285" s="31" t="s">
        <v>1732</v>
      </c>
      <c r="B285" s="31" t="s">
        <v>1733</v>
      </c>
      <c r="C285" s="31" t="s">
        <v>1734</v>
      </c>
      <c r="D285" s="31" t="s">
        <v>88</v>
      </c>
      <c r="E285" s="31" t="s">
        <v>1740</v>
      </c>
      <c r="F285" s="31">
        <v>69</v>
      </c>
      <c r="G285" s="31">
        <v>692</v>
      </c>
      <c r="H285" s="32">
        <v>9.9699999999999997E-2</v>
      </c>
      <c r="I285" s="31" t="s">
        <v>1736</v>
      </c>
      <c r="J285" s="31">
        <v>1.57</v>
      </c>
      <c r="K285" s="31">
        <v>108.04</v>
      </c>
      <c r="L285" s="31">
        <v>7</v>
      </c>
      <c r="M285" s="31">
        <v>0</v>
      </c>
      <c r="N285" s="31">
        <v>15.43</v>
      </c>
      <c r="O285" s="32">
        <v>0.1014</v>
      </c>
    </row>
    <row r="286" spans="1:15">
      <c r="A286" s="31" t="s">
        <v>1732</v>
      </c>
      <c r="B286" s="31" t="s">
        <v>1733</v>
      </c>
      <c r="C286" s="31" t="s">
        <v>1734</v>
      </c>
      <c r="D286" s="31" t="s">
        <v>88</v>
      </c>
      <c r="E286" s="31" t="s">
        <v>1739</v>
      </c>
      <c r="F286" s="31">
        <v>123</v>
      </c>
      <c r="G286" s="31">
        <v>944</v>
      </c>
      <c r="H286" s="32">
        <v>0.1303</v>
      </c>
      <c r="I286" s="31" t="s">
        <v>1736</v>
      </c>
      <c r="J286" s="31">
        <v>2.0699999999999998</v>
      </c>
      <c r="K286" s="31">
        <v>254.7</v>
      </c>
      <c r="L286" s="31">
        <v>7</v>
      </c>
      <c r="M286" s="31">
        <v>0</v>
      </c>
      <c r="N286" s="31">
        <v>36.39</v>
      </c>
      <c r="O286" s="32">
        <v>5.6899999999999999E-2</v>
      </c>
    </row>
    <row r="287" spans="1:15">
      <c r="A287" s="31" t="s">
        <v>1732</v>
      </c>
      <c r="B287" s="31" t="s">
        <v>1733</v>
      </c>
      <c r="C287" s="31" t="s">
        <v>1734</v>
      </c>
      <c r="D287" s="31" t="s">
        <v>88</v>
      </c>
      <c r="E287" s="31" t="s">
        <v>1735</v>
      </c>
      <c r="F287" s="31">
        <v>347</v>
      </c>
      <c r="G287" s="31">
        <v>2552</v>
      </c>
      <c r="H287" s="32">
        <v>0.13600000000000001</v>
      </c>
      <c r="I287" s="31" t="s">
        <v>1736</v>
      </c>
      <c r="J287" s="31">
        <v>2.12</v>
      </c>
      <c r="K287" s="31">
        <v>734.85</v>
      </c>
      <c r="L287" s="31">
        <v>20.5</v>
      </c>
      <c r="M287" s="31">
        <v>0</v>
      </c>
      <c r="N287" s="31">
        <v>35.85</v>
      </c>
      <c r="O287" s="32">
        <v>5.91E-2</v>
      </c>
    </row>
    <row r="288" spans="1:15">
      <c r="A288" s="31" t="s">
        <v>1732</v>
      </c>
      <c r="B288" s="31" t="s">
        <v>1733</v>
      </c>
      <c r="C288" s="31" t="s">
        <v>1734</v>
      </c>
      <c r="D288" s="31" t="s">
        <v>88</v>
      </c>
      <c r="E288" s="31" t="s">
        <v>1741</v>
      </c>
      <c r="F288" s="31">
        <v>58</v>
      </c>
      <c r="G288" s="31">
        <v>398</v>
      </c>
      <c r="H288" s="32">
        <v>0.1457</v>
      </c>
      <c r="I288" s="31" t="s">
        <v>1736</v>
      </c>
      <c r="J288" s="31">
        <v>2.5299999999999998</v>
      </c>
      <c r="K288" s="31">
        <v>146.88</v>
      </c>
      <c r="L288" s="31">
        <v>3.5</v>
      </c>
      <c r="M288" s="31">
        <v>0</v>
      </c>
      <c r="N288" s="31">
        <v>41.97</v>
      </c>
      <c r="O288" s="32">
        <v>6.0299999999999999E-2</v>
      </c>
    </row>
    <row r="289" spans="1:15">
      <c r="A289" s="31" t="s">
        <v>1732</v>
      </c>
      <c r="B289" s="31" t="s">
        <v>1733</v>
      </c>
      <c r="C289" s="31" t="s">
        <v>1734</v>
      </c>
      <c r="D289" s="31" t="s">
        <v>88</v>
      </c>
      <c r="E289" s="31" t="s">
        <v>1747</v>
      </c>
      <c r="F289" s="31">
        <v>12</v>
      </c>
      <c r="G289" s="31">
        <v>48</v>
      </c>
      <c r="H289" s="32">
        <v>0.25</v>
      </c>
      <c r="I289" s="31" t="s">
        <v>1736</v>
      </c>
      <c r="J289" s="31">
        <v>3.1</v>
      </c>
      <c r="K289" s="31">
        <v>37.18</v>
      </c>
      <c r="L289" s="31">
        <v>0</v>
      </c>
      <c r="M289" s="31">
        <v>0</v>
      </c>
      <c r="N289" s="31">
        <v>0</v>
      </c>
      <c r="O289" s="32">
        <v>0</v>
      </c>
    </row>
    <row r="290" spans="1:15">
      <c r="A290" s="31" t="s">
        <v>1732</v>
      </c>
      <c r="B290" s="31" t="s">
        <v>1733</v>
      </c>
      <c r="C290" s="31" t="s">
        <v>1734</v>
      </c>
      <c r="D290" s="31" t="s">
        <v>88</v>
      </c>
      <c r="E290" s="31" t="s">
        <v>1742</v>
      </c>
      <c r="F290" s="31">
        <v>58</v>
      </c>
      <c r="G290" s="31">
        <v>440</v>
      </c>
      <c r="H290" s="32">
        <v>0.1318</v>
      </c>
      <c r="I290" s="31" t="s">
        <v>1736</v>
      </c>
      <c r="J290" s="31">
        <v>2.27</v>
      </c>
      <c r="K290" s="31">
        <v>131.44</v>
      </c>
      <c r="L290" s="31">
        <v>3</v>
      </c>
      <c r="M290" s="31">
        <v>0</v>
      </c>
      <c r="N290" s="31">
        <v>43.81</v>
      </c>
      <c r="O290" s="32">
        <v>5.1700000000000003E-2</v>
      </c>
    </row>
    <row r="291" spans="1:15">
      <c r="A291" s="31" t="s">
        <v>1732</v>
      </c>
      <c r="B291" s="31" t="s">
        <v>1733</v>
      </c>
      <c r="C291" s="31" t="s">
        <v>1734</v>
      </c>
      <c r="D291" s="31" t="s">
        <v>88</v>
      </c>
      <c r="E291" s="31" t="s">
        <v>1751</v>
      </c>
      <c r="F291" s="31">
        <v>2</v>
      </c>
      <c r="G291" s="31">
        <v>26</v>
      </c>
      <c r="H291" s="32">
        <v>7.6899999999999996E-2</v>
      </c>
      <c r="I291" s="31" t="s">
        <v>1736</v>
      </c>
      <c r="J291" s="31">
        <v>2.11</v>
      </c>
      <c r="K291" s="31">
        <v>4.21</v>
      </c>
      <c r="L291" s="31">
        <v>0</v>
      </c>
      <c r="M291" s="31">
        <v>0</v>
      </c>
      <c r="N291" s="31">
        <v>0</v>
      </c>
      <c r="O291" s="32">
        <v>0</v>
      </c>
    </row>
    <row r="292" spans="1:15">
      <c r="A292" s="31" t="s">
        <v>1744</v>
      </c>
      <c r="B292" s="31" t="s">
        <v>1733</v>
      </c>
      <c r="C292" s="31" t="s">
        <v>1734</v>
      </c>
      <c r="D292" s="31" t="s">
        <v>159</v>
      </c>
      <c r="E292" s="31" t="s">
        <v>1739</v>
      </c>
      <c r="F292" s="31">
        <v>4</v>
      </c>
      <c r="G292" s="31">
        <v>36</v>
      </c>
      <c r="H292" s="32">
        <v>0.1111</v>
      </c>
      <c r="I292" s="31" t="s">
        <v>1736</v>
      </c>
      <c r="J292" s="31">
        <v>5.0599999999999996</v>
      </c>
      <c r="K292" s="31">
        <v>20.25</v>
      </c>
      <c r="L292" s="31">
        <v>0</v>
      </c>
      <c r="M292" s="31">
        <v>0</v>
      </c>
      <c r="N292" s="31">
        <v>0</v>
      </c>
      <c r="O292" s="32">
        <v>0</v>
      </c>
    </row>
    <row r="293" spans="1:15">
      <c r="A293" s="31" t="s">
        <v>1744</v>
      </c>
      <c r="B293" s="31" t="s">
        <v>1733</v>
      </c>
      <c r="C293" s="31" t="s">
        <v>1734</v>
      </c>
      <c r="D293" s="31" t="s">
        <v>159</v>
      </c>
      <c r="E293" s="31" t="s">
        <v>1735</v>
      </c>
      <c r="F293" s="31">
        <v>1</v>
      </c>
      <c r="G293" s="31">
        <v>9</v>
      </c>
      <c r="H293" s="32">
        <v>0.1111</v>
      </c>
      <c r="I293" s="31" t="s">
        <v>1736</v>
      </c>
      <c r="J293" s="31">
        <v>3.99</v>
      </c>
      <c r="K293" s="31">
        <v>3.99</v>
      </c>
      <c r="L293" s="31">
        <v>0</v>
      </c>
      <c r="M293" s="31">
        <v>0</v>
      </c>
      <c r="N293" s="31">
        <v>0</v>
      </c>
      <c r="O293" s="32">
        <v>0</v>
      </c>
    </row>
    <row r="294" spans="1:15">
      <c r="A294" s="31" t="s">
        <v>1744</v>
      </c>
      <c r="B294" s="31" t="s">
        <v>1733</v>
      </c>
      <c r="C294" s="31" t="s">
        <v>1734</v>
      </c>
      <c r="D294" s="31" t="s">
        <v>159</v>
      </c>
      <c r="E294" s="31" t="s">
        <v>1741</v>
      </c>
      <c r="F294" s="31">
        <v>4</v>
      </c>
      <c r="G294" s="31">
        <v>6</v>
      </c>
      <c r="H294" s="32">
        <v>0.66669999999999996</v>
      </c>
      <c r="I294" s="31" t="s">
        <v>1736</v>
      </c>
      <c r="J294" s="31">
        <v>2.2200000000000002</v>
      </c>
      <c r="K294" s="31">
        <v>8.8699999999999992</v>
      </c>
      <c r="L294" s="31">
        <v>0</v>
      </c>
      <c r="M294" s="31">
        <v>0</v>
      </c>
      <c r="N294" s="31">
        <v>0</v>
      </c>
      <c r="O294" s="32">
        <v>0</v>
      </c>
    </row>
    <row r="295" spans="1:15">
      <c r="A295" s="31" t="s">
        <v>1744</v>
      </c>
      <c r="B295" s="31" t="s">
        <v>1733</v>
      </c>
      <c r="C295" s="31" t="s">
        <v>1734</v>
      </c>
      <c r="D295" s="31" t="s">
        <v>159</v>
      </c>
      <c r="E295" s="31" t="s">
        <v>1747</v>
      </c>
      <c r="F295" s="31">
        <v>1</v>
      </c>
      <c r="G295" s="31">
        <v>7</v>
      </c>
      <c r="H295" s="32">
        <v>0.1429</v>
      </c>
      <c r="I295" s="31" t="s">
        <v>1736</v>
      </c>
      <c r="J295" s="31">
        <v>4.63</v>
      </c>
      <c r="K295" s="31">
        <v>4.63</v>
      </c>
      <c r="L295" s="31">
        <v>0</v>
      </c>
      <c r="M295" s="31">
        <v>0</v>
      </c>
      <c r="N295" s="31">
        <v>0</v>
      </c>
      <c r="O295" s="32">
        <v>0</v>
      </c>
    </row>
    <row r="296" spans="1:15">
      <c r="A296" s="31" t="s">
        <v>1744</v>
      </c>
      <c r="B296" s="31" t="s">
        <v>1733</v>
      </c>
      <c r="C296" s="31" t="s">
        <v>1734</v>
      </c>
      <c r="D296" s="31" t="s">
        <v>159</v>
      </c>
      <c r="E296" s="31" t="s">
        <v>1742</v>
      </c>
      <c r="F296" s="31">
        <v>24</v>
      </c>
      <c r="G296" s="31">
        <v>100</v>
      </c>
      <c r="H296" s="32">
        <v>0.24</v>
      </c>
      <c r="I296" s="31" t="s">
        <v>1736</v>
      </c>
      <c r="J296" s="31">
        <v>3.45</v>
      </c>
      <c r="K296" s="31">
        <v>82.86</v>
      </c>
      <c r="L296" s="31">
        <v>5</v>
      </c>
      <c r="M296" s="31">
        <v>0</v>
      </c>
      <c r="N296" s="31">
        <v>16.57</v>
      </c>
      <c r="O296" s="32">
        <v>0.20830000000000001</v>
      </c>
    </row>
    <row r="297" spans="1:15">
      <c r="A297" s="31" t="s">
        <v>1744</v>
      </c>
      <c r="B297" s="31" t="s">
        <v>1733</v>
      </c>
      <c r="C297" s="31" t="s">
        <v>1734</v>
      </c>
      <c r="D297" s="31" t="s">
        <v>159</v>
      </c>
      <c r="E297" s="31" t="s">
        <v>1751</v>
      </c>
      <c r="F297" s="31">
        <v>0</v>
      </c>
      <c r="G297" s="31">
        <v>2</v>
      </c>
      <c r="H297" s="32">
        <v>0</v>
      </c>
      <c r="I297" s="31" t="s">
        <v>1736</v>
      </c>
      <c r="J297" s="31">
        <v>0</v>
      </c>
      <c r="K297" s="31">
        <v>0</v>
      </c>
      <c r="L297" s="31">
        <v>0</v>
      </c>
      <c r="M297" s="31">
        <v>0</v>
      </c>
      <c r="N297" s="31">
        <v>0</v>
      </c>
      <c r="O297" s="32">
        <v>0</v>
      </c>
    </row>
    <row r="298" spans="1:15">
      <c r="A298" s="31" t="s">
        <v>1744</v>
      </c>
      <c r="B298" s="31" t="s">
        <v>1733</v>
      </c>
      <c r="C298" s="31" t="s">
        <v>1734</v>
      </c>
      <c r="D298" s="31" t="s">
        <v>159</v>
      </c>
      <c r="E298" s="31" t="s">
        <v>1757</v>
      </c>
      <c r="F298" s="31">
        <v>1</v>
      </c>
      <c r="G298" s="31">
        <v>18</v>
      </c>
      <c r="H298" s="32">
        <v>5.5599999999999997E-2</v>
      </c>
      <c r="I298" s="31" t="s">
        <v>1736</v>
      </c>
      <c r="J298" s="31">
        <v>1.27</v>
      </c>
      <c r="K298" s="31">
        <v>1.27</v>
      </c>
      <c r="L298" s="31">
        <v>0</v>
      </c>
      <c r="M298" s="31">
        <v>0</v>
      </c>
      <c r="N298" s="31">
        <v>0</v>
      </c>
      <c r="O298" s="32">
        <v>0</v>
      </c>
    </row>
    <row r="299" spans="1:15">
      <c r="A299" s="31" t="s">
        <v>1743</v>
      </c>
      <c r="B299" s="31" t="s">
        <v>1733</v>
      </c>
      <c r="C299" s="31" t="s">
        <v>1734</v>
      </c>
      <c r="D299" s="31" t="s">
        <v>110</v>
      </c>
      <c r="E299" s="31" t="s">
        <v>1740</v>
      </c>
      <c r="F299" s="31">
        <v>54</v>
      </c>
      <c r="G299" s="31">
        <v>261</v>
      </c>
      <c r="H299" s="32">
        <v>0.2069</v>
      </c>
      <c r="I299" s="31" t="s">
        <v>1736</v>
      </c>
      <c r="J299" s="31">
        <v>2.5299999999999998</v>
      </c>
      <c r="K299" s="31">
        <v>136.47999999999999</v>
      </c>
      <c r="L299" s="31">
        <v>4</v>
      </c>
      <c r="M299" s="31">
        <v>0</v>
      </c>
      <c r="N299" s="31">
        <v>34.119999999999997</v>
      </c>
      <c r="O299" s="32">
        <v>7.4099999999999999E-2</v>
      </c>
    </row>
    <row r="300" spans="1:15">
      <c r="A300" s="31" t="s">
        <v>1743</v>
      </c>
      <c r="B300" s="31" t="s">
        <v>1733</v>
      </c>
      <c r="C300" s="31" t="s">
        <v>1734</v>
      </c>
      <c r="D300" s="31" t="s">
        <v>110</v>
      </c>
      <c r="E300" s="31" t="s">
        <v>1739</v>
      </c>
      <c r="F300" s="31">
        <v>8</v>
      </c>
      <c r="G300" s="31">
        <v>112</v>
      </c>
      <c r="H300" s="32">
        <v>7.1400000000000005E-2</v>
      </c>
      <c r="I300" s="31" t="s">
        <v>1736</v>
      </c>
      <c r="J300" s="31">
        <v>3.69</v>
      </c>
      <c r="K300" s="31">
        <v>29.49</v>
      </c>
      <c r="L300" s="31">
        <v>0</v>
      </c>
      <c r="M300" s="31">
        <v>0</v>
      </c>
      <c r="N300" s="31">
        <v>0</v>
      </c>
      <c r="O300" s="32">
        <v>0</v>
      </c>
    </row>
    <row r="301" spans="1:15">
      <c r="A301" s="31" t="s">
        <v>1743</v>
      </c>
      <c r="B301" s="31" t="s">
        <v>1733</v>
      </c>
      <c r="C301" s="31" t="s">
        <v>1734</v>
      </c>
      <c r="D301" s="31" t="s">
        <v>110</v>
      </c>
      <c r="E301" s="31" t="s">
        <v>1735</v>
      </c>
      <c r="F301" s="31">
        <v>15</v>
      </c>
      <c r="G301" s="31">
        <v>62</v>
      </c>
      <c r="H301" s="32">
        <v>0.2419</v>
      </c>
      <c r="I301" s="31" t="s">
        <v>1736</v>
      </c>
      <c r="J301" s="31">
        <v>2.56</v>
      </c>
      <c r="K301" s="31">
        <v>38.36</v>
      </c>
      <c r="L301" s="31">
        <v>1</v>
      </c>
      <c r="M301" s="31">
        <v>0</v>
      </c>
      <c r="N301" s="31">
        <v>38.36</v>
      </c>
      <c r="O301" s="32">
        <v>6.6699999999999995E-2</v>
      </c>
    </row>
    <row r="302" spans="1:15">
      <c r="A302" s="31" t="s">
        <v>1743</v>
      </c>
      <c r="B302" s="31" t="s">
        <v>1733</v>
      </c>
      <c r="C302" s="31" t="s">
        <v>1734</v>
      </c>
      <c r="D302" s="31" t="s">
        <v>110</v>
      </c>
      <c r="E302" s="31" t="s">
        <v>1741</v>
      </c>
      <c r="F302" s="31">
        <v>4</v>
      </c>
      <c r="G302" s="31">
        <v>17</v>
      </c>
      <c r="H302" s="32">
        <v>0.23530000000000001</v>
      </c>
      <c r="I302" s="31" t="s">
        <v>1736</v>
      </c>
      <c r="J302" s="31">
        <v>2.1</v>
      </c>
      <c r="K302" s="31">
        <v>8.41</v>
      </c>
      <c r="L302" s="31">
        <v>0</v>
      </c>
      <c r="M302" s="31">
        <v>0</v>
      </c>
      <c r="N302" s="31">
        <v>0</v>
      </c>
      <c r="O302" s="32">
        <v>0</v>
      </c>
    </row>
    <row r="303" spans="1:15">
      <c r="A303" s="31" t="s">
        <v>1743</v>
      </c>
      <c r="B303" s="31" t="s">
        <v>1733</v>
      </c>
      <c r="C303" s="31" t="s">
        <v>1734</v>
      </c>
      <c r="D303" s="31" t="s">
        <v>110</v>
      </c>
      <c r="E303" s="31" t="s">
        <v>1747</v>
      </c>
      <c r="F303" s="31">
        <v>0</v>
      </c>
      <c r="G303" s="31">
        <v>4</v>
      </c>
      <c r="H303" s="32">
        <v>0</v>
      </c>
      <c r="I303" s="31" t="s">
        <v>1736</v>
      </c>
      <c r="J303" s="31">
        <v>0</v>
      </c>
      <c r="K303" s="31">
        <v>0</v>
      </c>
      <c r="L303" s="31">
        <v>0</v>
      </c>
      <c r="M303" s="31">
        <v>0</v>
      </c>
      <c r="N303" s="31">
        <v>0</v>
      </c>
      <c r="O303" s="32">
        <v>0</v>
      </c>
    </row>
    <row r="304" spans="1:15">
      <c r="A304" s="31" t="s">
        <v>1743</v>
      </c>
      <c r="B304" s="31" t="s">
        <v>1733</v>
      </c>
      <c r="C304" s="31" t="s">
        <v>1734</v>
      </c>
      <c r="D304" s="31" t="s">
        <v>110</v>
      </c>
      <c r="E304" s="31" t="s">
        <v>1742</v>
      </c>
      <c r="F304" s="31">
        <v>1</v>
      </c>
      <c r="G304" s="31">
        <v>19</v>
      </c>
      <c r="H304" s="32">
        <v>5.2600000000000001E-2</v>
      </c>
      <c r="I304" s="31" t="s">
        <v>1736</v>
      </c>
      <c r="J304" s="31">
        <v>1.37</v>
      </c>
      <c r="K304" s="31">
        <v>1.37</v>
      </c>
      <c r="L304" s="31">
        <v>0</v>
      </c>
      <c r="M304" s="31">
        <v>0</v>
      </c>
      <c r="N304" s="31">
        <v>0</v>
      </c>
      <c r="O304" s="32">
        <v>0</v>
      </c>
    </row>
    <row r="305" spans="1:15">
      <c r="A305" s="31" t="s">
        <v>1737</v>
      </c>
      <c r="B305" s="31" t="s">
        <v>1733</v>
      </c>
      <c r="C305" s="31" t="s">
        <v>1734</v>
      </c>
      <c r="D305" s="31" t="s">
        <v>81</v>
      </c>
      <c r="E305" s="31" t="s">
        <v>1738</v>
      </c>
      <c r="F305" s="31">
        <v>218</v>
      </c>
      <c r="G305" s="31">
        <v>1829</v>
      </c>
      <c r="H305" s="32">
        <v>0.1192</v>
      </c>
      <c r="I305" s="31" t="s">
        <v>1736</v>
      </c>
      <c r="J305" s="31">
        <v>1.73</v>
      </c>
      <c r="K305" s="31">
        <v>377.23</v>
      </c>
      <c r="L305" s="31">
        <v>18</v>
      </c>
      <c r="M305" s="31">
        <v>0</v>
      </c>
      <c r="N305" s="31">
        <v>20.96</v>
      </c>
      <c r="O305" s="32">
        <v>8.2600000000000007E-2</v>
      </c>
    </row>
    <row r="306" spans="1:15">
      <c r="A306" s="31" t="s">
        <v>1748</v>
      </c>
      <c r="B306" s="31" t="s">
        <v>1733</v>
      </c>
      <c r="C306" s="31" t="s">
        <v>1734</v>
      </c>
      <c r="D306" s="31" t="s">
        <v>58</v>
      </c>
      <c r="E306" s="31" t="s">
        <v>1740</v>
      </c>
      <c r="F306" s="31">
        <v>1</v>
      </c>
      <c r="G306" s="31">
        <v>8</v>
      </c>
      <c r="H306" s="32">
        <v>0.125</v>
      </c>
      <c r="I306" s="31" t="s">
        <v>1736</v>
      </c>
      <c r="J306" s="31">
        <v>1.27</v>
      </c>
      <c r="K306" s="31">
        <v>1.27</v>
      </c>
      <c r="L306" s="31">
        <v>1</v>
      </c>
      <c r="M306" s="31">
        <v>0</v>
      </c>
      <c r="N306" s="31">
        <v>1.27</v>
      </c>
      <c r="O306" s="32">
        <v>1</v>
      </c>
    </row>
    <row r="307" spans="1:15">
      <c r="A307" s="31" t="s">
        <v>1748</v>
      </c>
      <c r="B307" s="31" t="s">
        <v>1733</v>
      </c>
      <c r="C307" s="31" t="s">
        <v>1734</v>
      </c>
      <c r="D307" s="31" t="s">
        <v>1752</v>
      </c>
      <c r="E307" s="31" t="s">
        <v>1740</v>
      </c>
      <c r="F307" s="31">
        <v>2</v>
      </c>
      <c r="G307" s="31">
        <v>19</v>
      </c>
      <c r="H307" s="32">
        <v>0.1053</v>
      </c>
      <c r="I307" s="31" t="s">
        <v>1736</v>
      </c>
      <c r="J307" s="31">
        <v>1.76</v>
      </c>
      <c r="K307" s="31">
        <v>3.52</v>
      </c>
      <c r="L307" s="31">
        <v>0</v>
      </c>
      <c r="M307" s="31">
        <v>0</v>
      </c>
      <c r="N307" s="31">
        <v>0</v>
      </c>
      <c r="O307" s="32">
        <v>0</v>
      </c>
    </row>
    <row r="308" spans="1:15">
      <c r="A308" s="31" t="s">
        <v>1748</v>
      </c>
      <c r="B308" s="31" t="s">
        <v>1733</v>
      </c>
      <c r="C308" s="31" t="s">
        <v>1734</v>
      </c>
      <c r="D308" s="31" t="s">
        <v>1753</v>
      </c>
      <c r="E308" s="31" t="s">
        <v>1740</v>
      </c>
      <c r="F308" s="31">
        <v>2</v>
      </c>
      <c r="G308" s="31">
        <v>7</v>
      </c>
      <c r="H308" s="32">
        <v>0.28570000000000001</v>
      </c>
      <c r="I308" s="31" t="s">
        <v>1736</v>
      </c>
      <c r="J308" s="31">
        <v>0.31</v>
      </c>
      <c r="K308" s="31">
        <v>0.63</v>
      </c>
      <c r="L308" s="31">
        <v>0</v>
      </c>
      <c r="M308" s="31">
        <v>0</v>
      </c>
      <c r="N308" s="31">
        <v>0</v>
      </c>
      <c r="O308" s="32">
        <v>0</v>
      </c>
    </row>
    <row r="309" spans="1:15">
      <c r="A309" s="31" t="s">
        <v>1748</v>
      </c>
      <c r="B309" s="31" t="s">
        <v>1733</v>
      </c>
      <c r="C309" s="31" t="s">
        <v>1734</v>
      </c>
      <c r="D309" s="31" t="s">
        <v>1765</v>
      </c>
      <c r="E309" s="31" t="s">
        <v>1740</v>
      </c>
      <c r="F309" s="31">
        <v>0</v>
      </c>
      <c r="G309" s="31">
        <v>7</v>
      </c>
      <c r="H309" s="32">
        <v>0</v>
      </c>
      <c r="I309" s="31" t="s">
        <v>1736</v>
      </c>
      <c r="J309" s="31">
        <v>0</v>
      </c>
      <c r="K309" s="31">
        <v>0</v>
      </c>
      <c r="L309" s="31">
        <v>0</v>
      </c>
      <c r="M309" s="31">
        <v>0</v>
      </c>
      <c r="N309" s="31">
        <v>0</v>
      </c>
      <c r="O309" s="32">
        <v>0</v>
      </c>
    </row>
    <row r="310" spans="1:15">
      <c r="A310" s="31" t="s">
        <v>1748</v>
      </c>
      <c r="B310" s="31" t="s">
        <v>1733</v>
      </c>
      <c r="C310" s="31" t="s">
        <v>1734</v>
      </c>
      <c r="D310" s="31" t="s">
        <v>1754</v>
      </c>
      <c r="E310" s="31" t="s">
        <v>1740</v>
      </c>
      <c r="F310" s="31">
        <v>2</v>
      </c>
      <c r="G310" s="31">
        <v>3</v>
      </c>
      <c r="H310" s="32">
        <v>0.66669999999999996</v>
      </c>
      <c r="I310" s="31" t="s">
        <v>1736</v>
      </c>
      <c r="J310" s="31">
        <v>0.6</v>
      </c>
      <c r="K310" s="31">
        <v>1.2</v>
      </c>
      <c r="L310" s="31">
        <v>0</v>
      </c>
      <c r="M310" s="31">
        <v>0</v>
      </c>
      <c r="N310" s="31">
        <v>0</v>
      </c>
      <c r="O310" s="32">
        <v>0</v>
      </c>
    </row>
    <row r="311" spans="1:15">
      <c r="A311" s="31" t="s">
        <v>1748</v>
      </c>
      <c r="B311" s="31" t="s">
        <v>1733</v>
      </c>
      <c r="C311" s="31" t="s">
        <v>1734</v>
      </c>
      <c r="D311" s="31" t="s">
        <v>1766</v>
      </c>
      <c r="E311" s="31" t="s">
        <v>1740</v>
      </c>
      <c r="F311" s="31">
        <v>0</v>
      </c>
      <c r="G311" s="31">
        <v>3</v>
      </c>
      <c r="H311" s="32">
        <v>0</v>
      </c>
      <c r="I311" s="31" t="s">
        <v>1736</v>
      </c>
      <c r="J311" s="31">
        <v>0</v>
      </c>
      <c r="K311" s="31">
        <v>0</v>
      </c>
      <c r="L311" s="31">
        <v>0</v>
      </c>
      <c r="M311" s="31">
        <v>0</v>
      </c>
      <c r="N311" s="31">
        <v>0</v>
      </c>
      <c r="O311" s="32">
        <v>0</v>
      </c>
    </row>
    <row r="312" spans="1:15">
      <c r="A312" s="31" t="s">
        <v>1748</v>
      </c>
      <c r="B312" s="31" t="s">
        <v>1733</v>
      </c>
      <c r="C312" s="31" t="s">
        <v>1734</v>
      </c>
      <c r="D312" s="31" t="s">
        <v>1758</v>
      </c>
      <c r="E312" s="31" t="s">
        <v>1740</v>
      </c>
      <c r="F312" s="31">
        <v>1</v>
      </c>
      <c r="G312" s="31">
        <v>10</v>
      </c>
      <c r="H312" s="32">
        <v>0.1</v>
      </c>
      <c r="I312" s="31" t="s">
        <v>1736</v>
      </c>
      <c r="J312" s="31">
        <v>1.67</v>
      </c>
      <c r="K312" s="31">
        <v>1.67</v>
      </c>
      <c r="L312" s="31">
        <v>0</v>
      </c>
      <c r="M312" s="31">
        <v>0</v>
      </c>
      <c r="N312" s="31">
        <v>0</v>
      </c>
      <c r="O312" s="32">
        <v>0</v>
      </c>
    </row>
    <row r="313" spans="1:15">
      <c r="A313" s="31" t="s">
        <v>1748</v>
      </c>
      <c r="B313" s="31" t="s">
        <v>1733</v>
      </c>
      <c r="C313" s="31" t="s">
        <v>1734</v>
      </c>
      <c r="D313" s="31" t="s">
        <v>1756</v>
      </c>
      <c r="E313" s="31" t="s">
        <v>1740</v>
      </c>
      <c r="F313" s="31">
        <v>1</v>
      </c>
      <c r="G313" s="31">
        <v>16</v>
      </c>
      <c r="H313" s="32">
        <v>6.25E-2</v>
      </c>
      <c r="I313" s="31" t="s">
        <v>1736</v>
      </c>
      <c r="J313" s="31">
        <v>0.56999999999999995</v>
      </c>
      <c r="K313" s="31">
        <v>0.56999999999999995</v>
      </c>
      <c r="L313" s="31">
        <v>0</v>
      </c>
      <c r="M313" s="31">
        <v>0</v>
      </c>
      <c r="N313" s="31">
        <v>0</v>
      </c>
      <c r="O313" s="32">
        <v>0</v>
      </c>
    </row>
    <row r="314" spans="1:15">
      <c r="A314" s="31" t="s">
        <v>1748</v>
      </c>
      <c r="B314" s="31" t="s">
        <v>1733</v>
      </c>
      <c r="C314" s="31" t="s">
        <v>1734</v>
      </c>
      <c r="D314" s="31" t="s">
        <v>519</v>
      </c>
      <c r="E314" s="31" t="s">
        <v>1740</v>
      </c>
      <c r="F314" s="31">
        <v>1</v>
      </c>
      <c r="G314" s="31">
        <v>11</v>
      </c>
      <c r="H314" s="32">
        <v>9.0899999999999995E-2</v>
      </c>
      <c r="I314" s="31" t="s">
        <v>1736</v>
      </c>
      <c r="J314" s="31">
        <v>4.01</v>
      </c>
      <c r="K314" s="31">
        <v>4.01</v>
      </c>
      <c r="L314" s="31">
        <v>0</v>
      </c>
      <c r="M314" s="31">
        <v>0</v>
      </c>
      <c r="N314" s="31">
        <v>0</v>
      </c>
      <c r="O314" s="32">
        <v>0</v>
      </c>
    </row>
    <row r="315" spans="1:15">
      <c r="A315" s="31" t="s">
        <v>1748</v>
      </c>
      <c r="B315" s="31" t="s">
        <v>1733</v>
      </c>
      <c r="C315" s="31" t="s">
        <v>1734</v>
      </c>
      <c r="D315" s="31" t="s">
        <v>345</v>
      </c>
      <c r="E315" s="31" t="s">
        <v>1740</v>
      </c>
      <c r="F315" s="31">
        <v>5</v>
      </c>
      <c r="G315" s="31">
        <v>34</v>
      </c>
      <c r="H315" s="32">
        <v>0.14710000000000001</v>
      </c>
      <c r="I315" s="31" t="s">
        <v>1736</v>
      </c>
      <c r="J315" s="31">
        <v>1.49</v>
      </c>
      <c r="K315" s="31">
        <v>7.46</v>
      </c>
      <c r="L315" s="31">
        <v>0</v>
      </c>
      <c r="M315" s="31">
        <v>0</v>
      </c>
      <c r="N315" s="31">
        <v>0</v>
      </c>
      <c r="O315" s="32">
        <v>0</v>
      </c>
    </row>
    <row r="316" spans="1:15">
      <c r="A316" s="31" t="s">
        <v>1748</v>
      </c>
      <c r="B316" s="31" t="s">
        <v>1733</v>
      </c>
      <c r="C316" s="31" t="s">
        <v>1734</v>
      </c>
      <c r="D316" s="31" t="s">
        <v>380</v>
      </c>
      <c r="E316" s="31" t="s">
        <v>1740</v>
      </c>
      <c r="F316" s="31">
        <v>8</v>
      </c>
      <c r="G316" s="31">
        <v>60</v>
      </c>
      <c r="H316" s="32">
        <v>0.1333</v>
      </c>
      <c r="I316" s="31" t="s">
        <v>1736</v>
      </c>
      <c r="J316" s="31">
        <v>1.47</v>
      </c>
      <c r="K316" s="31">
        <v>11.77</v>
      </c>
      <c r="L316" s="31">
        <v>0</v>
      </c>
      <c r="M316" s="31">
        <v>0</v>
      </c>
      <c r="N316" s="31">
        <v>0</v>
      </c>
      <c r="O316" s="32">
        <v>0</v>
      </c>
    </row>
    <row r="317" spans="1:15">
      <c r="A317" s="31" t="s">
        <v>1748</v>
      </c>
      <c r="B317" s="31" t="s">
        <v>1733</v>
      </c>
      <c r="C317" s="31" t="s">
        <v>1734</v>
      </c>
      <c r="D317" s="31" t="s">
        <v>1759</v>
      </c>
      <c r="E317" s="31" t="s">
        <v>1740</v>
      </c>
      <c r="F317" s="31">
        <v>1</v>
      </c>
      <c r="G317" s="31">
        <v>8</v>
      </c>
      <c r="H317" s="32">
        <v>0.125</v>
      </c>
      <c r="I317" s="31" t="s">
        <v>1736</v>
      </c>
      <c r="J317" s="31">
        <v>0.67</v>
      </c>
      <c r="K317" s="31">
        <v>0.67</v>
      </c>
      <c r="L317" s="31">
        <v>0</v>
      </c>
      <c r="M317" s="31">
        <v>0</v>
      </c>
      <c r="N317" s="31">
        <v>0</v>
      </c>
      <c r="O317" s="32">
        <v>0</v>
      </c>
    </row>
    <row r="318" spans="1:15">
      <c r="A318" s="31" t="s">
        <v>1748</v>
      </c>
      <c r="B318" s="31" t="s">
        <v>1733</v>
      </c>
      <c r="C318" s="31" t="s">
        <v>1734</v>
      </c>
      <c r="D318" s="31" t="s">
        <v>1760</v>
      </c>
      <c r="E318" s="31" t="s">
        <v>1740</v>
      </c>
      <c r="F318" s="31">
        <v>1</v>
      </c>
      <c r="G318" s="31">
        <v>10</v>
      </c>
      <c r="H318" s="32">
        <v>0.1</v>
      </c>
      <c r="I318" s="31" t="s">
        <v>1736</v>
      </c>
      <c r="J318" s="31">
        <v>1.31</v>
      </c>
      <c r="K318" s="31">
        <v>1.31</v>
      </c>
      <c r="L318" s="31">
        <v>0</v>
      </c>
      <c r="M318" s="31">
        <v>0</v>
      </c>
      <c r="N318" s="31">
        <v>0</v>
      </c>
      <c r="O318" s="32">
        <v>0</v>
      </c>
    </row>
    <row r="319" spans="1:15">
      <c r="A319" s="31" t="s">
        <v>1748</v>
      </c>
      <c r="B319" s="31" t="s">
        <v>1733</v>
      </c>
      <c r="C319" s="31" t="s">
        <v>1734</v>
      </c>
      <c r="D319" s="31" t="s">
        <v>445</v>
      </c>
      <c r="E319" s="31" t="s">
        <v>1740</v>
      </c>
      <c r="F319" s="31">
        <v>5</v>
      </c>
      <c r="G319" s="31">
        <v>37</v>
      </c>
      <c r="H319" s="32">
        <v>0.1351</v>
      </c>
      <c r="I319" s="31" t="s">
        <v>1736</v>
      </c>
      <c r="J319" s="31">
        <v>1.1100000000000001</v>
      </c>
      <c r="K319" s="31">
        <v>5.55</v>
      </c>
      <c r="L319" s="31">
        <v>1</v>
      </c>
      <c r="M319" s="31">
        <v>0</v>
      </c>
      <c r="N319" s="31">
        <v>5.55</v>
      </c>
      <c r="O319" s="32">
        <v>0.2</v>
      </c>
    </row>
    <row r="320" spans="1:15">
      <c r="A320" s="31" t="s">
        <v>1748</v>
      </c>
      <c r="B320" s="31" t="s">
        <v>1733</v>
      </c>
      <c r="C320" s="31" t="s">
        <v>1734</v>
      </c>
      <c r="D320" s="31" t="s">
        <v>776</v>
      </c>
      <c r="E320" s="31" t="s">
        <v>1740</v>
      </c>
      <c r="F320" s="31">
        <v>9</v>
      </c>
      <c r="G320" s="31">
        <v>40</v>
      </c>
      <c r="H320" s="32">
        <v>0.22500000000000001</v>
      </c>
      <c r="I320" s="31" t="s">
        <v>1736</v>
      </c>
      <c r="J320" s="31">
        <v>1.1200000000000001</v>
      </c>
      <c r="K320" s="31">
        <v>10.119999999999999</v>
      </c>
      <c r="L320" s="31">
        <v>0</v>
      </c>
      <c r="M320" s="31">
        <v>0</v>
      </c>
      <c r="N320" s="31">
        <v>0</v>
      </c>
      <c r="O320" s="32">
        <v>0</v>
      </c>
    </row>
    <row r="321" spans="1:15">
      <c r="A321" s="31" t="s">
        <v>1748</v>
      </c>
      <c r="B321" s="31" t="s">
        <v>1733</v>
      </c>
      <c r="C321" s="31" t="s">
        <v>1734</v>
      </c>
      <c r="D321" s="31" t="s">
        <v>1470</v>
      </c>
      <c r="E321" s="31" t="s">
        <v>1740</v>
      </c>
      <c r="F321" s="31">
        <v>6</v>
      </c>
      <c r="G321" s="31">
        <v>41</v>
      </c>
      <c r="H321" s="32">
        <v>0.14630000000000001</v>
      </c>
      <c r="I321" s="31" t="s">
        <v>1736</v>
      </c>
      <c r="J321" s="31">
        <v>0.98</v>
      </c>
      <c r="K321" s="31">
        <v>5.86</v>
      </c>
      <c r="L321" s="31">
        <v>0</v>
      </c>
      <c r="M321" s="31">
        <v>0</v>
      </c>
      <c r="N321" s="31">
        <v>0</v>
      </c>
      <c r="O321" s="32">
        <v>0</v>
      </c>
    </row>
    <row r="322" spans="1:15">
      <c r="A322" s="31" t="s">
        <v>1748</v>
      </c>
      <c r="B322" s="31" t="s">
        <v>1733</v>
      </c>
      <c r="C322" s="31" t="s">
        <v>1734</v>
      </c>
      <c r="D322" s="31" t="s">
        <v>1767</v>
      </c>
      <c r="E322" s="31" t="s">
        <v>1740</v>
      </c>
      <c r="F322" s="31">
        <v>0</v>
      </c>
      <c r="G322" s="31">
        <v>1</v>
      </c>
      <c r="H322" s="32">
        <v>0</v>
      </c>
      <c r="I322" s="31" t="s">
        <v>1736</v>
      </c>
      <c r="J322" s="31">
        <v>0</v>
      </c>
      <c r="K322" s="31">
        <v>0</v>
      </c>
      <c r="L322" s="31">
        <v>0</v>
      </c>
      <c r="M322" s="31">
        <v>0</v>
      </c>
      <c r="N322" s="31">
        <v>0</v>
      </c>
      <c r="O322" s="32">
        <v>0</v>
      </c>
    </row>
    <row r="323" spans="1:15">
      <c r="A323" s="31" t="s">
        <v>1748</v>
      </c>
      <c r="B323" s="31" t="s">
        <v>1733</v>
      </c>
      <c r="C323" s="31" t="s">
        <v>1734</v>
      </c>
      <c r="D323" s="31" t="s">
        <v>1755</v>
      </c>
      <c r="E323" s="31" t="s">
        <v>1740</v>
      </c>
      <c r="F323" s="31">
        <v>2</v>
      </c>
      <c r="G323" s="31">
        <v>9</v>
      </c>
      <c r="H323" s="32">
        <v>0.22220000000000001</v>
      </c>
      <c r="I323" s="31" t="s">
        <v>1736</v>
      </c>
      <c r="J323" s="31">
        <v>2.15</v>
      </c>
      <c r="K323" s="31">
        <v>4.29</v>
      </c>
      <c r="L323" s="31">
        <v>0</v>
      </c>
      <c r="M323" s="31">
        <v>0</v>
      </c>
      <c r="N323" s="31">
        <v>0</v>
      </c>
      <c r="O323" s="32">
        <v>0</v>
      </c>
    </row>
    <row r="324" spans="1:15">
      <c r="A324" s="31" t="s">
        <v>1748</v>
      </c>
      <c r="B324" s="31" t="s">
        <v>1733</v>
      </c>
      <c r="C324" s="31" t="s">
        <v>1734</v>
      </c>
      <c r="D324" s="31" t="s">
        <v>1749</v>
      </c>
      <c r="E324" s="31" t="s">
        <v>1740</v>
      </c>
      <c r="F324" s="31">
        <v>3</v>
      </c>
      <c r="G324" s="31">
        <v>65</v>
      </c>
      <c r="H324" s="32">
        <v>4.6199999999999998E-2</v>
      </c>
      <c r="I324" s="31" t="s">
        <v>1736</v>
      </c>
      <c r="J324" s="31">
        <v>1.28</v>
      </c>
      <c r="K324" s="31">
        <v>3.83</v>
      </c>
      <c r="L324" s="31">
        <v>0</v>
      </c>
      <c r="M324" s="31">
        <v>0</v>
      </c>
      <c r="N324" s="31">
        <v>0</v>
      </c>
      <c r="O324" s="32">
        <v>0</v>
      </c>
    </row>
    <row r="325" spans="1:15">
      <c r="A325" s="31" t="s">
        <v>1748</v>
      </c>
      <c r="B325" s="31" t="s">
        <v>1733</v>
      </c>
      <c r="C325" s="31" t="s">
        <v>1734</v>
      </c>
      <c r="D325" s="31" t="s">
        <v>910</v>
      </c>
      <c r="E325" s="31" t="s">
        <v>1740</v>
      </c>
      <c r="F325" s="31">
        <v>7</v>
      </c>
      <c r="G325" s="31">
        <v>43</v>
      </c>
      <c r="H325" s="32">
        <v>0.1628</v>
      </c>
      <c r="I325" s="31" t="s">
        <v>1736</v>
      </c>
      <c r="J325" s="31">
        <v>0.98</v>
      </c>
      <c r="K325" s="31">
        <v>6.86</v>
      </c>
      <c r="L325" s="31">
        <v>0</v>
      </c>
      <c r="M325" s="31">
        <v>0</v>
      </c>
      <c r="N325" s="31">
        <v>0</v>
      </c>
      <c r="O325" s="32">
        <v>0</v>
      </c>
    </row>
    <row r="326" spans="1:15">
      <c r="A326" s="31" t="s">
        <v>1748</v>
      </c>
      <c r="B326" s="31" t="s">
        <v>1733</v>
      </c>
      <c r="C326" s="31" t="s">
        <v>1734</v>
      </c>
      <c r="D326" s="31" t="s">
        <v>1761</v>
      </c>
      <c r="E326" s="31" t="s">
        <v>1740</v>
      </c>
      <c r="F326" s="31">
        <v>1</v>
      </c>
      <c r="G326" s="31">
        <v>38</v>
      </c>
      <c r="H326" s="32">
        <v>2.63E-2</v>
      </c>
      <c r="I326" s="31" t="s">
        <v>1736</v>
      </c>
      <c r="J326" s="31">
        <v>0.42</v>
      </c>
      <c r="K326" s="31">
        <v>0.42</v>
      </c>
      <c r="L326" s="31">
        <v>0</v>
      </c>
      <c r="M326" s="31">
        <v>0</v>
      </c>
      <c r="N326" s="31">
        <v>0</v>
      </c>
      <c r="O326" s="32">
        <v>0</v>
      </c>
    </row>
    <row r="327" spans="1:15">
      <c r="A327" s="31" t="s">
        <v>1748</v>
      </c>
      <c r="B327" s="31" t="s">
        <v>1733</v>
      </c>
      <c r="C327" s="31" t="s">
        <v>1734</v>
      </c>
      <c r="D327" s="31" t="s">
        <v>1762</v>
      </c>
      <c r="E327" s="31" t="s">
        <v>1740</v>
      </c>
      <c r="F327" s="31">
        <v>1</v>
      </c>
      <c r="G327" s="31">
        <v>7</v>
      </c>
      <c r="H327" s="32">
        <v>0.1429</v>
      </c>
      <c r="I327" s="31" t="s">
        <v>1736</v>
      </c>
      <c r="J327" s="31">
        <v>1.34</v>
      </c>
      <c r="K327" s="31">
        <v>1.34</v>
      </c>
      <c r="L327" s="31">
        <v>1</v>
      </c>
      <c r="M327" s="31">
        <v>0</v>
      </c>
      <c r="N327" s="31">
        <v>1.34</v>
      </c>
      <c r="O327" s="32">
        <v>1</v>
      </c>
    </row>
    <row r="328" spans="1:15">
      <c r="A328" s="31" t="s">
        <v>1748</v>
      </c>
      <c r="B328" s="31" t="s">
        <v>1733</v>
      </c>
      <c r="C328" s="31" t="s">
        <v>1734</v>
      </c>
      <c r="D328" s="31" t="s">
        <v>1768</v>
      </c>
      <c r="E328" s="31" t="s">
        <v>1740</v>
      </c>
      <c r="F328" s="31">
        <v>0</v>
      </c>
      <c r="G328" s="31">
        <v>4</v>
      </c>
      <c r="H328" s="32">
        <v>0</v>
      </c>
      <c r="I328" s="31" t="s">
        <v>1736</v>
      </c>
      <c r="J328" s="31">
        <v>0</v>
      </c>
      <c r="K328" s="31">
        <v>0</v>
      </c>
      <c r="L328" s="31">
        <v>0</v>
      </c>
      <c r="M328" s="31">
        <v>0</v>
      </c>
      <c r="N328" s="31">
        <v>0</v>
      </c>
      <c r="O328" s="32">
        <v>0</v>
      </c>
    </row>
    <row r="329" spans="1:15">
      <c r="A329" s="31" t="s">
        <v>1748</v>
      </c>
      <c r="B329" s="31" t="s">
        <v>1733</v>
      </c>
      <c r="C329" s="31" t="s">
        <v>1734</v>
      </c>
      <c r="D329" s="31" t="s">
        <v>648</v>
      </c>
      <c r="E329" s="31" t="s">
        <v>1740</v>
      </c>
      <c r="F329" s="31">
        <v>8</v>
      </c>
      <c r="G329" s="31">
        <v>50</v>
      </c>
      <c r="H329" s="32">
        <v>0.16</v>
      </c>
      <c r="I329" s="31" t="s">
        <v>1736</v>
      </c>
      <c r="J329" s="31">
        <v>2.38</v>
      </c>
      <c r="K329" s="31">
        <v>19.059999999999999</v>
      </c>
      <c r="L329" s="31">
        <v>3</v>
      </c>
      <c r="M329" s="31">
        <v>0</v>
      </c>
      <c r="N329" s="31">
        <v>6.35</v>
      </c>
      <c r="O329" s="32">
        <v>0.375</v>
      </c>
    </row>
    <row r="330" spans="1:15">
      <c r="A330" s="31" t="s">
        <v>1748</v>
      </c>
      <c r="B330" s="31" t="s">
        <v>1733</v>
      </c>
      <c r="C330" s="31" t="s">
        <v>1734</v>
      </c>
      <c r="D330" s="31" t="s">
        <v>428</v>
      </c>
      <c r="E330" s="31" t="s">
        <v>1740</v>
      </c>
      <c r="F330" s="31">
        <v>2</v>
      </c>
      <c r="G330" s="31">
        <v>20</v>
      </c>
      <c r="H330" s="32">
        <v>0.1</v>
      </c>
      <c r="I330" s="31" t="s">
        <v>1736</v>
      </c>
      <c r="J330" s="31">
        <v>0.98</v>
      </c>
      <c r="K330" s="31">
        <v>1.97</v>
      </c>
      <c r="L330" s="31">
        <v>0</v>
      </c>
      <c r="M330" s="31">
        <v>0</v>
      </c>
      <c r="N330" s="31">
        <v>0</v>
      </c>
      <c r="O330" s="32">
        <v>0</v>
      </c>
    </row>
    <row r="331" spans="1:15">
      <c r="A331" s="31" t="s">
        <v>1748</v>
      </c>
      <c r="B331" s="31" t="s">
        <v>1733</v>
      </c>
      <c r="C331" s="31" t="s">
        <v>1734</v>
      </c>
      <c r="D331" s="31" t="s">
        <v>245</v>
      </c>
      <c r="E331" s="31" t="s">
        <v>1740</v>
      </c>
      <c r="F331" s="31">
        <v>2</v>
      </c>
      <c r="G331" s="31">
        <v>11</v>
      </c>
      <c r="H331" s="32">
        <v>0.18179999999999999</v>
      </c>
      <c r="I331" s="31" t="s">
        <v>1736</v>
      </c>
      <c r="J331" s="31">
        <v>2.4700000000000002</v>
      </c>
      <c r="K331" s="31">
        <v>4.95</v>
      </c>
      <c r="L331" s="31">
        <v>0</v>
      </c>
      <c r="M331" s="31">
        <v>0</v>
      </c>
      <c r="N331" s="31">
        <v>0</v>
      </c>
      <c r="O331" s="32">
        <v>0</v>
      </c>
    </row>
    <row r="332" spans="1:15">
      <c r="A332" s="31" t="s">
        <v>1748</v>
      </c>
      <c r="B332" s="31" t="s">
        <v>1733</v>
      </c>
      <c r="C332" s="31" t="s">
        <v>1734</v>
      </c>
      <c r="D332" s="31" t="s">
        <v>58</v>
      </c>
      <c r="E332" s="31" t="s">
        <v>1739</v>
      </c>
      <c r="F332" s="31">
        <v>0</v>
      </c>
      <c r="G332" s="31">
        <v>3</v>
      </c>
      <c r="H332" s="32">
        <v>0</v>
      </c>
      <c r="I332" s="31" t="s">
        <v>1736</v>
      </c>
      <c r="J332" s="31">
        <v>0</v>
      </c>
      <c r="K332" s="31">
        <v>0</v>
      </c>
      <c r="L332" s="31">
        <v>0</v>
      </c>
      <c r="M332" s="31">
        <v>0</v>
      </c>
      <c r="N332" s="31">
        <v>0</v>
      </c>
      <c r="O332" s="32">
        <v>0</v>
      </c>
    </row>
    <row r="333" spans="1:15">
      <c r="A333" s="31" t="s">
        <v>1748</v>
      </c>
      <c r="B333" s="31" t="s">
        <v>1733</v>
      </c>
      <c r="C333" s="31" t="s">
        <v>1734</v>
      </c>
      <c r="D333" s="31" t="s">
        <v>1753</v>
      </c>
      <c r="E333" s="31" t="s">
        <v>1739</v>
      </c>
      <c r="F333" s="31">
        <v>0</v>
      </c>
      <c r="G333" s="31">
        <v>1</v>
      </c>
      <c r="H333" s="32">
        <v>0</v>
      </c>
      <c r="I333" s="31" t="s">
        <v>1736</v>
      </c>
      <c r="J333" s="31">
        <v>0</v>
      </c>
      <c r="K333" s="31">
        <v>0</v>
      </c>
      <c r="L333" s="31">
        <v>0</v>
      </c>
      <c r="M333" s="31">
        <v>0</v>
      </c>
      <c r="N333" s="31">
        <v>0</v>
      </c>
      <c r="O333" s="32">
        <v>0</v>
      </c>
    </row>
    <row r="334" spans="1:15">
      <c r="A334" s="31" t="s">
        <v>1748</v>
      </c>
      <c r="B334" s="31" t="s">
        <v>1733</v>
      </c>
      <c r="C334" s="31" t="s">
        <v>1734</v>
      </c>
      <c r="D334" s="31" t="s">
        <v>1758</v>
      </c>
      <c r="E334" s="31" t="s">
        <v>1739</v>
      </c>
      <c r="F334" s="31">
        <v>0</v>
      </c>
      <c r="G334" s="31">
        <v>1</v>
      </c>
      <c r="H334" s="32">
        <v>0</v>
      </c>
      <c r="I334" s="31" t="s">
        <v>1736</v>
      </c>
      <c r="J334" s="31">
        <v>0</v>
      </c>
      <c r="K334" s="31">
        <v>0</v>
      </c>
      <c r="L334" s="31">
        <v>0</v>
      </c>
      <c r="M334" s="31">
        <v>0</v>
      </c>
      <c r="N334" s="31">
        <v>0</v>
      </c>
      <c r="O334" s="32">
        <v>0</v>
      </c>
    </row>
    <row r="335" spans="1:15">
      <c r="A335" s="31" t="s">
        <v>1748</v>
      </c>
      <c r="B335" s="31" t="s">
        <v>1733</v>
      </c>
      <c r="C335" s="31" t="s">
        <v>1734</v>
      </c>
      <c r="D335" s="31" t="s">
        <v>1756</v>
      </c>
      <c r="E335" s="31" t="s">
        <v>1739</v>
      </c>
      <c r="F335" s="31">
        <v>0</v>
      </c>
      <c r="G335" s="31">
        <v>2</v>
      </c>
      <c r="H335" s="32">
        <v>0</v>
      </c>
      <c r="I335" s="31" t="s">
        <v>1736</v>
      </c>
      <c r="J335" s="31">
        <v>0</v>
      </c>
      <c r="K335" s="31">
        <v>0</v>
      </c>
      <c r="L335" s="31">
        <v>0</v>
      </c>
      <c r="M335" s="31">
        <v>0</v>
      </c>
      <c r="N335" s="31">
        <v>0</v>
      </c>
      <c r="O335" s="32">
        <v>0</v>
      </c>
    </row>
    <row r="336" spans="1:15">
      <c r="A336" s="31" t="s">
        <v>1748</v>
      </c>
      <c r="B336" s="31" t="s">
        <v>1733</v>
      </c>
      <c r="C336" s="31" t="s">
        <v>1734</v>
      </c>
      <c r="D336" s="31" t="s">
        <v>519</v>
      </c>
      <c r="E336" s="31" t="s">
        <v>1739</v>
      </c>
      <c r="F336" s="31">
        <v>3</v>
      </c>
      <c r="G336" s="31">
        <v>6</v>
      </c>
      <c r="H336" s="32">
        <v>0.5</v>
      </c>
      <c r="I336" s="31" t="s">
        <v>1736</v>
      </c>
      <c r="J336" s="31">
        <v>1.2</v>
      </c>
      <c r="K336" s="31">
        <v>3.59</v>
      </c>
      <c r="L336" s="31">
        <v>0</v>
      </c>
      <c r="M336" s="31">
        <v>0</v>
      </c>
      <c r="N336" s="31">
        <v>0</v>
      </c>
      <c r="O336" s="32">
        <v>0</v>
      </c>
    </row>
    <row r="337" spans="1:15">
      <c r="A337" s="31" t="s">
        <v>1748</v>
      </c>
      <c r="B337" s="31" t="s">
        <v>1733</v>
      </c>
      <c r="C337" s="31" t="s">
        <v>1734</v>
      </c>
      <c r="D337" s="31" t="s">
        <v>345</v>
      </c>
      <c r="E337" s="31" t="s">
        <v>1739</v>
      </c>
      <c r="F337" s="31">
        <v>3</v>
      </c>
      <c r="G337" s="31">
        <v>7</v>
      </c>
      <c r="H337" s="32">
        <v>0.42859999999999998</v>
      </c>
      <c r="I337" s="31" t="s">
        <v>1736</v>
      </c>
      <c r="J337" s="31">
        <v>2.37</v>
      </c>
      <c r="K337" s="31">
        <v>7.1</v>
      </c>
      <c r="L337" s="31">
        <v>0</v>
      </c>
      <c r="M337" s="31">
        <v>0</v>
      </c>
      <c r="N337" s="31">
        <v>0</v>
      </c>
      <c r="O337" s="32">
        <v>0</v>
      </c>
    </row>
    <row r="338" spans="1:15">
      <c r="A338" s="31" t="s">
        <v>1748</v>
      </c>
      <c r="B338" s="31" t="s">
        <v>1733</v>
      </c>
      <c r="C338" s="31" t="s">
        <v>1734</v>
      </c>
      <c r="D338" s="31" t="s">
        <v>380</v>
      </c>
      <c r="E338" s="31" t="s">
        <v>1739</v>
      </c>
      <c r="F338" s="31">
        <v>2</v>
      </c>
      <c r="G338" s="31">
        <v>13</v>
      </c>
      <c r="H338" s="32">
        <v>0.15379999999999999</v>
      </c>
      <c r="I338" s="31" t="s">
        <v>1736</v>
      </c>
      <c r="J338" s="31">
        <v>0.41</v>
      </c>
      <c r="K338" s="31">
        <v>0.82</v>
      </c>
      <c r="L338" s="31">
        <v>0</v>
      </c>
      <c r="M338" s="31">
        <v>0</v>
      </c>
      <c r="N338" s="31">
        <v>0</v>
      </c>
      <c r="O338" s="32">
        <v>0</v>
      </c>
    </row>
    <row r="339" spans="1:15">
      <c r="A339" s="31" t="s">
        <v>1748</v>
      </c>
      <c r="B339" s="31" t="s">
        <v>1733</v>
      </c>
      <c r="C339" s="31" t="s">
        <v>1734</v>
      </c>
      <c r="D339" s="31" t="s">
        <v>1760</v>
      </c>
      <c r="E339" s="31" t="s">
        <v>1739</v>
      </c>
      <c r="F339" s="31">
        <v>0</v>
      </c>
      <c r="G339" s="31">
        <v>1</v>
      </c>
      <c r="H339" s="32">
        <v>0</v>
      </c>
      <c r="I339" s="31" t="s">
        <v>1736</v>
      </c>
      <c r="J339" s="31">
        <v>0</v>
      </c>
      <c r="K339" s="31">
        <v>0</v>
      </c>
      <c r="L339" s="31">
        <v>0</v>
      </c>
      <c r="M339" s="31">
        <v>0</v>
      </c>
      <c r="N339" s="31">
        <v>0</v>
      </c>
      <c r="O339" s="32">
        <v>0</v>
      </c>
    </row>
    <row r="340" spans="1:15">
      <c r="A340" s="31" t="s">
        <v>1748</v>
      </c>
      <c r="B340" s="31" t="s">
        <v>1733</v>
      </c>
      <c r="C340" s="31" t="s">
        <v>1734</v>
      </c>
      <c r="D340" s="31" t="s">
        <v>445</v>
      </c>
      <c r="E340" s="31" t="s">
        <v>1739</v>
      </c>
      <c r="F340" s="31">
        <v>6</v>
      </c>
      <c r="G340" s="31">
        <v>39</v>
      </c>
      <c r="H340" s="32">
        <v>0.15379999999999999</v>
      </c>
      <c r="I340" s="31" t="s">
        <v>1736</v>
      </c>
      <c r="J340" s="31">
        <v>2.3199999999999998</v>
      </c>
      <c r="K340" s="31">
        <v>13.94</v>
      </c>
      <c r="L340" s="31">
        <v>0</v>
      </c>
      <c r="M340" s="31">
        <v>0</v>
      </c>
      <c r="N340" s="31">
        <v>0</v>
      </c>
      <c r="O340" s="32">
        <v>0</v>
      </c>
    </row>
    <row r="341" spans="1:15">
      <c r="A341" s="31" t="s">
        <v>1748</v>
      </c>
      <c r="B341" s="31" t="s">
        <v>1733</v>
      </c>
      <c r="C341" s="31" t="s">
        <v>1734</v>
      </c>
      <c r="D341" s="31" t="s">
        <v>776</v>
      </c>
      <c r="E341" s="31" t="s">
        <v>1739</v>
      </c>
      <c r="F341" s="31">
        <v>1</v>
      </c>
      <c r="G341" s="31">
        <v>2</v>
      </c>
      <c r="H341" s="32">
        <v>0.5</v>
      </c>
      <c r="I341" s="31" t="s">
        <v>1736</v>
      </c>
      <c r="J341" s="31">
        <v>4.0199999999999996</v>
      </c>
      <c r="K341" s="31">
        <v>4.0199999999999996</v>
      </c>
      <c r="L341" s="31">
        <v>0</v>
      </c>
      <c r="M341" s="31">
        <v>0</v>
      </c>
      <c r="N341" s="31">
        <v>0</v>
      </c>
      <c r="O341" s="32">
        <v>0</v>
      </c>
    </row>
    <row r="342" spans="1:15">
      <c r="A342" s="31" t="s">
        <v>1748</v>
      </c>
      <c r="B342" s="31" t="s">
        <v>1733</v>
      </c>
      <c r="C342" s="31" t="s">
        <v>1734</v>
      </c>
      <c r="D342" s="31" t="s">
        <v>1470</v>
      </c>
      <c r="E342" s="31" t="s">
        <v>1739</v>
      </c>
      <c r="F342" s="31">
        <v>2</v>
      </c>
      <c r="G342" s="31">
        <v>9</v>
      </c>
      <c r="H342" s="32">
        <v>0.22220000000000001</v>
      </c>
      <c r="I342" s="31" t="s">
        <v>1736</v>
      </c>
      <c r="J342" s="31">
        <v>0.85</v>
      </c>
      <c r="K342" s="31">
        <v>1.69</v>
      </c>
      <c r="L342" s="31">
        <v>0</v>
      </c>
      <c r="M342" s="31">
        <v>0</v>
      </c>
      <c r="N342" s="31">
        <v>0</v>
      </c>
      <c r="O342" s="32">
        <v>0</v>
      </c>
    </row>
    <row r="343" spans="1:15">
      <c r="A343" s="31" t="s">
        <v>1748</v>
      </c>
      <c r="B343" s="31" t="s">
        <v>1733</v>
      </c>
      <c r="C343" s="31" t="s">
        <v>1734</v>
      </c>
      <c r="D343" s="31" t="s">
        <v>1749</v>
      </c>
      <c r="E343" s="31" t="s">
        <v>1739</v>
      </c>
      <c r="F343" s="31">
        <v>1</v>
      </c>
      <c r="G343" s="31">
        <v>8</v>
      </c>
      <c r="H343" s="32">
        <v>0.125</v>
      </c>
      <c r="I343" s="31" t="s">
        <v>1736</v>
      </c>
      <c r="J343" s="31">
        <v>0.63</v>
      </c>
      <c r="K343" s="31">
        <v>0.63</v>
      </c>
      <c r="L343" s="31">
        <v>0</v>
      </c>
      <c r="M343" s="31">
        <v>0</v>
      </c>
      <c r="N343" s="31">
        <v>0</v>
      </c>
      <c r="O343" s="32">
        <v>0</v>
      </c>
    </row>
    <row r="344" spans="1:15">
      <c r="A344" s="31" t="s">
        <v>1748</v>
      </c>
      <c r="B344" s="31" t="s">
        <v>1733</v>
      </c>
      <c r="C344" s="31" t="s">
        <v>1734</v>
      </c>
      <c r="D344" s="31" t="s">
        <v>910</v>
      </c>
      <c r="E344" s="31" t="s">
        <v>1739</v>
      </c>
      <c r="F344" s="31">
        <v>3</v>
      </c>
      <c r="G344" s="31">
        <v>22</v>
      </c>
      <c r="H344" s="32">
        <v>0.13639999999999999</v>
      </c>
      <c r="I344" s="31" t="s">
        <v>1736</v>
      </c>
      <c r="J344" s="31">
        <v>0.47</v>
      </c>
      <c r="K344" s="31">
        <v>1.42</v>
      </c>
      <c r="L344" s="31">
        <v>0</v>
      </c>
      <c r="M344" s="31">
        <v>0</v>
      </c>
      <c r="N344" s="31">
        <v>0</v>
      </c>
      <c r="O344" s="32">
        <v>0</v>
      </c>
    </row>
    <row r="345" spans="1:15">
      <c r="A345" s="31" t="s">
        <v>1748</v>
      </c>
      <c r="B345" s="31" t="s">
        <v>1733</v>
      </c>
      <c r="C345" s="31" t="s">
        <v>1734</v>
      </c>
      <c r="D345" s="31" t="s">
        <v>1761</v>
      </c>
      <c r="E345" s="31" t="s">
        <v>1739</v>
      </c>
      <c r="F345" s="31">
        <v>1</v>
      </c>
      <c r="G345" s="31">
        <v>7</v>
      </c>
      <c r="H345" s="32">
        <v>0.1429</v>
      </c>
      <c r="I345" s="31" t="s">
        <v>1736</v>
      </c>
      <c r="J345" s="31">
        <v>3.68</v>
      </c>
      <c r="K345" s="31">
        <v>3.68</v>
      </c>
      <c r="L345" s="31">
        <v>0</v>
      </c>
      <c r="M345" s="31">
        <v>0</v>
      </c>
      <c r="N345" s="31">
        <v>0</v>
      </c>
      <c r="O345" s="32">
        <v>0</v>
      </c>
    </row>
    <row r="346" spans="1:15">
      <c r="A346" s="31" t="s">
        <v>1748</v>
      </c>
      <c r="B346" s="31" t="s">
        <v>1733</v>
      </c>
      <c r="C346" s="31" t="s">
        <v>1734</v>
      </c>
      <c r="D346" s="31" t="s">
        <v>1762</v>
      </c>
      <c r="E346" s="31" t="s">
        <v>1739</v>
      </c>
      <c r="F346" s="31">
        <v>0</v>
      </c>
      <c r="G346" s="31">
        <v>3</v>
      </c>
      <c r="H346" s="32">
        <v>0</v>
      </c>
      <c r="I346" s="31" t="s">
        <v>1736</v>
      </c>
      <c r="J346" s="31">
        <v>0</v>
      </c>
      <c r="K346" s="31">
        <v>0</v>
      </c>
      <c r="L346" s="31">
        <v>0</v>
      </c>
      <c r="M346" s="31">
        <v>0</v>
      </c>
      <c r="N346" s="31">
        <v>0</v>
      </c>
      <c r="O346" s="32">
        <v>0</v>
      </c>
    </row>
    <row r="347" spans="1:15">
      <c r="A347" s="31" t="s">
        <v>1748</v>
      </c>
      <c r="B347" s="31" t="s">
        <v>1733</v>
      </c>
      <c r="C347" s="31" t="s">
        <v>1734</v>
      </c>
      <c r="D347" s="31" t="s">
        <v>648</v>
      </c>
      <c r="E347" s="31" t="s">
        <v>1739</v>
      </c>
      <c r="F347" s="31">
        <v>2</v>
      </c>
      <c r="G347" s="31">
        <v>5</v>
      </c>
      <c r="H347" s="32">
        <v>0.4</v>
      </c>
      <c r="I347" s="31" t="s">
        <v>1736</v>
      </c>
      <c r="J347" s="31">
        <v>1.01</v>
      </c>
      <c r="K347" s="31">
        <v>2.02</v>
      </c>
      <c r="L347" s="31">
        <v>0</v>
      </c>
      <c r="M347" s="31">
        <v>0</v>
      </c>
      <c r="N347" s="31">
        <v>0</v>
      </c>
      <c r="O347" s="32">
        <v>0</v>
      </c>
    </row>
    <row r="348" spans="1:15">
      <c r="A348" s="31" t="s">
        <v>1748</v>
      </c>
      <c r="B348" s="31" t="s">
        <v>1733</v>
      </c>
      <c r="C348" s="31" t="s">
        <v>1734</v>
      </c>
      <c r="D348" s="31" t="s">
        <v>428</v>
      </c>
      <c r="E348" s="31" t="s">
        <v>1739</v>
      </c>
      <c r="F348" s="31">
        <v>2</v>
      </c>
      <c r="G348" s="31">
        <v>5</v>
      </c>
      <c r="H348" s="32">
        <v>0.4</v>
      </c>
      <c r="I348" s="31" t="s">
        <v>1736</v>
      </c>
      <c r="J348" s="31">
        <v>2.15</v>
      </c>
      <c r="K348" s="31">
        <v>4.29</v>
      </c>
      <c r="L348" s="31">
        <v>0</v>
      </c>
      <c r="M348" s="31">
        <v>0</v>
      </c>
      <c r="N348" s="31">
        <v>0</v>
      </c>
      <c r="O348" s="32">
        <v>0</v>
      </c>
    </row>
    <row r="349" spans="1:15">
      <c r="A349" s="31" t="s">
        <v>1748</v>
      </c>
      <c r="B349" s="31" t="s">
        <v>1733</v>
      </c>
      <c r="C349" s="31" t="s">
        <v>1734</v>
      </c>
      <c r="D349" s="31" t="s">
        <v>245</v>
      </c>
      <c r="E349" s="31" t="s">
        <v>1739</v>
      </c>
      <c r="F349" s="31">
        <v>0</v>
      </c>
      <c r="G349" s="31">
        <v>1</v>
      </c>
      <c r="H349" s="32">
        <v>0</v>
      </c>
      <c r="I349" s="31" t="s">
        <v>1736</v>
      </c>
      <c r="J349" s="31">
        <v>0</v>
      </c>
      <c r="K349" s="31">
        <v>0</v>
      </c>
      <c r="L349" s="31">
        <v>0</v>
      </c>
      <c r="M349" s="31">
        <v>0</v>
      </c>
      <c r="N349" s="31">
        <v>0</v>
      </c>
      <c r="O349" s="32">
        <v>0</v>
      </c>
    </row>
    <row r="350" spans="1:15">
      <c r="A350" s="31" t="s">
        <v>1748</v>
      </c>
      <c r="B350" s="31" t="s">
        <v>1733</v>
      </c>
      <c r="C350" s="31" t="s">
        <v>1734</v>
      </c>
      <c r="D350" s="31" t="s">
        <v>58</v>
      </c>
      <c r="E350" s="31" t="s">
        <v>1735</v>
      </c>
      <c r="F350" s="31">
        <v>1</v>
      </c>
      <c r="G350" s="31">
        <v>2</v>
      </c>
      <c r="H350" s="32">
        <v>0.5</v>
      </c>
      <c r="I350" s="31" t="s">
        <v>1736</v>
      </c>
      <c r="J350" s="31">
        <v>1.29</v>
      </c>
      <c r="K350" s="31">
        <v>1.29</v>
      </c>
      <c r="L350" s="31">
        <v>0</v>
      </c>
      <c r="M350" s="31">
        <v>0</v>
      </c>
      <c r="N350" s="31">
        <v>0</v>
      </c>
      <c r="O350" s="32">
        <v>0</v>
      </c>
    </row>
    <row r="351" spans="1:15">
      <c r="A351" s="31" t="s">
        <v>1748</v>
      </c>
      <c r="B351" s="31" t="s">
        <v>1733</v>
      </c>
      <c r="C351" s="31" t="s">
        <v>1734</v>
      </c>
      <c r="D351" s="31" t="s">
        <v>1752</v>
      </c>
      <c r="E351" s="31" t="s">
        <v>1735</v>
      </c>
      <c r="F351" s="31">
        <v>0</v>
      </c>
      <c r="G351" s="31">
        <v>2</v>
      </c>
      <c r="H351" s="32">
        <v>0</v>
      </c>
      <c r="I351" s="31" t="s">
        <v>1736</v>
      </c>
      <c r="J351" s="31">
        <v>0</v>
      </c>
      <c r="K351" s="31">
        <v>0</v>
      </c>
      <c r="L351" s="31">
        <v>0</v>
      </c>
      <c r="M351" s="31">
        <v>0</v>
      </c>
      <c r="N351" s="31">
        <v>0</v>
      </c>
      <c r="O351" s="32">
        <v>0</v>
      </c>
    </row>
    <row r="352" spans="1:15">
      <c r="A352" s="31" t="s">
        <v>1748</v>
      </c>
      <c r="B352" s="31" t="s">
        <v>1733</v>
      </c>
      <c r="C352" s="31" t="s">
        <v>1734</v>
      </c>
      <c r="D352" s="31" t="s">
        <v>519</v>
      </c>
      <c r="E352" s="31" t="s">
        <v>1735</v>
      </c>
      <c r="F352" s="31">
        <v>0</v>
      </c>
      <c r="G352" s="31">
        <v>2</v>
      </c>
      <c r="H352" s="32">
        <v>0</v>
      </c>
      <c r="I352" s="31" t="s">
        <v>1736</v>
      </c>
      <c r="J352" s="31">
        <v>0</v>
      </c>
      <c r="K352" s="31">
        <v>0</v>
      </c>
      <c r="L352" s="31">
        <v>0</v>
      </c>
      <c r="M352" s="31">
        <v>0</v>
      </c>
      <c r="N352" s="31">
        <v>0</v>
      </c>
      <c r="O352" s="32">
        <v>0</v>
      </c>
    </row>
    <row r="353" spans="1:15">
      <c r="A353" s="31" t="s">
        <v>1748</v>
      </c>
      <c r="B353" s="31" t="s">
        <v>1733</v>
      </c>
      <c r="C353" s="31" t="s">
        <v>1734</v>
      </c>
      <c r="D353" s="31" t="s">
        <v>345</v>
      </c>
      <c r="E353" s="31" t="s">
        <v>1735</v>
      </c>
      <c r="F353" s="31">
        <v>1</v>
      </c>
      <c r="G353" s="31">
        <v>4</v>
      </c>
      <c r="H353" s="32">
        <v>0.25</v>
      </c>
      <c r="I353" s="31" t="s">
        <v>1736</v>
      </c>
      <c r="J353" s="31">
        <v>1.72</v>
      </c>
      <c r="K353" s="31">
        <v>1.72</v>
      </c>
      <c r="L353" s="31">
        <v>0</v>
      </c>
      <c r="M353" s="31">
        <v>0</v>
      </c>
      <c r="N353" s="31">
        <v>0</v>
      </c>
      <c r="O353" s="32">
        <v>0</v>
      </c>
    </row>
    <row r="354" spans="1:15">
      <c r="A354" s="31" t="s">
        <v>1748</v>
      </c>
      <c r="B354" s="31" t="s">
        <v>1733</v>
      </c>
      <c r="C354" s="31" t="s">
        <v>1734</v>
      </c>
      <c r="D354" s="31" t="s">
        <v>380</v>
      </c>
      <c r="E354" s="31" t="s">
        <v>1735</v>
      </c>
      <c r="F354" s="31">
        <v>2</v>
      </c>
      <c r="G354" s="31">
        <v>21</v>
      </c>
      <c r="H354" s="32">
        <v>9.5200000000000007E-2</v>
      </c>
      <c r="I354" s="31" t="s">
        <v>1736</v>
      </c>
      <c r="J354" s="31">
        <v>1.04</v>
      </c>
      <c r="K354" s="31">
        <v>2.0699999999999998</v>
      </c>
      <c r="L354" s="31">
        <v>0</v>
      </c>
      <c r="M354" s="31">
        <v>0</v>
      </c>
      <c r="N354" s="31">
        <v>0</v>
      </c>
      <c r="O354" s="32">
        <v>0</v>
      </c>
    </row>
    <row r="355" spans="1:15">
      <c r="A355" s="31" t="s">
        <v>1748</v>
      </c>
      <c r="B355" s="31" t="s">
        <v>1733</v>
      </c>
      <c r="C355" s="31" t="s">
        <v>1734</v>
      </c>
      <c r="D355" s="31" t="s">
        <v>1760</v>
      </c>
      <c r="E355" s="31" t="s">
        <v>1735</v>
      </c>
      <c r="F355" s="31">
        <v>0</v>
      </c>
      <c r="G355" s="31">
        <v>1</v>
      </c>
      <c r="H355" s="32">
        <v>0</v>
      </c>
      <c r="I355" s="31" t="s">
        <v>1736</v>
      </c>
      <c r="J355" s="31">
        <v>0</v>
      </c>
      <c r="K355" s="31">
        <v>0</v>
      </c>
      <c r="L355" s="31">
        <v>0</v>
      </c>
      <c r="M355" s="31">
        <v>0</v>
      </c>
      <c r="N355" s="31">
        <v>0</v>
      </c>
      <c r="O355" s="32">
        <v>0</v>
      </c>
    </row>
    <row r="356" spans="1:15">
      <c r="A356" s="31" t="s">
        <v>1748</v>
      </c>
      <c r="B356" s="31" t="s">
        <v>1733</v>
      </c>
      <c r="C356" s="31" t="s">
        <v>1734</v>
      </c>
      <c r="D356" s="31" t="s">
        <v>445</v>
      </c>
      <c r="E356" s="31" t="s">
        <v>1735</v>
      </c>
      <c r="F356" s="31">
        <v>0</v>
      </c>
      <c r="G356" s="31">
        <v>5</v>
      </c>
      <c r="H356" s="32">
        <v>0</v>
      </c>
      <c r="I356" s="31" t="s">
        <v>1736</v>
      </c>
      <c r="J356" s="31">
        <v>0</v>
      </c>
      <c r="K356" s="31">
        <v>0</v>
      </c>
      <c r="L356" s="31">
        <v>0</v>
      </c>
      <c r="M356" s="31">
        <v>0</v>
      </c>
      <c r="N356" s="31">
        <v>0</v>
      </c>
      <c r="O356" s="32">
        <v>0</v>
      </c>
    </row>
    <row r="357" spans="1:15">
      <c r="A357" s="31" t="s">
        <v>1748</v>
      </c>
      <c r="B357" s="31" t="s">
        <v>1733</v>
      </c>
      <c r="C357" s="31" t="s">
        <v>1734</v>
      </c>
      <c r="D357" s="31" t="s">
        <v>776</v>
      </c>
      <c r="E357" s="31" t="s">
        <v>1735</v>
      </c>
      <c r="F357" s="31">
        <v>0</v>
      </c>
      <c r="G357" s="31">
        <v>1</v>
      </c>
      <c r="H357" s="32">
        <v>0</v>
      </c>
      <c r="I357" s="31" t="s">
        <v>1736</v>
      </c>
      <c r="J357" s="31">
        <v>0</v>
      </c>
      <c r="K357" s="31">
        <v>0</v>
      </c>
      <c r="L357" s="31">
        <v>0</v>
      </c>
      <c r="M357" s="31">
        <v>0</v>
      </c>
      <c r="N357" s="31">
        <v>0</v>
      </c>
      <c r="O357" s="32">
        <v>0</v>
      </c>
    </row>
    <row r="358" spans="1:15">
      <c r="A358" s="31" t="s">
        <v>1748</v>
      </c>
      <c r="B358" s="31" t="s">
        <v>1733</v>
      </c>
      <c r="C358" s="31" t="s">
        <v>1734</v>
      </c>
      <c r="D358" s="31" t="s">
        <v>1470</v>
      </c>
      <c r="E358" s="31" t="s">
        <v>1735</v>
      </c>
      <c r="F358" s="31">
        <v>2</v>
      </c>
      <c r="G358" s="31">
        <v>4</v>
      </c>
      <c r="H358" s="32">
        <v>0.5</v>
      </c>
      <c r="I358" s="31" t="s">
        <v>1736</v>
      </c>
      <c r="J358" s="31">
        <v>0.7</v>
      </c>
      <c r="K358" s="31">
        <v>1.4</v>
      </c>
      <c r="L358" s="31">
        <v>0</v>
      </c>
      <c r="M358" s="31">
        <v>0</v>
      </c>
      <c r="N358" s="31">
        <v>0</v>
      </c>
      <c r="O358" s="32">
        <v>0</v>
      </c>
    </row>
    <row r="359" spans="1:15">
      <c r="A359" s="31" t="s">
        <v>1748</v>
      </c>
      <c r="B359" s="31" t="s">
        <v>1733</v>
      </c>
      <c r="C359" s="31" t="s">
        <v>1734</v>
      </c>
      <c r="D359" s="31" t="s">
        <v>1755</v>
      </c>
      <c r="E359" s="31" t="s">
        <v>1735</v>
      </c>
      <c r="F359" s="31">
        <v>0</v>
      </c>
      <c r="G359" s="31">
        <v>1</v>
      </c>
      <c r="H359" s="32">
        <v>0</v>
      </c>
      <c r="I359" s="31" t="s">
        <v>1736</v>
      </c>
      <c r="J359" s="31">
        <v>0</v>
      </c>
      <c r="K359" s="31">
        <v>0</v>
      </c>
      <c r="L359" s="31">
        <v>0</v>
      </c>
      <c r="M359" s="31">
        <v>0</v>
      </c>
      <c r="N359" s="31">
        <v>0</v>
      </c>
      <c r="O359" s="32">
        <v>0</v>
      </c>
    </row>
    <row r="360" spans="1:15">
      <c r="A360" s="31" t="s">
        <v>1748</v>
      </c>
      <c r="B360" s="31" t="s">
        <v>1733</v>
      </c>
      <c r="C360" s="31" t="s">
        <v>1734</v>
      </c>
      <c r="D360" s="31" t="s">
        <v>1749</v>
      </c>
      <c r="E360" s="31" t="s">
        <v>1735</v>
      </c>
      <c r="F360" s="31">
        <v>3</v>
      </c>
      <c r="G360" s="31">
        <v>6</v>
      </c>
      <c r="H360" s="32">
        <v>0.5</v>
      </c>
      <c r="I360" s="31" t="s">
        <v>1736</v>
      </c>
      <c r="J360" s="31">
        <v>1.78</v>
      </c>
      <c r="K360" s="31">
        <v>5.35</v>
      </c>
      <c r="L360" s="31">
        <v>1</v>
      </c>
      <c r="M360" s="31">
        <v>0</v>
      </c>
      <c r="N360" s="31">
        <v>5.35</v>
      </c>
      <c r="O360" s="32">
        <v>0.33329999999999999</v>
      </c>
    </row>
    <row r="361" spans="1:15">
      <c r="A361" s="31" t="s">
        <v>1748</v>
      </c>
      <c r="B361" s="31" t="s">
        <v>1733</v>
      </c>
      <c r="C361" s="31" t="s">
        <v>1734</v>
      </c>
      <c r="D361" s="31" t="s">
        <v>910</v>
      </c>
      <c r="E361" s="31" t="s">
        <v>1735</v>
      </c>
      <c r="F361" s="31">
        <v>2</v>
      </c>
      <c r="G361" s="31">
        <v>8</v>
      </c>
      <c r="H361" s="32">
        <v>0.25</v>
      </c>
      <c r="I361" s="31" t="s">
        <v>1736</v>
      </c>
      <c r="J361" s="31">
        <v>1.31</v>
      </c>
      <c r="K361" s="31">
        <v>2.62</v>
      </c>
      <c r="L361" s="31">
        <v>0</v>
      </c>
      <c r="M361" s="31">
        <v>0</v>
      </c>
      <c r="N361" s="31">
        <v>0</v>
      </c>
      <c r="O361" s="32">
        <v>0</v>
      </c>
    </row>
    <row r="362" spans="1:15">
      <c r="A362" s="31" t="s">
        <v>1748</v>
      </c>
      <c r="B362" s="31" t="s">
        <v>1733</v>
      </c>
      <c r="C362" s="31" t="s">
        <v>1734</v>
      </c>
      <c r="D362" s="31" t="s">
        <v>1761</v>
      </c>
      <c r="E362" s="31" t="s">
        <v>1735</v>
      </c>
      <c r="F362" s="31">
        <v>0</v>
      </c>
      <c r="G362" s="31">
        <v>2</v>
      </c>
      <c r="H362" s="32">
        <v>0</v>
      </c>
      <c r="I362" s="31" t="s">
        <v>1736</v>
      </c>
      <c r="J362" s="31">
        <v>0</v>
      </c>
      <c r="K362" s="31">
        <v>0</v>
      </c>
      <c r="L362" s="31">
        <v>0</v>
      </c>
      <c r="M362" s="31">
        <v>0</v>
      </c>
      <c r="N362" s="31">
        <v>0</v>
      </c>
      <c r="O362" s="32">
        <v>0</v>
      </c>
    </row>
    <row r="363" spans="1:15">
      <c r="A363" s="31" t="s">
        <v>1748</v>
      </c>
      <c r="B363" s="31" t="s">
        <v>1733</v>
      </c>
      <c r="C363" s="31" t="s">
        <v>1734</v>
      </c>
      <c r="D363" s="31" t="s">
        <v>1769</v>
      </c>
      <c r="E363" s="31" t="s">
        <v>1735</v>
      </c>
      <c r="F363" s="31">
        <v>0</v>
      </c>
      <c r="G363" s="31">
        <v>4</v>
      </c>
      <c r="H363" s="32">
        <v>0</v>
      </c>
      <c r="I363" s="31" t="s">
        <v>1736</v>
      </c>
      <c r="J363" s="31">
        <v>0</v>
      </c>
      <c r="K363" s="31">
        <v>0</v>
      </c>
      <c r="L363" s="31">
        <v>0</v>
      </c>
      <c r="M363" s="31">
        <v>0</v>
      </c>
      <c r="N363" s="31">
        <v>0</v>
      </c>
      <c r="O363" s="32">
        <v>0</v>
      </c>
    </row>
    <row r="364" spans="1:15">
      <c r="A364" s="31" t="s">
        <v>1748</v>
      </c>
      <c r="B364" s="31" t="s">
        <v>1733</v>
      </c>
      <c r="C364" s="31" t="s">
        <v>1734</v>
      </c>
      <c r="D364" s="31" t="s">
        <v>648</v>
      </c>
      <c r="E364" s="31" t="s">
        <v>1735</v>
      </c>
      <c r="F364" s="31">
        <v>4</v>
      </c>
      <c r="G364" s="31">
        <v>12</v>
      </c>
      <c r="H364" s="32">
        <v>0.33329999999999999</v>
      </c>
      <c r="I364" s="31" t="s">
        <v>1736</v>
      </c>
      <c r="J364" s="31">
        <v>1.4</v>
      </c>
      <c r="K364" s="31">
        <v>5.59</v>
      </c>
      <c r="L364" s="31">
        <v>0</v>
      </c>
      <c r="M364" s="31">
        <v>0</v>
      </c>
      <c r="N364" s="31">
        <v>0</v>
      </c>
      <c r="O364" s="32">
        <v>0</v>
      </c>
    </row>
    <row r="365" spans="1:15">
      <c r="A365" s="31" t="s">
        <v>1748</v>
      </c>
      <c r="B365" s="31" t="s">
        <v>1733</v>
      </c>
      <c r="C365" s="31" t="s">
        <v>1734</v>
      </c>
      <c r="D365" s="31" t="s">
        <v>428</v>
      </c>
      <c r="E365" s="31" t="s">
        <v>1735</v>
      </c>
      <c r="F365" s="31">
        <v>2</v>
      </c>
      <c r="G365" s="31">
        <v>3</v>
      </c>
      <c r="H365" s="32">
        <v>0.66669999999999996</v>
      </c>
      <c r="I365" s="31" t="s">
        <v>1736</v>
      </c>
      <c r="J365" s="31">
        <v>0.85</v>
      </c>
      <c r="K365" s="31">
        <v>1.7</v>
      </c>
      <c r="L365" s="31">
        <v>0</v>
      </c>
      <c r="M365" s="31">
        <v>0</v>
      </c>
      <c r="N365" s="31">
        <v>0</v>
      </c>
      <c r="O365" s="32">
        <v>0</v>
      </c>
    </row>
    <row r="366" spans="1:15">
      <c r="A366" s="31" t="s">
        <v>1748</v>
      </c>
      <c r="B366" s="31" t="s">
        <v>1733</v>
      </c>
      <c r="C366" s="31" t="s">
        <v>1734</v>
      </c>
      <c r="D366" s="31" t="s">
        <v>245</v>
      </c>
      <c r="E366" s="31" t="s">
        <v>1735</v>
      </c>
      <c r="F366" s="31">
        <v>0</v>
      </c>
      <c r="G366" s="31">
        <v>7</v>
      </c>
      <c r="H366" s="32">
        <v>0</v>
      </c>
      <c r="I366" s="31" t="s">
        <v>1736</v>
      </c>
      <c r="J366" s="31">
        <v>0</v>
      </c>
      <c r="K366" s="31">
        <v>0</v>
      </c>
      <c r="L366" s="31">
        <v>0</v>
      </c>
      <c r="M366" s="31">
        <v>0</v>
      </c>
      <c r="N366" s="31">
        <v>0</v>
      </c>
      <c r="O366" s="32">
        <v>0</v>
      </c>
    </row>
    <row r="367" spans="1:15">
      <c r="A367" s="31" t="s">
        <v>1748</v>
      </c>
      <c r="B367" s="31" t="s">
        <v>1733</v>
      </c>
      <c r="C367" s="31" t="s">
        <v>1734</v>
      </c>
      <c r="D367" s="31" t="s">
        <v>1752</v>
      </c>
      <c r="E367" s="31" t="s">
        <v>1741</v>
      </c>
      <c r="F367" s="31">
        <v>0</v>
      </c>
      <c r="G367" s="31">
        <v>1</v>
      </c>
      <c r="H367" s="32">
        <v>0</v>
      </c>
      <c r="I367" s="31" t="s">
        <v>1736</v>
      </c>
      <c r="J367" s="31">
        <v>0</v>
      </c>
      <c r="K367" s="31">
        <v>0</v>
      </c>
      <c r="L367" s="31">
        <v>0</v>
      </c>
      <c r="M367" s="31">
        <v>0</v>
      </c>
      <c r="N367" s="31">
        <v>0</v>
      </c>
      <c r="O367" s="32">
        <v>0</v>
      </c>
    </row>
    <row r="368" spans="1:15">
      <c r="A368" s="31" t="s">
        <v>1748</v>
      </c>
      <c r="B368" s="31" t="s">
        <v>1733</v>
      </c>
      <c r="C368" s="31" t="s">
        <v>1734</v>
      </c>
      <c r="D368" s="31" t="s">
        <v>1765</v>
      </c>
      <c r="E368" s="31" t="s">
        <v>1741</v>
      </c>
      <c r="F368" s="31">
        <v>0</v>
      </c>
      <c r="G368" s="31">
        <v>1</v>
      </c>
      <c r="H368" s="32">
        <v>0</v>
      </c>
      <c r="I368" s="31" t="s">
        <v>1736</v>
      </c>
      <c r="J368" s="31">
        <v>0</v>
      </c>
      <c r="K368" s="31">
        <v>0</v>
      </c>
      <c r="L368" s="31">
        <v>0</v>
      </c>
      <c r="M368" s="31">
        <v>0</v>
      </c>
      <c r="N368" s="31">
        <v>0</v>
      </c>
      <c r="O368" s="32">
        <v>0</v>
      </c>
    </row>
    <row r="369" spans="1:15">
      <c r="A369" s="31" t="s">
        <v>1748</v>
      </c>
      <c r="B369" s="31" t="s">
        <v>1733</v>
      </c>
      <c r="C369" s="31" t="s">
        <v>1734</v>
      </c>
      <c r="D369" s="31" t="s">
        <v>1758</v>
      </c>
      <c r="E369" s="31" t="s">
        <v>1741</v>
      </c>
      <c r="F369" s="31">
        <v>0</v>
      </c>
      <c r="G369" s="31">
        <v>3</v>
      </c>
      <c r="H369" s="32">
        <v>0</v>
      </c>
      <c r="I369" s="31" t="s">
        <v>1736</v>
      </c>
      <c r="J369" s="31">
        <v>0</v>
      </c>
      <c r="K369" s="31">
        <v>0</v>
      </c>
      <c r="L369" s="31">
        <v>0</v>
      </c>
      <c r="M369" s="31">
        <v>0</v>
      </c>
      <c r="N369" s="31">
        <v>0</v>
      </c>
      <c r="O369" s="32">
        <v>0</v>
      </c>
    </row>
    <row r="370" spans="1:15">
      <c r="A370" s="31" t="s">
        <v>1748</v>
      </c>
      <c r="B370" s="31" t="s">
        <v>1733</v>
      </c>
      <c r="C370" s="31" t="s">
        <v>1734</v>
      </c>
      <c r="D370" s="31" t="s">
        <v>345</v>
      </c>
      <c r="E370" s="31" t="s">
        <v>1741</v>
      </c>
      <c r="F370" s="31">
        <v>1</v>
      </c>
      <c r="G370" s="31">
        <v>2</v>
      </c>
      <c r="H370" s="32">
        <v>0.5</v>
      </c>
      <c r="I370" s="31" t="s">
        <v>1736</v>
      </c>
      <c r="J370" s="31">
        <v>0.93</v>
      </c>
      <c r="K370" s="31">
        <v>0.93</v>
      </c>
      <c r="L370" s="31">
        <v>0</v>
      </c>
      <c r="M370" s="31">
        <v>0</v>
      </c>
      <c r="N370" s="31">
        <v>0</v>
      </c>
      <c r="O370" s="32">
        <v>0</v>
      </c>
    </row>
    <row r="371" spans="1:15">
      <c r="A371" s="31" t="s">
        <v>1748</v>
      </c>
      <c r="B371" s="31" t="s">
        <v>1733</v>
      </c>
      <c r="C371" s="31" t="s">
        <v>1734</v>
      </c>
      <c r="D371" s="31" t="s">
        <v>380</v>
      </c>
      <c r="E371" s="31" t="s">
        <v>1741</v>
      </c>
      <c r="F371" s="31">
        <v>2</v>
      </c>
      <c r="G371" s="31">
        <v>3</v>
      </c>
      <c r="H371" s="32">
        <v>0.66669999999999996</v>
      </c>
      <c r="I371" s="31" t="s">
        <v>1736</v>
      </c>
      <c r="J371" s="31">
        <v>1.52</v>
      </c>
      <c r="K371" s="31">
        <v>3.04</v>
      </c>
      <c r="L371" s="31">
        <v>0</v>
      </c>
      <c r="M371" s="31">
        <v>0</v>
      </c>
      <c r="N371" s="31">
        <v>0</v>
      </c>
      <c r="O371" s="32">
        <v>0</v>
      </c>
    </row>
    <row r="372" spans="1:15">
      <c r="A372" s="31" t="s">
        <v>1748</v>
      </c>
      <c r="B372" s="31" t="s">
        <v>1733</v>
      </c>
      <c r="C372" s="31" t="s">
        <v>1734</v>
      </c>
      <c r="D372" s="31" t="s">
        <v>445</v>
      </c>
      <c r="E372" s="31" t="s">
        <v>1741</v>
      </c>
      <c r="F372" s="31">
        <v>0</v>
      </c>
      <c r="G372" s="31">
        <v>2</v>
      </c>
      <c r="H372" s="32">
        <v>0</v>
      </c>
      <c r="I372" s="31" t="s">
        <v>1736</v>
      </c>
      <c r="J372" s="31">
        <v>0</v>
      </c>
      <c r="K372" s="31">
        <v>0</v>
      </c>
      <c r="L372" s="31">
        <v>0</v>
      </c>
      <c r="M372" s="31">
        <v>0</v>
      </c>
      <c r="N372" s="31">
        <v>0</v>
      </c>
      <c r="O372" s="32">
        <v>0</v>
      </c>
    </row>
    <row r="373" spans="1:15">
      <c r="A373" s="31" t="s">
        <v>1748</v>
      </c>
      <c r="B373" s="31" t="s">
        <v>1733</v>
      </c>
      <c r="C373" s="31" t="s">
        <v>1734</v>
      </c>
      <c r="D373" s="31" t="s">
        <v>776</v>
      </c>
      <c r="E373" s="31" t="s">
        <v>1741</v>
      </c>
      <c r="F373" s="31">
        <v>0</v>
      </c>
      <c r="G373" s="31">
        <v>1</v>
      </c>
      <c r="H373" s="32">
        <v>0</v>
      </c>
      <c r="I373" s="31" t="s">
        <v>1736</v>
      </c>
      <c r="J373" s="31">
        <v>0</v>
      </c>
      <c r="K373" s="31">
        <v>0</v>
      </c>
      <c r="L373" s="31">
        <v>0</v>
      </c>
      <c r="M373" s="31">
        <v>0</v>
      </c>
      <c r="N373" s="31">
        <v>0</v>
      </c>
      <c r="O373" s="32">
        <v>0</v>
      </c>
    </row>
    <row r="374" spans="1:15">
      <c r="A374" s="31" t="s">
        <v>1748</v>
      </c>
      <c r="B374" s="31" t="s">
        <v>1733</v>
      </c>
      <c r="C374" s="31" t="s">
        <v>1734</v>
      </c>
      <c r="D374" s="31" t="s">
        <v>1749</v>
      </c>
      <c r="E374" s="31" t="s">
        <v>1741</v>
      </c>
      <c r="F374" s="31">
        <v>0</v>
      </c>
      <c r="G374" s="31">
        <v>5</v>
      </c>
      <c r="H374" s="32">
        <v>0</v>
      </c>
      <c r="I374" s="31" t="s">
        <v>1736</v>
      </c>
      <c r="J374" s="31">
        <v>0</v>
      </c>
      <c r="K374" s="31">
        <v>0</v>
      </c>
      <c r="L374" s="31">
        <v>0</v>
      </c>
      <c r="M374" s="31">
        <v>0</v>
      </c>
      <c r="N374" s="31">
        <v>0</v>
      </c>
      <c r="O374" s="32">
        <v>0</v>
      </c>
    </row>
    <row r="375" spans="1:15">
      <c r="A375" s="31" t="s">
        <v>1748</v>
      </c>
      <c r="B375" s="31" t="s">
        <v>1733</v>
      </c>
      <c r="C375" s="31" t="s">
        <v>1734</v>
      </c>
      <c r="D375" s="31" t="s">
        <v>910</v>
      </c>
      <c r="E375" s="31" t="s">
        <v>1741</v>
      </c>
      <c r="F375" s="31">
        <v>1</v>
      </c>
      <c r="G375" s="31">
        <v>1</v>
      </c>
      <c r="H375" s="32">
        <v>1</v>
      </c>
      <c r="I375" s="31" t="s">
        <v>1736</v>
      </c>
      <c r="J375" s="31">
        <v>0.48</v>
      </c>
      <c r="K375" s="31">
        <v>0.48</v>
      </c>
      <c r="L375" s="31">
        <v>0</v>
      </c>
      <c r="M375" s="31">
        <v>0</v>
      </c>
      <c r="N375" s="31">
        <v>0</v>
      </c>
      <c r="O375" s="32">
        <v>0</v>
      </c>
    </row>
    <row r="376" spans="1:15">
      <c r="A376" s="31" t="s">
        <v>1748</v>
      </c>
      <c r="B376" s="31" t="s">
        <v>1733</v>
      </c>
      <c r="C376" s="31" t="s">
        <v>1734</v>
      </c>
      <c r="D376" s="31" t="s">
        <v>1761</v>
      </c>
      <c r="E376" s="31" t="s">
        <v>1741</v>
      </c>
      <c r="F376" s="31">
        <v>0</v>
      </c>
      <c r="G376" s="31">
        <v>2</v>
      </c>
      <c r="H376" s="32">
        <v>0</v>
      </c>
      <c r="I376" s="31" t="s">
        <v>1736</v>
      </c>
      <c r="J376" s="31">
        <v>0</v>
      </c>
      <c r="K376" s="31">
        <v>0</v>
      </c>
      <c r="L376" s="31">
        <v>0</v>
      </c>
      <c r="M376" s="31">
        <v>0</v>
      </c>
      <c r="N376" s="31">
        <v>0</v>
      </c>
      <c r="O376" s="32">
        <v>0</v>
      </c>
    </row>
    <row r="377" spans="1:15">
      <c r="A377" s="31" t="s">
        <v>1748</v>
      </c>
      <c r="B377" s="31" t="s">
        <v>1733</v>
      </c>
      <c r="C377" s="31" t="s">
        <v>1734</v>
      </c>
      <c r="D377" s="31" t="s">
        <v>648</v>
      </c>
      <c r="E377" s="31" t="s">
        <v>1741</v>
      </c>
      <c r="F377" s="31">
        <v>1</v>
      </c>
      <c r="G377" s="31">
        <v>7</v>
      </c>
      <c r="H377" s="32">
        <v>0.1429</v>
      </c>
      <c r="I377" s="31" t="s">
        <v>1736</v>
      </c>
      <c r="J377" s="31">
        <v>2.78</v>
      </c>
      <c r="K377" s="31">
        <v>2.78</v>
      </c>
      <c r="L377" s="31">
        <v>0</v>
      </c>
      <c r="M377" s="31">
        <v>0</v>
      </c>
      <c r="N377" s="31">
        <v>0</v>
      </c>
      <c r="O377" s="32">
        <v>0</v>
      </c>
    </row>
    <row r="378" spans="1:15">
      <c r="A378" s="31" t="s">
        <v>1748</v>
      </c>
      <c r="B378" s="31" t="s">
        <v>1733</v>
      </c>
      <c r="C378" s="31" t="s">
        <v>1734</v>
      </c>
      <c r="D378" s="31" t="s">
        <v>428</v>
      </c>
      <c r="E378" s="31" t="s">
        <v>1741</v>
      </c>
      <c r="F378" s="31">
        <v>0</v>
      </c>
      <c r="G378" s="31">
        <v>1</v>
      </c>
      <c r="H378" s="32">
        <v>0</v>
      </c>
      <c r="I378" s="31" t="s">
        <v>1736</v>
      </c>
      <c r="J378" s="31">
        <v>0</v>
      </c>
      <c r="K378" s="31">
        <v>0</v>
      </c>
      <c r="L378" s="31">
        <v>0</v>
      </c>
      <c r="M378" s="31">
        <v>0</v>
      </c>
      <c r="N378" s="31">
        <v>0</v>
      </c>
      <c r="O378" s="32">
        <v>0</v>
      </c>
    </row>
    <row r="379" spans="1:15">
      <c r="A379" s="31" t="s">
        <v>1748</v>
      </c>
      <c r="B379" s="31" t="s">
        <v>1733</v>
      </c>
      <c r="C379" s="31" t="s">
        <v>1734</v>
      </c>
      <c r="D379" s="31" t="s">
        <v>58</v>
      </c>
      <c r="E379" s="31" t="s">
        <v>1747</v>
      </c>
      <c r="F379" s="31">
        <v>0</v>
      </c>
      <c r="G379" s="31">
        <v>2</v>
      </c>
      <c r="H379" s="32">
        <v>0</v>
      </c>
      <c r="I379" s="31" t="s">
        <v>1736</v>
      </c>
      <c r="J379" s="31">
        <v>0</v>
      </c>
      <c r="K379" s="31">
        <v>0</v>
      </c>
      <c r="L379" s="31">
        <v>0</v>
      </c>
      <c r="M379" s="31">
        <v>0</v>
      </c>
      <c r="N379" s="31">
        <v>0</v>
      </c>
      <c r="O379" s="32">
        <v>0</v>
      </c>
    </row>
    <row r="380" spans="1:15">
      <c r="A380" s="31" t="s">
        <v>1748</v>
      </c>
      <c r="B380" s="31" t="s">
        <v>1733</v>
      </c>
      <c r="C380" s="31" t="s">
        <v>1734</v>
      </c>
      <c r="D380" s="31" t="s">
        <v>1752</v>
      </c>
      <c r="E380" s="31" t="s">
        <v>1747</v>
      </c>
      <c r="F380" s="31">
        <v>0</v>
      </c>
      <c r="G380" s="31">
        <v>7</v>
      </c>
      <c r="H380" s="32">
        <v>0</v>
      </c>
      <c r="I380" s="31" t="s">
        <v>1736</v>
      </c>
      <c r="J380" s="31">
        <v>0</v>
      </c>
      <c r="K380" s="31">
        <v>0</v>
      </c>
      <c r="L380" s="31">
        <v>0</v>
      </c>
      <c r="M380" s="31">
        <v>0</v>
      </c>
      <c r="N380" s="31">
        <v>0</v>
      </c>
      <c r="O380" s="32">
        <v>0</v>
      </c>
    </row>
    <row r="381" spans="1:15">
      <c r="A381" s="31" t="s">
        <v>1748</v>
      </c>
      <c r="B381" s="31" t="s">
        <v>1733</v>
      </c>
      <c r="C381" s="31" t="s">
        <v>1734</v>
      </c>
      <c r="D381" s="31" t="s">
        <v>1753</v>
      </c>
      <c r="E381" s="31" t="s">
        <v>1747</v>
      </c>
      <c r="F381" s="31">
        <v>0</v>
      </c>
      <c r="G381" s="31">
        <v>13</v>
      </c>
      <c r="H381" s="32">
        <v>0</v>
      </c>
      <c r="I381" s="31" t="s">
        <v>1736</v>
      </c>
      <c r="J381" s="31">
        <v>0</v>
      </c>
      <c r="K381" s="31">
        <v>0</v>
      </c>
      <c r="L381" s="31">
        <v>0</v>
      </c>
      <c r="M381" s="31">
        <v>0</v>
      </c>
      <c r="N381" s="31">
        <v>0</v>
      </c>
      <c r="O381" s="32">
        <v>0</v>
      </c>
    </row>
    <row r="382" spans="1:15">
      <c r="A382" s="31" t="s">
        <v>1748</v>
      </c>
      <c r="B382" s="31" t="s">
        <v>1733</v>
      </c>
      <c r="C382" s="31" t="s">
        <v>1734</v>
      </c>
      <c r="D382" s="31" t="s">
        <v>1765</v>
      </c>
      <c r="E382" s="31" t="s">
        <v>1747</v>
      </c>
      <c r="F382" s="31">
        <v>0</v>
      </c>
      <c r="G382" s="31">
        <v>1</v>
      </c>
      <c r="H382" s="32">
        <v>0</v>
      </c>
      <c r="I382" s="31" t="s">
        <v>1736</v>
      </c>
      <c r="J382" s="31">
        <v>0</v>
      </c>
      <c r="K382" s="31">
        <v>0</v>
      </c>
      <c r="L382" s="31">
        <v>0</v>
      </c>
      <c r="M382" s="31">
        <v>0</v>
      </c>
      <c r="N382" s="31">
        <v>0</v>
      </c>
      <c r="O382" s="32">
        <v>0</v>
      </c>
    </row>
    <row r="383" spans="1:15">
      <c r="A383" s="31" t="s">
        <v>1748</v>
      </c>
      <c r="B383" s="31" t="s">
        <v>1733</v>
      </c>
      <c r="C383" s="31" t="s">
        <v>1734</v>
      </c>
      <c r="D383" s="31" t="s">
        <v>1754</v>
      </c>
      <c r="E383" s="31" t="s">
        <v>1747</v>
      </c>
      <c r="F383" s="31">
        <v>0</v>
      </c>
      <c r="G383" s="31">
        <v>6</v>
      </c>
      <c r="H383" s="32">
        <v>0</v>
      </c>
      <c r="I383" s="31" t="s">
        <v>1736</v>
      </c>
      <c r="J383" s="31">
        <v>0</v>
      </c>
      <c r="K383" s="31">
        <v>0</v>
      </c>
      <c r="L383" s="31">
        <v>0</v>
      </c>
      <c r="M383" s="31">
        <v>0</v>
      </c>
      <c r="N383" s="31">
        <v>0</v>
      </c>
      <c r="O383" s="32">
        <v>0</v>
      </c>
    </row>
    <row r="384" spans="1:15">
      <c r="A384" s="31" t="s">
        <v>1748</v>
      </c>
      <c r="B384" s="31" t="s">
        <v>1733</v>
      </c>
      <c r="C384" s="31" t="s">
        <v>1734</v>
      </c>
      <c r="D384" s="31" t="s">
        <v>1766</v>
      </c>
      <c r="E384" s="31" t="s">
        <v>1747</v>
      </c>
      <c r="F384" s="31">
        <v>0</v>
      </c>
      <c r="G384" s="31">
        <v>1</v>
      </c>
      <c r="H384" s="32">
        <v>0</v>
      </c>
      <c r="I384" s="31" t="s">
        <v>1736</v>
      </c>
      <c r="J384" s="31">
        <v>0</v>
      </c>
      <c r="K384" s="31">
        <v>0</v>
      </c>
      <c r="L384" s="31">
        <v>0</v>
      </c>
      <c r="M384" s="31">
        <v>0</v>
      </c>
      <c r="N384" s="31">
        <v>0</v>
      </c>
      <c r="O384" s="32">
        <v>0</v>
      </c>
    </row>
    <row r="385" spans="1:15">
      <c r="A385" s="31" t="s">
        <v>1748</v>
      </c>
      <c r="B385" s="31" t="s">
        <v>1733</v>
      </c>
      <c r="C385" s="31" t="s">
        <v>1734</v>
      </c>
      <c r="D385" s="31" t="s">
        <v>1758</v>
      </c>
      <c r="E385" s="31" t="s">
        <v>1747</v>
      </c>
      <c r="F385" s="31">
        <v>0</v>
      </c>
      <c r="G385" s="31">
        <v>4</v>
      </c>
      <c r="H385" s="32">
        <v>0</v>
      </c>
      <c r="I385" s="31" t="s">
        <v>1736</v>
      </c>
      <c r="J385" s="31">
        <v>0</v>
      </c>
      <c r="K385" s="31">
        <v>0</v>
      </c>
      <c r="L385" s="31">
        <v>0</v>
      </c>
      <c r="M385" s="31">
        <v>0</v>
      </c>
      <c r="N385" s="31">
        <v>0</v>
      </c>
      <c r="O385" s="32">
        <v>0</v>
      </c>
    </row>
    <row r="386" spans="1:15">
      <c r="A386" s="31" t="s">
        <v>1748</v>
      </c>
      <c r="B386" s="31" t="s">
        <v>1733</v>
      </c>
      <c r="C386" s="31" t="s">
        <v>1734</v>
      </c>
      <c r="D386" s="31" t="s">
        <v>1756</v>
      </c>
      <c r="E386" s="31" t="s">
        <v>1747</v>
      </c>
      <c r="F386" s="31">
        <v>2</v>
      </c>
      <c r="G386" s="31">
        <v>6</v>
      </c>
      <c r="H386" s="32">
        <v>0.33329999999999999</v>
      </c>
      <c r="I386" s="31" t="s">
        <v>1736</v>
      </c>
      <c r="J386" s="31">
        <v>0.68</v>
      </c>
      <c r="K386" s="31">
        <v>1.36</v>
      </c>
      <c r="L386" s="31">
        <v>0</v>
      </c>
      <c r="M386" s="31">
        <v>0</v>
      </c>
      <c r="N386" s="31">
        <v>0</v>
      </c>
      <c r="O386" s="32">
        <v>0</v>
      </c>
    </row>
    <row r="387" spans="1:15">
      <c r="A387" s="31" t="s">
        <v>1748</v>
      </c>
      <c r="B387" s="31" t="s">
        <v>1733</v>
      </c>
      <c r="C387" s="31" t="s">
        <v>1734</v>
      </c>
      <c r="D387" s="31" t="s">
        <v>519</v>
      </c>
      <c r="E387" s="31" t="s">
        <v>1747</v>
      </c>
      <c r="F387" s="31">
        <v>0</v>
      </c>
      <c r="G387" s="31">
        <v>2</v>
      </c>
      <c r="H387" s="32">
        <v>0</v>
      </c>
      <c r="I387" s="31" t="s">
        <v>1736</v>
      </c>
      <c r="J387" s="31">
        <v>0</v>
      </c>
      <c r="K387" s="31">
        <v>0</v>
      </c>
      <c r="L387" s="31">
        <v>0</v>
      </c>
      <c r="M387" s="31">
        <v>0</v>
      </c>
      <c r="N387" s="31">
        <v>0</v>
      </c>
      <c r="O387" s="32">
        <v>0</v>
      </c>
    </row>
    <row r="388" spans="1:15">
      <c r="A388" s="31" t="s">
        <v>1748</v>
      </c>
      <c r="B388" s="31" t="s">
        <v>1733</v>
      </c>
      <c r="C388" s="31" t="s">
        <v>1734</v>
      </c>
      <c r="D388" s="31" t="s">
        <v>345</v>
      </c>
      <c r="E388" s="31" t="s">
        <v>1747</v>
      </c>
      <c r="F388" s="31">
        <v>9</v>
      </c>
      <c r="G388" s="31">
        <v>27</v>
      </c>
      <c r="H388" s="32">
        <v>0.33329999999999999</v>
      </c>
      <c r="I388" s="31" t="s">
        <v>1736</v>
      </c>
      <c r="J388" s="31">
        <v>0.83</v>
      </c>
      <c r="K388" s="31">
        <v>7.46</v>
      </c>
      <c r="L388" s="31">
        <v>1</v>
      </c>
      <c r="M388" s="31">
        <v>0</v>
      </c>
      <c r="N388" s="31">
        <v>7.46</v>
      </c>
      <c r="O388" s="32">
        <v>0.1111</v>
      </c>
    </row>
    <row r="389" spans="1:15">
      <c r="A389" s="31" t="s">
        <v>1748</v>
      </c>
      <c r="B389" s="31" t="s">
        <v>1733</v>
      </c>
      <c r="C389" s="31" t="s">
        <v>1734</v>
      </c>
      <c r="D389" s="31" t="s">
        <v>380</v>
      </c>
      <c r="E389" s="31" t="s">
        <v>1747</v>
      </c>
      <c r="F389" s="31">
        <v>1</v>
      </c>
      <c r="G389" s="31">
        <v>18</v>
      </c>
      <c r="H389" s="32">
        <v>5.5599999999999997E-2</v>
      </c>
      <c r="I389" s="31" t="s">
        <v>1736</v>
      </c>
      <c r="J389" s="31">
        <v>2.56</v>
      </c>
      <c r="K389" s="31">
        <v>2.56</v>
      </c>
      <c r="L389" s="31">
        <v>0</v>
      </c>
      <c r="M389" s="31">
        <v>0</v>
      </c>
      <c r="N389" s="31">
        <v>0</v>
      </c>
      <c r="O389" s="32">
        <v>0</v>
      </c>
    </row>
    <row r="390" spans="1:15">
      <c r="A390" s="31" t="s">
        <v>1748</v>
      </c>
      <c r="B390" s="31" t="s">
        <v>1733</v>
      </c>
      <c r="C390" s="31" t="s">
        <v>1734</v>
      </c>
      <c r="D390" s="31" t="s">
        <v>1759</v>
      </c>
      <c r="E390" s="31" t="s">
        <v>1747</v>
      </c>
      <c r="F390" s="31">
        <v>0</v>
      </c>
      <c r="G390" s="31">
        <v>2</v>
      </c>
      <c r="H390" s="32">
        <v>0</v>
      </c>
      <c r="I390" s="31" t="s">
        <v>1736</v>
      </c>
      <c r="J390" s="31">
        <v>0</v>
      </c>
      <c r="K390" s="31">
        <v>0</v>
      </c>
      <c r="L390" s="31">
        <v>0</v>
      </c>
      <c r="M390" s="31">
        <v>0</v>
      </c>
      <c r="N390" s="31">
        <v>0</v>
      </c>
      <c r="O390" s="32">
        <v>0</v>
      </c>
    </row>
    <row r="391" spans="1:15">
      <c r="A391" s="31" t="s">
        <v>1748</v>
      </c>
      <c r="B391" s="31" t="s">
        <v>1733</v>
      </c>
      <c r="C391" s="31" t="s">
        <v>1734</v>
      </c>
      <c r="D391" s="31" t="s">
        <v>1760</v>
      </c>
      <c r="E391" s="31" t="s">
        <v>1747</v>
      </c>
      <c r="F391" s="31">
        <v>0</v>
      </c>
      <c r="G391" s="31">
        <v>1</v>
      </c>
      <c r="H391" s="32">
        <v>0</v>
      </c>
      <c r="I391" s="31" t="s">
        <v>1736</v>
      </c>
      <c r="J391" s="31">
        <v>0</v>
      </c>
      <c r="K391" s="31">
        <v>0</v>
      </c>
      <c r="L391" s="31">
        <v>0</v>
      </c>
      <c r="M391" s="31">
        <v>0</v>
      </c>
      <c r="N391" s="31">
        <v>0</v>
      </c>
      <c r="O391" s="32">
        <v>0</v>
      </c>
    </row>
    <row r="392" spans="1:15">
      <c r="A392" s="31" t="s">
        <v>1748</v>
      </c>
      <c r="B392" s="31" t="s">
        <v>1733</v>
      </c>
      <c r="C392" s="31" t="s">
        <v>1734</v>
      </c>
      <c r="D392" s="31" t="s">
        <v>445</v>
      </c>
      <c r="E392" s="31" t="s">
        <v>1747</v>
      </c>
      <c r="F392" s="31">
        <v>2</v>
      </c>
      <c r="G392" s="31">
        <v>76</v>
      </c>
      <c r="H392" s="32">
        <v>2.63E-2</v>
      </c>
      <c r="I392" s="31" t="s">
        <v>1736</v>
      </c>
      <c r="J392" s="31">
        <v>1.41</v>
      </c>
      <c r="K392" s="31">
        <v>2.81</v>
      </c>
      <c r="L392" s="31">
        <v>0</v>
      </c>
      <c r="M392" s="31">
        <v>0</v>
      </c>
      <c r="N392" s="31">
        <v>0</v>
      </c>
      <c r="O392" s="32">
        <v>0</v>
      </c>
    </row>
    <row r="393" spans="1:15">
      <c r="A393" s="31" t="s">
        <v>1748</v>
      </c>
      <c r="B393" s="31" t="s">
        <v>1733</v>
      </c>
      <c r="C393" s="31" t="s">
        <v>1734</v>
      </c>
      <c r="D393" s="31" t="s">
        <v>776</v>
      </c>
      <c r="E393" s="31" t="s">
        <v>1747</v>
      </c>
      <c r="F393" s="31">
        <v>0</v>
      </c>
      <c r="G393" s="31">
        <v>18</v>
      </c>
      <c r="H393" s="32">
        <v>0</v>
      </c>
      <c r="I393" s="31" t="s">
        <v>1736</v>
      </c>
      <c r="J393" s="31">
        <v>0</v>
      </c>
      <c r="K393" s="31">
        <v>0</v>
      </c>
      <c r="L393" s="31">
        <v>0</v>
      </c>
      <c r="M393" s="31">
        <v>0</v>
      </c>
      <c r="N393" s="31">
        <v>0</v>
      </c>
      <c r="O393" s="32">
        <v>0</v>
      </c>
    </row>
    <row r="394" spans="1:15">
      <c r="A394" s="31" t="s">
        <v>1748</v>
      </c>
      <c r="B394" s="31" t="s">
        <v>1733</v>
      </c>
      <c r="C394" s="31" t="s">
        <v>1734</v>
      </c>
      <c r="D394" s="31" t="s">
        <v>1470</v>
      </c>
      <c r="E394" s="31" t="s">
        <v>1747</v>
      </c>
      <c r="F394" s="31">
        <v>2</v>
      </c>
      <c r="G394" s="31">
        <v>8</v>
      </c>
      <c r="H394" s="32">
        <v>0.25</v>
      </c>
      <c r="I394" s="31" t="s">
        <v>1736</v>
      </c>
      <c r="J394" s="31">
        <v>0.77</v>
      </c>
      <c r="K394" s="31">
        <v>1.53</v>
      </c>
      <c r="L394" s="31">
        <v>0</v>
      </c>
      <c r="M394" s="31">
        <v>0</v>
      </c>
      <c r="N394" s="31">
        <v>0</v>
      </c>
      <c r="O394" s="32">
        <v>0</v>
      </c>
    </row>
    <row r="395" spans="1:15">
      <c r="A395" s="31" t="s">
        <v>1748</v>
      </c>
      <c r="B395" s="31" t="s">
        <v>1733</v>
      </c>
      <c r="C395" s="31" t="s">
        <v>1734</v>
      </c>
      <c r="D395" s="31" t="s">
        <v>1767</v>
      </c>
      <c r="E395" s="31" t="s">
        <v>1747</v>
      </c>
      <c r="F395" s="31">
        <v>0</v>
      </c>
      <c r="G395" s="31">
        <v>2</v>
      </c>
      <c r="H395" s="32">
        <v>0</v>
      </c>
      <c r="I395" s="31" t="s">
        <v>1736</v>
      </c>
      <c r="J395" s="31">
        <v>0</v>
      </c>
      <c r="K395" s="31">
        <v>0</v>
      </c>
      <c r="L395" s="31">
        <v>0</v>
      </c>
      <c r="M395" s="31">
        <v>0</v>
      </c>
      <c r="N395" s="31">
        <v>0</v>
      </c>
      <c r="O395" s="32">
        <v>0</v>
      </c>
    </row>
    <row r="396" spans="1:15">
      <c r="A396" s="31" t="s">
        <v>1748</v>
      </c>
      <c r="B396" s="31" t="s">
        <v>1733</v>
      </c>
      <c r="C396" s="31" t="s">
        <v>1734</v>
      </c>
      <c r="D396" s="31" t="s">
        <v>1755</v>
      </c>
      <c r="E396" s="31" t="s">
        <v>1747</v>
      </c>
      <c r="F396" s="31">
        <v>0</v>
      </c>
      <c r="G396" s="31">
        <v>6</v>
      </c>
      <c r="H396" s="32">
        <v>0</v>
      </c>
      <c r="I396" s="31" t="s">
        <v>1736</v>
      </c>
      <c r="J396" s="31">
        <v>0</v>
      </c>
      <c r="K396" s="31">
        <v>0</v>
      </c>
      <c r="L396" s="31">
        <v>0</v>
      </c>
      <c r="M396" s="31">
        <v>0</v>
      </c>
      <c r="N396" s="31">
        <v>0</v>
      </c>
      <c r="O396" s="32">
        <v>0</v>
      </c>
    </row>
    <row r="397" spans="1:15">
      <c r="A397" s="31" t="s">
        <v>1748</v>
      </c>
      <c r="B397" s="31" t="s">
        <v>1733</v>
      </c>
      <c r="C397" s="31" t="s">
        <v>1734</v>
      </c>
      <c r="D397" s="31" t="s">
        <v>1749</v>
      </c>
      <c r="E397" s="31" t="s">
        <v>1747</v>
      </c>
      <c r="F397" s="31">
        <v>6</v>
      </c>
      <c r="G397" s="31">
        <v>38</v>
      </c>
      <c r="H397" s="32">
        <v>0.15790000000000001</v>
      </c>
      <c r="I397" s="31" t="s">
        <v>1736</v>
      </c>
      <c r="J397" s="31">
        <v>2.82</v>
      </c>
      <c r="K397" s="31">
        <v>16.95</v>
      </c>
      <c r="L397" s="31">
        <v>3</v>
      </c>
      <c r="M397" s="31">
        <v>0</v>
      </c>
      <c r="N397" s="31">
        <v>5.65</v>
      </c>
      <c r="O397" s="32">
        <v>0.5</v>
      </c>
    </row>
    <row r="398" spans="1:15">
      <c r="A398" s="31" t="s">
        <v>1748</v>
      </c>
      <c r="B398" s="31" t="s">
        <v>1733</v>
      </c>
      <c r="C398" s="31" t="s">
        <v>1734</v>
      </c>
      <c r="D398" s="31" t="s">
        <v>910</v>
      </c>
      <c r="E398" s="31" t="s">
        <v>1747</v>
      </c>
      <c r="F398" s="31">
        <v>4</v>
      </c>
      <c r="G398" s="31">
        <v>12</v>
      </c>
      <c r="H398" s="32">
        <v>0.33329999999999999</v>
      </c>
      <c r="I398" s="31" t="s">
        <v>1736</v>
      </c>
      <c r="J398" s="31">
        <v>1</v>
      </c>
      <c r="K398" s="31">
        <v>3.98</v>
      </c>
      <c r="L398" s="31">
        <v>0</v>
      </c>
      <c r="M398" s="31">
        <v>0</v>
      </c>
      <c r="N398" s="31">
        <v>0</v>
      </c>
      <c r="O398" s="32">
        <v>0</v>
      </c>
    </row>
    <row r="399" spans="1:15">
      <c r="A399" s="31" t="s">
        <v>1748</v>
      </c>
      <c r="B399" s="31" t="s">
        <v>1733</v>
      </c>
      <c r="C399" s="31" t="s">
        <v>1734</v>
      </c>
      <c r="D399" s="31" t="s">
        <v>1761</v>
      </c>
      <c r="E399" s="31" t="s">
        <v>1747</v>
      </c>
      <c r="F399" s="31">
        <v>0</v>
      </c>
      <c r="G399" s="31">
        <v>10</v>
      </c>
      <c r="H399" s="32">
        <v>0</v>
      </c>
      <c r="I399" s="31" t="s">
        <v>1736</v>
      </c>
      <c r="J399" s="31">
        <v>0</v>
      </c>
      <c r="K399" s="31">
        <v>0</v>
      </c>
      <c r="L399" s="31">
        <v>0</v>
      </c>
      <c r="M399" s="31">
        <v>0</v>
      </c>
      <c r="N399" s="31">
        <v>0</v>
      </c>
      <c r="O399" s="32">
        <v>0</v>
      </c>
    </row>
    <row r="400" spans="1:15">
      <c r="A400" s="31" t="s">
        <v>1748</v>
      </c>
      <c r="B400" s="31" t="s">
        <v>1733</v>
      </c>
      <c r="C400" s="31" t="s">
        <v>1734</v>
      </c>
      <c r="D400" s="31" t="s">
        <v>1762</v>
      </c>
      <c r="E400" s="31" t="s">
        <v>1747</v>
      </c>
      <c r="F400" s="31">
        <v>0</v>
      </c>
      <c r="G400" s="31">
        <v>2</v>
      </c>
      <c r="H400" s="32">
        <v>0</v>
      </c>
      <c r="I400" s="31" t="s">
        <v>1736</v>
      </c>
      <c r="J400" s="31">
        <v>0</v>
      </c>
      <c r="K400" s="31">
        <v>0</v>
      </c>
      <c r="L400" s="31">
        <v>0</v>
      </c>
      <c r="M400" s="31">
        <v>0</v>
      </c>
      <c r="N400" s="31">
        <v>0</v>
      </c>
      <c r="O400" s="32">
        <v>0</v>
      </c>
    </row>
    <row r="401" spans="1:15">
      <c r="A401" s="31" t="s">
        <v>1748</v>
      </c>
      <c r="B401" s="31" t="s">
        <v>1733</v>
      </c>
      <c r="C401" s="31" t="s">
        <v>1734</v>
      </c>
      <c r="D401" s="31" t="s">
        <v>1769</v>
      </c>
      <c r="E401" s="31" t="s">
        <v>1747</v>
      </c>
      <c r="F401" s="31">
        <v>0</v>
      </c>
      <c r="G401" s="31">
        <v>3</v>
      </c>
      <c r="H401" s="32">
        <v>0</v>
      </c>
      <c r="I401" s="31" t="s">
        <v>1736</v>
      </c>
      <c r="J401" s="31">
        <v>0</v>
      </c>
      <c r="K401" s="31">
        <v>0</v>
      </c>
      <c r="L401" s="31">
        <v>0</v>
      </c>
      <c r="M401" s="31">
        <v>0</v>
      </c>
      <c r="N401" s="31">
        <v>0</v>
      </c>
      <c r="O401" s="32">
        <v>0</v>
      </c>
    </row>
    <row r="402" spans="1:15">
      <c r="A402" s="31" t="s">
        <v>1748</v>
      </c>
      <c r="B402" s="31" t="s">
        <v>1733</v>
      </c>
      <c r="C402" s="31" t="s">
        <v>1734</v>
      </c>
      <c r="D402" s="31" t="s">
        <v>1768</v>
      </c>
      <c r="E402" s="31" t="s">
        <v>1747</v>
      </c>
      <c r="F402" s="31">
        <v>0</v>
      </c>
      <c r="G402" s="31">
        <v>1</v>
      </c>
      <c r="H402" s="32">
        <v>0</v>
      </c>
      <c r="I402" s="31" t="s">
        <v>1736</v>
      </c>
      <c r="J402" s="31">
        <v>0</v>
      </c>
      <c r="K402" s="31">
        <v>0</v>
      </c>
      <c r="L402" s="31">
        <v>0</v>
      </c>
      <c r="M402" s="31">
        <v>0</v>
      </c>
      <c r="N402" s="31">
        <v>0</v>
      </c>
      <c r="O402" s="32">
        <v>0</v>
      </c>
    </row>
    <row r="403" spans="1:15">
      <c r="A403" s="31" t="s">
        <v>1748</v>
      </c>
      <c r="B403" s="31" t="s">
        <v>1733</v>
      </c>
      <c r="C403" s="31" t="s">
        <v>1734</v>
      </c>
      <c r="D403" s="31" t="s">
        <v>648</v>
      </c>
      <c r="E403" s="31" t="s">
        <v>1747</v>
      </c>
      <c r="F403" s="31">
        <v>1</v>
      </c>
      <c r="G403" s="31">
        <v>18</v>
      </c>
      <c r="H403" s="32">
        <v>5.5599999999999997E-2</v>
      </c>
      <c r="I403" s="31" t="s">
        <v>1736</v>
      </c>
      <c r="J403" s="31">
        <v>1.53</v>
      </c>
      <c r="K403" s="31">
        <v>1.53</v>
      </c>
      <c r="L403" s="31">
        <v>0</v>
      </c>
      <c r="M403" s="31">
        <v>0</v>
      </c>
      <c r="N403" s="31">
        <v>0</v>
      </c>
      <c r="O403" s="32">
        <v>0</v>
      </c>
    </row>
    <row r="404" spans="1:15">
      <c r="A404" s="31" t="s">
        <v>1748</v>
      </c>
      <c r="B404" s="31" t="s">
        <v>1733</v>
      </c>
      <c r="C404" s="31" t="s">
        <v>1734</v>
      </c>
      <c r="D404" s="31" t="s">
        <v>428</v>
      </c>
      <c r="E404" s="31" t="s">
        <v>1747</v>
      </c>
      <c r="F404" s="31">
        <v>2</v>
      </c>
      <c r="G404" s="31">
        <v>10</v>
      </c>
      <c r="H404" s="32">
        <v>0.2</v>
      </c>
      <c r="I404" s="31" t="s">
        <v>1736</v>
      </c>
      <c r="J404" s="31">
        <v>2.41</v>
      </c>
      <c r="K404" s="31">
        <v>4.82</v>
      </c>
      <c r="L404" s="31">
        <v>0</v>
      </c>
      <c r="M404" s="31">
        <v>0</v>
      </c>
      <c r="N404" s="31">
        <v>0</v>
      </c>
      <c r="O404" s="32">
        <v>0</v>
      </c>
    </row>
    <row r="405" spans="1:15">
      <c r="A405" s="31" t="s">
        <v>1748</v>
      </c>
      <c r="B405" s="31" t="s">
        <v>1733</v>
      </c>
      <c r="C405" s="31" t="s">
        <v>1734</v>
      </c>
      <c r="D405" s="31" t="s">
        <v>245</v>
      </c>
      <c r="E405" s="31" t="s">
        <v>1747</v>
      </c>
      <c r="F405" s="31">
        <v>0</v>
      </c>
      <c r="G405" s="31">
        <v>5</v>
      </c>
      <c r="H405" s="32">
        <v>0</v>
      </c>
      <c r="I405" s="31" t="s">
        <v>1736</v>
      </c>
      <c r="J405" s="31">
        <v>0</v>
      </c>
      <c r="K405" s="31">
        <v>0</v>
      </c>
      <c r="L405" s="31">
        <v>0</v>
      </c>
      <c r="M405" s="31">
        <v>0</v>
      </c>
      <c r="N405" s="31">
        <v>0</v>
      </c>
      <c r="O405" s="32">
        <v>0</v>
      </c>
    </row>
    <row r="406" spans="1:15">
      <c r="A406" s="31" t="s">
        <v>1745</v>
      </c>
      <c r="B406" s="31" t="s">
        <v>1733</v>
      </c>
      <c r="C406" s="31" t="s">
        <v>1734</v>
      </c>
      <c r="D406" s="31" t="s">
        <v>358</v>
      </c>
      <c r="E406" s="31" t="s">
        <v>1770</v>
      </c>
      <c r="F406" s="31">
        <v>0</v>
      </c>
      <c r="G406" s="31">
        <v>2</v>
      </c>
      <c r="H406" s="32">
        <v>0</v>
      </c>
      <c r="I406" s="31" t="s">
        <v>1736</v>
      </c>
      <c r="J406" s="31">
        <v>0</v>
      </c>
      <c r="K406" s="31">
        <v>0</v>
      </c>
      <c r="L406" s="31">
        <v>0</v>
      </c>
      <c r="M406" s="31">
        <v>0</v>
      </c>
      <c r="N406" s="31">
        <v>0</v>
      </c>
      <c r="O406" s="32">
        <v>0</v>
      </c>
    </row>
    <row r="407" spans="1:15">
      <c r="A407" s="31" t="s">
        <v>1745</v>
      </c>
      <c r="B407" s="31" t="s">
        <v>1733</v>
      </c>
      <c r="C407" s="31" t="s">
        <v>1734</v>
      </c>
      <c r="D407" s="31" t="s">
        <v>256</v>
      </c>
      <c r="E407" s="31" t="s">
        <v>1770</v>
      </c>
      <c r="F407" s="31">
        <v>0</v>
      </c>
      <c r="G407" s="31">
        <v>1</v>
      </c>
      <c r="H407" s="32">
        <v>0</v>
      </c>
      <c r="I407" s="31" t="s">
        <v>1736</v>
      </c>
      <c r="J407" s="31">
        <v>0</v>
      </c>
      <c r="K407" s="31">
        <v>0</v>
      </c>
      <c r="L407" s="31">
        <v>0</v>
      </c>
      <c r="M407" s="31">
        <v>0</v>
      </c>
      <c r="N407" s="31">
        <v>0</v>
      </c>
      <c r="O407" s="32">
        <v>0</v>
      </c>
    </row>
    <row r="408" spans="1:15">
      <c r="A408" s="31" t="s">
        <v>1745</v>
      </c>
      <c r="B408" s="31" t="s">
        <v>1733</v>
      </c>
      <c r="C408" s="31" t="s">
        <v>1734</v>
      </c>
      <c r="D408" s="31" t="s">
        <v>1763</v>
      </c>
      <c r="E408" s="31" t="s">
        <v>1746</v>
      </c>
      <c r="F408" s="31">
        <v>1</v>
      </c>
      <c r="G408" s="31">
        <v>3</v>
      </c>
      <c r="H408" s="32">
        <v>0.33329999999999999</v>
      </c>
      <c r="I408" s="31" t="s">
        <v>1736</v>
      </c>
      <c r="J408" s="31">
        <v>0.7</v>
      </c>
      <c r="K408" s="31">
        <v>0.7</v>
      </c>
      <c r="L408" s="31">
        <v>0</v>
      </c>
      <c r="M408" s="31">
        <v>0</v>
      </c>
      <c r="N408" s="31">
        <v>0</v>
      </c>
      <c r="O408" s="32">
        <v>0</v>
      </c>
    </row>
    <row r="409" spans="1:15">
      <c r="A409" s="31" t="s">
        <v>1745</v>
      </c>
      <c r="B409" s="31" t="s">
        <v>1733</v>
      </c>
      <c r="C409" s="31" t="s">
        <v>1734</v>
      </c>
      <c r="D409" s="31" t="s">
        <v>110</v>
      </c>
      <c r="E409" s="31" t="s">
        <v>1746</v>
      </c>
      <c r="F409" s="31">
        <v>1</v>
      </c>
      <c r="G409" s="31">
        <v>3</v>
      </c>
      <c r="H409" s="32">
        <v>0.33329999999999999</v>
      </c>
      <c r="I409" s="31" t="s">
        <v>1736</v>
      </c>
      <c r="J409" s="31">
        <v>0.2</v>
      </c>
      <c r="K409" s="31">
        <v>0.2</v>
      </c>
      <c r="L409" s="31">
        <v>0</v>
      </c>
      <c r="M409" s="31">
        <v>0</v>
      </c>
      <c r="N409" s="31">
        <v>0</v>
      </c>
      <c r="O409" s="32">
        <v>0</v>
      </c>
    </row>
    <row r="410" spans="1:15">
      <c r="A410" s="31" t="s">
        <v>1745</v>
      </c>
      <c r="B410" s="31" t="s">
        <v>1733</v>
      </c>
      <c r="C410" s="31" t="s">
        <v>1734</v>
      </c>
      <c r="D410" s="31" t="s">
        <v>1764</v>
      </c>
      <c r="E410" s="31" t="s">
        <v>1746</v>
      </c>
      <c r="F410" s="31">
        <v>1</v>
      </c>
      <c r="G410" s="31">
        <v>1</v>
      </c>
      <c r="H410" s="32">
        <v>1</v>
      </c>
      <c r="I410" s="31" t="s">
        <v>1736</v>
      </c>
      <c r="J410" s="31">
        <v>0.85</v>
      </c>
      <c r="K410" s="31">
        <v>0.85</v>
      </c>
      <c r="L410" s="31">
        <v>0</v>
      </c>
      <c r="M410" s="31">
        <v>0</v>
      </c>
      <c r="N410" s="31">
        <v>0</v>
      </c>
      <c r="O410" s="32">
        <v>0</v>
      </c>
    </row>
    <row r="411" spans="1:15">
      <c r="A411" s="31" t="s">
        <v>1745</v>
      </c>
      <c r="B411" s="31" t="s">
        <v>1733</v>
      </c>
      <c r="C411" s="31" t="s">
        <v>1734</v>
      </c>
      <c r="D411" s="31" t="s">
        <v>1750</v>
      </c>
      <c r="E411" s="31" t="s">
        <v>1746</v>
      </c>
      <c r="F411" s="31">
        <v>6</v>
      </c>
      <c r="G411" s="31">
        <v>15</v>
      </c>
      <c r="H411" s="32">
        <v>0.4</v>
      </c>
      <c r="I411" s="31" t="s">
        <v>1736</v>
      </c>
      <c r="J411" s="31">
        <v>0.56000000000000005</v>
      </c>
      <c r="K411" s="31">
        <v>3.39</v>
      </c>
      <c r="L411" s="31">
        <v>3</v>
      </c>
      <c r="M411" s="31">
        <v>0</v>
      </c>
      <c r="N411" s="31">
        <v>1.1299999999999999</v>
      </c>
      <c r="O411" s="32">
        <v>0.5</v>
      </c>
    </row>
    <row r="412" spans="1:15">
      <c r="A412" s="31" t="s">
        <v>1745</v>
      </c>
      <c r="B412" s="31" t="s">
        <v>1733</v>
      </c>
      <c r="C412" s="31" t="s">
        <v>1734</v>
      </c>
      <c r="D412" s="31" t="s">
        <v>1771</v>
      </c>
      <c r="E412" s="31" t="s">
        <v>1746</v>
      </c>
      <c r="F412" s="31">
        <v>0</v>
      </c>
      <c r="G412" s="31">
        <v>0</v>
      </c>
      <c r="H412" s="32">
        <v>0</v>
      </c>
      <c r="I412" s="31" t="s">
        <v>1736</v>
      </c>
      <c r="J412" s="31">
        <v>0</v>
      </c>
      <c r="K412" s="31">
        <v>0</v>
      </c>
      <c r="L412" s="31">
        <v>0</v>
      </c>
      <c r="M412" s="31">
        <v>0</v>
      </c>
      <c r="N412" s="31">
        <v>0</v>
      </c>
      <c r="O412" s="32">
        <v>0</v>
      </c>
    </row>
    <row r="413" spans="1:15">
      <c r="A413" s="31" t="s">
        <v>1745</v>
      </c>
      <c r="B413" s="31" t="s">
        <v>1733</v>
      </c>
      <c r="C413" s="31" t="s">
        <v>1734</v>
      </c>
      <c r="D413" s="31" t="s">
        <v>358</v>
      </c>
      <c r="E413" s="31" t="s">
        <v>1746</v>
      </c>
      <c r="F413" s="31">
        <v>23</v>
      </c>
      <c r="G413" s="31">
        <v>68</v>
      </c>
      <c r="H413" s="32">
        <v>0.3382</v>
      </c>
      <c r="I413" s="31" t="s">
        <v>1736</v>
      </c>
      <c r="J413" s="31">
        <v>1.04</v>
      </c>
      <c r="K413" s="31">
        <v>23.88</v>
      </c>
      <c r="L413" s="31">
        <v>2</v>
      </c>
      <c r="M413" s="31">
        <v>0</v>
      </c>
      <c r="N413" s="31">
        <v>11.94</v>
      </c>
      <c r="O413" s="32">
        <v>8.6999999999999994E-2</v>
      </c>
    </row>
    <row r="414" spans="1:15">
      <c r="A414" s="31" t="s">
        <v>1745</v>
      </c>
      <c r="B414" s="31" t="s">
        <v>1733</v>
      </c>
      <c r="C414" s="31" t="s">
        <v>1734</v>
      </c>
      <c r="D414" s="31" t="s">
        <v>256</v>
      </c>
      <c r="E414" s="31" t="s">
        <v>1746</v>
      </c>
      <c r="F414" s="31">
        <v>2</v>
      </c>
      <c r="G414" s="31">
        <v>10</v>
      </c>
      <c r="H414" s="32">
        <v>0.2</v>
      </c>
      <c r="I414" s="31" t="s">
        <v>1736</v>
      </c>
      <c r="J414" s="31">
        <v>0.39</v>
      </c>
      <c r="K414" s="31">
        <v>0.79</v>
      </c>
      <c r="L414" s="31">
        <v>0</v>
      </c>
      <c r="M414" s="31">
        <v>0</v>
      </c>
      <c r="N414" s="31">
        <v>0</v>
      </c>
      <c r="O414" s="32">
        <v>0</v>
      </c>
    </row>
    <row r="415" spans="1:15">
      <c r="A415" s="31" t="s">
        <v>1745</v>
      </c>
      <c r="B415" s="31" t="s">
        <v>1733</v>
      </c>
      <c r="C415" s="31" t="s">
        <v>1734</v>
      </c>
      <c r="D415" s="31" t="s">
        <v>88</v>
      </c>
      <c r="E415" s="31" t="s">
        <v>1746</v>
      </c>
      <c r="F415" s="31">
        <v>0</v>
      </c>
      <c r="G415" s="31">
        <v>14</v>
      </c>
      <c r="H415" s="32">
        <v>0</v>
      </c>
      <c r="I415" s="31" t="s">
        <v>1736</v>
      </c>
      <c r="J415" s="31">
        <v>0</v>
      </c>
      <c r="K415" s="31">
        <v>0</v>
      </c>
      <c r="L415" s="31">
        <v>0</v>
      </c>
      <c r="M415" s="31">
        <v>0</v>
      </c>
      <c r="N415" s="31">
        <v>0</v>
      </c>
      <c r="O415" s="32">
        <v>0</v>
      </c>
    </row>
  </sheetData>
  <autoFilter ref="A3:O415" xr:uid="{906EB9E9-F703-4602-9052-3D5713C89254}"/>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EBA6-A25A-4643-B54E-5BBC2360E0D6}">
  <sheetPr filterMode="1"/>
  <dimension ref="A1:XEO1155"/>
  <sheetViews>
    <sheetView topLeftCell="D897" workbookViewId="0">
      <selection activeCell="M622" sqref="M622:M921"/>
    </sheetView>
  </sheetViews>
  <sheetFormatPr defaultColWidth="18.77734375" defaultRowHeight="14.4"/>
  <cols>
    <col min="1" max="16384" width="18.77734375" style="6"/>
  </cols>
  <sheetData>
    <row r="1" spans="1:16369" ht="30" customHeight="1">
      <c r="A1" s="33" t="s">
        <v>1772</v>
      </c>
      <c r="B1" s="33"/>
      <c r="C1" s="33"/>
      <c r="D1" s="33"/>
      <c r="E1" s="33"/>
    </row>
    <row r="2" spans="1:16369">
      <c r="A2" s="6" t="s">
        <v>1773</v>
      </c>
    </row>
    <row r="3" spans="1:16369">
      <c r="A3" s="6" t="s">
        <v>1774</v>
      </c>
    </row>
    <row r="4" spans="1:16369">
      <c r="A4" s="6" t="s">
        <v>1775</v>
      </c>
    </row>
    <row r="5" spans="1:16369">
      <c r="A5" s="6" t="s">
        <v>1776</v>
      </c>
    </row>
    <row r="7" spans="1:16369">
      <c r="A7" s="35" t="s">
        <v>1777</v>
      </c>
      <c r="B7" s="35" t="s">
        <v>1778</v>
      </c>
      <c r="C7" s="35" t="s">
        <v>1779</v>
      </c>
      <c r="D7" s="35" t="s">
        <v>1780</v>
      </c>
      <c r="E7" s="35"/>
      <c r="F7" s="35"/>
      <c r="G7" s="35" t="s">
        <v>1790</v>
      </c>
      <c r="H7" s="35" t="s">
        <v>1781</v>
      </c>
      <c r="I7" s="35" t="s">
        <v>1782</v>
      </c>
      <c r="J7" s="35" t="s">
        <v>1722</v>
      </c>
      <c r="K7" s="35" t="s">
        <v>1724</v>
      </c>
      <c r="L7" s="35" t="s">
        <v>1726</v>
      </c>
      <c r="M7" s="35" t="s">
        <v>1783</v>
      </c>
      <c r="N7" s="35" t="s">
        <v>1784</v>
      </c>
      <c r="O7" s="35" t="s">
        <v>1785</v>
      </c>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c r="BM7" s="36"/>
      <c r="BN7" s="36"/>
      <c r="BO7" s="36"/>
      <c r="BP7" s="36"/>
      <c r="BQ7" s="36"/>
      <c r="BR7" s="36"/>
      <c r="BS7" s="36"/>
      <c r="BT7" s="36"/>
      <c r="BU7" s="36"/>
      <c r="BV7" s="36"/>
      <c r="BW7" s="36"/>
      <c r="BX7" s="36"/>
      <c r="BY7" s="36"/>
      <c r="BZ7" s="36"/>
      <c r="CA7" s="36"/>
      <c r="CB7" s="36"/>
      <c r="CC7" s="36"/>
      <c r="CD7" s="36"/>
      <c r="CE7" s="36"/>
      <c r="CF7" s="36"/>
      <c r="CG7" s="36"/>
      <c r="CH7" s="36"/>
      <c r="CI7" s="36"/>
      <c r="CJ7" s="36"/>
      <c r="CK7" s="36"/>
      <c r="CL7" s="36"/>
      <c r="CM7" s="36"/>
      <c r="CN7" s="36"/>
      <c r="CO7" s="36"/>
      <c r="CP7" s="36"/>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c r="KW7" s="36"/>
      <c r="KX7" s="36"/>
      <c r="KY7" s="36"/>
      <c r="KZ7" s="36"/>
      <c r="LA7" s="36"/>
      <c r="LB7" s="36"/>
      <c r="LC7" s="36"/>
      <c r="LD7" s="36"/>
      <c r="LE7" s="36"/>
      <c r="LF7" s="36"/>
      <c r="LG7" s="36"/>
      <c r="LH7" s="36"/>
      <c r="LI7" s="36"/>
      <c r="LJ7" s="36"/>
      <c r="LK7" s="36"/>
      <c r="LL7" s="36"/>
      <c r="LM7" s="36"/>
      <c r="LN7" s="36"/>
      <c r="LO7" s="36"/>
      <c r="LP7" s="36"/>
      <c r="LQ7" s="36"/>
      <c r="LR7" s="36"/>
      <c r="LS7" s="36"/>
      <c r="LT7" s="36"/>
      <c r="LU7" s="36"/>
      <c r="LV7" s="36"/>
      <c r="LW7" s="36"/>
      <c r="LX7" s="36"/>
      <c r="LY7" s="36"/>
      <c r="LZ7" s="36"/>
      <c r="MA7" s="36"/>
      <c r="MB7" s="36"/>
      <c r="MC7" s="36"/>
      <c r="MD7" s="36"/>
      <c r="ME7" s="36"/>
      <c r="MF7" s="36"/>
      <c r="MG7" s="36"/>
      <c r="MH7" s="36"/>
      <c r="MI7" s="36"/>
      <c r="MJ7" s="36"/>
      <c r="MK7" s="36"/>
      <c r="ML7" s="36"/>
      <c r="MM7" s="36"/>
      <c r="MN7" s="36"/>
      <c r="MO7" s="36"/>
      <c r="MP7" s="36"/>
      <c r="MQ7" s="36"/>
      <c r="MR7" s="36"/>
      <c r="MS7" s="36"/>
      <c r="MT7" s="36"/>
      <c r="MU7" s="36"/>
      <c r="MV7" s="36"/>
      <c r="MW7" s="36"/>
      <c r="MX7" s="36"/>
      <c r="MY7" s="36"/>
      <c r="MZ7" s="36"/>
      <c r="NA7" s="36"/>
      <c r="NB7" s="36"/>
      <c r="NC7" s="36"/>
      <c r="ND7" s="36"/>
      <c r="NE7" s="36"/>
      <c r="NF7" s="36"/>
      <c r="NG7" s="36"/>
      <c r="NH7" s="36"/>
      <c r="NI7" s="36"/>
      <c r="NJ7" s="36"/>
      <c r="NK7" s="36"/>
      <c r="NL7" s="36"/>
      <c r="NM7" s="36"/>
      <c r="NN7" s="36"/>
      <c r="NO7" s="36"/>
      <c r="NP7" s="36"/>
      <c r="NQ7" s="36"/>
      <c r="NR7" s="36"/>
      <c r="NS7" s="36"/>
      <c r="NT7" s="36"/>
      <c r="NU7" s="36"/>
      <c r="NV7" s="36"/>
      <c r="NW7" s="36"/>
      <c r="NX7" s="36"/>
      <c r="NY7" s="36"/>
      <c r="NZ7" s="36"/>
      <c r="OA7" s="36"/>
      <c r="OB7" s="36"/>
      <c r="OC7" s="36"/>
      <c r="OD7" s="36"/>
      <c r="OE7" s="36"/>
      <c r="OF7" s="36"/>
      <c r="OG7" s="36"/>
      <c r="OH7" s="36"/>
      <c r="OI7" s="36"/>
      <c r="OJ7" s="36"/>
      <c r="OK7" s="36"/>
      <c r="OL7" s="36"/>
      <c r="OM7" s="36"/>
      <c r="ON7" s="36"/>
      <c r="OO7" s="36"/>
      <c r="OP7" s="36"/>
      <c r="OQ7" s="36"/>
      <c r="OR7" s="36"/>
      <c r="OS7" s="36"/>
      <c r="OT7" s="36"/>
      <c r="OU7" s="36"/>
      <c r="OV7" s="36"/>
      <c r="OW7" s="36"/>
      <c r="OX7" s="36"/>
      <c r="OY7" s="36"/>
      <c r="OZ7" s="36"/>
      <c r="PA7" s="36"/>
      <c r="PB7" s="36"/>
      <c r="PC7" s="36"/>
      <c r="PD7" s="36"/>
      <c r="PE7" s="36"/>
      <c r="PF7" s="36"/>
      <c r="PG7" s="36"/>
      <c r="PH7" s="36"/>
      <c r="PI7" s="36"/>
      <c r="PJ7" s="36"/>
      <c r="PK7" s="36"/>
      <c r="PL7" s="36"/>
      <c r="PM7" s="36"/>
      <c r="PN7" s="36"/>
      <c r="PO7" s="36"/>
      <c r="PP7" s="36"/>
      <c r="PQ7" s="36"/>
      <c r="PR7" s="36"/>
      <c r="PS7" s="36"/>
      <c r="PT7" s="36"/>
      <c r="PU7" s="36"/>
      <c r="PV7" s="36"/>
      <c r="PW7" s="36"/>
      <c r="PX7" s="36"/>
      <c r="PY7" s="36"/>
      <c r="PZ7" s="36"/>
      <c r="QA7" s="36"/>
      <c r="QB7" s="36"/>
      <c r="QC7" s="36"/>
      <c r="QD7" s="36"/>
      <c r="QE7" s="36"/>
      <c r="QF7" s="36"/>
      <c r="QG7" s="36"/>
      <c r="QH7" s="36"/>
      <c r="QI7" s="36"/>
      <c r="QJ7" s="36"/>
      <c r="QK7" s="36"/>
      <c r="QL7" s="36"/>
      <c r="QM7" s="36"/>
      <c r="QN7" s="36"/>
      <c r="QO7" s="36"/>
      <c r="QP7" s="36"/>
      <c r="QQ7" s="36"/>
      <c r="QR7" s="36"/>
      <c r="QS7" s="36"/>
      <c r="QT7" s="36"/>
      <c r="QU7" s="36"/>
      <c r="QV7" s="36"/>
      <c r="QW7" s="36"/>
      <c r="QX7" s="36"/>
      <c r="QY7" s="36"/>
      <c r="QZ7" s="36"/>
      <c r="RA7" s="36"/>
      <c r="RB7" s="36"/>
      <c r="RC7" s="36"/>
      <c r="RD7" s="36"/>
      <c r="RE7" s="36"/>
      <c r="RF7" s="36"/>
      <c r="RG7" s="36"/>
      <c r="RH7" s="36"/>
      <c r="RI7" s="36"/>
      <c r="RJ7" s="36"/>
      <c r="RK7" s="36"/>
      <c r="RL7" s="36"/>
      <c r="RM7" s="36"/>
      <c r="RN7" s="36"/>
      <c r="RO7" s="36"/>
      <c r="RP7" s="36"/>
      <c r="RQ7" s="36"/>
      <c r="RR7" s="36"/>
      <c r="RS7" s="36"/>
      <c r="RT7" s="36"/>
      <c r="RU7" s="36"/>
      <c r="RV7" s="36"/>
      <c r="RW7" s="36"/>
      <c r="RX7" s="36"/>
      <c r="RY7" s="36"/>
      <c r="RZ7" s="36"/>
      <c r="SA7" s="36"/>
      <c r="SB7" s="36"/>
      <c r="SC7" s="36"/>
      <c r="SD7" s="36"/>
      <c r="SE7" s="36"/>
      <c r="SF7" s="36"/>
      <c r="SG7" s="36"/>
      <c r="SH7" s="36"/>
      <c r="SI7" s="36"/>
      <c r="SJ7" s="36"/>
      <c r="SK7" s="36"/>
      <c r="SL7" s="36"/>
      <c r="SM7" s="36"/>
      <c r="SN7" s="36"/>
      <c r="SO7" s="36"/>
      <c r="SP7" s="36"/>
      <c r="SQ7" s="36"/>
      <c r="SR7" s="36"/>
      <c r="SS7" s="36"/>
      <c r="ST7" s="36"/>
      <c r="SU7" s="36"/>
      <c r="SV7" s="36"/>
      <c r="SW7" s="36"/>
      <c r="SX7" s="36"/>
      <c r="SY7" s="36"/>
      <c r="SZ7" s="36"/>
      <c r="TA7" s="36"/>
      <c r="TB7" s="36"/>
      <c r="TC7" s="36"/>
      <c r="TD7" s="36"/>
      <c r="TE7" s="36"/>
      <c r="TF7" s="36"/>
      <c r="TG7" s="36"/>
      <c r="TH7" s="36"/>
      <c r="TI7" s="36"/>
      <c r="TJ7" s="36"/>
      <c r="TK7" s="36"/>
      <c r="TL7" s="36"/>
      <c r="TM7" s="36"/>
      <c r="TN7" s="36"/>
      <c r="TO7" s="36"/>
      <c r="TP7" s="36"/>
      <c r="TQ7" s="36"/>
      <c r="TR7" s="36"/>
      <c r="TS7" s="36"/>
      <c r="TT7" s="36"/>
      <c r="TU7" s="36"/>
      <c r="TV7" s="36"/>
      <c r="TW7" s="36"/>
      <c r="TX7" s="36"/>
      <c r="TY7" s="36"/>
      <c r="TZ7" s="36"/>
      <c r="UA7" s="36"/>
      <c r="UB7" s="36"/>
      <c r="UC7" s="36"/>
      <c r="UD7" s="36"/>
      <c r="UE7" s="36"/>
      <c r="UF7" s="36"/>
      <c r="UG7" s="36"/>
      <c r="UH7" s="36"/>
      <c r="UI7" s="36"/>
      <c r="UJ7" s="36"/>
      <c r="UK7" s="36"/>
      <c r="UL7" s="36"/>
      <c r="UM7" s="36"/>
      <c r="UN7" s="36"/>
      <c r="UO7" s="36"/>
      <c r="UP7" s="36"/>
      <c r="UQ7" s="36"/>
      <c r="UR7" s="36"/>
      <c r="US7" s="36"/>
      <c r="UT7" s="36"/>
      <c r="UU7" s="36"/>
      <c r="UV7" s="36"/>
      <c r="UW7" s="36"/>
      <c r="UX7" s="36"/>
      <c r="UY7" s="36"/>
      <c r="UZ7" s="36"/>
      <c r="VA7" s="36"/>
      <c r="VB7" s="36"/>
      <c r="VC7" s="36"/>
      <c r="VD7" s="36"/>
      <c r="VE7" s="36"/>
      <c r="VF7" s="36"/>
      <c r="VG7" s="36"/>
      <c r="VH7" s="36"/>
      <c r="VI7" s="36"/>
      <c r="VJ7" s="36"/>
      <c r="VK7" s="36"/>
      <c r="VL7" s="36"/>
      <c r="VM7" s="36"/>
      <c r="VN7" s="36"/>
      <c r="VO7" s="36"/>
      <c r="VP7" s="36"/>
      <c r="VQ7" s="36"/>
      <c r="VR7" s="36"/>
      <c r="VS7" s="36"/>
      <c r="VT7" s="36"/>
      <c r="VU7" s="36"/>
      <c r="VV7" s="36"/>
      <c r="VW7" s="36"/>
      <c r="VX7" s="36"/>
      <c r="VY7" s="36"/>
      <c r="VZ7" s="36"/>
      <c r="WA7" s="36"/>
      <c r="WB7" s="36"/>
      <c r="WC7" s="36"/>
      <c r="WD7" s="36"/>
      <c r="WE7" s="36"/>
      <c r="WF7" s="36"/>
      <c r="WG7" s="36"/>
      <c r="WH7" s="36"/>
      <c r="WI7" s="36"/>
      <c r="WJ7" s="36"/>
      <c r="WK7" s="36"/>
      <c r="WL7" s="36"/>
      <c r="WM7" s="36"/>
      <c r="WN7" s="36"/>
      <c r="WO7" s="36"/>
      <c r="WP7" s="36"/>
      <c r="WQ7" s="36"/>
      <c r="WR7" s="36"/>
      <c r="WS7" s="36"/>
      <c r="WT7" s="36"/>
      <c r="WU7" s="36"/>
      <c r="WV7" s="36"/>
      <c r="WW7" s="36"/>
      <c r="WX7" s="36"/>
      <c r="WY7" s="36"/>
      <c r="WZ7" s="36"/>
      <c r="XA7" s="36"/>
      <c r="XB7" s="36"/>
      <c r="XC7" s="36"/>
      <c r="XD7" s="36"/>
      <c r="XE7" s="36"/>
      <c r="XF7" s="36"/>
      <c r="XG7" s="36"/>
      <c r="XH7" s="36"/>
      <c r="XI7" s="36"/>
      <c r="XJ7" s="36"/>
      <c r="XK7" s="36"/>
      <c r="XL7" s="36"/>
      <c r="XM7" s="36"/>
      <c r="XN7" s="36"/>
      <c r="XO7" s="36"/>
      <c r="XP7" s="36"/>
      <c r="XQ7" s="36"/>
      <c r="XR7" s="36"/>
      <c r="XS7" s="36"/>
      <c r="XT7" s="36"/>
      <c r="XU7" s="36"/>
      <c r="XV7" s="36"/>
      <c r="XW7" s="36"/>
      <c r="XX7" s="36"/>
      <c r="XY7" s="36"/>
      <c r="XZ7" s="36"/>
      <c r="YA7" s="36"/>
      <c r="YB7" s="36"/>
      <c r="YC7" s="36"/>
      <c r="YD7" s="36"/>
      <c r="YE7" s="36"/>
      <c r="YF7" s="36"/>
      <c r="YG7" s="36"/>
      <c r="YH7" s="36"/>
      <c r="YI7" s="36"/>
      <c r="YJ7" s="36"/>
      <c r="YK7" s="36"/>
      <c r="YL7" s="36"/>
      <c r="YM7" s="36"/>
      <c r="YN7" s="36"/>
      <c r="YO7" s="36"/>
      <c r="YP7" s="36"/>
      <c r="YQ7" s="36"/>
      <c r="YR7" s="36"/>
      <c r="YS7" s="36"/>
      <c r="YT7" s="36"/>
      <c r="YU7" s="36"/>
      <c r="YV7" s="36"/>
      <c r="YW7" s="36"/>
      <c r="YX7" s="36"/>
      <c r="YY7" s="36"/>
      <c r="YZ7" s="36"/>
      <c r="ZA7" s="36"/>
      <c r="ZB7" s="36"/>
      <c r="ZC7" s="36"/>
      <c r="ZD7" s="36"/>
      <c r="ZE7" s="36"/>
      <c r="ZF7" s="36"/>
      <c r="ZG7" s="36"/>
      <c r="ZH7" s="36"/>
      <c r="ZI7" s="36"/>
      <c r="ZJ7" s="36"/>
      <c r="ZK7" s="36"/>
      <c r="ZL7" s="36"/>
      <c r="ZM7" s="36"/>
      <c r="ZN7" s="36"/>
      <c r="ZO7" s="36"/>
      <c r="ZP7" s="36"/>
      <c r="ZQ7" s="36"/>
      <c r="ZR7" s="36"/>
      <c r="ZS7" s="36"/>
      <c r="ZT7" s="36"/>
      <c r="ZU7" s="36"/>
      <c r="ZV7" s="36"/>
      <c r="ZW7" s="36"/>
      <c r="ZX7" s="36"/>
      <c r="ZY7" s="36"/>
      <c r="ZZ7" s="36"/>
      <c r="AAA7" s="36"/>
      <c r="AAB7" s="36"/>
      <c r="AAC7" s="36"/>
      <c r="AAD7" s="36"/>
      <c r="AAE7" s="36"/>
      <c r="AAF7" s="36"/>
      <c r="AAG7" s="36"/>
      <c r="AAH7" s="36"/>
      <c r="AAI7" s="36"/>
      <c r="AAJ7" s="36"/>
      <c r="AAK7" s="36"/>
      <c r="AAL7" s="36"/>
      <c r="AAM7" s="36"/>
      <c r="AAN7" s="36"/>
      <c r="AAO7" s="36"/>
      <c r="AAP7" s="36"/>
      <c r="AAQ7" s="36"/>
      <c r="AAR7" s="36"/>
      <c r="AAS7" s="36"/>
      <c r="AAT7" s="36"/>
      <c r="AAU7" s="36"/>
      <c r="AAV7" s="36"/>
      <c r="AAW7" s="36"/>
      <c r="AAX7" s="36"/>
      <c r="AAY7" s="36"/>
      <c r="AAZ7" s="36"/>
      <c r="ABA7" s="36"/>
      <c r="ABB7" s="36"/>
      <c r="ABC7" s="36"/>
      <c r="ABD7" s="36"/>
      <c r="ABE7" s="36"/>
      <c r="ABF7" s="36"/>
      <c r="ABG7" s="36"/>
      <c r="ABH7" s="36"/>
      <c r="ABI7" s="36"/>
      <c r="ABJ7" s="36"/>
      <c r="ABK7" s="36"/>
      <c r="ABL7" s="36"/>
      <c r="ABM7" s="36"/>
      <c r="ABN7" s="36"/>
      <c r="ABO7" s="36"/>
      <c r="ABP7" s="36"/>
      <c r="ABQ7" s="36"/>
      <c r="ABR7" s="36"/>
      <c r="ABS7" s="36"/>
      <c r="ABT7" s="36"/>
      <c r="ABU7" s="36"/>
      <c r="ABV7" s="36"/>
      <c r="ABW7" s="36"/>
      <c r="ABX7" s="36"/>
      <c r="ABY7" s="36"/>
      <c r="ABZ7" s="36"/>
      <c r="ACA7" s="36"/>
      <c r="ACB7" s="36"/>
      <c r="ACC7" s="36"/>
      <c r="ACD7" s="36"/>
      <c r="ACE7" s="36"/>
      <c r="ACF7" s="36"/>
      <c r="ACG7" s="36"/>
      <c r="ACH7" s="36"/>
      <c r="ACI7" s="36"/>
      <c r="ACJ7" s="36"/>
      <c r="ACK7" s="36"/>
      <c r="ACL7" s="36"/>
      <c r="ACM7" s="36"/>
      <c r="ACN7" s="36"/>
      <c r="ACO7" s="36"/>
      <c r="ACP7" s="36"/>
      <c r="ACQ7" s="36"/>
      <c r="ACR7" s="36"/>
      <c r="ACS7" s="36"/>
      <c r="ACT7" s="36"/>
      <c r="ACU7" s="36"/>
      <c r="ACV7" s="36"/>
      <c r="ACW7" s="36"/>
      <c r="ACX7" s="36"/>
      <c r="ACY7" s="36"/>
      <c r="ACZ7" s="36"/>
      <c r="ADA7" s="36"/>
      <c r="ADB7" s="36"/>
      <c r="ADC7" s="36"/>
      <c r="ADD7" s="36"/>
      <c r="ADE7" s="36"/>
      <c r="ADF7" s="36"/>
      <c r="ADG7" s="36"/>
      <c r="ADH7" s="36"/>
      <c r="ADI7" s="36"/>
      <c r="ADJ7" s="36"/>
      <c r="ADK7" s="36"/>
      <c r="ADL7" s="36"/>
      <c r="ADM7" s="36"/>
      <c r="ADN7" s="36"/>
      <c r="ADO7" s="36"/>
      <c r="ADP7" s="36"/>
      <c r="ADQ7" s="36"/>
      <c r="ADR7" s="36"/>
      <c r="ADS7" s="36"/>
      <c r="ADT7" s="36"/>
      <c r="ADU7" s="36"/>
      <c r="ADV7" s="36"/>
      <c r="ADW7" s="36"/>
      <c r="ADX7" s="36"/>
      <c r="ADY7" s="36"/>
      <c r="ADZ7" s="36"/>
      <c r="AEA7" s="36"/>
      <c r="AEB7" s="36"/>
      <c r="AEC7" s="36"/>
      <c r="AED7" s="36"/>
      <c r="AEE7" s="36"/>
      <c r="AEF7" s="36"/>
      <c r="AEG7" s="36"/>
      <c r="AEH7" s="36"/>
      <c r="AEI7" s="36"/>
      <c r="AEJ7" s="36"/>
      <c r="AEK7" s="36"/>
      <c r="AEL7" s="36"/>
      <c r="AEM7" s="36"/>
      <c r="AEN7" s="36"/>
      <c r="AEO7" s="36"/>
      <c r="AEP7" s="36"/>
      <c r="AEQ7" s="36"/>
      <c r="AER7" s="36"/>
      <c r="AES7" s="36"/>
      <c r="AET7" s="36"/>
      <c r="AEU7" s="36"/>
      <c r="AEV7" s="36"/>
      <c r="AEW7" s="36"/>
      <c r="AEX7" s="36"/>
      <c r="AEY7" s="36"/>
      <c r="AEZ7" s="36"/>
      <c r="AFA7" s="36"/>
      <c r="AFB7" s="36"/>
      <c r="AFC7" s="36"/>
      <c r="AFD7" s="36"/>
      <c r="AFE7" s="36"/>
      <c r="AFF7" s="36"/>
      <c r="AFG7" s="36"/>
      <c r="AFH7" s="36"/>
      <c r="AFI7" s="36"/>
      <c r="AFJ7" s="36"/>
      <c r="AFK7" s="36"/>
      <c r="AFL7" s="36"/>
      <c r="AFM7" s="36"/>
      <c r="AFN7" s="36"/>
      <c r="AFO7" s="36"/>
      <c r="AFP7" s="36"/>
      <c r="AFQ7" s="36"/>
      <c r="AFR7" s="36"/>
      <c r="AFS7" s="36"/>
      <c r="AFT7" s="36"/>
      <c r="AFU7" s="36"/>
      <c r="AFV7" s="36"/>
      <c r="AFW7" s="36"/>
      <c r="AFX7" s="36"/>
      <c r="AFY7" s="36"/>
      <c r="AFZ7" s="36"/>
      <c r="AGA7" s="36"/>
      <c r="AGB7" s="36"/>
      <c r="AGC7" s="36"/>
      <c r="AGD7" s="36"/>
      <c r="AGE7" s="36"/>
      <c r="AGF7" s="36"/>
      <c r="AGG7" s="36"/>
      <c r="AGH7" s="36"/>
      <c r="AGI7" s="36"/>
      <c r="AGJ7" s="36"/>
      <c r="AGK7" s="36"/>
      <c r="AGL7" s="36"/>
      <c r="AGM7" s="36"/>
      <c r="AGN7" s="36"/>
      <c r="AGO7" s="36"/>
      <c r="AGP7" s="36"/>
      <c r="AGQ7" s="36"/>
      <c r="AGR7" s="36"/>
      <c r="AGS7" s="36"/>
      <c r="AGT7" s="36"/>
      <c r="AGU7" s="36"/>
      <c r="AGV7" s="36"/>
      <c r="AGW7" s="36"/>
      <c r="AGX7" s="36"/>
      <c r="AGY7" s="36"/>
      <c r="AGZ7" s="36"/>
      <c r="AHA7" s="36"/>
      <c r="AHB7" s="36"/>
      <c r="AHC7" s="36"/>
      <c r="AHD7" s="36"/>
      <c r="AHE7" s="36"/>
      <c r="AHF7" s="36"/>
      <c r="AHG7" s="36"/>
      <c r="AHH7" s="36"/>
      <c r="AHI7" s="36"/>
      <c r="AHJ7" s="36"/>
      <c r="AHK7" s="36"/>
      <c r="AHL7" s="36"/>
      <c r="AHM7" s="36"/>
      <c r="AHN7" s="36"/>
      <c r="AHO7" s="36"/>
      <c r="AHP7" s="36"/>
      <c r="AHQ7" s="36"/>
      <c r="AHR7" s="36"/>
      <c r="AHS7" s="36"/>
      <c r="AHT7" s="36"/>
      <c r="AHU7" s="36"/>
      <c r="AHV7" s="36"/>
      <c r="AHW7" s="36"/>
      <c r="AHX7" s="36"/>
      <c r="AHY7" s="36"/>
      <c r="AHZ7" s="36"/>
      <c r="AIA7" s="36"/>
      <c r="AIB7" s="36"/>
      <c r="AIC7" s="36"/>
      <c r="AID7" s="36"/>
      <c r="AIE7" s="36"/>
      <c r="AIF7" s="36"/>
      <c r="AIG7" s="36"/>
      <c r="AIH7" s="36"/>
      <c r="AII7" s="36"/>
      <c r="AIJ7" s="36"/>
      <c r="AIK7" s="36"/>
      <c r="AIL7" s="36"/>
      <c r="AIM7" s="36"/>
      <c r="AIN7" s="36"/>
      <c r="AIO7" s="36"/>
      <c r="AIP7" s="36"/>
      <c r="AIQ7" s="36"/>
      <c r="AIR7" s="36"/>
      <c r="AIS7" s="36"/>
      <c r="AIT7" s="36"/>
      <c r="AIU7" s="36"/>
      <c r="AIV7" s="36"/>
      <c r="AIW7" s="36"/>
      <c r="AIX7" s="36"/>
      <c r="AIY7" s="36"/>
      <c r="AIZ7" s="36"/>
      <c r="AJA7" s="36"/>
      <c r="AJB7" s="36"/>
      <c r="AJC7" s="36"/>
      <c r="AJD7" s="36"/>
      <c r="AJE7" s="36"/>
      <c r="AJF7" s="36"/>
      <c r="AJG7" s="36"/>
      <c r="AJH7" s="36"/>
      <c r="AJI7" s="36"/>
      <c r="AJJ7" s="36"/>
      <c r="AJK7" s="36"/>
      <c r="AJL7" s="36"/>
      <c r="AJM7" s="36"/>
      <c r="AJN7" s="36"/>
      <c r="AJO7" s="36"/>
      <c r="AJP7" s="36"/>
      <c r="AJQ7" s="36"/>
      <c r="AJR7" s="36"/>
      <c r="AJS7" s="36"/>
      <c r="AJT7" s="36"/>
      <c r="AJU7" s="36"/>
      <c r="AJV7" s="36"/>
      <c r="AJW7" s="36"/>
      <c r="AJX7" s="36"/>
      <c r="AJY7" s="36"/>
      <c r="AJZ7" s="36"/>
      <c r="AKA7" s="36"/>
      <c r="AKB7" s="36"/>
      <c r="AKC7" s="36"/>
      <c r="AKD7" s="36"/>
      <c r="AKE7" s="36"/>
      <c r="AKF7" s="36"/>
      <c r="AKG7" s="36"/>
      <c r="AKH7" s="36"/>
      <c r="AKI7" s="36"/>
      <c r="AKJ7" s="36"/>
      <c r="AKK7" s="36"/>
      <c r="AKL7" s="36"/>
      <c r="AKM7" s="36"/>
      <c r="AKN7" s="36"/>
      <c r="AKO7" s="36"/>
      <c r="AKP7" s="36"/>
      <c r="AKQ7" s="36"/>
      <c r="AKR7" s="36"/>
      <c r="AKS7" s="36"/>
      <c r="AKT7" s="36"/>
      <c r="AKU7" s="36"/>
      <c r="AKV7" s="36"/>
      <c r="AKW7" s="36"/>
      <c r="AKX7" s="36"/>
      <c r="AKY7" s="36"/>
      <c r="AKZ7" s="36"/>
      <c r="ALA7" s="36"/>
      <c r="ALB7" s="36"/>
      <c r="ALC7" s="36"/>
      <c r="ALD7" s="36"/>
      <c r="ALE7" s="36"/>
      <c r="ALF7" s="36"/>
      <c r="ALG7" s="36"/>
      <c r="ALH7" s="36"/>
      <c r="ALI7" s="36"/>
      <c r="ALJ7" s="36"/>
      <c r="ALK7" s="36"/>
      <c r="ALL7" s="36"/>
      <c r="ALM7" s="36"/>
      <c r="ALN7" s="36"/>
      <c r="ALO7" s="36"/>
      <c r="ALP7" s="36"/>
      <c r="ALQ7" s="36"/>
      <c r="ALR7" s="36"/>
      <c r="ALS7" s="36"/>
      <c r="ALT7" s="36"/>
      <c r="ALU7" s="36"/>
      <c r="ALV7" s="36"/>
      <c r="ALW7" s="36"/>
      <c r="ALX7" s="36"/>
      <c r="ALY7" s="36"/>
      <c r="ALZ7" s="36"/>
      <c r="AMA7" s="36"/>
      <c r="AMB7" s="36"/>
      <c r="AMC7" s="36"/>
      <c r="AMD7" s="36"/>
      <c r="AME7" s="36"/>
      <c r="AMF7" s="36"/>
      <c r="AMG7" s="36"/>
      <c r="AMH7" s="36"/>
      <c r="AMI7" s="36"/>
      <c r="AMJ7" s="36"/>
      <c r="AMK7" s="36"/>
      <c r="AML7" s="36"/>
      <c r="AMM7" s="36"/>
      <c r="AMN7" s="36"/>
      <c r="AMO7" s="36"/>
      <c r="AMP7" s="36"/>
      <c r="AMQ7" s="36"/>
      <c r="AMR7" s="36"/>
      <c r="AMS7" s="36"/>
      <c r="AMT7" s="36"/>
      <c r="AMU7" s="36"/>
      <c r="AMV7" s="36"/>
      <c r="AMW7" s="36"/>
      <c r="AMX7" s="36"/>
      <c r="AMY7" s="36"/>
      <c r="AMZ7" s="36"/>
      <c r="ANA7" s="36"/>
      <c r="ANB7" s="36"/>
      <c r="ANC7" s="36"/>
      <c r="AND7" s="36"/>
      <c r="ANE7" s="36"/>
      <c r="ANF7" s="36"/>
      <c r="ANG7" s="36"/>
      <c r="ANH7" s="36"/>
      <c r="ANI7" s="36"/>
      <c r="ANJ7" s="36"/>
      <c r="ANK7" s="36"/>
      <c r="ANL7" s="36"/>
      <c r="ANM7" s="36"/>
      <c r="ANN7" s="36"/>
      <c r="ANO7" s="36"/>
      <c r="ANP7" s="36"/>
      <c r="ANQ7" s="36"/>
      <c r="ANR7" s="36"/>
      <c r="ANS7" s="36"/>
      <c r="ANT7" s="36"/>
      <c r="ANU7" s="36"/>
      <c r="ANV7" s="36"/>
      <c r="ANW7" s="36"/>
      <c r="ANX7" s="36"/>
      <c r="ANY7" s="36"/>
      <c r="ANZ7" s="36"/>
      <c r="AOA7" s="36"/>
      <c r="AOB7" s="36"/>
      <c r="AOC7" s="36"/>
      <c r="AOD7" s="36"/>
      <c r="AOE7" s="36"/>
      <c r="AOF7" s="36"/>
      <c r="AOG7" s="36"/>
      <c r="AOH7" s="36"/>
      <c r="AOI7" s="36"/>
      <c r="AOJ7" s="36"/>
      <c r="AOK7" s="36"/>
      <c r="AOL7" s="36"/>
      <c r="AOM7" s="36"/>
      <c r="AON7" s="36"/>
      <c r="AOO7" s="36"/>
      <c r="AOP7" s="36"/>
      <c r="AOQ7" s="36"/>
      <c r="AOR7" s="36"/>
      <c r="AOS7" s="36"/>
      <c r="AOT7" s="36"/>
      <c r="AOU7" s="36"/>
      <c r="AOV7" s="36"/>
      <c r="AOW7" s="36"/>
      <c r="AOX7" s="36"/>
      <c r="AOY7" s="36"/>
      <c r="AOZ7" s="36"/>
      <c r="APA7" s="36"/>
      <c r="APB7" s="36"/>
      <c r="APC7" s="36"/>
      <c r="APD7" s="36"/>
      <c r="APE7" s="36"/>
      <c r="APF7" s="36"/>
      <c r="APG7" s="36"/>
      <c r="APH7" s="36"/>
      <c r="API7" s="36"/>
      <c r="APJ7" s="36"/>
      <c r="APK7" s="36"/>
      <c r="APL7" s="36"/>
      <c r="APM7" s="36"/>
      <c r="APN7" s="36"/>
      <c r="APO7" s="36"/>
      <c r="APP7" s="36"/>
      <c r="APQ7" s="36"/>
      <c r="APR7" s="36"/>
      <c r="APS7" s="36"/>
      <c r="APT7" s="36"/>
      <c r="APU7" s="36"/>
      <c r="APV7" s="36"/>
      <c r="APW7" s="36"/>
      <c r="APX7" s="36"/>
      <c r="APY7" s="36"/>
      <c r="APZ7" s="36"/>
      <c r="AQA7" s="36"/>
      <c r="AQB7" s="36"/>
      <c r="AQC7" s="36"/>
      <c r="AQD7" s="36"/>
      <c r="AQE7" s="36"/>
      <c r="AQF7" s="36"/>
      <c r="AQG7" s="36"/>
      <c r="AQH7" s="36"/>
      <c r="AQI7" s="36"/>
      <c r="AQJ7" s="36"/>
      <c r="AQK7" s="36"/>
      <c r="AQL7" s="36"/>
      <c r="AQM7" s="36"/>
      <c r="AQN7" s="36"/>
      <c r="AQO7" s="36"/>
      <c r="AQP7" s="36"/>
      <c r="AQQ7" s="36"/>
      <c r="AQR7" s="36"/>
      <c r="AQS7" s="36"/>
      <c r="AQT7" s="36"/>
      <c r="AQU7" s="36"/>
      <c r="AQV7" s="36"/>
      <c r="AQW7" s="36"/>
      <c r="AQX7" s="36"/>
      <c r="AQY7" s="36"/>
      <c r="AQZ7" s="36"/>
      <c r="ARA7" s="36"/>
      <c r="ARB7" s="36"/>
      <c r="ARC7" s="36"/>
      <c r="ARD7" s="36"/>
      <c r="ARE7" s="36"/>
      <c r="ARF7" s="36"/>
      <c r="ARG7" s="36"/>
      <c r="ARH7" s="36"/>
      <c r="ARI7" s="36"/>
      <c r="ARJ7" s="36"/>
      <c r="ARK7" s="36"/>
      <c r="ARL7" s="36"/>
      <c r="ARM7" s="36"/>
      <c r="ARN7" s="36"/>
      <c r="ARO7" s="36"/>
      <c r="ARP7" s="36"/>
      <c r="ARQ7" s="36"/>
      <c r="ARR7" s="36"/>
      <c r="ARS7" s="36"/>
      <c r="ART7" s="36"/>
      <c r="ARU7" s="36"/>
      <c r="ARV7" s="36"/>
      <c r="ARW7" s="36"/>
      <c r="ARX7" s="36"/>
      <c r="ARY7" s="36"/>
      <c r="ARZ7" s="36"/>
      <c r="ASA7" s="36"/>
      <c r="ASB7" s="36"/>
      <c r="ASC7" s="36"/>
      <c r="ASD7" s="36"/>
      <c r="ASE7" s="36"/>
      <c r="ASF7" s="36"/>
      <c r="ASG7" s="36"/>
      <c r="ASH7" s="36"/>
      <c r="ASI7" s="36"/>
      <c r="ASJ7" s="36"/>
      <c r="ASK7" s="36"/>
      <c r="ASL7" s="36"/>
      <c r="ASM7" s="36"/>
      <c r="ASN7" s="36"/>
      <c r="ASO7" s="36"/>
      <c r="ASP7" s="36"/>
      <c r="ASQ7" s="36"/>
      <c r="ASR7" s="36"/>
      <c r="ASS7" s="36"/>
      <c r="AST7" s="36"/>
      <c r="ASU7" s="36"/>
      <c r="ASV7" s="36"/>
      <c r="ASW7" s="36"/>
      <c r="ASX7" s="36"/>
      <c r="ASY7" s="36"/>
      <c r="ASZ7" s="36"/>
      <c r="ATA7" s="36"/>
      <c r="ATB7" s="36"/>
      <c r="ATC7" s="36"/>
      <c r="ATD7" s="36"/>
      <c r="ATE7" s="36"/>
      <c r="ATF7" s="36"/>
      <c r="ATG7" s="36"/>
      <c r="ATH7" s="36"/>
      <c r="ATI7" s="36"/>
      <c r="ATJ7" s="36"/>
      <c r="ATK7" s="36"/>
      <c r="ATL7" s="36"/>
      <c r="ATM7" s="36"/>
      <c r="ATN7" s="36"/>
      <c r="ATO7" s="36"/>
      <c r="ATP7" s="36"/>
      <c r="ATQ7" s="36"/>
      <c r="ATR7" s="36"/>
      <c r="ATS7" s="36"/>
      <c r="ATT7" s="36"/>
      <c r="ATU7" s="36"/>
      <c r="ATV7" s="36"/>
      <c r="ATW7" s="36"/>
      <c r="ATX7" s="36"/>
      <c r="ATY7" s="36"/>
      <c r="ATZ7" s="36"/>
      <c r="AUA7" s="36"/>
      <c r="AUB7" s="36"/>
      <c r="AUC7" s="36"/>
      <c r="AUD7" s="36"/>
      <c r="AUE7" s="36"/>
      <c r="AUF7" s="36"/>
      <c r="AUG7" s="36"/>
      <c r="AUH7" s="36"/>
      <c r="AUI7" s="36"/>
      <c r="AUJ7" s="36"/>
      <c r="AUK7" s="36"/>
      <c r="AUL7" s="36"/>
      <c r="AUM7" s="36"/>
      <c r="AUN7" s="36"/>
      <c r="AUO7" s="36"/>
      <c r="AUP7" s="36"/>
      <c r="AUQ7" s="36"/>
      <c r="AUR7" s="36"/>
      <c r="AUS7" s="36"/>
      <c r="AUT7" s="36"/>
      <c r="AUU7" s="36"/>
      <c r="AUV7" s="36"/>
      <c r="AUW7" s="36"/>
      <c r="AUX7" s="36"/>
      <c r="AUY7" s="36"/>
      <c r="AUZ7" s="36"/>
      <c r="AVA7" s="36"/>
      <c r="AVB7" s="36"/>
      <c r="AVC7" s="36"/>
      <c r="AVD7" s="36"/>
      <c r="AVE7" s="36"/>
      <c r="AVF7" s="36"/>
      <c r="AVG7" s="36"/>
      <c r="AVH7" s="36"/>
      <c r="AVI7" s="36"/>
      <c r="AVJ7" s="36"/>
      <c r="AVK7" s="36"/>
      <c r="AVL7" s="36"/>
      <c r="AVM7" s="36"/>
      <c r="AVN7" s="36"/>
      <c r="AVO7" s="36"/>
      <c r="AVP7" s="36"/>
      <c r="AVQ7" s="36"/>
      <c r="AVR7" s="36"/>
      <c r="AVS7" s="36"/>
      <c r="AVT7" s="36"/>
      <c r="AVU7" s="36"/>
      <c r="AVV7" s="36"/>
      <c r="AVW7" s="36"/>
      <c r="AVX7" s="36"/>
      <c r="AVY7" s="36"/>
      <c r="AVZ7" s="36"/>
      <c r="AWA7" s="36"/>
      <c r="AWB7" s="36"/>
      <c r="AWC7" s="36"/>
      <c r="AWD7" s="36"/>
      <c r="AWE7" s="36"/>
      <c r="AWF7" s="36"/>
      <c r="AWG7" s="36"/>
      <c r="AWH7" s="36"/>
      <c r="AWI7" s="36"/>
      <c r="AWJ7" s="36"/>
      <c r="AWK7" s="36"/>
      <c r="AWL7" s="36"/>
      <c r="AWM7" s="36"/>
      <c r="AWN7" s="36"/>
      <c r="AWO7" s="36"/>
      <c r="AWP7" s="36"/>
      <c r="AWQ7" s="36"/>
      <c r="AWR7" s="36"/>
      <c r="AWS7" s="36"/>
      <c r="AWT7" s="36"/>
      <c r="AWU7" s="36"/>
      <c r="AWV7" s="36"/>
      <c r="AWW7" s="36"/>
      <c r="AWX7" s="36"/>
      <c r="AWY7" s="36"/>
      <c r="AWZ7" s="36"/>
      <c r="AXA7" s="36"/>
      <c r="AXB7" s="36"/>
      <c r="AXC7" s="36"/>
      <c r="AXD7" s="36"/>
      <c r="AXE7" s="36"/>
      <c r="AXF7" s="36"/>
      <c r="AXG7" s="36"/>
      <c r="AXH7" s="36"/>
      <c r="AXI7" s="36"/>
      <c r="AXJ7" s="36"/>
      <c r="AXK7" s="36"/>
      <c r="AXL7" s="36"/>
      <c r="AXM7" s="36"/>
      <c r="AXN7" s="36"/>
      <c r="AXO7" s="36"/>
      <c r="AXP7" s="36"/>
      <c r="AXQ7" s="36"/>
      <c r="AXR7" s="36"/>
      <c r="AXS7" s="36"/>
      <c r="AXT7" s="36"/>
      <c r="AXU7" s="36"/>
      <c r="AXV7" s="36"/>
      <c r="AXW7" s="36"/>
      <c r="AXX7" s="36"/>
      <c r="AXY7" s="36"/>
      <c r="AXZ7" s="36"/>
      <c r="AYA7" s="36"/>
      <c r="AYB7" s="36"/>
      <c r="AYC7" s="36"/>
      <c r="AYD7" s="36"/>
      <c r="AYE7" s="36"/>
      <c r="AYF7" s="36"/>
      <c r="AYG7" s="36"/>
      <c r="AYH7" s="36"/>
      <c r="AYI7" s="36"/>
      <c r="AYJ7" s="36"/>
      <c r="AYK7" s="36"/>
      <c r="AYL7" s="36"/>
      <c r="AYM7" s="36"/>
      <c r="AYN7" s="36"/>
      <c r="AYO7" s="36"/>
      <c r="AYP7" s="36"/>
      <c r="AYQ7" s="36"/>
      <c r="AYR7" s="36"/>
      <c r="AYS7" s="36"/>
      <c r="AYT7" s="36"/>
      <c r="AYU7" s="36"/>
      <c r="AYV7" s="36"/>
      <c r="AYW7" s="36"/>
      <c r="AYX7" s="36"/>
      <c r="AYY7" s="36"/>
      <c r="AYZ7" s="36"/>
      <c r="AZA7" s="36"/>
      <c r="AZB7" s="36"/>
      <c r="AZC7" s="36"/>
      <c r="AZD7" s="36"/>
      <c r="AZE7" s="36"/>
      <c r="AZF7" s="36"/>
      <c r="AZG7" s="36"/>
      <c r="AZH7" s="36"/>
      <c r="AZI7" s="36"/>
      <c r="AZJ7" s="36"/>
      <c r="AZK7" s="36"/>
      <c r="AZL7" s="36"/>
      <c r="AZM7" s="36"/>
      <c r="AZN7" s="36"/>
      <c r="AZO7" s="36"/>
      <c r="AZP7" s="36"/>
      <c r="AZQ7" s="36"/>
      <c r="AZR7" s="36"/>
      <c r="AZS7" s="36"/>
      <c r="AZT7" s="36"/>
      <c r="AZU7" s="36"/>
      <c r="AZV7" s="36"/>
      <c r="AZW7" s="36"/>
      <c r="AZX7" s="36"/>
      <c r="AZY7" s="36"/>
      <c r="AZZ7" s="36"/>
      <c r="BAA7" s="36"/>
      <c r="BAB7" s="36"/>
      <c r="BAC7" s="36"/>
      <c r="BAD7" s="36"/>
      <c r="BAE7" s="36"/>
      <c r="BAF7" s="36"/>
      <c r="BAG7" s="36"/>
      <c r="BAH7" s="36"/>
      <c r="BAI7" s="36"/>
      <c r="BAJ7" s="36"/>
      <c r="BAK7" s="36"/>
      <c r="BAL7" s="36"/>
      <c r="BAM7" s="36"/>
      <c r="BAN7" s="36"/>
      <c r="BAO7" s="36"/>
      <c r="BAP7" s="36"/>
      <c r="BAQ7" s="36"/>
      <c r="BAR7" s="36"/>
      <c r="BAS7" s="36"/>
      <c r="BAT7" s="36"/>
      <c r="BAU7" s="36"/>
      <c r="BAV7" s="36"/>
      <c r="BAW7" s="36"/>
      <c r="BAX7" s="36"/>
      <c r="BAY7" s="36"/>
      <c r="BAZ7" s="36"/>
      <c r="BBA7" s="36"/>
      <c r="BBB7" s="36"/>
      <c r="BBC7" s="36"/>
      <c r="BBD7" s="36"/>
      <c r="BBE7" s="36"/>
      <c r="BBF7" s="36"/>
      <c r="BBG7" s="36"/>
      <c r="BBH7" s="36"/>
      <c r="BBI7" s="36"/>
      <c r="BBJ7" s="36"/>
      <c r="BBK7" s="36"/>
      <c r="BBL7" s="36"/>
      <c r="BBM7" s="36"/>
      <c r="BBN7" s="36"/>
      <c r="BBO7" s="36"/>
      <c r="BBP7" s="36"/>
      <c r="BBQ7" s="36"/>
      <c r="BBR7" s="36"/>
      <c r="BBS7" s="36"/>
      <c r="BBT7" s="36"/>
      <c r="BBU7" s="36"/>
      <c r="BBV7" s="36"/>
      <c r="BBW7" s="36"/>
      <c r="BBX7" s="36"/>
      <c r="BBY7" s="36"/>
      <c r="BBZ7" s="36"/>
      <c r="BCA7" s="36"/>
      <c r="BCB7" s="36"/>
      <c r="BCC7" s="36"/>
      <c r="BCD7" s="36"/>
      <c r="BCE7" s="36"/>
      <c r="BCF7" s="36"/>
      <c r="BCG7" s="36"/>
      <c r="BCH7" s="36"/>
      <c r="BCI7" s="36"/>
      <c r="BCJ7" s="36"/>
      <c r="BCK7" s="36"/>
      <c r="BCL7" s="36"/>
      <c r="BCM7" s="36"/>
      <c r="BCN7" s="36"/>
      <c r="BCO7" s="36"/>
      <c r="BCP7" s="36"/>
      <c r="BCQ7" s="36"/>
      <c r="BCR7" s="36"/>
      <c r="BCS7" s="36"/>
      <c r="BCT7" s="36"/>
      <c r="BCU7" s="36"/>
      <c r="BCV7" s="36"/>
      <c r="BCW7" s="36"/>
      <c r="BCX7" s="36"/>
      <c r="BCY7" s="36"/>
      <c r="BCZ7" s="36"/>
      <c r="BDA7" s="36"/>
      <c r="BDB7" s="36"/>
      <c r="BDC7" s="36"/>
      <c r="BDD7" s="36"/>
      <c r="BDE7" s="36"/>
      <c r="BDF7" s="36"/>
      <c r="BDG7" s="36"/>
      <c r="BDH7" s="36"/>
      <c r="BDI7" s="36"/>
      <c r="BDJ7" s="36"/>
      <c r="BDK7" s="36"/>
      <c r="BDL7" s="36"/>
      <c r="BDM7" s="36"/>
      <c r="BDN7" s="36"/>
      <c r="BDO7" s="36"/>
      <c r="BDP7" s="36"/>
      <c r="BDQ7" s="36"/>
      <c r="BDR7" s="36"/>
      <c r="BDS7" s="36"/>
      <c r="BDT7" s="36"/>
      <c r="BDU7" s="36"/>
      <c r="BDV7" s="36"/>
      <c r="BDW7" s="36"/>
      <c r="BDX7" s="36"/>
      <c r="BDY7" s="36"/>
      <c r="BDZ7" s="36"/>
      <c r="BEA7" s="36"/>
      <c r="BEB7" s="36"/>
      <c r="BEC7" s="36"/>
      <c r="BED7" s="36"/>
      <c r="BEE7" s="36"/>
      <c r="BEF7" s="36"/>
      <c r="BEG7" s="36"/>
      <c r="BEH7" s="36"/>
      <c r="BEI7" s="36"/>
      <c r="BEJ7" s="36"/>
      <c r="BEK7" s="36"/>
      <c r="BEL7" s="36"/>
      <c r="BEM7" s="36"/>
      <c r="BEN7" s="36"/>
      <c r="BEO7" s="36"/>
      <c r="BEP7" s="36"/>
      <c r="BEQ7" s="36"/>
      <c r="BER7" s="36"/>
      <c r="BES7" s="36"/>
      <c r="BET7" s="36"/>
      <c r="BEU7" s="36"/>
      <c r="BEV7" s="36"/>
      <c r="BEW7" s="36"/>
      <c r="BEX7" s="36"/>
      <c r="BEY7" s="36"/>
      <c r="BEZ7" s="36"/>
      <c r="BFA7" s="36"/>
      <c r="BFB7" s="36"/>
      <c r="BFC7" s="36"/>
      <c r="BFD7" s="36"/>
      <c r="BFE7" s="36"/>
      <c r="BFF7" s="36"/>
      <c r="BFG7" s="36"/>
      <c r="BFH7" s="36"/>
      <c r="BFI7" s="36"/>
      <c r="BFJ7" s="36"/>
      <c r="BFK7" s="36"/>
      <c r="BFL7" s="36"/>
      <c r="BFM7" s="36"/>
      <c r="BFN7" s="36"/>
      <c r="BFO7" s="36"/>
      <c r="BFP7" s="36"/>
      <c r="BFQ7" s="36"/>
      <c r="BFR7" s="36"/>
      <c r="BFS7" s="36"/>
      <c r="BFT7" s="36"/>
      <c r="BFU7" s="36"/>
      <c r="BFV7" s="36"/>
      <c r="BFW7" s="36"/>
      <c r="BFX7" s="36"/>
      <c r="BFY7" s="36"/>
      <c r="BFZ7" s="36"/>
      <c r="BGA7" s="36"/>
      <c r="BGB7" s="36"/>
      <c r="BGC7" s="36"/>
      <c r="BGD7" s="36"/>
      <c r="BGE7" s="36"/>
      <c r="BGF7" s="36"/>
      <c r="BGG7" s="36"/>
      <c r="BGH7" s="36"/>
      <c r="BGI7" s="36"/>
      <c r="BGJ7" s="36"/>
      <c r="BGK7" s="36"/>
      <c r="BGL7" s="36"/>
      <c r="BGM7" s="36"/>
      <c r="BGN7" s="36"/>
      <c r="BGO7" s="36"/>
      <c r="BGP7" s="36"/>
      <c r="BGQ7" s="36"/>
      <c r="BGR7" s="36"/>
      <c r="BGS7" s="36"/>
      <c r="BGT7" s="36"/>
      <c r="BGU7" s="36"/>
      <c r="BGV7" s="36"/>
      <c r="BGW7" s="36"/>
      <c r="BGX7" s="36"/>
      <c r="BGY7" s="36"/>
      <c r="BGZ7" s="36"/>
      <c r="BHA7" s="36"/>
      <c r="BHB7" s="36"/>
      <c r="BHC7" s="36"/>
      <c r="BHD7" s="36"/>
      <c r="BHE7" s="36"/>
      <c r="BHF7" s="36"/>
      <c r="BHG7" s="36"/>
      <c r="BHH7" s="36"/>
      <c r="BHI7" s="36"/>
      <c r="BHJ7" s="36"/>
      <c r="BHK7" s="36"/>
      <c r="BHL7" s="36"/>
      <c r="BHM7" s="36"/>
      <c r="BHN7" s="36"/>
      <c r="BHO7" s="36"/>
      <c r="BHP7" s="36"/>
      <c r="BHQ7" s="36"/>
      <c r="BHR7" s="36"/>
      <c r="BHS7" s="36"/>
      <c r="BHT7" s="36"/>
      <c r="BHU7" s="36"/>
      <c r="BHV7" s="36"/>
      <c r="BHW7" s="36"/>
      <c r="BHX7" s="36"/>
      <c r="BHY7" s="36"/>
      <c r="BHZ7" s="36"/>
      <c r="BIA7" s="36"/>
      <c r="BIB7" s="36"/>
      <c r="BIC7" s="36"/>
      <c r="BID7" s="36"/>
      <c r="BIE7" s="36"/>
      <c r="BIF7" s="36"/>
      <c r="BIG7" s="36"/>
      <c r="BIH7" s="36"/>
      <c r="BII7" s="36"/>
      <c r="BIJ7" s="36"/>
      <c r="BIK7" s="36"/>
      <c r="BIL7" s="36"/>
      <c r="BIM7" s="36"/>
      <c r="BIN7" s="36"/>
      <c r="BIO7" s="36"/>
      <c r="BIP7" s="36"/>
      <c r="BIQ7" s="36"/>
      <c r="BIR7" s="36"/>
      <c r="BIS7" s="36"/>
      <c r="BIT7" s="36"/>
      <c r="BIU7" s="36"/>
      <c r="BIV7" s="36"/>
      <c r="BIW7" s="36"/>
      <c r="BIX7" s="36"/>
      <c r="BIY7" s="36"/>
      <c r="BIZ7" s="36"/>
      <c r="BJA7" s="36"/>
      <c r="BJB7" s="36"/>
      <c r="BJC7" s="36"/>
      <c r="BJD7" s="36"/>
      <c r="BJE7" s="36"/>
      <c r="BJF7" s="36"/>
      <c r="BJG7" s="36"/>
      <c r="BJH7" s="36"/>
      <c r="BJI7" s="36"/>
      <c r="BJJ7" s="36"/>
      <c r="BJK7" s="36"/>
      <c r="BJL7" s="36"/>
      <c r="BJM7" s="36"/>
      <c r="BJN7" s="36"/>
      <c r="BJO7" s="36"/>
      <c r="BJP7" s="36"/>
      <c r="BJQ7" s="36"/>
      <c r="BJR7" s="36"/>
      <c r="BJS7" s="36"/>
      <c r="BJT7" s="36"/>
      <c r="BJU7" s="36"/>
      <c r="BJV7" s="36"/>
      <c r="BJW7" s="36"/>
      <c r="BJX7" s="36"/>
      <c r="BJY7" s="36"/>
      <c r="BJZ7" s="36"/>
      <c r="BKA7" s="36"/>
      <c r="BKB7" s="36"/>
      <c r="BKC7" s="36"/>
      <c r="BKD7" s="36"/>
      <c r="BKE7" s="36"/>
      <c r="BKF7" s="36"/>
      <c r="BKG7" s="36"/>
      <c r="BKH7" s="36"/>
      <c r="BKI7" s="36"/>
      <c r="BKJ7" s="36"/>
      <c r="BKK7" s="36"/>
      <c r="BKL7" s="36"/>
      <c r="BKM7" s="36"/>
      <c r="BKN7" s="36"/>
      <c r="BKO7" s="36"/>
      <c r="BKP7" s="36"/>
      <c r="BKQ7" s="36"/>
      <c r="BKR7" s="36"/>
      <c r="BKS7" s="36"/>
      <c r="BKT7" s="36"/>
      <c r="BKU7" s="36"/>
      <c r="BKV7" s="36"/>
      <c r="BKW7" s="36"/>
      <c r="BKX7" s="36"/>
      <c r="BKY7" s="36"/>
      <c r="BKZ7" s="36"/>
      <c r="BLA7" s="36"/>
      <c r="BLB7" s="36"/>
      <c r="BLC7" s="36"/>
      <c r="BLD7" s="36"/>
      <c r="BLE7" s="36"/>
      <c r="BLF7" s="36"/>
      <c r="BLG7" s="36"/>
      <c r="BLH7" s="36"/>
      <c r="BLI7" s="36"/>
      <c r="BLJ7" s="36"/>
      <c r="BLK7" s="36"/>
      <c r="BLL7" s="36"/>
      <c r="BLM7" s="36"/>
      <c r="BLN7" s="36"/>
      <c r="BLO7" s="36"/>
      <c r="BLP7" s="36"/>
      <c r="BLQ7" s="36"/>
      <c r="BLR7" s="36"/>
      <c r="BLS7" s="36"/>
      <c r="BLT7" s="36"/>
      <c r="BLU7" s="36"/>
      <c r="BLV7" s="36"/>
      <c r="BLW7" s="36"/>
      <c r="BLX7" s="36"/>
      <c r="BLY7" s="36"/>
      <c r="BLZ7" s="36"/>
      <c r="BMA7" s="36"/>
      <c r="BMB7" s="36"/>
      <c r="BMC7" s="36"/>
      <c r="BMD7" s="36"/>
      <c r="BME7" s="36"/>
      <c r="BMF7" s="36"/>
      <c r="BMG7" s="36"/>
      <c r="BMH7" s="36"/>
      <c r="BMI7" s="36"/>
      <c r="BMJ7" s="36"/>
      <c r="BMK7" s="36"/>
      <c r="BML7" s="36"/>
      <c r="BMM7" s="36"/>
      <c r="BMN7" s="36"/>
      <c r="BMO7" s="36"/>
      <c r="BMP7" s="36"/>
      <c r="BMQ7" s="36"/>
      <c r="BMR7" s="36"/>
      <c r="BMS7" s="36"/>
      <c r="BMT7" s="36"/>
      <c r="BMU7" s="36"/>
      <c r="BMV7" s="36"/>
      <c r="BMW7" s="36"/>
      <c r="BMX7" s="36"/>
      <c r="BMY7" s="36"/>
      <c r="BMZ7" s="36"/>
      <c r="BNA7" s="36"/>
      <c r="BNB7" s="36"/>
      <c r="BNC7" s="36"/>
      <c r="BND7" s="36"/>
      <c r="BNE7" s="36"/>
      <c r="BNF7" s="36"/>
      <c r="BNG7" s="36"/>
      <c r="BNH7" s="36"/>
      <c r="BNI7" s="36"/>
      <c r="BNJ7" s="36"/>
      <c r="BNK7" s="36"/>
      <c r="BNL7" s="36"/>
      <c r="BNM7" s="36"/>
      <c r="BNN7" s="36"/>
      <c r="BNO7" s="36"/>
      <c r="BNP7" s="36"/>
      <c r="BNQ7" s="36"/>
      <c r="BNR7" s="36"/>
      <c r="BNS7" s="36"/>
      <c r="BNT7" s="36"/>
      <c r="BNU7" s="36"/>
      <c r="BNV7" s="36"/>
      <c r="BNW7" s="36"/>
      <c r="BNX7" s="36"/>
      <c r="BNY7" s="36"/>
      <c r="BNZ7" s="36"/>
      <c r="BOA7" s="36"/>
      <c r="BOB7" s="36"/>
      <c r="BOC7" s="36"/>
      <c r="BOD7" s="36"/>
      <c r="BOE7" s="36"/>
      <c r="BOF7" s="36"/>
      <c r="BOG7" s="36"/>
      <c r="BOH7" s="36"/>
      <c r="BOI7" s="36"/>
      <c r="BOJ7" s="36"/>
      <c r="BOK7" s="36"/>
      <c r="BOL7" s="36"/>
      <c r="BOM7" s="36"/>
      <c r="BON7" s="36"/>
      <c r="BOO7" s="36"/>
      <c r="BOP7" s="36"/>
      <c r="BOQ7" s="36"/>
      <c r="BOR7" s="36"/>
      <c r="BOS7" s="36"/>
      <c r="BOT7" s="36"/>
      <c r="BOU7" s="36"/>
      <c r="BOV7" s="36"/>
      <c r="BOW7" s="36"/>
      <c r="BOX7" s="36"/>
      <c r="BOY7" s="36"/>
      <c r="BOZ7" s="36"/>
      <c r="BPA7" s="36"/>
      <c r="BPB7" s="36"/>
      <c r="BPC7" s="36"/>
      <c r="BPD7" s="36"/>
      <c r="BPE7" s="36"/>
      <c r="BPF7" s="36"/>
      <c r="BPG7" s="36"/>
      <c r="BPH7" s="36"/>
      <c r="BPI7" s="36"/>
      <c r="BPJ7" s="36"/>
      <c r="BPK7" s="36"/>
      <c r="BPL7" s="36"/>
      <c r="BPM7" s="36"/>
      <c r="BPN7" s="36"/>
      <c r="BPO7" s="36"/>
      <c r="BPP7" s="36"/>
      <c r="BPQ7" s="36"/>
      <c r="BPR7" s="36"/>
      <c r="BPS7" s="36"/>
      <c r="BPT7" s="36"/>
      <c r="BPU7" s="36"/>
      <c r="BPV7" s="36"/>
      <c r="BPW7" s="36"/>
      <c r="BPX7" s="36"/>
      <c r="BPY7" s="36"/>
      <c r="BPZ7" s="36"/>
      <c r="BQA7" s="36"/>
      <c r="BQB7" s="36"/>
      <c r="BQC7" s="36"/>
      <c r="BQD7" s="36"/>
      <c r="BQE7" s="36"/>
      <c r="BQF7" s="36"/>
      <c r="BQG7" s="36"/>
      <c r="BQH7" s="36"/>
      <c r="BQI7" s="36"/>
      <c r="BQJ7" s="36"/>
      <c r="BQK7" s="36"/>
      <c r="BQL7" s="36"/>
      <c r="BQM7" s="36"/>
      <c r="BQN7" s="36"/>
      <c r="BQO7" s="36"/>
      <c r="BQP7" s="36"/>
      <c r="BQQ7" s="36"/>
      <c r="BQR7" s="36"/>
      <c r="BQS7" s="36"/>
      <c r="BQT7" s="36"/>
      <c r="BQU7" s="36"/>
      <c r="BQV7" s="36"/>
      <c r="BQW7" s="36"/>
      <c r="BQX7" s="36"/>
      <c r="BQY7" s="36"/>
      <c r="BQZ7" s="36"/>
      <c r="BRA7" s="36"/>
      <c r="BRB7" s="36"/>
      <c r="BRC7" s="36"/>
      <c r="BRD7" s="36"/>
      <c r="BRE7" s="36"/>
      <c r="BRF7" s="36"/>
      <c r="BRG7" s="36"/>
      <c r="BRH7" s="36"/>
      <c r="BRI7" s="36"/>
      <c r="BRJ7" s="36"/>
      <c r="BRK7" s="36"/>
      <c r="BRL7" s="36"/>
      <c r="BRM7" s="36"/>
      <c r="BRN7" s="36"/>
      <c r="BRO7" s="36"/>
      <c r="BRP7" s="36"/>
      <c r="BRQ7" s="36"/>
      <c r="BRR7" s="36"/>
      <c r="BRS7" s="36"/>
      <c r="BRT7" s="36"/>
      <c r="BRU7" s="36"/>
      <c r="BRV7" s="36"/>
      <c r="BRW7" s="36"/>
      <c r="BRX7" s="36"/>
      <c r="BRY7" s="36"/>
      <c r="BRZ7" s="36"/>
      <c r="BSA7" s="36"/>
      <c r="BSB7" s="36"/>
      <c r="BSC7" s="36"/>
      <c r="BSD7" s="36"/>
      <c r="BSE7" s="36"/>
      <c r="BSF7" s="36"/>
      <c r="BSG7" s="36"/>
      <c r="BSH7" s="36"/>
      <c r="BSI7" s="36"/>
      <c r="BSJ7" s="36"/>
      <c r="BSK7" s="36"/>
      <c r="BSL7" s="36"/>
      <c r="BSM7" s="36"/>
      <c r="BSN7" s="36"/>
      <c r="BSO7" s="36"/>
      <c r="BSP7" s="36"/>
      <c r="BSQ7" s="36"/>
      <c r="BSR7" s="36"/>
      <c r="BSS7" s="36"/>
      <c r="BST7" s="36"/>
      <c r="BSU7" s="36"/>
      <c r="BSV7" s="36"/>
      <c r="BSW7" s="36"/>
      <c r="BSX7" s="36"/>
      <c r="BSY7" s="36"/>
      <c r="BSZ7" s="36"/>
      <c r="BTA7" s="36"/>
      <c r="BTB7" s="36"/>
      <c r="BTC7" s="36"/>
      <c r="BTD7" s="36"/>
      <c r="BTE7" s="36"/>
      <c r="BTF7" s="36"/>
      <c r="BTG7" s="36"/>
      <c r="BTH7" s="36"/>
      <c r="BTI7" s="36"/>
      <c r="BTJ7" s="36"/>
      <c r="BTK7" s="36"/>
      <c r="BTL7" s="36"/>
      <c r="BTM7" s="36"/>
      <c r="BTN7" s="36"/>
      <c r="BTO7" s="36"/>
      <c r="BTP7" s="36"/>
      <c r="BTQ7" s="36"/>
      <c r="BTR7" s="36"/>
      <c r="BTS7" s="36"/>
      <c r="BTT7" s="36"/>
      <c r="BTU7" s="36"/>
      <c r="BTV7" s="36"/>
      <c r="BTW7" s="36"/>
      <c r="BTX7" s="36"/>
      <c r="BTY7" s="36"/>
      <c r="BTZ7" s="36"/>
      <c r="BUA7" s="36"/>
      <c r="BUB7" s="36"/>
      <c r="BUC7" s="36"/>
      <c r="BUD7" s="36"/>
      <c r="BUE7" s="36"/>
      <c r="BUF7" s="36"/>
      <c r="BUG7" s="36"/>
      <c r="BUH7" s="36"/>
      <c r="BUI7" s="36"/>
      <c r="BUJ7" s="36"/>
      <c r="BUK7" s="36"/>
      <c r="BUL7" s="36"/>
      <c r="BUM7" s="36"/>
      <c r="BUN7" s="36"/>
      <c r="BUO7" s="36"/>
      <c r="BUP7" s="36"/>
      <c r="BUQ7" s="36"/>
      <c r="BUR7" s="36"/>
      <c r="BUS7" s="36"/>
      <c r="BUT7" s="36"/>
      <c r="BUU7" s="36"/>
      <c r="BUV7" s="36"/>
      <c r="BUW7" s="36"/>
      <c r="BUX7" s="36"/>
      <c r="BUY7" s="36"/>
      <c r="BUZ7" s="36"/>
      <c r="BVA7" s="36"/>
      <c r="BVB7" s="36"/>
      <c r="BVC7" s="36"/>
      <c r="BVD7" s="36"/>
      <c r="BVE7" s="36"/>
      <c r="BVF7" s="36"/>
      <c r="BVG7" s="36"/>
      <c r="BVH7" s="36"/>
      <c r="BVI7" s="36"/>
      <c r="BVJ7" s="36"/>
      <c r="BVK7" s="36"/>
      <c r="BVL7" s="36"/>
      <c r="BVM7" s="36"/>
      <c r="BVN7" s="36"/>
      <c r="BVO7" s="36"/>
      <c r="BVP7" s="36"/>
      <c r="BVQ7" s="36"/>
      <c r="BVR7" s="36"/>
      <c r="BVS7" s="36"/>
      <c r="BVT7" s="36"/>
      <c r="BVU7" s="36"/>
      <c r="BVV7" s="36"/>
      <c r="BVW7" s="36"/>
      <c r="BVX7" s="36"/>
      <c r="BVY7" s="36"/>
      <c r="BVZ7" s="36"/>
      <c r="BWA7" s="36"/>
      <c r="BWB7" s="36"/>
      <c r="BWC7" s="36"/>
      <c r="BWD7" s="36"/>
      <c r="BWE7" s="36"/>
      <c r="BWF7" s="36"/>
      <c r="BWG7" s="36"/>
      <c r="BWH7" s="36"/>
      <c r="BWI7" s="36"/>
      <c r="BWJ7" s="36"/>
      <c r="BWK7" s="36"/>
      <c r="BWL7" s="36"/>
      <c r="BWM7" s="36"/>
      <c r="BWN7" s="36"/>
      <c r="BWO7" s="36"/>
      <c r="BWP7" s="36"/>
      <c r="BWQ7" s="36"/>
      <c r="BWR7" s="36"/>
      <c r="BWS7" s="36"/>
      <c r="BWT7" s="36"/>
      <c r="BWU7" s="36"/>
      <c r="BWV7" s="36"/>
      <c r="BWW7" s="36"/>
      <c r="BWX7" s="36"/>
      <c r="BWY7" s="36"/>
      <c r="BWZ7" s="36"/>
      <c r="BXA7" s="36"/>
      <c r="BXB7" s="36"/>
      <c r="BXC7" s="36"/>
      <c r="BXD7" s="36"/>
      <c r="BXE7" s="36"/>
      <c r="BXF7" s="36"/>
      <c r="BXG7" s="36"/>
      <c r="BXH7" s="36"/>
      <c r="BXI7" s="36"/>
      <c r="BXJ7" s="36"/>
      <c r="BXK7" s="36"/>
      <c r="BXL7" s="36"/>
      <c r="BXM7" s="36"/>
      <c r="BXN7" s="36"/>
      <c r="BXO7" s="36"/>
      <c r="BXP7" s="36"/>
      <c r="BXQ7" s="36"/>
      <c r="BXR7" s="36"/>
      <c r="BXS7" s="36"/>
      <c r="BXT7" s="36"/>
      <c r="BXU7" s="36"/>
      <c r="BXV7" s="36"/>
      <c r="BXW7" s="36"/>
      <c r="BXX7" s="36"/>
      <c r="BXY7" s="36"/>
      <c r="BXZ7" s="36"/>
      <c r="BYA7" s="36"/>
      <c r="BYB7" s="36"/>
      <c r="BYC7" s="36"/>
      <c r="BYD7" s="36"/>
      <c r="BYE7" s="36"/>
      <c r="BYF7" s="36"/>
      <c r="BYG7" s="36"/>
      <c r="BYH7" s="36"/>
      <c r="BYI7" s="36"/>
      <c r="BYJ7" s="36"/>
      <c r="BYK7" s="36"/>
      <c r="BYL7" s="36"/>
      <c r="BYM7" s="36"/>
      <c r="BYN7" s="36"/>
      <c r="BYO7" s="36"/>
      <c r="BYP7" s="36"/>
      <c r="BYQ7" s="36"/>
      <c r="BYR7" s="36"/>
      <c r="BYS7" s="36"/>
      <c r="BYT7" s="36"/>
      <c r="BYU7" s="36"/>
      <c r="BYV7" s="36"/>
      <c r="BYW7" s="36"/>
      <c r="BYX7" s="36"/>
      <c r="BYY7" s="36"/>
      <c r="BYZ7" s="36"/>
      <c r="BZA7" s="36"/>
      <c r="BZB7" s="36"/>
      <c r="BZC7" s="36"/>
      <c r="BZD7" s="36"/>
      <c r="BZE7" s="36"/>
      <c r="BZF7" s="36"/>
      <c r="BZG7" s="36"/>
      <c r="BZH7" s="36"/>
      <c r="BZI7" s="36"/>
      <c r="BZJ7" s="36"/>
      <c r="BZK7" s="36"/>
      <c r="BZL7" s="36"/>
      <c r="BZM7" s="36"/>
      <c r="BZN7" s="36"/>
      <c r="BZO7" s="36"/>
      <c r="BZP7" s="36"/>
      <c r="BZQ7" s="36"/>
      <c r="BZR7" s="36"/>
      <c r="BZS7" s="36"/>
      <c r="BZT7" s="36"/>
      <c r="BZU7" s="36"/>
      <c r="BZV7" s="36"/>
      <c r="BZW7" s="36"/>
      <c r="BZX7" s="36"/>
      <c r="BZY7" s="36"/>
      <c r="BZZ7" s="36"/>
      <c r="CAA7" s="36"/>
      <c r="CAB7" s="36"/>
      <c r="CAC7" s="36"/>
      <c r="CAD7" s="36"/>
      <c r="CAE7" s="36"/>
      <c r="CAF7" s="36"/>
      <c r="CAG7" s="36"/>
      <c r="CAH7" s="36"/>
      <c r="CAI7" s="36"/>
      <c r="CAJ7" s="36"/>
      <c r="CAK7" s="36"/>
      <c r="CAL7" s="36"/>
      <c r="CAM7" s="36"/>
      <c r="CAN7" s="36"/>
      <c r="CAO7" s="36"/>
      <c r="CAP7" s="36"/>
      <c r="CAQ7" s="36"/>
      <c r="CAR7" s="36"/>
      <c r="CAS7" s="36"/>
      <c r="CAT7" s="36"/>
      <c r="CAU7" s="36"/>
      <c r="CAV7" s="36"/>
      <c r="CAW7" s="36"/>
      <c r="CAX7" s="36"/>
      <c r="CAY7" s="36"/>
      <c r="CAZ7" s="36"/>
      <c r="CBA7" s="36"/>
      <c r="CBB7" s="36"/>
      <c r="CBC7" s="36"/>
      <c r="CBD7" s="36"/>
      <c r="CBE7" s="36"/>
      <c r="CBF7" s="36"/>
      <c r="CBG7" s="36"/>
      <c r="CBH7" s="36"/>
      <c r="CBI7" s="36"/>
      <c r="CBJ7" s="36"/>
      <c r="CBK7" s="36"/>
      <c r="CBL7" s="36"/>
      <c r="CBM7" s="36"/>
      <c r="CBN7" s="36"/>
      <c r="CBO7" s="36"/>
      <c r="CBP7" s="36"/>
      <c r="CBQ7" s="36"/>
      <c r="CBR7" s="36"/>
      <c r="CBS7" s="36"/>
      <c r="CBT7" s="36"/>
      <c r="CBU7" s="36"/>
      <c r="CBV7" s="36"/>
      <c r="CBW7" s="36"/>
      <c r="CBX7" s="36"/>
      <c r="CBY7" s="36"/>
      <c r="CBZ7" s="36"/>
      <c r="CCA7" s="36"/>
      <c r="CCB7" s="36"/>
      <c r="CCC7" s="36"/>
      <c r="CCD7" s="36"/>
      <c r="CCE7" s="36"/>
      <c r="CCF7" s="36"/>
      <c r="CCG7" s="36"/>
      <c r="CCH7" s="36"/>
      <c r="CCI7" s="36"/>
      <c r="CCJ7" s="36"/>
      <c r="CCK7" s="36"/>
      <c r="CCL7" s="36"/>
      <c r="CCM7" s="36"/>
      <c r="CCN7" s="36"/>
      <c r="CCO7" s="36"/>
      <c r="CCP7" s="36"/>
      <c r="CCQ7" s="36"/>
      <c r="CCR7" s="36"/>
      <c r="CCS7" s="36"/>
      <c r="CCT7" s="36"/>
      <c r="CCU7" s="36"/>
      <c r="CCV7" s="36"/>
      <c r="CCW7" s="36"/>
      <c r="CCX7" s="36"/>
      <c r="CCY7" s="36"/>
      <c r="CCZ7" s="36"/>
      <c r="CDA7" s="36"/>
      <c r="CDB7" s="36"/>
      <c r="CDC7" s="36"/>
      <c r="CDD7" s="36"/>
      <c r="CDE7" s="36"/>
      <c r="CDF7" s="36"/>
      <c r="CDG7" s="36"/>
      <c r="CDH7" s="36"/>
      <c r="CDI7" s="36"/>
      <c r="CDJ7" s="36"/>
      <c r="CDK7" s="36"/>
      <c r="CDL7" s="36"/>
      <c r="CDM7" s="36"/>
      <c r="CDN7" s="36"/>
      <c r="CDO7" s="36"/>
      <c r="CDP7" s="36"/>
      <c r="CDQ7" s="36"/>
      <c r="CDR7" s="36"/>
      <c r="CDS7" s="36"/>
      <c r="CDT7" s="36"/>
      <c r="CDU7" s="36"/>
      <c r="CDV7" s="36"/>
      <c r="CDW7" s="36"/>
      <c r="CDX7" s="36"/>
      <c r="CDY7" s="36"/>
      <c r="CDZ7" s="36"/>
      <c r="CEA7" s="36"/>
      <c r="CEB7" s="36"/>
      <c r="CEC7" s="36"/>
      <c r="CED7" s="36"/>
      <c r="CEE7" s="36"/>
      <c r="CEF7" s="36"/>
      <c r="CEG7" s="36"/>
      <c r="CEH7" s="36"/>
      <c r="CEI7" s="36"/>
      <c r="CEJ7" s="36"/>
      <c r="CEK7" s="36"/>
      <c r="CEL7" s="36"/>
      <c r="CEM7" s="36"/>
      <c r="CEN7" s="36"/>
      <c r="CEO7" s="36"/>
      <c r="CEP7" s="36"/>
      <c r="CEQ7" s="36"/>
      <c r="CER7" s="36"/>
      <c r="CES7" s="36"/>
      <c r="CET7" s="36"/>
      <c r="CEU7" s="36"/>
      <c r="CEV7" s="36"/>
      <c r="CEW7" s="36"/>
      <c r="CEX7" s="36"/>
      <c r="CEY7" s="36"/>
      <c r="CEZ7" s="36"/>
      <c r="CFA7" s="36"/>
      <c r="CFB7" s="36"/>
      <c r="CFC7" s="36"/>
      <c r="CFD7" s="36"/>
      <c r="CFE7" s="36"/>
      <c r="CFF7" s="36"/>
      <c r="CFG7" s="36"/>
      <c r="CFH7" s="36"/>
      <c r="CFI7" s="36"/>
      <c r="CFJ7" s="36"/>
      <c r="CFK7" s="36"/>
      <c r="CFL7" s="36"/>
      <c r="CFM7" s="36"/>
      <c r="CFN7" s="36"/>
      <c r="CFO7" s="36"/>
      <c r="CFP7" s="36"/>
      <c r="CFQ7" s="36"/>
      <c r="CFR7" s="36"/>
      <c r="CFS7" s="36"/>
      <c r="CFT7" s="36"/>
      <c r="CFU7" s="36"/>
      <c r="CFV7" s="36"/>
      <c r="CFW7" s="36"/>
      <c r="CFX7" s="36"/>
      <c r="CFY7" s="36"/>
      <c r="CFZ7" s="36"/>
      <c r="CGA7" s="36"/>
      <c r="CGB7" s="36"/>
      <c r="CGC7" s="36"/>
      <c r="CGD7" s="36"/>
      <c r="CGE7" s="36"/>
      <c r="CGF7" s="36"/>
      <c r="CGG7" s="36"/>
      <c r="CGH7" s="36"/>
      <c r="CGI7" s="36"/>
      <c r="CGJ7" s="36"/>
      <c r="CGK7" s="36"/>
      <c r="CGL7" s="36"/>
      <c r="CGM7" s="36"/>
      <c r="CGN7" s="36"/>
      <c r="CGO7" s="36"/>
      <c r="CGP7" s="36"/>
      <c r="CGQ7" s="36"/>
      <c r="CGR7" s="36"/>
      <c r="CGS7" s="36"/>
      <c r="CGT7" s="36"/>
      <c r="CGU7" s="36"/>
      <c r="CGV7" s="36"/>
      <c r="CGW7" s="36"/>
      <c r="CGX7" s="36"/>
      <c r="CGY7" s="36"/>
      <c r="CGZ7" s="36"/>
      <c r="CHA7" s="36"/>
      <c r="CHB7" s="36"/>
      <c r="CHC7" s="36"/>
      <c r="CHD7" s="36"/>
      <c r="CHE7" s="36"/>
      <c r="CHF7" s="36"/>
      <c r="CHG7" s="36"/>
      <c r="CHH7" s="36"/>
      <c r="CHI7" s="36"/>
      <c r="CHJ7" s="36"/>
      <c r="CHK7" s="36"/>
      <c r="CHL7" s="36"/>
      <c r="CHM7" s="36"/>
      <c r="CHN7" s="36"/>
      <c r="CHO7" s="36"/>
      <c r="CHP7" s="36"/>
      <c r="CHQ7" s="36"/>
      <c r="CHR7" s="36"/>
      <c r="CHS7" s="36"/>
      <c r="CHT7" s="36"/>
      <c r="CHU7" s="36"/>
      <c r="CHV7" s="36"/>
      <c r="CHW7" s="36"/>
      <c r="CHX7" s="36"/>
      <c r="CHY7" s="36"/>
      <c r="CHZ7" s="36"/>
      <c r="CIA7" s="36"/>
      <c r="CIB7" s="36"/>
      <c r="CIC7" s="36"/>
      <c r="CID7" s="36"/>
      <c r="CIE7" s="36"/>
      <c r="CIF7" s="36"/>
      <c r="CIG7" s="36"/>
      <c r="CIH7" s="36"/>
      <c r="CII7" s="36"/>
      <c r="CIJ7" s="36"/>
      <c r="CIK7" s="36"/>
      <c r="CIL7" s="36"/>
      <c r="CIM7" s="36"/>
      <c r="CIN7" s="36"/>
      <c r="CIO7" s="36"/>
      <c r="CIP7" s="36"/>
      <c r="CIQ7" s="36"/>
      <c r="CIR7" s="36"/>
      <c r="CIS7" s="36"/>
      <c r="CIT7" s="36"/>
      <c r="CIU7" s="36"/>
      <c r="CIV7" s="36"/>
      <c r="CIW7" s="36"/>
      <c r="CIX7" s="36"/>
      <c r="CIY7" s="36"/>
      <c r="CIZ7" s="36"/>
      <c r="CJA7" s="36"/>
      <c r="CJB7" s="36"/>
      <c r="CJC7" s="36"/>
      <c r="CJD7" s="36"/>
      <c r="CJE7" s="36"/>
      <c r="CJF7" s="36"/>
      <c r="CJG7" s="36"/>
      <c r="CJH7" s="36"/>
      <c r="CJI7" s="36"/>
      <c r="CJJ7" s="36"/>
      <c r="CJK7" s="36"/>
      <c r="CJL7" s="36"/>
      <c r="CJM7" s="36"/>
      <c r="CJN7" s="36"/>
      <c r="CJO7" s="36"/>
      <c r="CJP7" s="36"/>
      <c r="CJQ7" s="36"/>
      <c r="CJR7" s="36"/>
      <c r="CJS7" s="36"/>
      <c r="CJT7" s="36"/>
      <c r="CJU7" s="36"/>
      <c r="CJV7" s="36"/>
      <c r="CJW7" s="36"/>
      <c r="CJX7" s="36"/>
      <c r="CJY7" s="36"/>
      <c r="CJZ7" s="36"/>
      <c r="CKA7" s="36"/>
      <c r="CKB7" s="36"/>
      <c r="CKC7" s="36"/>
      <c r="CKD7" s="36"/>
      <c r="CKE7" s="36"/>
      <c r="CKF7" s="36"/>
      <c r="CKG7" s="36"/>
      <c r="CKH7" s="36"/>
      <c r="CKI7" s="36"/>
      <c r="CKJ7" s="36"/>
      <c r="CKK7" s="36"/>
      <c r="CKL7" s="36"/>
      <c r="CKM7" s="36"/>
      <c r="CKN7" s="36"/>
      <c r="CKO7" s="36"/>
      <c r="CKP7" s="36"/>
      <c r="CKQ7" s="36"/>
      <c r="CKR7" s="36"/>
      <c r="CKS7" s="36"/>
      <c r="CKT7" s="36"/>
      <c r="CKU7" s="36"/>
      <c r="CKV7" s="36"/>
      <c r="CKW7" s="36"/>
      <c r="CKX7" s="36"/>
      <c r="CKY7" s="36"/>
      <c r="CKZ7" s="36"/>
      <c r="CLA7" s="36"/>
      <c r="CLB7" s="36"/>
      <c r="CLC7" s="36"/>
      <c r="CLD7" s="36"/>
      <c r="CLE7" s="36"/>
      <c r="CLF7" s="36"/>
      <c r="CLG7" s="36"/>
      <c r="CLH7" s="36"/>
      <c r="CLI7" s="36"/>
      <c r="CLJ7" s="36"/>
      <c r="CLK7" s="36"/>
      <c r="CLL7" s="36"/>
      <c r="CLM7" s="36"/>
      <c r="CLN7" s="36"/>
      <c r="CLO7" s="36"/>
      <c r="CLP7" s="36"/>
      <c r="CLQ7" s="36"/>
      <c r="CLR7" s="36"/>
      <c r="CLS7" s="36"/>
      <c r="CLT7" s="36"/>
      <c r="CLU7" s="36"/>
      <c r="CLV7" s="36"/>
      <c r="CLW7" s="36"/>
      <c r="CLX7" s="36"/>
      <c r="CLY7" s="36"/>
      <c r="CLZ7" s="36"/>
      <c r="CMA7" s="36"/>
      <c r="CMB7" s="36"/>
      <c r="CMC7" s="36"/>
      <c r="CMD7" s="36"/>
      <c r="CME7" s="36"/>
      <c r="CMF7" s="36"/>
      <c r="CMG7" s="36"/>
      <c r="CMH7" s="36"/>
      <c r="CMI7" s="36"/>
      <c r="CMJ7" s="36"/>
      <c r="CMK7" s="36"/>
      <c r="CML7" s="36"/>
      <c r="CMM7" s="36"/>
      <c r="CMN7" s="36"/>
      <c r="CMO7" s="36"/>
      <c r="CMP7" s="36"/>
      <c r="CMQ7" s="36"/>
      <c r="CMR7" s="36"/>
      <c r="CMS7" s="36"/>
      <c r="CMT7" s="36"/>
      <c r="CMU7" s="36"/>
      <c r="CMV7" s="36"/>
      <c r="CMW7" s="36"/>
      <c r="CMX7" s="36"/>
      <c r="CMY7" s="36"/>
      <c r="CMZ7" s="36"/>
      <c r="CNA7" s="36"/>
      <c r="CNB7" s="36"/>
      <c r="CNC7" s="36"/>
      <c r="CND7" s="36"/>
      <c r="CNE7" s="36"/>
      <c r="CNF7" s="36"/>
      <c r="CNG7" s="36"/>
      <c r="CNH7" s="36"/>
      <c r="CNI7" s="36"/>
      <c r="CNJ7" s="36"/>
      <c r="CNK7" s="36"/>
      <c r="CNL7" s="36"/>
      <c r="CNM7" s="36"/>
      <c r="CNN7" s="36"/>
      <c r="CNO7" s="36"/>
      <c r="CNP7" s="36"/>
      <c r="CNQ7" s="36"/>
      <c r="CNR7" s="36"/>
      <c r="CNS7" s="36"/>
      <c r="CNT7" s="36"/>
      <c r="CNU7" s="36"/>
      <c r="CNV7" s="36"/>
      <c r="CNW7" s="36"/>
      <c r="CNX7" s="36"/>
      <c r="CNY7" s="36"/>
      <c r="CNZ7" s="36"/>
      <c r="COA7" s="36"/>
      <c r="COB7" s="36"/>
      <c r="COC7" s="36"/>
      <c r="COD7" s="36"/>
      <c r="COE7" s="36"/>
      <c r="COF7" s="36"/>
      <c r="COG7" s="36"/>
      <c r="COH7" s="36"/>
      <c r="COI7" s="36"/>
      <c r="COJ7" s="36"/>
      <c r="COK7" s="36"/>
      <c r="COL7" s="36"/>
      <c r="COM7" s="36"/>
      <c r="CON7" s="36"/>
      <c r="COO7" s="36"/>
      <c r="COP7" s="36"/>
      <c r="COQ7" s="36"/>
      <c r="COR7" s="36"/>
      <c r="COS7" s="36"/>
      <c r="COT7" s="36"/>
      <c r="COU7" s="36"/>
      <c r="COV7" s="36"/>
      <c r="COW7" s="36"/>
      <c r="COX7" s="36"/>
      <c r="COY7" s="36"/>
      <c r="COZ7" s="36"/>
      <c r="CPA7" s="36"/>
      <c r="CPB7" s="36"/>
      <c r="CPC7" s="36"/>
      <c r="CPD7" s="36"/>
      <c r="CPE7" s="36"/>
      <c r="CPF7" s="36"/>
      <c r="CPG7" s="36"/>
      <c r="CPH7" s="36"/>
      <c r="CPI7" s="36"/>
      <c r="CPJ7" s="36"/>
      <c r="CPK7" s="36"/>
      <c r="CPL7" s="36"/>
      <c r="CPM7" s="36"/>
      <c r="CPN7" s="36"/>
      <c r="CPO7" s="36"/>
      <c r="CPP7" s="36"/>
      <c r="CPQ7" s="36"/>
      <c r="CPR7" s="36"/>
      <c r="CPS7" s="36"/>
      <c r="CPT7" s="36"/>
      <c r="CPU7" s="36"/>
      <c r="CPV7" s="36"/>
      <c r="CPW7" s="36"/>
      <c r="CPX7" s="36"/>
      <c r="CPY7" s="36"/>
      <c r="CPZ7" s="36"/>
      <c r="CQA7" s="36"/>
      <c r="CQB7" s="36"/>
      <c r="CQC7" s="36"/>
      <c r="CQD7" s="36"/>
      <c r="CQE7" s="36"/>
      <c r="CQF7" s="36"/>
      <c r="CQG7" s="36"/>
      <c r="CQH7" s="36"/>
      <c r="CQI7" s="36"/>
      <c r="CQJ7" s="36"/>
      <c r="CQK7" s="36"/>
      <c r="CQL7" s="36"/>
      <c r="CQM7" s="36"/>
      <c r="CQN7" s="36"/>
      <c r="CQO7" s="36"/>
      <c r="CQP7" s="36"/>
      <c r="CQQ7" s="36"/>
      <c r="CQR7" s="36"/>
      <c r="CQS7" s="36"/>
      <c r="CQT7" s="36"/>
      <c r="CQU7" s="36"/>
      <c r="CQV7" s="36"/>
      <c r="CQW7" s="36"/>
      <c r="CQX7" s="36"/>
      <c r="CQY7" s="36"/>
      <c r="CQZ7" s="36"/>
      <c r="CRA7" s="36"/>
      <c r="CRB7" s="36"/>
      <c r="CRC7" s="36"/>
      <c r="CRD7" s="36"/>
      <c r="CRE7" s="36"/>
      <c r="CRF7" s="36"/>
      <c r="CRG7" s="36"/>
      <c r="CRH7" s="36"/>
      <c r="CRI7" s="36"/>
      <c r="CRJ7" s="36"/>
      <c r="CRK7" s="36"/>
      <c r="CRL7" s="36"/>
      <c r="CRM7" s="36"/>
      <c r="CRN7" s="36"/>
      <c r="CRO7" s="36"/>
      <c r="CRP7" s="36"/>
      <c r="CRQ7" s="36"/>
      <c r="CRR7" s="36"/>
      <c r="CRS7" s="36"/>
      <c r="CRT7" s="36"/>
      <c r="CRU7" s="36"/>
      <c r="CRV7" s="36"/>
      <c r="CRW7" s="36"/>
      <c r="CRX7" s="36"/>
      <c r="CRY7" s="36"/>
      <c r="CRZ7" s="36"/>
      <c r="CSA7" s="36"/>
      <c r="CSB7" s="36"/>
      <c r="CSC7" s="36"/>
      <c r="CSD7" s="36"/>
      <c r="CSE7" s="36"/>
      <c r="CSF7" s="36"/>
      <c r="CSG7" s="36"/>
      <c r="CSH7" s="36"/>
      <c r="CSI7" s="36"/>
      <c r="CSJ7" s="36"/>
      <c r="CSK7" s="36"/>
      <c r="CSL7" s="36"/>
      <c r="CSM7" s="36"/>
      <c r="CSN7" s="36"/>
      <c r="CSO7" s="36"/>
      <c r="CSP7" s="36"/>
      <c r="CSQ7" s="36"/>
      <c r="CSR7" s="36"/>
      <c r="CSS7" s="36"/>
      <c r="CST7" s="36"/>
      <c r="CSU7" s="36"/>
      <c r="CSV7" s="36"/>
      <c r="CSW7" s="36"/>
      <c r="CSX7" s="36"/>
      <c r="CSY7" s="36"/>
      <c r="CSZ7" s="36"/>
      <c r="CTA7" s="36"/>
      <c r="CTB7" s="36"/>
      <c r="CTC7" s="36"/>
      <c r="CTD7" s="36"/>
      <c r="CTE7" s="36"/>
      <c r="CTF7" s="36"/>
      <c r="CTG7" s="36"/>
      <c r="CTH7" s="36"/>
      <c r="CTI7" s="36"/>
      <c r="CTJ7" s="36"/>
      <c r="CTK7" s="36"/>
      <c r="CTL7" s="36"/>
      <c r="CTM7" s="36"/>
      <c r="CTN7" s="36"/>
      <c r="CTO7" s="36"/>
      <c r="CTP7" s="36"/>
      <c r="CTQ7" s="36"/>
      <c r="CTR7" s="36"/>
      <c r="CTS7" s="36"/>
      <c r="CTT7" s="36"/>
      <c r="CTU7" s="36"/>
      <c r="CTV7" s="36"/>
      <c r="CTW7" s="36"/>
      <c r="CTX7" s="36"/>
      <c r="CTY7" s="36"/>
      <c r="CTZ7" s="36"/>
      <c r="CUA7" s="36"/>
      <c r="CUB7" s="36"/>
      <c r="CUC7" s="36"/>
      <c r="CUD7" s="36"/>
      <c r="CUE7" s="36"/>
      <c r="CUF7" s="36"/>
      <c r="CUG7" s="36"/>
      <c r="CUH7" s="36"/>
      <c r="CUI7" s="36"/>
      <c r="CUJ7" s="36"/>
      <c r="CUK7" s="36"/>
      <c r="CUL7" s="36"/>
      <c r="CUM7" s="36"/>
      <c r="CUN7" s="36"/>
      <c r="CUO7" s="36"/>
      <c r="CUP7" s="36"/>
      <c r="CUQ7" s="36"/>
      <c r="CUR7" s="36"/>
      <c r="CUS7" s="36"/>
      <c r="CUT7" s="36"/>
      <c r="CUU7" s="36"/>
      <c r="CUV7" s="36"/>
      <c r="CUW7" s="36"/>
      <c r="CUX7" s="36"/>
      <c r="CUY7" s="36"/>
      <c r="CUZ7" s="36"/>
      <c r="CVA7" s="36"/>
      <c r="CVB7" s="36"/>
      <c r="CVC7" s="36"/>
      <c r="CVD7" s="36"/>
      <c r="CVE7" s="36"/>
      <c r="CVF7" s="36"/>
      <c r="CVG7" s="36"/>
      <c r="CVH7" s="36"/>
      <c r="CVI7" s="36"/>
      <c r="CVJ7" s="36"/>
      <c r="CVK7" s="36"/>
      <c r="CVL7" s="36"/>
      <c r="CVM7" s="36"/>
      <c r="CVN7" s="36"/>
      <c r="CVO7" s="36"/>
      <c r="CVP7" s="36"/>
      <c r="CVQ7" s="36"/>
      <c r="CVR7" s="36"/>
      <c r="CVS7" s="36"/>
      <c r="CVT7" s="36"/>
      <c r="CVU7" s="36"/>
      <c r="CVV7" s="36"/>
      <c r="CVW7" s="36"/>
      <c r="CVX7" s="36"/>
      <c r="CVY7" s="36"/>
      <c r="CVZ7" s="36"/>
      <c r="CWA7" s="36"/>
      <c r="CWB7" s="36"/>
      <c r="CWC7" s="36"/>
      <c r="CWD7" s="36"/>
      <c r="CWE7" s="36"/>
      <c r="CWF7" s="36"/>
      <c r="CWG7" s="36"/>
      <c r="CWH7" s="36"/>
      <c r="CWI7" s="36"/>
      <c r="CWJ7" s="36"/>
      <c r="CWK7" s="36"/>
      <c r="CWL7" s="36"/>
      <c r="CWM7" s="36"/>
      <c r="CWN7" s="36"/>
      <c r="CWO7" s="36"/>
      <c r="CWP7" s="36"/>
      <c r="CWQ7" s="36"/>
      <c r="CWR7" s="36"/>
      <c r="CWS7" s="36"/>
      <c r="CWT7" s="36"/>
      <c r="CWU7" s="36"/>
      <c r="CWV7" s="36"/>
      <c r="CWW7" s="36"/>
      <c r="CWX7" s="36"/>
      <c r="CWY7" s="36"/>
      <c r="CWZ7" s="36"/>
      <c r="CXA7" s="36"/>
      <c r="CXB7" s="36"/>
      <c r="CXC7" s="36"/>
      <c r="CXD7" s="36"/>
      <c r="CXE7" s="36"/>
      <c r="CXF7" s="36"/>
      <c r="CXG7" s="36"/>
      <c r="CXH7" s="36"/>
      <c r="CXI7" s="36"/>
      <c r="CXJ7" s="36"/>
      <c r="CXK7" s="36"/>
      <c r="CXL7" s="36"/>
      <c r="CXM7" s="36"/>
      <c r="CXN7" s="36"/>
      <c r="CXO7" s="36"/>
      <c r="CXP7" s="36"/>
      <c r="CXQ7" s="36"/>
      <c r="CXR7" s="36"/>
      <c r="CXS7" s="36"/>
      <c r="CXT7" s="36"/>
      <c r="CXU7" s="36"/>
      <c r="CXV7" s="36"/>
      <c r="CXW7" s="36"/>
      <c r="CXX7" s="36"/>
      <c r="CXY7" s="36"/>
      <c r="CXZ7" s="36"/>
      <c r="CYA7" s="36"/>
      <c r="CYB7" s="36"/>
      <c r="CYC7" s="36"/>
      <c r="CYD7" s="36"/>
      <c r="CYE7" s="36"/>
      <c r="CYF7" s="36"/>
      <c r="CYG7" s="36"/>
      <c r="CYH7" s="36"/>
      <c r="CYI7" s="36"/>
      <c r="CYJ7" s="36"/>
      <c r="CYK7" s="36"/>
      <c r="CYL7" s="36"/>
      <c r="CYM7" s="36"/>
      <c r="CYN7" s="36"/>
      <c r="CYO7" s="36"/>
      <c r="CYP7" s="36"/>
      <c r="CYQ7" s="36"/>
      <c r="CYR7" s="36"/>
      <c r="CYS7" s="36"/>
      <c r="CYT7" s="36"/>
      <c r="CYU7" s="36"/>
      <c r="CYV7" s="36"/>
      <c r="CYW7" s="36"/>
      <c r="CYX7" s="36"/>
      <c r="CYY7" s="36"/>
      <c r="CYZ7" s="36"/>
      <c r="CZA7" s="36"/>
      <c r="CZB7" s="36"/>
      <c r="CZC7" s="36"/>
      <c r="CZD7" s="36"/>
      <c r="CZE7" s="36"/>
      <c r="CZF7" s="36"/>
      <c r="CZG7" s="36"/>
      <c r="CZH7" s="36"/>
      <c r="CZI7" s="36"/>
      <c r="CZJ7" s="36"/>
      <c r="CZK7" s="36"/>
      <c r="CZL7" s="36"/>
      <c r="CZM7" s="36"/>
      <c r="CZN7" s="36"/>
      <c r="CZO7" s="36"/>
      <c r="CZP7" s="36"/>
      <c r="CZQ7" s="36"/>
      <c r="CZR7" s="36"/>
      <c r="CZS7" s="36"/>
      <c r="CZT7" s="36"/>
      <c r="CZU7" s="36"/>
      <c r="CZV7" s="36"/>
      <c r="CZW7" s="36"/>
      <c r="CZX7" s="36"/>
      <c r="CZY7" s="36"/>
      <c r="CZZ7" s="36"/>
      <c r="DAA7" s="36"/>
      <c r="DAB7" s="36"/>
      <c r="DAC7" s="36"/>
      <c r="DAD7" s="36"/>
      <c r="DAE7" s="36"/>
      <c r="DAF7" s="36"/>
      <c r="DAG7" s="36"/>
      <c r="DAH7" s="36"/>
      <c r="DAI7" s="36"/>
      <c r="DAJ7" s="36"/>
      <c r="DAK7" s="36"/>
      <c r="DAL7" s="36"/>
      <c r="DAM7" s="36"/>
      <c r="DAN7" s="36"/>
      <c r="DAO7" s="36"/>
      <c r="DAP7" s="36"/>
      <c r="DAQ7" s="36"/>
      <c r="DAR7" s="36"/>
      <c r="DAS7" s="36"/>
      <c r="DAT7" s="36"/>
      <c r="DAU7" s="36"/>
      <c r="DAV7" s="36"/>
      <c r="DAW7" s="36"/>
      <c r="DAX7" s="36"/>
      <c r="DAY7" s="36"/>
      <c r="DAZ7" s="36"/>
      <c r="DBA7" s="36"/>
      <c r="DBB7" s="36"/>
      <c r="DBC7" s="36"/>
      <c r="DBD7" s="36"/>
      <c r="DBE7" s="36"/>
      <c r="DBF7" s="36"/>
      <c r="DBG7" s="36"/>
      <c r="DBH7" s="36"/>
      <c r="DBI7" s="36"/>
      <c r="DBJ7" s="36"/>
      <c r="DBK7" s="36"/>
      <c r="DBL7" s="36"/>
      <c r="DBM7" s="36"/>
      <c r="DBN7" s="36"/>
      <c r="DBO7" s="36"/>
      <c r="DBP7" s="36"/>
      <c r="DBQ7" s="36"/>
      <c r="DBR7" s="36"/>
      <c r="DBS7" s="36"/>
      <c r="DBT7" s="36"/>
      <c r="DBU7" s="36"/>
      <c r="DBV7" s="36"/>
      <c r="DBW7" s="36"/>
      <c r="DBX7" s="36"/>
      <c r="DBY7" s="36"/>
      <c r="DBZ7" s="36"/>
      <c r="DCA7" s="36"/>
      <c r="DCB7" s="36"/>
      <c r="DCC7" s="36"/>
      <c r="DCD7" s="36"/>
      <c r="DCE7" s="36"/>
      <c r="DCF7" s="36"/>
      <c r="DCG7" s="36"/>
      <c r="DCH7" s="36"/>
      <c r="DCI7" s="36"/>
      <c r="DCJ7" s="36"/>
      <c r="DCK7" s="36"/>
      <c r="DCL7" s="36"/>
      <c r="DCM7" s="36"/>
      <c r="DCN7" s="36"/>
      <c r="DCO7" s="36"/>
      <c r="DCP7" s="36"/>
      <c r="DCQ7" s="36"/>
      <c r="DCR7" s="36"/>
      <c r="DCS7" s="36"/>
      <c r="DCT7" s="36"/>
      <c r="DCU7" s="36"/>
      <c r="DCV7" s="36"/>
      <c r="DCW7" s="36"/>
      <c r="DCX7" s="36"/>
      <c r="DCY7" s="36"/>
      <c r="DCZ7" s="36"/>
      <c r="DDA7" s="36"/>
      <c r="DDB7" s="36"/>
      <c r="DDC7" s="36"/>
      <c r="DDD7" s="36"/>
      <c r="DDE7" s="36"/>
      <c r="DDF7" s="36"/>
      <c r="DDG7" s="36"/>
      <c r="DDH7" s="36"/>
      <c r="DDI7" s="36"/>
      <c r="DDJ7" s="36"/>
      <c r="DDK7" s="36"/>
      <c r="DDL7" s="36"/>
      <c r="DDM7" s="36"/>
      <c r="DDN7" s="36"/>
      <c r="DDO7" s="36"/>
      <c r="DDP7" s="36"/>
      <c r="DDQ7" s="36"/>
      <c r="DDR7" s="36"/>
      <c r="DDS7" s="36"/>
      <c r="DDT7" s="36"/>
      <c r="DDU7" s="36"/>
      <c r="DDV7" s="36"/>
      <c r="DDW7" s="36"/>
      <c r="DDX7" s="36"/>
      <c r="DDY7" s="36"/>
      <c r="DDZ7" s="36"/>
      <c r="DEA7" s="36"/>
      <c r="DEB7" s="36"/>
      <c r="DEC7" s="36"/>
      <c r="DED7" s="36"/>
      <c r="DEE7" s="36"/>
      <c r="DEF7" s="36"/>
      <c r="DEG7" s="36"/>
      <c r="DEH7" s="36"/>
      <c r="DEI7" s="36"/>
      <c r="DEJ7" s="36"/>
      <c r="DEK7" s="36"/>
      <c r="DEL7" s="36"/>
      <c r="DEM7" s="36"/>
      <c r="DEN7" s="36"/>
      <c r="DEO7" s="36"/>
      <c r="DEP7" s="36"/>
      <c r="DEQ7" s="36"/>
      <c r="DER7" s="36"/>
      <c r="DES7" s="36"/>
      <c r="DET7" s="36"/>
      <c r="DEU7" s="36"/>
      <c r="DEV7" s="36"/>
      <c r="DEW7" s="36"/>
      <c r="DEX7" s="36"/>
      <c r="DEY7" s="36"/>
      <c r="DEZ7" s="36"/>
      <c r="DFA7" s="36"/>
      <c r="DFB7" s="36"/>
      <c r="DFC7" s="36"/>
      <c r="DFD7" s="36"/>
      <c r="DFE7" s="36"/>
      <c r="DFF7" s="36"/>
      <c r="DFG7" s="36"/>
      <c r="DFH7" s="36"/>
      <c r="DFI7" s="36"/>
      <c r="DFJ7" s="36"/>
      <c r="DFK7" s="36"/>
      <c r="DFL7" s="36"/>
      <c r="DFM7" s="36"/>
      <c r="DFN7" s="36"/>
      <c r="DFO7" s="36"/>
      <c r="DFP7" s="36"/>
      <c r="DFQ7" s="36"/>
      <c r="DFR7" s="36"/>
      <c r="DFS7" s="36"/>
      <c r="DFT7" s="36"/>
      <c r="DFU7" s="36"/>
      <c r="DFV7" s="36"/>
      <c r="DFW7" s="36"/>
      <c r="DFX7" s="36"/>
      <c r="DFY7" s="36"/>
      <c r="DFZ7" s="36"/>
      <c r="DGA7" s="36"/>
      <c r="DGB7" s="36"/>
      <c r="DGC7" s="36"/>
      <c r="DGD7" s="36"/>
      <c r="DGE7" s="36"/>
      <c r="DGF7" s="36"/>
      <c r="DGG7" s="36"/>
      <c r="DGH7" s="36"/>
      <c r="DGI7" s="36"/>
      <c r="DGJ7" s="36"/>
      <c r="DGK7" s="36"/>
      <c r="DGL7" s="36"/>
      <c r="DGM7" s="36"/>
      <c r="DGN7" s="36"/>
      <c r="DGO7" s="36"/>
      <c r="DGP7" s="36"/>
      <c r="DGQ7" s="36"/>
      <c r="DGR7" s="36"/>
      <c r="DGS7" s="36"/>
      <c r="DGT7" s="36"/>
      <c r="DGU7" s="36"/>
      <c r="DGV7" s="36"/>
      <c r="DGW7" s="36"/>
      <c r="DGX7" s="36"/>
      <c r="DGY7" s="36"/>
      <c r="DGZ7" s="36"/>
      <c r="DHA7" s="36"/>
      <c r="DHB7" s="36"/>
      <c r="DHC7" s="36"/>
      <c r="DHD7" s="36"/>
      <c r="DHE7" s="36"/>
      <c r="DHF7" s="36"/>
      <c r="DHG7" s="36"/>
      <c r="DHH7" s="36"/>
      <c r="DHI7" s="36"/>
      <c r="DHJ7" s="36"/>
      <c r="DHK7" s="36"/>
      <c r="DHL7" s="36"/>
      <c r="DHM7" s="36"/>
      <c r="DHN7" s="36"/>
      <c r="DHO7" s="36"/>
      <c r="DHP7" s="36"/>
      <c r="DHQ7" s="36"/>
      <c r="DHR7" s="36"/>
      <c r="DHS7" s="36"/>
      <c r="DHT7" s="36"/>
      <c r="DHU7" s="36"/>
      <c r="DHV7" s="36"/>
      <c r="DHW7" s="36"/>
      <c r="DHX7" s="36"/>
      <c r="DHY7" s="36"/>
      <c r="DHZ7" s="36"/>
      <c r="DIA7" s="36"/>
      <c r="DIB7" s="36"/>
      <c r="DIC7" s="36"/>
      <c r="DID7" s="36"/>
      <c r="DIE7" s="36"/>
      <c r="DIF7" s="36"/>
      <c r="DIG7" s="36"/>
      <c r="DIH7" s="36"/>
      <c r="DII7" s="36"/>
      <c r="DIJ7" s="36"/>
      <c r="DIK7" s="36"/>
      <c r="DIL7" s="36"/>
      <c r="DIM7" s="36"/>
      <c r="DIN7" s="36"/>
      <c r="DIO7" s="36"/>
      <c r="DIP7" s="36"/>
      <c r="DIQ7" s="36"/>
      <c r="DIR7" s="36"/>
      <c r="DIS7" s="36"/>
      <c r="DIT7" s="36"/>
      <c r="DIU7" s="36"/>
      <c r="DIV7" s="36"/>
      <c r="DIW7" s="36"/>
      <c r="DIX7" s="36"/>
      <c r="DIY7" s="36"/>
      <c r="DIZ7" s="36"/>
      <c r="DJA7" s="36"/>
      <c r="DJB7" s="36"/>
      <c r="DJC7" s="36"/>
      <c r="DJD7" s="36"/>
      <c r="DJE7" s="36"/>
      <c r="DJF7" s="36"/>
      <c r="DJG7" s="36"/>
      <c r="DJH7" s="36"/>
      <c r="DJI7" s="36"/>
      <c r="DJJ7" s="36"/>
      <c r="DJK7" s="36"/>
      <c r="DJL7" s="36"/>
      <c r="DJM7" s="36"/>
      <c r="DJN7" s="36"/>
      <c r="DJO7" s="36"/>
      <c r="DJP7" s="36"/>
      <c r="DJQ7" s="36"/>
      <c r="DJR7" s="36"/>
      <c r="DJS7" s="36"/>
      <c r="DJT7" s="36"/>
      <c r="DJU7" s="36"/>
      <c r="DJV7" s="36"/>
      <c r="DJW7" s="36"/>
      <c r="DJX7" s="36"/>
      <c r="DJY7" s="36"/>
      <c r="DJZ7" s="36"/>
      <c r="DKA7" s="36"/>
      <c r="DKB7" s="36"/>
      <c r="DKC7" s="36"/>
      <c r="DKD7" s="36"/>
      <c r="DKE7" s="36"/>
      <c r="DKF7" s="36"/>
      <c r="DKG7" s="36"/>
      <c r="DKH7" s="36"/>
      <c r="DKI7" s="36"/>
      <c r="DKJ7" s="36"/>
      <c r="DKK7" s="36"/>
      <c r="DKL7" s="36"/>
      <c r="DKM7" s="36"/>
      <c r="DKN7" s="36"/>
      <c r="DKO7" s="36"/>
      <c r="DKP7" s="36"/>
      <c r="DKQ7" s="36"/>
      <c r="DKR7" s="36"/>
      <c r="DKS7" s="36"/>
      <c r="DKT7" s="36"/>
      <c r="DKU7" s="36"/>
      <c r="DKV7" s="36"/>
      <c r="DKW7" s="36"/>
      <c r="DKX7" s="36"/>
      <c r="DKY7" s="36"/>
      <c r="DKZ7" s="36"/>
      <c r="DLA7" s="36"/>
      <c r="DLB7" s="36"/>
      <c r="DLC7" s="36"/>
      <c r="DLD7" s="36"/>
      <c r="DLE7" s="36"/>
      <c r="DLF7" s="36"/>
      <c r="DLG7" s="36"/>
      <c r="DLH7" s="36"/>
      <c r="DLI7" s="36"/>
      <c r="DLJ7" s="36"/>
      <c r="DLK7" s="36"/>
      <c r="DLL7" s="36"/>
      <c r="DLM7" s="36"/>
      <c r="DLN7" s="36"/>
      <c r="DLO7" s="36"/>
      <c r="DLP7" s="36"/>
      <c r="DLQ7" s="36"/>
      <c r="DLR7" s="36"/>
      <c r="DLS7" s="36"/>
      <c r="DLT7" s="36"/>
      <c r="DLU7" s="36"/>
      <c r="DLV7" s="36"/>
      <c r="DLW7" s="36"/>
      <c r="DLX7" s="36"/>
      <c r="DLY7" s="36"/>
      <c r="DLZ7" s="36"/>
      <c r="DMA7" s="36"/>
      <c r="DMB7" s="36"/>
      <c r="DMC7" s="36"/>
      <c r="DMD7" s="36"/>
      <c r="DME7" s="36"/>
      <c r="DMF7" s="36"/>
      <c r="DMG7" s="36"/>
      <c r="DMH7" s="36"/>
      <c r="DMI7" s="36"/>
      <c r="DMJ7" s="36"/>
      <c r="DMK7" s="36"/>
      <c r="DML7" s="36"/>
      <c r="DMM7" s="36"/>
      <c r="DMN7" s="36"/>
      <c r="DMO7" s="36"/>
      <c r="DMP7" s="36"/>
      <c r="DMQ7" s="36"/>
      <c r="DMR7" s="36"/>
      <c r="DMS7" s="36"/>
      <c r="DMT7" s="36"/>
      <c r="DMU7" s="36"/>
      <c r="DMV7" s="36"/>
      <c r="DMW7" s="36"/>
      <c r="DMX7" s="36"/>
      <c r="DMY7" s="36"/>
      <c r="DMZ7" s="36"/>
      <c r="DNA7" s="36"/>
      <c r="DNB7" s="36"/>
      <c r="DNC7" s="36"/>
      <c r="DND7" s="36"/>
      <c r="DNE7" s="36"/>
      <c r="DNF7" s="36"/>
      <c r="DNG7" s="36"/>
      <c r="DNH7" s="36"/>
      <c r="DNI7" s="36"/>
      <c r="DNJ7" s="36"/>
      <c r="DNK7" s="36"/>
      <c r="DNL7" s="36"/>
      <c r="DNM7" s="36"/>
      <c r="DNN7" s="36"/>
      <c r="DNO7" s="36"/>
      <c r="DNP7" s="36"/>
      <c r="DNQ7" s="36"/>
      <c r="DNR7" s="36"/>
      <c r="DNS7" s="36"/>
      <c r="DNT7" s="36"/>
      <c r="DNU7" s="36"/>
      <c r="DNV7" s="36"/>
      <c r="DNW7" s="36"/>
      <c r="DNX7" s="36"/>
      <c r="DNY7" s="36"/>
      <c r="DNZ7" s="36"/>
      <c r="DOA7" s="36"/>
      <c r="DOB7" s="36"/>
      <c r="DOC7" s="36"/>
      <c r="DOD7" s="36"/>
      <c r="DOE7" s="36"/>
      <c r="DOF7" s="36"/>
      <c r="DOG7" s="36"/>
      <c r="DOH7" s="36"/>
      <c r="DOI7" s="36"/>
      <c r="DOJ7" s="36"/>
      <c r="DOK7" s="36"/>
      <c r="DOL7" s="36"/>
      <c r="DOM7" s="36"/>
      <c r="DON7" s="36"/>
      <c r="DOO7" s="36"/>
      <c r="DOP7" s="36"/>
      <c r="DOQ7" s="36"/>
      <c r="DOR7" s="36"/>
      <c r="DOS7" s="36"/>
      <c r="DOT7" s="36"/>
      <c r="DOU7" s="36"/>
      <c r="DOV7" s="36"/>
      <c r="DOW7" s="36"/>
      <c r="DOX7" s="36"/>
      <c r="DOY7" s="36"/>
      <c r="DOZ7" s="36"/>
      <c r="DPA7" s="36"/>
      <c r="DPB7" s="36"/>
      <c r="DPC7" s="36"/>
      <c r="DPD7" s="36"/>
      <c r="DPE7" s="36"/>
      <c r="DPF7" s="36"/>
      <c r="DPG7" s="36"/>
      <c r="DPH7" s="36"/>
      <c r="DPI7" s="36"/>
      <c r="DPJ7" s="36"/>
      <c r="DPK7" s="36"/>
      <c r="DPL7" s="36"/>
      <c r="DPM7" s="36"/>
      <c r="DPN7" s="36"/>
      <c r="DPO7" s="36"/>
      <c r="DPP7" s="36"/>
      <c r="DPQ7" s="36"/>
      <c r="DPR7" s="36"/>
      <c r="DPS7" s="36"/>
      <c r="DPT7" s="36"/>
      <c r="DPU7" s="36"/>
      <c r="DPV7" s="36"/>
      <c r="DPW7" s="36"/>
      <c r="DPX7" s="36"/>
      <c r="DPY7" s="36"/>
      <c r="DPZ7" s="36"/>
      <c r="DQA7" s="36"/>
      <c r="DQB7" s="36"/>
      <c r="DQC7" s="36"/>
      <c r="DQD7" s="36"/>
      <c r="DQE7" s="36"/>
      <c r="DQF7" s="36"/>
      <c r="DQG7" s="36"/>
      <c r="DQH7" s="36"/>
      <c r="DQI7" s="36"/>
      <c r="DQJ7" s="36"/>
      <c r="DQK7" s="36"/>
      <c r="DQL7" s="36"/>
      <c r="DQM7" s="36"/>
      <c r="DQN7" s="36"/>
      <c r="DQO7" s="36"/>
      <c r="DQP7" s="36"/>
      <c r="DQQ7" s="36"/>
      <c r="DQR7" s="36"/>
      <c r="DQS7" s="36"/>
      <c r="DQT7" s="36"/>
      <c r="DQU7" s="36"/>
      <c r="DQV7" s="36"/>
      <c r="DQW7" s="36"/>
      <c r="DQX7" s="36"/>
      <c r="DQY7" s="36"/>
      <c r="DQZ7" s="36"/>
      <c r="DRA7" s="36"/>
      <c r="DRB7" s="36"/>
      <c r="DRC7" s="36"/>
      <c r="DRD7" s="36"/>
      <c r="DRE7" s="36"/>
      <c r="DRF7" s="36"/>
      <c r="DRG7" s="36"/>
      <c r="DRH7" s="36"/>
      <c r="DRI7" s="36"/>
      <c r="DRJ7" s="36"/>
      <c r="DRK7" s="36"/>
      <c r="DRL7" s="36"/>
      <c r="DRM7" s="36"/>
      <c r="DRN7" s="36"/>
      <c r="DRO7" s="36"/>
      <c r="DRP7" s="36"/>
      <c r="DRQ7" s="36"/>
      <c r="DRR7" s="36"/>
      <c r="DRS7" s="36"/>
      <c r="DRT7" s="36"/>
      <c r="DRU7" s="36"/>
      <c r="DRV7" s="36"/>
      <c r="DRW7" s="36"/>
      <c r="DRX7" s="36"/>
      <c r="DRY7" s="36"/>
      <c r="DRZ7" s="36"/>
      <c r="DSA7" s="36"/>
      <c r="DSB7" s="36"/>
      <c r="DSC7" s="36"/>
      <c r="DSD7" s="36"/>
      <c r="DSE7" s="36"/>
      <c r="DSF7" s="36"/>
      <c r="DSG7" s="36"/>
      <c r="DSH7" s="36"/>
      <c r="DSI7" s="36"/>
      <c r="DSJ7" s="36"/>
      <c r="DSK7" s="36"/>
      <c r="DSL7" s="36"/>
      <c r="DSM7" s="36"/>
      <c r="DSN7" s="36"/>
      <c r="DSO7" s="36"/>
      <c r="DSP7" s="36"/>
      <c r="DSQ7" s="36"/>
      <c r="DSR7" s="36"/>
      <c r="DSS7" s="36"/>
      <c r="DST7" s="36"/>
      <c r="DSU7" s="36"/>
      <c r="DSV7" s="36"/>
      <c r="DSW7" s="36"/>
      <c r="DSX7" s="36"/>
      <c r="DSY7" s="36"/>
      <c r="DSZ7" s="36"/>
      <c r="DTA7" s="36"/>
      <c r="DTB7" s="36"/>
      <c r="DTC7" s="36"/>
      <c r="DTD7" s="36"/>
      <c r="DTE7" s="36"/>
      <c r="DTF7" s="36"/>
      <c r="DTG7" s="36"/>
      <c r="DTH7" s="36"/>
      <c r="DTI7" s="36"/>
      <c r="DTJ7" s="36"/>
      <c r="DTK7" s="36"/>
      <c r="DTL7" s="36"/>
      <c r="DTM7" s="36"/>
      <c r="DTN7" s="36"/>
      <c r="DTO7" s="36"/>
      <c r="DTP7" s="36"/>
      <c r="DTQ7" s="36"/>
      <c r="DTR7" s="36"/>
      <c r="DTS7" s="36"/>
      <c r="DTT7" s="36"/>
      <c r="DTU7" s="36"/>
      <c r="DTV7" s="36"/>
      <c r="DTW7" s="36"/>
      <c r="DTX7" s="36"/>
      <c r="DTY7" s="36"/>
      <c r="DTZ7" s="36"/>
      <c r="DUA7" s="36"/>
      <c r="DUB7" s="36"/>
      <c r="DUC7" s="36"/>
      <c r="DUD7" s="36"/>
      <c r="DUE7" s="36"/>
      <c r="DUF7" s="36"/>
      <c r="DUG7" s="36"/>
      <c r="DUH7" s="36"/>
      <c r="DUI7" s="36"/>
      <c r="DUJ7" s="36"/>
      <c r="DUK7" s="36"/>
      <c r="DUL7" s="36"/>
      <c r="DUM7" s="36"/>
      <c r="DUN7" s="36"/>
      <c r="DUO7" s="36"/>
      <c r="DUP7" s="36"/>
      <c r="DUQ7" s="36"/>
      <c r="DUR7" s="36"/>
      <c r="DUS7" s="36"/>
      <c r="DUT7" s="36"/>
      <c r="DUU7" s="36"/>
      <c r="DUV7" s="36"/>
      <c r="DUW7" s="36"/>
      <c r="DUX7" s="36"/>
      <c r="DUY7" s="36"/>
      <c r="DUZ7" s="36"/>
      <c r="DVA7" s="36"/>
      <c r="DVB7" s="36"/>
      <c r="DVC7" s="36"/>
      <c r="DVD7" s="36"/>
      <c r="DVE7" s="36"/>
      <c r="DVF7" s="36"/>
      <c r="DVG7" s="36"/>
      <c r="DVH7" s="36"/>
      <c r="DVI7" s="36"/>
      <c r="DVJ7" s="36"/>
      <c r="DVK7" s="36"/>
      <c r="DVL7" s="36"/>
      <c r="DVM7" s="36"/>
      <c r="DVN7" s="36"/>
      <c r="DVO7" s="36"/>
      <c r="DVP7" s="36"/>
      <c r="DVQ7" s="36"/>
      <c r="DVR7" s="36"/>
      <c r="DVS7" s="36"/>
      <c r="DVT7" s="36"/>
      <c r="DVU7" s="36"/>
      <c r="DVV7" s="36"/>
      <c r="DVW7" s="36"/>
      <c r="DVX7" s="36"/>
      <c r="DVY7" s="36"/>
      <c r="DVZ7" s="36"/>
      <c r="DWA7" s="36"/>
      <c r="DWB7" s="36"/>
      <c r="DWC7" s="36"/>
      <c r="DWD7" s="36"/>
      <c r="DWE7" s="36"/>
      <c r="DWF7" s="36"/>
      <c r="DWG7" s="36"/>
      <c r="DWH7" s="36"/>
      <c r="DWI7" s="36"/>
      <c r="DWJ7" s="36"/>
      <c r="DWK7" s="36"/>
      <c r="DWL7" s="36"/>
      <c r="DWM7" s="36"/>
      <c r="DWN7" s="36"/>
      <c r="DWO7" s="36"/>
      <c r="DWP7" s="36"/>
      <c r="DWQ7" s="36"/>
      <c r="DWR7" s="36"/>
      <c r="DWS7" s="36"/>
      <c r="DWT7" s="36"/>
      <c r="DWU7" s="36"/>
      <c r="DWV7" s="36"/>
      <c r="DWW7" s="36"/>
      <c r="DWX7" s="36"/>
      <c r="DWY7" s="36"/>
      <c r="DWZ7" s="36"/>
      <c r="DXA7" s="36"/>
      <c r="DXB7" s="36"/>
      <c r="DXC7" s="36"/>
      <c r="DXD7" s="36"/>
      <c r="DXE7" s="36"/>
      <c r="DXF7" s="36"/>
      <c r="DXG7" s="36"/>
      <c r="DXH7" s="36"/>
      <c r="DXI7" s="36"/>
      <c r="DXJ7" s="36"/>
      <c r="DXK7" s="36"/>
      <c r="DXL7" s="36"/>
      <c r="DXM7" s="36"/>
      <c r="DXN7" s="36"/>
      <c r="DXO7" s="36"/>
      <c r="DXP7" s="36"/>
      <c r="DXQ7" s="36"/>
      <c r="DXR7" s="36"/>
      <c r="DXS7" s="36"/>
      <c r="DXT7" s="36"/>
      <c r="DXU7" s="36"/>
      <c r="DXV7" s="36"/>
      <c r="DXW7" s="36"/>
      <c r="DXX7" s="36"/>
      <c r="DXY7" s="36"/>
      <c r="DXZ7" s="36"/>
      <c r="DYA7" s="36"/>
      <c r="DYB7" s="36"/>
      <c r="DYC7" s="36"/>
      <c r="DYD7" s="36"/>
      <c r="DYE7" s="36"/>
      <c r="DYF7" s="36"/>
      <c r="DYG7" s="36"/>
      <c r="DYH7" s="36"/>
      <c r="DYI7" s="36"/>
      <c r="DYJ7" s="36"/>
      <c r="DYK7" s="36"/>
      <c r="DYL7" s="36"/>
      <c r="DYM7" s="36"/>
      <c r="DYN7" s="36"/>
      <c r="DYO7" s="36"/>
      <c r="DYP7" s="36"/>
      <c r="DYQ7" s="36"/>
      <c r="DYR7" s="36"/>
      <c r="DYS7" s="36"/>
      <c r="DYT7" s="36"/>
      <c r="DYU7" s="36"/>
      <c r="DYV7" s="36"/>
      <c r="DYW7" s="36"/>
      <c r="DYX7" s="36"/>
      <c r="DYY7" s="36"/>
      <c r="DYZ7" s="36"/>
      <c r="DZA7" s="36"/>
      <c r="DZB7" s="36"/>
      <c r="DZC7" s="36"/>
      <c r="DZD7" s="36"/>
      <c r="DZE7" s="36"/>
      <c r="DZF7" s="36"/>
      <c r="DZG7" s="36"/>
      <c r="DZH7" s="36"/>
      <c r="DZI7" s="36"/>
      <c r="DZJ7" s="36"/>
      <c r="DZK7" s="36"/>
      <c r="DZL7" s="36"/>
      <c r="DZM7" s="36"/>
      <c r="DZN7" s="36"/>
      <c r="DZO7" s="36"/>
      <c r="DZP7" s="36"/>
      <c r="DZQ7" s="36"/>
      <c r="DZR7" s="36"/>
      <c r="DZS7" s="36"/>
      <c r="DZT7" s="36"/>
      <c r="DZU7" s="36"/>
      <c r="DZV7" s="36"/>
      <c r="DZW7" s="36"/>
      <c r="DZX7" s="36"/>
      <c r="DZY7" s="36"/>
      <c r="DZZ7" s="36"/>
      <c r="EAA7" s="36"/>
      <c r="EAB7" s="36"/>
      <c r="EAC7" s="36"/>
      <c r="EAD7" s="36"/>
      <c r="EAE7" s="36"/>
      <c r="EAF7" s="36"/>
      <c r="EAG7" s="36"/>
      <c r="EAH7" s="36"/>
      <c r="EAI7" s="36"/>
      <c r="EAJ7" s="36"/>
      <c r="EAK7" s="36"/>
      <c r="EAL7" s="36"/>
      <c r="EAM7" s="36"/>
      <c r="EAN7" s="36"/>
      <c r="EAO7" s="36"/>
      <c r="EAP7" s="36"/>
      <c r="EAQ7" s="36"/>
      <c r="EAR7" s="36"/>
      <c r="EAS7" s="36"/>
      <c r="EAT7" s="36"/>
      <c r="EAU7" s="36"/>
      <c r="EAV7" s="36"/>
      <c r="EAW7" s="36"/>
      <c r="EAX7" s="36"/>
      <c r="EAY7" s="36"/>
      <c r="EAZ7" s="36"/>
      <c r="EBA7" s="36"/>
      <c r="EBB7" s="36"/>
      <c r="EBC7" s="36"/>
      <c r="EBD7" s="36"/>
      <c r="EBE7" s="36"/>
      <c r="EBF7" s="36"/>
      <c r="EBG7" s="36"/>
      <c r="EBH7" s="36"/>
      <c r="EBI7" s="36"/>
      <c r="EBJ7" s="36"/>
      <c r="EBK7" s="36"/>
      <c r="EBL7" s="36"/>
      <c r="EBM7" s="36"/>
      <c r="EBN7" s="36"/>
      <c r="EBO7" s="36"/>
      <c r="EBP7" s="36"/>
      <c r="EBQ7" s="36"/>
      <c r="EBR7" s="36"/>
      <c r="EBS7" s="36"/>
      <c r="EBT7" s="36"/>
      <c r="EBU7" s="36"/>
      <c r="EBV7" s="36"/>
      <c r="EBW7" s="36"/>
      <c r="EBX7" s="36"/>
      <c r="EBY7" s="36"/>
      <c r="EBZ7" s="36"/>
      <c r="ECA7" s="36"/>
      <c r="ECB7" s="36"/>
      <c r="ECC7" s="36"/>
      <c r="ECD7" s="36"/>
      <c r="ECE7" s="36"/>
      <c r="ECF7" s="36"/>
      <c r="ECG7" s="36"/>
      <c r="ECH7" s="36"/>
      <c r="ECI7" s="36"/>
      <c r="ECJ7" s="36"/>
      <c r="ECK7" s="36"/>
      <c r="ECL7" s="36"/>
      <c r="ECM7" s="36"/>
      <c r="ECN7" s="36"/>
      <c r="ECO7" s="36"/>
      <c r="ECP7" s="36"/>
      <c r="ECQ7" s="36"/>
      <c r="ECR7" s="36"/>
      <c r="ECS7" s="36"/>
      <c r="ECT7" s="36"/>
      <c r="ECU7" s="36"/>
      <c r="ECV7" s="36"/>
      <c r="ECW7" s="36"/>
      <c r="ECX7" s="36"/>
      <c r="ECY7" s="36"/>
      <c r="ECZ7" s="36"/>
      <c r="EDA7" s="36"/>
      <c r="EDB7" s="36"/>
      <c r="EDC7" s="36"/>
      <c r="EDD7" s="36"/>
      <c r="EDE7" s="36"/>
      <c r="EDF7" s="36"/>
      <c r="EDG7" s="36"/>
      <c r="EDH7" s="36"/>
      <c r="EDI7" s="36"/>
      <c r="EDJ7" s="36"/>
      <c r="EDK7" s="36"/>
      <c r="EDL7" s="36"/>
      <c r="EDM7" s="36"/>
      <c r="EDN7" s="36"/>
      <c r="EDO7" s="36"/>
      <c r="EDP7" s="36"/>
      <c r="EDQ7" s="36"/>
      <c r="EDR7" s="36"/>
      <c r="EDS7" s="36"/>
      <c r="EDT7" s="36"/>
      <c r="EDU7" s="36"/>
      <c r="EDV7" s="36"/>
      <c r="EDW7" s="36"/>
      <c r="EDX7" s="36"/>
      <c r="EDY7" s="36"/>
      <c r="EDZ7" s="36"/>
      <c r="EEA7" s="36"/>
      <c r="EEB7" s="36"/>
      <c r="EEC7" s="36"/>
      <c r="EED7" s="36"/>
      <c r="EEE7" s="36"/>
      <c r="EEF7" s="36"/>
      <c r="EEG7" s="36"/>
      <c r="EEH7" s="36"/>
      <c r="EEI7" s="36"/>
      <c r="EEJ7" s="36"/>
      <c r="EEK7" s="36"/>
      <c r="EEL7" s="36"/>
      <c r="EEM7" s="36"/>
      <c r="EEN7" s="36"/>
      <c r="EEO7" s="36"/>
      <c r="EEP7" s="36"/>
      <c r="EEQ7" s="36"/>
      <c r="EER7" s="36"/>
      <c r="EES7" s="36"/>
      <c r="EET7" s="36"/>
      <c r="EEU7" s="36"/>
      <c r="EEV7" s="36"/>
      <c r="EEW7" s="36"/>
      <c r="EEX7" s="36"/>
      <c r="EEY7" s="36"/>
      <c r="EEZ7" s="36"/>
      <c r="EFA7" s="36"/>
      <c r="EFB7" s="36"/>
      <c r="EFC7" s="36"/>
      <c r="EFD7" s="36"/>
      <c r="EFE7" s="36"/>
      <c r="EFF7" s="36"/>
      <c r="EFG7" s="36"/>
      <c r="EFH7" s="36"/>
      <c r="EFI7" s="36"/>
      <c r="EFJ7" s="36"/>
      <c r="EFK7" s="36"/>
      <c r="EFL7" s="36"/>
      <c r="EFM7" s="36"/>
      <c r="EFN7" s="36"/>
      <c r="EFO7" s="36"/>
      <c r="EFP7" s="36"/>
      <c r="EFQ7" s="36"/>
      <c r="EFR7" s="36"/>
      <c r="EFS7" s="36"/>
      <c r="EFT7" s="36"/>
      <c r="EFU7" s="36"/>
      <c r="EFV7" s="36"/>
      <c r="EFW7" s="36"/>
      <c r="EFX7" s="36"/>
      <c r="EFY7" s="36"/>
      <c r="EFZ7" s="36"/>
      <c r="EGA7" s="36"/>
      <c r="EGB7" s="36"/>
      <c r="EGC7" s="36"/>
      <c r="EGD7" s="36"/>
      <c r="EGE7" s="36"/>
      <c r="EGF7" s="36"/>
      <c r="EGG7" s="36"/>
      <c r="EGH7" s="36"/>
      <c r="EGI7" s="36"/>
      <c r="EGJ7" s="36"/>
      <c r="EGK7" s="36"/>
      <c r="EGL7" s="36"/>
      <c r="EGM7" s="36"/>
      <c r="EGN7" s="36"/>
      <c r="EGO7" s="36"/>
      <c r="EGP7" s="36"/>
      <c r="EGQ7" s="36"/>
      <c r="EGR7" s="36"/>
      <c r="EGS7" s="36"/>
      <c r="EGT7" s="36"/>
      <c r="EGU7" s="36"/>
      <c r="EGV7" s="36"/>
      <c r="EGW7" s="36"/>
      <c r="EGX7" s="36"/>
      <c r="EGY7" s="36"/>
      <c r="EGZ7" s="36"/>
      <c r="EHA7" s="36"/>
      <c r="EHB7" s="36"/>
      <c r="EHC7" s="36"/>
      <c r="EHD7" s="36"/>
      <c r="EHE7" s="36"/>
      <c r="EHF7" s="36"/>
      <c r="EHG7" s="36"/>
      <c r="EHH7" s="36"/>
      <c r="EHI7" s="36"/>
      <c r="EHJ7" s="36"/>
      <c r="EHK7" s="36"/>
      <c r="EHL7" s="36"/>
      <c r="EHM7" s="36"/>
      <c r="EHN7" s="36"/>
      <c r="EHO7" s="36"/>
      <c r="EHP7" s="36"/>
      <c r="EHQ7" s="36"/>
      <c r="EHR7" s="36"/>
      <c r="EHS7" s="36"/>
      <c r="EHT7" s="36"/>
      <c r="EHU7" s="36"/>
      <c r="EHV7" s="36"/>
      <c r="EHW7" s="36"/>
      <c r="EHX7" s="36"/>
      <c r="EHY7" s="36"/>
      <c r="EHZ7" s="36"/>
      <c r="EIA7" s="36"/>
      <c r="EIB7" s="36"/>
      <c r="EIC7" s="36"/>
      <c r="EID7" s="36"/>
      <c r="EIE7" s="36"/>
      <c r="EIF7" s="36"/>
      <c r="EIG7" s="36"/>
      <c r="EIH7" s="36"/>
      <c r="EII7" s="36"/>
      <c r="EIJ7" s="36"/>
      <c r="EIK7" s="36"/>
      <c r="EIL7" s="36"/>
      <c r="EIM7" s="36"/>
      <c r="EIN7" s="36"/>
      <c r="EIO7" s="36"/>
      <c r="EIP7" s="36"/>
      <c r="EIQ7" s="36"/>
      <c r="EIR7" s="36"/>
      <c r="EIS7" s="36"/>
      <c r="EIT7" s="36"/>
      <c r="EIU7" s="36"/>
      <c r="EIV7" s="36"/>
      <c r="EIW7" s="36"/>
      <c r="EIX7" s="36"/>
      <c r="EIY7" s="36"/>
      <c r="EIZ7" s="36"/>
      <c r="EJA7" s="36"/>
      <c r="EJB7" s="36"/>
      <c r="EJC7" s="36"/>
      <c r="EJD7" s="36"/>
      <c r="EJE7" s="36"/>
      <c r="EJF7" s="36"/>
      <c r="EJG7" s="36"/>
      <c r="EJH7" s="36"/>
      <c r="EJI7" s="36"/>
      <c r="EJJ7" s="36"/>
      <c r="EJK7" s="36"/>
      <c r="EJL7" s="36"/>
      <c r="EJM7" s="36"/>
      <c r="EJN7" s="36"/>
      <c r="EJO7" s="36"/>
      <c r="EJP7" s="36"/>
      <c r="EJQ7" s="36"/>
      <c r="EJR7" s="36"/>
      <c r="EJS7" s="36"/>
      <c r="EJT7" s="36"/>
      <c r="EJU7" s="36"/>
      <c r="EJV7" s="36"/>
      <c r="EJW7" s="36"/>
      <c r="EJX7" s="36"/>
      <c r="EJY7" s="36"/>
      <c r="EJZ7" s="36"/>
      <c r="EKA7" s="36"/>
      <c r="EKB7" s="36"/>
      <c r="EKC7" s="36"/>
      <c r="EKD7" s="36"/>
      <c r="EKE7" s="36"/>
      <c r="EKF7" s="36"/>
      <c r="EKG7" s="36"/>
      <c r="EKH7" s="36"/>
      <c r="EKI7" s="36"/>
      <c r="EKJ7" s="36"/>
      <c r="EKK7" s="36"/>
      <c r="EKL7" s="36"/>
      <c r="EKM7" s="36"/>
      <c r="EKN7" s="36"/>
      <c r="EKO7" s="36"/>
      <c r="EKP7" s="36"/>
      <c r="EKQ7" s="36"/>
      <c r="EKR7" s="36"/>
      <c r="EKS7" s="36"/>
      <c r="EKT7" s="36"/>
      <c r="EKU7" s="36"/>
      <c r="EKV7" s="36"/>
      <c r="EKW7" s="36"/>
      <c r="EKX7" s="36"/>
      <c r="EKY7" s="36"/>
      <c r="EKZ7" s="36"/>
      <c r="ELA7" s="36"/>
      <c r="ELB7" s="36"/>
      <c r="ELC7" s="36"/>
      <c r="ELD7" s="36"/>
      <c r="ELE7" s="36"/>
      <c r="ELF7" s="36"/>
      <c r="ELG7" s="36"/>
      <c r="ELH7" s="36"/>
      <c r="ELI7" s="36"/>
      <c r="ELJ7" s="36"/>
      <c r="ELK7" s="36"/>
      <c r="ELL7" s="36"/>
      <c r="ELM7" s="36"/>
      <c r="ELN7" s="36"/>
      <c r="ELO7" s="36"/>
      <c r="ELP7" s="36"/>
      <c r="ELQ7" s="36"/>
      <c r="ELR7" s="36"/>
      <c r="ELS7" s="36"/>
      <c r="ELT7" s="36"/>
      <c r="ELU7" s="36"/>
      <c r="ELV7" s="36"/>
      <c r="ELW7" s="36"/>
      <c r="ELX7" s="36"/>
      <c r="ELY7" s="36"/>
      <c r="ELZ7" s="36"/>
      <c r="EMA7" s="36"/>
      <c r="EMB7" s="36"/>
      <c r="EMC7" s="36"/>
      <c r="EMD7" s="36"/>
      <c r="EME7" s="36"/>
      <c r="EMF7" s="36"/>
      <c r="EMG7" s="36"/>
      <c r="EMH7" s="36"/>
      <c r="EMI7" s="36"/>
      <c r="EMJ7" s="36"/>
      <c r="EMK7" s="36"/>
      <c r="EML7" s="36"/>
      <c r="EMM7" s="36"/>
      <c r="EMN7" s="36"/>
      <c r="EMO7" s="36"/>
      <c r="EMP7" s="36"/>
      <c r="EMQ7" s="36"/>
      <c r="EMR7" s="36"/>
      <c r="EMS7" s="36"/>
      <c r="EMT7" s="36"/>
      <c r="EMU7" s="36"/>
      <c r="EMV7" s="36"/>
      <c r="EMW7" s="36"/>
      <c r="EMX7" s="36"/>
      <c r="EMY7" s="36"/>
      <c r="EMZ7" s="36"/>
      <c r="ENA7" s="36"/>
      <c r="ENB7" s="36"/>
      <c r="ENC7" s="36"/>
      <c r="END7" s="36"/>
      <c r="ENE7" s="36"/>
      <c r="ENF7" s="36"/>
      <c r="ENG7" s="36"/>
      <c r="ENH7" s="36"/>
      <c r="ENI7" s="36"/>
      <c r="ENJ7" s="36"/>
      <c r="ENK7" s="36"/>
      <c r="ENL7" s="36"/>
      <c r="ENM7" s="36"/>
      <c r="ENN7" s="36"/>
      <c r="ENO7" s="36"/>
      <c r="ENP7" s="36"/>
      <c r="ENQ7" s="36"/>
      <c r="ENR7" s="36"/>
      <c r="ENS7" s="36"/>
      <c r="ENT7" s="36"/>
      <c r="ENU7" s="36"/>
      <c r="ENV7" s="36"/>
      <c r="ENW7" s="36"/>
      <c r="ENX7" s="36"/>
      <c r="ENY7" s="36"/>
      <c r="ENZ7" s="36"/>
      <c r="EOA7" s="36"/>
      <c r="EOB7" s="36"/>
      <c r="EOC7" s="36"/>
      <c r="EOD7" s="36"/>
      <c r="EOE7" s="36"/>
      <c r="EOF7" s="36"/>
      <c r="EOG7" s="36"/>
      <c r="EOH7" s="36"/>
      <c r="EOI7" s="36"/>
      <c r="EOJ7" s="36"/>
      <c r="EOK7" s="36"/>
      <c r="EOL7" s="36"/>
      <c r="EOM7" s="36"/>
      <c r="EON7" s="36"/>
      <c r="EOO7" s="36"/>
      <c r="EOP7" s="36"/>
      <c r="EOQ7" s="36"/>
      <c r="EOR7" s="36"/>
      <c r="EOS7" s="36"/>
      <c r="EOT7" s="36"/>
      <c r="EOU7" s="36"/>
      <c r="EOV7" s="36"/>
      <c r="EOW7" s="36"/>
      <c r="EOX7" s="36"/>
      <c r="EOY7" s="36"/>
      <c r="EOZ7" s="36"/>
      <c r="EPA7" s="36"/>
      <c r="EPB7" s="36"/>
      <c r="EPC7" s="36"/>
      <c r="EPD7" s="36"/>
      <c r="EPE7" s="36"/>
      <c r="EPF7" s="36"/>
      <c r="EPG7" s="36"/>
      <c r="EPH7" s="36"/>
      <c r="EPI7" s="36"/>
      <c r="EPJ7" s="36"/>
      <c r="EPK7" s="36"/>
      <c r="EPL7" s="36"/>
      <c r="EPM7" s="36"/>
      <c r="EPN7" s="36"/>
      <c r="EPO7" s="36"/>
      <c r="EPP7" s="36"/>
      <c r="EPQ7" s="36"/>
      <c r="EPR7" s="36"/>
      <c r="EPS7" s="36"/>
      <c r="EPT7" s="36"/>
      <c r="EPU7" s="36"/>
      <c r="EPV7" s="36"/>
      <c r="EPW7" s="36"/>
      <c r="EPX7" s="36"/>
      <c r="EPY7" s="36"/>
      <c r="EPZ7" s="36"/>
      <c r="EQA7" s="36"/>
      <c r="EQB7" s="36"/>
      <c r="EQC7" s="36"/>
      <c r="EQD7" s="36"/>
      <c r="EQE7" s="36"/>
      <c r="EQF7" s="36"/>
      <c r="EQG7" s="36"/>
      <c r="EQH7" s="36"/>
      <c r="EQI7" s="36"/>
      <c r="EQJ7" s="36"/>
      <c r="EQK7" s="36"/>
      <c r="EQL7" s="36"/>
      <c r="EQM7" s="36"/>
      <c r="EQN7" s="36"/>
      <c r="EQO7" s="36"/>
      <c r="EQP7" s="36"/>
      <c r="EQQ7" s="36"/>
      <c r="EQR7" s="36"/>
      <c r="EQS7" s="36"/>
      <c r="EQT7" s="36"/>
      <c r="EQU7" s="36"/>
      <c r="EQV7" s="36"/>
      <c r="EQW7" s="36"/>
      <c r="EQX7" s="36"/>
      <c r="EQY7" s="36"/>
      <c r="EQZ7" s="36"/>
      <c r="ERA7" s="36"/>
      <c r="ERB7" s="36"/>
      <c r="ERC7" s="36"/>
      <c r="ERD7" s="36"/>
      <c r="ERE7" s="36"/>
      <c r="ERF7" s="36"/>
      <c r="ERG7" s="36"/>
      <c r="ERH7" s="36"/>
      <c r="ERI7" s="36"/>
      <c r="ERJ7" s="36"/>
      <c r="ERK7" s="36"/>
      <c r="ERL7" s="36"/>
      <c r="ERM7" s="36"/>
      <c r="ERN7" s="36"/>
      <c r="ERO7" s="36"/>
      <c r="ERP7" s="36"/>
      <c r="ERQ7" s="36"/>
      <c r="ERR7" s="36"/>
      <c r="ERS7" s="36"/>
      <c r="ERT7" s="36"/>
      <c r="ERU7" s="36"/>
      <c r="ERV7" s="36"/>
      <c r="ERW7" s="36"/>
      <c r="ERX7" s="36"/>
      <c r="ERY7" s="36"/>
      <c r="ERZ7" s="36"/>
      <c r="ESA7" s="36"/>
      <c r="ESB7" s="36"/>
      <c r="ESC7" s="36"/>
      <c r="ESD7" s="36"/>
      <c r="ESE7" s="36"/>
      <c r="ESF7" s="36"/>
      <c r="ESG7" s="36"/>
      <c r="ESH7" s="36"/>
      <c r="ESI7" s="36"/>
      <c r="ESJ7" s="36"/>
      <c r="ESK7" s="36"/>
      <c r="ESL7" s="36"/>
      <c r="ESM7" s="36"/>
      <c r="ESN7" s="36"/>
      <c r="ESO7" s="36"/>
      <c r="ESP7" s="36"/>
      <c r="ESQ7" s="36"/>
      <c r="ESR7" s="36"/>
      <c r="ESS7" s="36"/>
      <c r="EST7" s="36"/>
      <c r="ESU7" s="36"/>
      <c r="ESV7" s="36"/>
      <c r="ESW7" s="36"/>
      <c r="ESX7" s="36"/>
      <c r="ESY7" s="36"/>
      <c r="ESZ7" s="36"/>
      <c r="ETA7" s="36"/>
      <c r="ETB7" s="36"/>
      <c r="ETC7" s="36"/>
      <c r="ETD7" s="36"/>
      <c r="ETE7" s="36"/>
      <c r="ETF7" s="36"/>
      <c r="ETG7" s="36"/>
      <c r="ETH7" s="36"/>
      <c r="ETI7" s="36"/>
      <c r="ETJ7" s="36"/>
      <c r="ETK7" s="36"/>
      <c r="ETL7" s="36"/>
      <c r="ETM7" s="36"/>
      <c r="ETN7" s="36"/>
      <c r="ETO7" s="36"/>
      <c r="ETP7" s="36"/>
      <c r="ETQ7" s="36"/>
      <c r="ETR7" s="36"/>
      <c r="ETS7" s="36"/>
      <c r="ETT7" s="36"/>
      <c r="ETU7" s="36"/>
      <c r="ETV7" s="36"/>
      <c r="ETW7" s="36"/>
      <c r="ETX7" s="36"/>
      <c r="ETY7" s="36"/>
      <c r="ETZ7" s="36"/>
      <c r="EUA7" s="36"/>
      <c r="EUB7" s="36"/>
      <c r="EUC7" s="36"/>
      <c r="EUD7" s="36"/>
      <c r="EUE7" s="36"/>
      <c r="EUF7" s="36"/>
      <c r="EUG7" s="36"/>
      <c r="EUH7" s="36"/>
      <c r="EUI7" s="36"/>
      <c r="EUJ7" s="36"/>
      <c r="EUK7" s="36"/>
      <c r="EUL7" s="36"/>
      <c r="EUM7" s="36"/>
      <c r="EUN7" s="36"/>
      <c r="EUO7" s="36"/>
      <c r="EUP7" s="36"/>
      <c r="EUQ7" s="36"/>
      <c r="EUR7" s="36"/>
      <c r="EUS7" s="36"/>
      <c r="EUT7" s="36"/>
      <c r="EUU7" s="36"/>
      <c r="EUV7" s="36"/>
      <c r="EUW7" s="36"/>
      <c r="EUX7" s="36"/>
      <c r="EUY7" s="36"/>
      <c r="EUZ7" s="36"/>
      <c r="EVA7" s="36"/>
      <c r="EVB7" s="36"/>
      <c r="EVC7" s="36"/>
      <c r="EVD7" s="36"/>
      <c r="EVE7" s="36"/>
      <c r="EVF7" s="36"/>
      <c r="EVG7" s="36"/>
      <c r="EVH7" s="36"/>
      <c r="EVI7" s="36"/>
      <c r="EVJ7" s="36"/>
      <c r="EVK7" s="36"/>
      <c r="EVL7" s="36"/>
      <c r="EVM7" s="36"/>
      <c r="EVN7" s="36"/>
      <c r="EVO7" s="36"/>
      <c r="EVP7" s="36"/>
      <c r="EVQ7" s="36"/>
      <c r="EVR7" s="36"/>
      <c r="EVS7" s="36"/>
      <c r="EVT7" s="36"/>
      <c r="EVU7" s="36"/>
      <c r="EVV7" s="36"/>
      <c r="EVW7" s="36"/>
      <c r="EVX7" s="36"/>
      <c r="EVY7" s="36"/>
      <c r="EVZ7" s="36"/>
      <c r="EWA7" s="36"/>
      <c r="EWB7" s="36"/>
      <c r="EWC7" s="36"/>
      <c r="EWD7" s="36"/>
      <c r="EWE7" s="36"/>
      <c r="EWF7" s="36"/>
      <c r="EWG7" s="36"/>
      <c r="EWH7" s="36"/>
      <c r="EWI7" s="36"/>
      <c r="EWJ7" s="36"/>
      <c r="EWK7" s="36"/>
      <c r="EWL7" s="36"/>
      <c r="EWM7" s="36"/>
      <c r="EWN7" s="36"/>
      <c r="EWO7" s="36"/>
      <c r="EWP7" s="36"/>
      <c r="EWQ7" s="36"/>
      <c r="EWR7" s="36"/>
      <c r="EWS7" s="36"/>
      <c r="EWT7" s="36"/>
      <c r="EWU7" s="36"/>
      <c r="EWV7" s="36"/>
      <c r="EWW7" s="36"/>
      <c r="EWX7" s="36"/>
      <c r="EWY7" s="36"/>
      <c r="EWZ7" s="36"/>
      <c r="EXA7" s="36"/>
      <c r="EXB7" s="36"/>
      <c r="EXC7" s="36"/>
      <c r="EXD7" s="36"/>
      <c r="EXE7" s="36"/>
      <c r="EXF7" s="36"/>
      <c r="EXG7" s="36"/>
      <c r="EXH7" s="36"/>
      <c r="EXI7" s="36"/>
      <c r="EXJ7" s="36"/>
      <c r="EXK7" s="36"/>
      <c r="EXL7" s="36"/>
      <c r="EXM7" s="36"/>
      <c r="EXN7" s="36"/>
      <c r="EXO7" s="36"/>
      <c r="EXP7" s="36"/>
      <c r="EXQ7" s="36"/>
      <c r="EXR7" s="36"/>
      <c r="EXS7" s="36"/>
      <c r="EXT7" s="36"/>
      <c r="EXU7" s="36"/>
      <c r="EXV7" s="36"/>
      <c r="EXW7" s="36"/>
      <c r="EXX7" s="36"/>
      <c r="EXY7" s="36"/>
      <c r="EXZ7" s="36"/>
      <c r="EYA7" s="36"/>
      <c r="EYB7" s="36"/>
      <c r="EYC7" s="36"/>
      <c r="EYD7" s="36"/>
      <c r="EYE7" s="36"/>
      <c r="EYF7" s="36"/>
      <c r="EYG7" s="36"/>
      <c r="EYH7" s="36"/>
      <c r="EYI7" s="36"/>
      <c r="EYJ7" s="36"/>
      <c r="EYK7" s="36"/>
      <c r="EYL7" s="36"/>
      <c r="EYM7" s="36"/>
      <c r="EYN7" s="36"/>
      <c r="EYO7" s="36"/>
      <c r="EYP7" s="36"/>
      <c r="EYQ7" s="36"/>
      <c r="EYR7" s="36"/>
      <c r="EYS7" s="36"/>
      <c r="EYT7" s="36"/>
      <c r="EYU7" s="36"/>
      <c r="EYV7" s="36"/>
      <c r="EYW7" s="36"/>
      <c r="EYX7" s="36"/>
      <c r="EYY7" s="36"/>
      <c r="EYZ7" s="36"/>
      <c r="EZA7" s="36"/>
      <c r="EZB7" s="36"/>
      <c r="EZC7" s="36"/>
      <c r="EZD7" s="36"/>
      <c r="EZE7" s="36"/>
      <c r="EZF7" s="36"/>
      <c r="EZG7" s="36"/>
      <c r="EZH7" s="36"/>
      <c r="EZI7" s="36"/>
      <c r="EZJ7" s="36"/>
      <c r="EZK7" s="36"/>
      <c r="EZL7" s="36"/>
      <c r="EZM7" s="36"/>
      <c r="EZN7" s="36"/>
      <c r="EZO7" s="36"/>
      <c r="EZP7" s="36"/>
      <c r="EZQ7" s="36"/>
      <c r="EZR7" s="36"/>
      <c r="EZS7" s="36"/>
      <c r="EZT7" s="36"/>
      <c r="EZU7" s="36"/>
      <c r="EZV7" s="36"/>
      <c r="EZW7" s="36"/>
      <c r="EZX7" s="36"/>
      <c r="EZY7" s="36"/>
      <c r="EZZ7" s="36"/>
      <c r="FAA7" s="36"/>
      <c r="FAB7" s="36"/>
      <c r="FAC7" s="36"/>
      <c r="FAD7" s="36"/>
      <c r="FAE7" s="36"/>
      <c r="FAF7" s="36"/>
      <c r="FAG7" s="36"/>
      <c r="FAH7" s="36"/>
      <c r="FAI7" s="36"/>
      <c r="FAJ7" s="36"/>
      <c r="FAK7" s="36"/>
      <c r="FAL7" s="36"/>
      <c r="FAM7" s="36"/>
      <c r="FAN7" s="36"/>
      <c r="FAO7" s="36"/>
      <c r="FAP7" s="36"/>
      <c r="FAQ7" s="36"/>
      <c r="FAR7" s="36"/>
      <c r="FAS7" s="36"/>
      <c r="FAT7" s="36"/>
      <c r="FAU7" s="36"/>
      <c r="FAV7" s="36"/>
      <c r="FAW7" s="36"/>
      <c r="FAX7" s="36"/>
      <c r="FAY7" s="36"/>
      <c r="FAZ7" s="36"/>
      <c r="FBA7" s="36"/>
      <c r="FBB7" s="36"/>
      <c r="FBC7" s="36"/>
      <c r="FBD7" s="36"/>
      <c r="FBE7" s="36"/>
      <c r="FBF7" s="36"/>
      <c r="FBG7" s="36"/>
      <c r="FBH7" s="36"/>
      <c r="FBI7" s="36"/>
      <c r="FBJ7" s="36"/>
      <c r="FBK7" s="36"/>
      <c r="FBL7" s="36"/>
      <c r="FBM7" s="36"/>
      <c r="FBN7" s="36"/>
      <c r="FBO7" s="36"/>
      <c r="FBP7" s="36"/>
      <c r="FBQ7" s="36"/>
      <c r="FBR7" s="36"/>
      <c r="FBS7" s="36"/>
      <c r="FBT7" s="36"/>
      <c r="FBU7" s="36"/>
      <c r="FBV7" s="36"/>
      <c r="FBW7" s="36"/>
      <c r="FBX7" s="36"/>
      <c r="FBY7" s="36"/>
      <c r="FBZ7" s="36"/>
      <c r="FCA7" s="36"/>
      <c r="FCB7" s="36"/>
      <c r="FCC7" s="36"/>
      <c r="FCD7" s="36"/>
      <c r="FCE7" s="36"/>
      <c r="FCF7" s="36"/>
      <c r="FCG7" s="36"/>
      <c r="FCH7" s="36"/>
      <c r="FCI7" s="36"/>
      <c r="FCJ7" s="36"/>
      <c r="FCK7" s="36"/>
      <c r="FCL7" s="36"/>
      <c r="FCM7" s="36"/>
      <c r="FCN7" s="36"/>
      <c r="FCO7" s="36"/>
      <c r="FCP7" s="36"/>
      <c r="FCQ7" s="36"/>
      <c r="FCR7" s="36"/>
      <c r="FCS7" s="36"/>
      <c r="FCT7" s="36"/>
      <c r="FCU7" s="36"/>
      <c r="FCV7" s="36"/>
      <c r="FCW7" s="36"/>
      <c r="FCX7" s="36"/>
      <c r="FCY7" s="36"/>
      <c r="FCZ7" s="36"/>
      <c r="FDA7" s="36"/>
      <c r="FDB7" s="36"/>
      <c r="FDC7" s="36"/>
      <c r="FDD7" s="36"/>
      <c r="FDE7" s="36"/>
      <c r="FDF7" s="36"/>
      <c r="FDG7" s="36"/>
      <c r="FDH7" s="36"/>
      <c r="FDI7" s="36"/>
      <c r="FDJ7" s="36"/>
      <c r="FDK7" s="36"/>
      <c r="FDL7" s="36"/>
      <c r="FDM7" s="36"/>
      <c r="FDN7" s="36"/>
      <c r="FDO7" s="36"/>
      <c r="FDP7" s="36"/>
      <c r="FDQ7" s="36"/>
      <c r="FDR7" s="36"/>
      <c r="FDS7" s="36"/>
      <c r="FDT7" s="36"/>
      <c r="FDU7" s="36"/>
      <c r="FDV7" s="36"/>
      <c r="FDW7" s="36"/>
      <c r="FDX7" s="36"/>
      <c r="FDY7" s="36"/>
      <c r="FDZ7" s="36"/>
      <c r="FEA7" s="36"/>
      <c r="FEB7" s="36"/>
      <c r="FEC7" s="36"/>
      <c r="FED7" s="36"/>
      <c r="FEE7" s="36"/>
      <c r="FEF7" s="36"/>
      <c r="FEG7" s="36"/>
      <c r="FEH7" s="36"/>
      <c r="FEI7" s="36"/>
      <c r="FEJ7" s="36"/>
      <c r="FEK7" s="36"/>
      <c r="FEL7" s="36"/>
      <c r="FEM7" s="36"/>
      <c r="FEN7" s="36"/>
      <c r="FEO7" s="36"/>
      <c r="FEP7" s="36"/>
      <c r="FEQ7" s="36"/>
      <c r="FER7" s="36"/>
      <c r="FES7" s="36"/>
      <c r="FET7" s="36"/>
      <c r="FEU7" s="36"/>
      <c r="FEV7" s="36"/>
      <c r="FEW7" s="36"/>
      <c r="FEX7" s="36"/>
      <c r="FEY7" s="36"/>
      <c r="FEZ7" s="36"/>
      <c r="FFA7" s="36"/>
      <c r="FFB7" s="36"/>
      <c r="FFC7" s="36"/>
      <c r="FFD7" s="36"/>
      <c r="FFE7" s="36"/>
      <c r="FFF7" s="36"/>
      <c r="FFG7" s="36"/>
      <c r="FFH7" s="36"/>
      <c r="FFI7" s="36"/>
      <c r="FFJ7" s="36"/>
      <c r="FFK7" s="36"/>
      <c r="FFL7" s="36"/>
      <c r="FFM7" s="36"/>
      <c r="FFN7" s="36"/>
      <c r="FFO7" s="36"/>
      <c r="FFP7" s="36"/>
      <c r="FFQ7" s="36"/>
      <c r="FFR7" s="36"/>
      <c r="FFS7" s="36"/>
      <c r="FFT7" s="36"/>
      <c r="FFU7" s="36"/>
      <c r="FFV7" s="36"/>
      <c r="FFW7" s="36"/>
      <c r="FFX7" s="36"/>
      <c r="FFY7" s="36"/>
      <c r="FFZ7" s="36"/>
      <c r="FGA7" s="36"/>
      <c r="FGB7" s="36"/>
      <c r="FGC7" s="36"/>
      <c r="FGD7" s="36"/>
      <c r="FGE7" s="36"/>
      <c r="FGF7" s="36"/>
      <c r="FGG7" s="36"/>
      <c r="FGH7" s="36"/>
      <c r="FGI7" s="36"/>
      <c r="FGJ7" s="36"/>
      <c r="FGK7" s="36"/>
      <c r="FGL7" s="36"/>
      <c r="FGM7" s="36"/>
      <c r="FGN7" s="36"/>
      <c r="FGO7" s="36"/>
      <c r="FGP7" s="36"/>
      <c r="FGQ7" s="36"/>
      <c r="FGR7" s="36"/>
      <c r="FGS7" s="36"/>
      <c r="FGT7" s="36"/>
      <c r="FGU7" s="36"/>
      <c r="FGV7" s="36"/>
      <c r="FGW7" s="36"/>
      <c r="FGX7" s="36"/>
      <c r="FGY7" s="36"/>
      <c r="FGZ7" s="36"/>
      <c r="FHA7" s="36"/>
      <c r="FHB7" s="36"/>
      <c r="FHC7" s="36"/>
      <c r="FHD7" s="36"/>
      <c r="FHE7" s="36"/>
      <c r="FHF7" s="36"/>
      <c r="FHG7" s="36"/>
      <c r="FHH7" s="36"/>
      <c r="FHI7" s="36"/>
      <c r="FHJ7" s="36"/>
      <c r="FHK7" s="36"/>
      <c r="FHL7" s="36"/>
      <c r="FHM7" s="36"/>
      <c r="FHN7" s="36"/>
      <c r="FHO7" s="36"/>
      <c r="FHP7" s="36"/>
      <c r="FHQ7" s="36"/>
      <c r="FHR7" s="36"/>
      <c r="FHS7" s="36"/>
      <c r="FHT7" s="36"/>
      <c r="FHU7" s="36"/>
      <c r="FHV7" s="36"/>
      <c r="FHW7" s="36"/>
      <c r="FHX7" s="36"/>
      <c r="FHY7" s="36"/>
      <c r="FHZ7" s="36"/>
      <c r="FIA7" s="36"/>
      <c r="FIB7" s="36"/>
      <c r="FIC7" s="36"/>
      <c r="FID7" s="36"/>
      <c r="FIE7" s="36"/>
      <c r="FIF7" s="36"/>
      <c r="FIG7" s="36"/>
      <c r="FIH7" s="36"/>
      <c r="FII7" s="36"/>
      <c r="FIJ7" s="36"/>
      <c r="FIK7" s="36"/>
      <c r="FIL7" s="36"/>
      <c r="FIM7" s="36"/>
      <c r="FIN7" s="36"/>
      <c r="FIO7" s="36"/>
      <c r="FIP7" s="36"/>
      <c r="FIQ7" s="36"/>
      <c r="FIR7" s="36"/>
      <c r="FIS7" s="36"/>
      <c r="FIT7" s="36"/>
      <c r="FIU7" s="36"/>
      <c r="FIV7" s="36"/>
      <c r="FIW7" s="36"/>
      <c r="FIX7" s="36"/>
      <c r="FIY7" s="36"/>
      <c r="FIZ7" s="36"/>
      <c r="FJA7" s="36"/>
      <c r="FJB7" s="36"/>
      <c r="FJC7" s="36"/>
      <c r="FJD7" s="36"/>
      <c r="FJE7" s="36"/>
      <c r="FJF7" s="36"/>
      <c r="FJG7" s="36"/>
      <c r="FJH7" s="36"/>
      <c r="FJI7" s="36"/>
      <c r="FJJ7" s="36"/>
      <c r="FJK7" s="36"/>
      <c r="FJL7" s="36"/>
      <c r="FJM7" s="36"/>
      <c r="FJN7" s="36"/>
      <c r="FJO7" s="36"/>
      <c r="FJP7" s="36"/>
      <c r="FJQ7" s="36"/>
      <c r="FJR7" s="36"/>
      <c r="FJS7" s="36"/>
      <c r="FJT7" s="36"/>
      <c r="FJU7" s="36"/>
      <c r="FJV7" s="36"/>
      <c r="FJW7" s="36"/>
      <c r="FJX7" s="36"/>
      <c r="FJY7" s="36"/>
      <c r="FJZ7" s="36"/>
      <c r="FKA7" s="36"/>
      <c r="FKB7" s="36"/>
      <c r="FKC7" s="36"/>
      <c r="FKD7" s="36"/>
      <c r="FKE7" s="36"/>
      <c r="FKF7" s="36"/>
      <c r="FKG7" s="36"/>
      <c r="FKH7" s="36"/>
      <c r="FKI7" s="36"/>
      <c r="FKJ7" s="36"/>
      <c r="FKK7" s="36"/>
      <c r="FKL7" s="36"/>
      <c r="FKM7" s="36"/>
      <c r="FKN7" s="36"/>
      <c r="FKO7" s="36"/>
      <c r="FKP7" s="36"/>
      <c r="FKQ7" s="36"/>
      <c r="FKR7" s="36"/>
      <c r="FKS7" s="36"/>
      <c r="FKT7" s="36"/>
      <c r="FKU7" s="36"/>
      <c r="FKV7" s="36"/>
      <c r="FKW7" s="36"/>
      <c r="FKX7" s="36"/>
      <c r="FKY7" s="36"/>
      <c r="FKZ7" s="36"/>
      <c r="FLA7" s="36"/>
      <c r="FLB7" s="36"/>
      <c r="FLC7" s="36"/>
      <c r="FLD7" s="36"/>
      <c r="FLE7" s="36"/>
      <c r="FLF7" s="36"/>
      <c r="FLG7" s="36"/>
      <c r="FLH7" s="36"/>
      <c r="FLI7" s="36"/>
      <c r="FLJ7" s="36"/>
      <c r="FLK7" s="36"/>
      <c r="FLL7" s="36"/>
      <c r="FLM7" s="36"/>
      <c r="FLN7" s="36"/>
      <c r="FLO7" s="36"/>
      <c r="FLP7" s="36"/>
      <c r="FLQ7" s="36"/>
      <c r="FLR7" s="36"/>
      <c r="FLS7" s="36"/>
      <c r="FLT7" s="36"/>
      <c r="FLU7" s="36"/>
      <c r="FLV7" s="36"/>
      <c r="FLW7" s="36"/>
      <c r="FLX7" s="36"/>
      <c r="FLY7" s="36"/>
      <c r="FLZ7" s="36"/>
      <c r="FMA7" s="36"/>
      <c r="FMB7" s="36"/>
      <c r="FMC7" s="36"/>
      <c r="FMD7" s="36"/>
      <c r="FME7" s="36"/>
      <c r="FMF7" s="36"/>
      <c r="FMG7" s="36"/>
      <c r="FMH7" s="36"/>
      <c r="FMI7" s="36"/>
      <c r="FMJ7" s="36"/>
      <c r="FMK7" s="36"/>
      <c r="FML7" s="36"/>
      <c r="FMM7" s="36"/>
      <c r="FMN7" s="36"/>
      <c r="FMO7" s="36"/>
      <c r="FMP7" s="36"/>
      <c r="FMQ7" s="36"/>
      <c r="FMR7" s="36"/>
      <c r="FMS7" s="36"/>
      <c r="FMT7" s="36"/>
      <c r="FMU7" s="36"/>
      <c r="FMV7" s="36"/>
      <c r="FMW7" s="36"/>
      <c r="FMX7" s="36"/>
      <c r="FMY7" s="36"/>
      <c r="FMZ7" s="36"/>
      <c r="FNA7" s="36"/>
      <c r="FNB7" s="36"/>
      <c r="FNC7" s="36"/>
      <c r="FND7" s="36"/>
      <c r="FNE7" s="36"/>
      <c r="FNF7" s="36"/>
      <c r="FNG7" s="36"/>
      <c r="FNH7" s="36"/>
      <c r="FNI7" s="36"/>
      <c r="FNJ7" s="36"/>
      <c r="FNK7" s="36"/>
      <c r="FNL7" s="36"/>
      <c r="FNM7" s="36"/>
      <c r="FNN7" s="36"/>
      <c r="FNO7" s="36"/>
      <c r="FNP7" s="36"/>
      <c r="FNQ7" s="36"/>
      <c r="FNR7" s="36"/>
      <c r="FNS7" s="36"/>
      <c r="FNT7" s="36"/>
      <c r="FNU7" s="36"/>
      <c r="FNV7" s="36"/>
      <c r="FNW7" s="36"/>
      <c r="FNX7" s="36"/>
      <c r="FNY7" s="36"/>
      <c r="FNZ7" s="36"/>
      <c r="FOA7" s="36"/>
      <c r="FOB7" s="36"/>
      <c r="FOC7" s="36"/>
      <c r="FOD7" s="36"/>
      <c r="FOE7" s="36"/>
      <c r="FOF7" s="36"/>
      <c r="FOG7" s="36"/>
      <c r="FOH7" s="36"/>
      <c r="FOI7" s="36"/>
      <c r="FOJ7" s="36"/>
      <c r="FOK7" s="36"/>
      <c r="FOL7" s="36"/>
      <c r="FOM7" s="36"/>
      <c r="FON7" s="36"/>
      <c r="FOO7" s="36"/>
      <c r="FOP7" s="36"/>
      <c r="FOQ7" s="36"/>
      <c r="FOR7" s="36"/>
      <c r="FOS7" s="36"/>
      <c r="FOT7" s="36"/>
      <c r="FOU7" s="36"/>
      <c r="FOV7" s="36"/>
      <c r="FOW7" s="36"/>
      <c r="FOX7" s="36"/>
      <c r="FOY7" s="36"/>
      <c r="FOZ7" s="36"/>
      <c r="FPA7" s="36"/>
      <c r="FPB7" s="36"/>
      <c r="FPC7" s="36"/>
      <c r="FPD7" s="36"/>
      <c r="FPE7" s="36"/>
      <c r="FPF7" s="36"/>
      <c r="FPG7" s="36"/>
      <c r="FPH7" s="36"/>
      <c r="FPI7" s="36"/>
      <c r="FPJ7" s="36"/>
      <c r="FPK7" s="36"/>
      <c r="FPL7" s="36"/>
      <c r="FPM7" s="36"/>
      <c r="FPN7" s="36"/>
      <c r="FPO7" s="36"/>
      <c r="FPP7" s="36"/>
      <c r="FPQ7" s="36"/>
      <c r="FPR7" s="36"/>
      <c r="FPS7" s="36"/>
      <c r="FPT7" s="36"/>
      <c r="FPU7" s="36"/>
      <c r="FPV7" s="36"/>
      <c r="FPW7" s="36"/>
      <c r="FPX7" s="36"/>
      <c r="FPY7" s="36"/>
      <c r="FPZ7" s="36"/>
      <c r="FQA7" s="36"/>
      <c r="FQB7" s="36"/>
      <c r="FQC7" s="36"/>
      <c r="FQD7" s="36"/>
      <c r="FQE7" s="36"/>
      <c r="FQF7" s="36"/>
      <c r="FQG7" s="36"/>
      <c r="FQH7" s="36"/>
      <c r="FQI7" s="36"/>
      <c r="FQJ7" s="36"/>
      <c r="FQK7" s="36"/>
      <c r="FQL7" s="36"/>
      <c r="FQM7" s="36"/>
      <c r="FQN7" s="36"/>
      <c r="FQO7" s="36"/>
      <c r="FQP7" s="36"/>
      <c r="FQQ7" s="36"/>
      <c r="FQR7" s="36"/>
      <c r="FQS7" s="36"/>
      <c r="FQT7" s="36"/>
      <c r="FQU7" s="36"/>
      <c r="FQV7" s="36"/>
      <c r="FQW7" s="36"/>
      <c r="FQX7" s="36"/>
      <c r="FQY7" s="36"/>
      <c r="FQZ7" s="36"/>
      <c r="FRA7" s="36"/>
      <c r="FRB7" s="36"/>
      <c r="FRC7" s="36"/>
      <c r="FRD7" s="36"/>
      <c r="FRE7" s="36"/>
      <c r="FRF7" s="36"/>
      <c r="FRG7" s="36"/>
      <c r="FRH7" s="36"/>
      <c r="FRI7" s="36"/>
      <c r="FRJ7" s="36"/>
      <c r="FRK7" s="36"/>
      <c r="FRL7" s="36"/>
      <c r="FRM7" s="36"/>
      <c r="FRN7" s="36"/>
      <c r="FRO7" s="36"/>
      <c r="FRP7" s="36"/>
      <c r="FRQ7" s="36"/>
      <c r="FRR7" s="36"/>
      <c r="FRS7" s="36"/>
      <c r="FRT7" s="36"/>
      <c r="FRU7" s="36"/>
      <c r="FRV7" s="36"/>
      <c r="FRW7" s="36"/>
      <c r="FRX7" s="36"/>
      <c r="FRY7" s="36"/>
      <c r="FRZ7" s="36"/>
      <c r="FSA7" s="36"/>
      <c r="FSB7" s="36"/>
      <c r="FSC7" s="36"/>
      <c r="FSD7" s="36"/>
      <c r="FSE7" s="36"/>
      <c r="FSF7" s="36"/>
      <c r="FSG7" s="36"/>
      <c r="FSH7" s="36"/>
      <c r="FSI7" s="36"/>
      <c r="FSJ7" s="36"/>
      <c r="FSK7" s="36"/>
      <c r="FSL7" s="36"/>
      <c r="FSM7" s="36"/>
      <c r="FSN7" s="36"/>
      <c r="FSO7" s="36"/>
      <c r="FSP7" s="36"/>
      <c r="FSQ7" s="36"/>
      <c r="FSR7" s="36"/>
      <c r="FSS7" s="36"/>
      <c r="FST7" s="36"/>
      <c r="FSU7" s="36"/>
      <c r="FSV7" s="36"/>
      <c r="FSW7" s="36"/>
      <c r="FSX7" s="36"/>
      <c r="FSY7" s="36"/>
      <c r="FSZ7" s="36"/>
      <c r="FTA7" s="36"/>
      <c r="FTB7" s="36"/>
      <c r="FTC7" s="36"/>
      <c r="FTD7" s="36"/>
      <c r="FTE7" s="36"/>
      <c r="FTF7" s="36"/>
      <c r="FTG7" s="36"/>
      <c r="FTH7" s="36"/>
      <c r="FTI7" s="36"/>
      <c r="FTJ7" s="36"/>
      <c r="FTK7" s="36"/>
      <c r="FTL7" s="36"/>
      <c r="FTM7" s="36"/>
      <c r="FTN7" s="36"/>
      <c r="FTO7" s="36"/>
      <c r="FTP7" s="36"/>
      <c r="FTQ7" s="36"/>
      <c r="FTR7" s="36"/>
      <c r="FTS7" s="36"/>
      <c r="FTT7" s="36"/>
      <c r="FTU7" s="36"/>
      <c r="FTV7" s="36"/>
      <c r="FTW7" s="36"/>
      <c r="FTX7" s="36"/>
      <c r="FTY7" s="36"/>
      <c r="FTZ7" s="36"/>
      <c r="FUA7" s="36"/>
      <c r="FUB7" s="36"/>
      <c r="FUC7" s="36"/>
      <c r="FUD7" s="36"/>
      <c r="FUE7" s="36"/>
      <c r="FUF7" s="36"/>
      <c r="FUG7" s="36"/>
      <c r="FUH7" s="36"/>
      <c r="FUI7" s="36"/>
      <c r="FUJ7" s="36"/>
      <c r="FUK7" s="36"/>
      <c r="FUL7" s="36"/>
      <c r="FUM7" s="36"/>
      <c r="FUN7" s="36"/>
      <c r="FUO7" s="36"/>
      <c r="FUP7" s="36"/>
      <c r="FUQ7" s="36"/>
      <c r="FUR7" s="36"/>
      <c r="FUS7" s="36"/>
      <c r="FUT7" s="36"/>
      <c r="FUU7" s="36"/>
      <c r="FUV7" s="36"/>
      <c r="FUW7" s="36"/>
      <c r="FUX7" s="36"/>
      <c r="FUY7" s="36"/>
      <c r="FUZ7" s="36"/>
      <c r="FVA7" s="36"/>
      <c r="FVB7" s="36"/>
      <c r="FVC7" s="36"/>
      <c r="FVD7" s="36"/>
      <c r="FVE7" s="36"/>
      <c r="FVF7" s="36"/>
      <c r="FVG7" s="36"/>
      <c r="FVH7" s="36"/>
      <c r="FVI7" s="36"/>
      <c r="FVJ7" s="36"/>
      <c r="FVK7" s="36"/>
      <c r="FVL7" s="36"/>
      <c r="FVM7" s="36"/>
      <c r="FVN7" s="36"/>
      <c r="FVO7" s="36"/>
      <c r="FVP7" s="36"/>
      <c r="FVQ7" s="36"/>
      <c r="FVR7" s="36"/>
      <c r="FVS7" s="36"/>
      <c r="FVT7" s="36"/>
      <c r="FVU7" s="36"/>
      <c r="FVV7" s="36"/>
      <c r="FVW7" s="36"/>
      <c r="FVX7" s="36"/>
      <c r="FVY7" s="36"/>
      <c r="FVZ7" s="36"/>
      <c r="FWA7" s="36"/>
      <c r="FWB7" s="36"/>
      <c r="FWC7" s="36"/>
      <c r="FWD7" s="36"/>
      <c r="FWE7" s="36"/>
      <c r="FWF7" s="36"/>
      <c r="FWG7" s="36"/>
      <c r="FWH7" s="36"/>
      <c r="FWI7" s="36"/>
      <c r="FWJ7" s="36"/>
      <c r="FWK7" s="36"/>
      <c r="FWL7" s="36"/>
      <c r="FWM7" s="36"/>
      <c r="FWN7" s="36"/>
      <c r="FWO7" s="36"/>
      <c r="FWP7" s="36"/>
      <c r="FWQ7" s="36"/>
      <c r="FWR7" s="36"/>
      <c r="FWS7" s="36"/>
      <c r="FWT7" s="36"/>
      <c r="FWU7" s="36"/>
      <c r="FWV7" s="36"/>
      <c r="FWW7" s="36"/>
      <c r="FWX7" s="36"/>
      <c r="FWY7" s="36"/>
      <c r="FWZ7" s="36"/>
      <c r="FXA7" s="36"/>
      <c r="FXB7" s="36"/>
      <c r="FXC7" s="36"/>
      <c r="FXD7" s="36"/>
      <c r="FXE7" s="36"/>
      <c r="FXF7" s="36"/>
      <c r="FXG7" s="36"/>
      <c r="FXH7" s="36"/>
      <c r="FXI7" s="36"/>
      <c r="FXJ7" s="36"/>
      <c r="FXK7" s="36"/>
      <c r="FXL7" s="36"/>
      <c r="FXM7" s="36"/>
      <c r="FXN7" s="36"/>
      <c r="FXO7" s="36"/>
      <c r="FXP7" s="36"/>
      <c r="FXQ7" s="36"/>
      <c r="FXR7" s="36"/>
      <c r="FXS7" s="36"/>
      <c r="FXT7" s="36"/>
      <c r="FXU7" s="36"/>
      <c r="FXV7" s="36"/>
      <c r="FXW7" s="36"/>
      <c r="FXX7" s="36"/>
      <c r="FXY7" s="36"/>
      <c r="FXZ7" s="36"/>
      <c r="FYA7" s="36"/>
      <c r="FYB7" s="36"/>
      <c r="FYC7" s="36"/>
      <c r="FYD7" s="36"/>
      <c r="FYE7" s="36"/>
      <c r="FYF7" s="36"/>
      <c r="FYG7" s="36"/>
      <c r="FYH7" s="36"/>
      <c r="FYI7" s="36"/>
      <c r="FYJ7" s="36"/>
      <c r="FYK7" s="36"/>
      <c r="FYL7" s="36"/>
      <c r="FYM7" s="36"/>
      <c r="FYN7" s="36"/>
      <c r="FYO7" s="36"/>
      <c r="FYP7" s="36"/>
      <c r="FYQ7" s="36"/>
      <c r="FYR7" s="36"/>
      <c r="FYS7" s="36"/>
      <c r="FYT7" s="36"/>
      <c r="FYU7" s="36"/>
      <c r="FYV7" s="36"/>
      <c r="FYW7" s="36"/>
      <c r="FYX7" s="36"/>
      <c r="FYY7" s="36"/>
      <c r="FYZ7" s="36"/>
      <c r="FZA7" s="36"/>
      <c r="FZB7" s="36"/>
      <c r="FZC7" s="36"/>
      <c r="FZD7" s="36"/>
      <c r="FZE7" s="36"/>
      <c r="FZF7" s="36"/>
      <c r="FZG7" s="36"/>
      <c r="FZH7" s="36"/>
      <c r="FZI7" s="36"/>
      <c r="FZJ7" s="36"/>
      <c r="FZK7" s="36"/>
      <c r="FZL7" s="36"/>
      <c r="FZM7" s="36"/>
      <c r="FZN7" s="36"/>
      <c r="FZO7" s="36"/>
      <c r="FZP7" s="36"/>
      <c r="FZQ7" s="36"/>
      <c r="FZR7" s="36"/>
      <c r="FZS7" s="36"/>
      <c r="FZT7" s="36"/>
      <c r="FZU7" s="36"/>
      <c r="FZV7" s="36"/>
      <c r="FZW7" s="36"/>
      <c r="FZX7" s="36"/>
      <c r="FZY7" s="36"/>
      <c r="FZZ7" s="36"/>
      <c r="GAA7" s="36"/>
      <c r="GAB7" s="36"/>
      <c r="GAC7" s="36"/>
      <c r="GAD7" s="36"/>
      <c r="GAE7" s="36"/>
      <c r="GAF7" s="36"/>
      <c r="GAG7" s="36"/>
      <c r="GAH7" s="36"/>
      <c r="GAI7" s="36"/>
      <c r="GAJ7" s="36"/>
      <c r="GAK7" s="36"/>
      <c r="GAL7" s="36"/>
      <c r="GAM7" s="36"/>
      <c r="GAN7" s="36"/>
      <c r="GAO7" s="36"/>
      <c r="GAP7" s="36"/>
      <c r="GAQ7" s="36"/>
      <c r="GAR7" s="36"/>
      <c r="GAS7" s="36"/>
      <c r="GAT7" s="36"/>
      <c r="GAU7" s="36"/>
      <c r="GAV7" s="36"/>
      <c r="GAW7" s="36"/>
      <c r="GAX7" s="36"/>
      <c r="GAY7" s="36"/>
      <c r="GAZ7" s="36"/>
      <c r="GBA7" s="36"/>
      <c r="GBB7" s="36"/>
      <c r="GBC7" s="36"/>
      <c r="GBD7" s="36"/>
      <c r="GBE7" s="36"/>
      <c r="GBF7" s="36"/>
      <c r="GBG7" s="36"/>
      <c r="GBH7" s="36"/>
      <c r="GBI7" s="36"/>
      <c r="GBJ7" s="36"/>
      <c r="GBK7" s="36"/>
      <c r="GBL7" s="36"/>
      <c r="GBM7" s="36"/>
      <c r="GBN7" s="36"/>
      <c r="GBO7" s="36"/>
      <c r="GBP7" s="36"/>
      <c r="GBQ7" s="36"/>
      <c r="GBR7" s="36"/>
      <c r="GBS7" s="36"/>
      <c r="GBT7" s="36"/>
      <c r="GBU7" s="36"/>
      <c r="GBV7" s="36"/>
      <c r="GBW7" s="36"/>
      <c r="GBX7" s="36"/>
      <c r="GBY7" s="36"/>
      <c r="GBZ7" s="36"/>
      <c r="GCA7" s="36"/>
      <c r="GCB7" s="36"/>
      <c r="GCC7" s="36"/>
      <c r="GCD7" s="36"/>
      <c r="GCE7" s="36"/>
      <c r="GCF7" s="36"/>
      <c r="GCG7" s="36"/>
      <c r="GCH7" s="36"/>
      <c r="GCI7" s="36"/>
      <c r="GCJ7" s="36"/>
      <c r="GCK7" s="36"/>
      <c r="GCL7" s="36"/>
      <c r="GCM7" s="36"/>
      <c r="GCN7" s="36"/>
      <c r="GCO7" s="36"/>
      <c r="GCP7" s="36"/>
      <c r="GCQ7" s="36"/>
      <c r="GCR7" s="36"/>
      <c r="GCS7" s="36"/>
      <c r="GCT7" s="36"/>
      <c r="GCU7" s="36"/>
      <c r="GCV7" s="36"/>
      <c r="GCW7" s="36"/>
      <c r="GCX7" s="36"/>
      <c r="GCY7" s="36"/>
      <c r="GCZ7" s="36"/>
      <c r="GDA7" s="36"/>
      <c r="GDB7" s="36"/>
      <c r="GDC7" s="36"/>
      <c r="GDD7" s="36"/>
      <c r="GDE7" s="36"/>
      <c r="GDF7" s="36"/>
      <c r="GDG7" s="36"/>
      <c r="GDH7" s="36"/>
      <c r="GDI7" s="36"/>
      <c r="GDJ7" s="36"/>
      <c r="GDK7" s="36"/>
      <c r="GDL7" s="36"/>
      <c r="GDM7" s="36"/>
      <c r="GDN7" s="36"/>
      <c r="GDO7" s="36"/>
      <c r="GDP7" s="36"/>
      <c r="GDQ7" s="36"/>
      <c r="GDR7" s="36"/>
      <c r="GDS7" s="36"/>
      <c r="GDT7" s="36"/>
      <c r="GDU7" s="36"/>
      <c r="GDV7" s="36"/>
      <c r="GDW7" s="36"/>
      <c r="GDX7" s="36"/>
      <c r="GDY7" s="36"/>
      <c r="GDZ7" s="36"/>
      <c r="GEA7" s="36"/>
      <c r="GEB7" s="36"/>
      <c r="GEC7" s="36"/>
      <c r="GED7" s="36"/>
      <c r="GEE7" s="36"/>
      <c r="GEF7" s="36"/>
      <c r="GEG7" s="36"/>
      <c r="GEH7" s="36"/>
      <c r="GEI7" s="36"/>
      <c r="GEJ7" s="36"/>
      <c r="GEK7" s="36"/>
      <c r="GEL7" s="36"/>
      <c r="GEM7" s="36"/>
      <c r="GEN7" s="36"/>
      <c r="GEO7" s="36"/>
      <c r="GEP7" s="36"/>
      <c r="GEQ7" s="36"/>
      <c r="GER7" s="36"/>
      <c r="GES7" s="36"/>
      <c r="GET7" s="36"/>
      <c r="GEU7" s="36"/>
      <c r="GEV7" s="36"/>
      <c r="GEW7" s="36"/>
      <c r="GEX7" s="36"/>
      <c r="GEY7" s="36"/>
      <c r="GEZ7" s="36"/>
      <c r="GFA7" s="36"/>
      <c r="GFB7" s="36"/>
      <c r="GFC7" s="36"/>
      <c r="GFD7" s="36"/>
      <c r="GFE7" s="36"/>
      <c r="GFF7" s="36"/>
      <c r="GFG7" s="36"/>
      <c r="GFH7" s="36"/>
      <c r="GFI7" s="36"/>
      <c r="GFJ7" s="36"/>
      <c r="GFK7" s="36"/>
      <c r="GFL7" s="36"/>
      <c r="GFM7" s="36"/>
      <c r="GFN7" s="36"/>
      <c r="GFO7" s="36"/>
      <c r="GFP7" s="36"/>
      <c r="GFQ7" s="36"/>
      <c r="GFR7" s="36"/>
      <c r="GFS7" s="36"/>
      <c r="GFT7" s="36"/>
      <c r="GFU7" s="36"/>
      <c r="GFV7" s="36"/>
      <c r="GFW7" s="36"/>
      <c r="GFX7" s="36"/>
      <c r="GFY7" s="36"/>
      <c r="GFZ7" s="36"/>
      <c r="GGA7" s="36"/>
      <c r="GGB7" s="36"/>
      <c r="GGC7" s="36"/>
      <c r="GGD7" s="36"/>
      <c r="GGE7" s="36"/>
      <c r="GGF7" s="36"/>
      <c r="GGG7" s="36"/>
      <c r="GGH7" s="36"/>
      <c r="GGI7" s="36"/>
      <c r="GGJ7" s="36"/>
      <c r="GGK7" s="36"/>
      <c r="GGL7" s="36"/>
      <c r="GGM7" s="36"/>
      <c r="GGN7" s="36"/>
      <c r="GGO7" s="36"/>
      <c r="GGP7" s="36"/>
      <c r="GGQ7" s="36"/>
      <c r="GGR7" s="36"/>
      <c r="GGS7" s="36"/>
      <c r="GGT7" s="36"/>
      <c r="GGU7" s="36"/>
      <c r="GGV7" s="36"/>
      <c r="GGW7" s="36"/>
      <c r="GGX7" s="36"/>
      <c r="GGY7" s="36"/>
      <c r="GGZ7" s="36"/>
      <c r="GHA7" s="36"/>
      <c r="GHB7" s="36"/>
      <c r="GHC7" s="36"/>
      <c r="GHD7" s="36"/>
      <c r="GHE7" s="36"/>
      <c r="GHF7" s="36"/>
      <c r="GHG7" s="36"/>
      <c r="GHH7" s="36"/>
      <c r="GHI7" s="36"/>
      <c r="GHJ7" s="36"/>
      <c r="GHK7" s="36"/>
      <c r="GHL7" s="36"/>
      <c r="GHM7" s="36"/>
      <c r="GHN7" s="36"/>
      <c r="GHO7" s="36"/>
      <c r="GHP7" s="36"/>
      <c r="GHQ7" s="36"/>
      <c r="GHR7" s="36"/>
      <c r="GHS7" s="36"/>
      <c r="GHT7" s="36"/>
      <c r="GHU7" s="36"/>
      <c r="GHV7" s="36"/>
      <c r="GHW7" s="36"/>
      <c r="GHX7" s="36"/>
      <c r="GHY7" s="36"/>
      <c r="GHZ7" s="36"/>
      <c r="GIA7" s="36"/>
      <c r="GIB7" s="36"/>
      <c r="GIC7" s="36"/>
      <c r="GID7" s="36"/>
      <c r="GIE7" s="36"/>
      <c r="GIF7" s="36"/>
      <c r="GIG7" s="36"/>
      <c r="GIH7" s="36"/>
      <c r="GII7" s="36"/>
      <c r="GIJ7" s="36"/>
      <c r="GIK7" s="36"/>
      <c r="GIL7" s="36"/>
      <c r="GIM7" s="36"/>
      <c r="GIN7" s="36"/>
      <c r="GIO7" s="36"/>
      <c r="GIP7" s="36"/>
      <c r="GIQ7" s="36"/>
      <c r="GIR7" s="36"/>
      <c r="GIS7" s="36"/>
      <c r="GIT7" s="36"/>
      <c r="GIU7" s="36"/>
      <c r="GIV7" s="36"/>
      <c r="GIW7" s="36"/>
      <c r="GIX7" s="36"/>
      <c r="GIY7" s="36"/>
      <c r="GIZ7" s="36"/>
      <c r="GJA7" s="36"/>
      <c r="GJB7" s="36"/>
      <c r="GJC7" s="36"/>
      <c r="GJD7" s="36"/>
      <c r="GJE7" s="36"/>
      <c r="GJF7" s="36"/>
      <c r="GJG7" s="36"/>
      <c r="GJH7" s="36"/>
      <c r="GJI7" s="36"/>
      <c r="GJJ7" s="36"/>
      <c r="GJK7" s="36"/>
      <c r="GJL7" s="36"/>
      <c r="GJM7" s="36"/>
      <c r="GJN7" s="36"/>
      <c r="GJO7" s="36"/>
      <c r="GJP7" s="36"/>
      <c r="GJQ7" s="36"/>
      <c r="GJR7" s="36"/>
      <c r="GJS7" s="36"/>
      <c r="GJT7" s="36"/>
      <c r="GJU7" s="36"/>
      <c r="GJV7" s="36"/>
      <c r="GJW7" s="36"/>
      <c r="GJX7" s="36"/>
      <c r="GJY7" s="36"/>
      <c r="GJZ7" s="36"/>
      <c r="GKA7" s="36"/>
      <c r="GKB7" s="36"/>
      <c r="GKC7" s="36"/>
      <c r="GKD7" s="36"/>
      <c r="GKE7" s="36"/>
      <c r="GKF7" s="36"/>
      <c r="GKG7" s="36"/>
      <c r="GKH7" s="36"/>
      <c r="GKI7" s="36"/>
      <c r="GKJ7" s="36"/>
      <c r="GKK7" s="36"/>
      <c r="GKL7" s="36"/>
      <c r="GKM7" s="36"/>
      <c r="GKN7" s="36"/>
      <c r="GKO7" s="36"/>
      <c r="GKP7" s="36"/>
      <c r="GKQ7" s="36"/>
      <c r="GKR7" s="36"/>
      <c r="GKS7" s="36"/>
      <c r="GKT7" s="36"/>
      <c r="GKU7" s="36"/>
      <c r="GKV7" s="36"/>
      <c r="GKW7" s="36"/>
      <c r="GKX7" s="36"/>
      <c r="GKY7" s="36"/>
      <c r="GKZ7" s="36"/>
      <c r="GLA7" s="36"/>
      <c r="GLB7" s="36"/>
      <c r="GLC7" s="36"/>
      <c r="GLD7" s="36"/>
      <c r="GLE7" s="36"/>
      <c r="GLF7" s="36"/>
      <c r="GLG7" s="36"/>
      <c r="GLH7" s="36"/>
      <c r="GLI7" s="36"/>
      <c r="GLJ7" s="36"/>
      <c r="GLK7" s="36"/>
      <c r="GLL7" s="36"/>
      <c r="GLM7" s="36"/>
      <c r="GLN7" s="36"/>
      <c r="GLO7" s="36"/>
      <c r="GLP7" s="36"/>
      <c r="GLQ7" s="36"/>
      <c r="GLR7" s="36"/>
      <c r="GLS7" s="36"/>
      <c r="GLT7" s="36"/>
      <c r="GLU7" s="36"/>
      <c r="GLV7" s="36"/>
      <c r="GLW7" s="36"/>
      <c r="GLX7" s="36"/>
      <c r="GLY7" s="36"/>
      <c r="GLZ7" s="36"/>
      <c r="GMA7" s="36"/>
      <c r="GMB7" s="36"/>
      <c r="GMC7" s="36"/>
      <c r="GMD7" s="36"/>
      <c r="GME7" s="36"/>
      <c r="GMF7" s="36"/>
      <c r="GMG7" s="36"/>
      <c r="GMH7" s="36"/>
      <c r="GMI7" s="36"/>
      <c r="GMJ7" s="36"/>
      <c r="GMK7" s="36"/>
      <c r="GML7" s="36"/>
      <c r="GMM7" s="36"/>
      <c r="GMN7" s="36"/>
      <c r="GMO7" s="36"/>
      <c r="GMP7" s="36"/>
      <c r="GMQ7" s="36"/>
      <c r="GMR7" s="36"/>
      <c r="GMS7" s="36"/>
      <c r="GMT7" s="36"/>
      <c r="GMU7" s="36"/>
      <c r="GMV7" s="36"/>
      <c r="GMW7" s="36"/>
      <c r="GMX7" s="36"/>
      <c r="GMY7" s="36"/>
      <c r="GMZ7" s="36"/>
      <c r="GNA7" s="36"/>
      <c r="GNB7" s="36"/>
      <c r="GNC7" s="36"/>
      <c r="GND7" s="36"/>
      <c r="GNE7" s="36"/>
      <c r="GNF7" s="36"/>
      <c r="GNG7" s="36"/>
      <c r="GNH7" s="36"/>
      <c r="GNI7" s="36"/>
      <c r="GNJ7" s="36"/>
      <c r="GNK7" s="36"/>
      <c r="GNL7" s="36"/>
      <c r="GNM7" s="36"/>
      <c r="GNN7" s="36"/>
      <c r="GNO7" s="36"/>
      <c r="GNP7" s="36"/>
      <c r="GNQ7" s="36"/>
      <c r="GNR7" s="36"/>
      <c r="GNS7" s="36"/>
      <c r="GNT7" s="36"/>
      <c r="GNU7" s="36"/>
      <c r="GNV7" s="36"/>
      <c r="GNW7" s="36"/>
      <c r="GNX7" s="36"/>
      <c r="GNY7" s="36"/>
      <c r="GNZ7" s="36"/>
      <c r="GOA7" s="36"/>
      <c r="GOB7" s="36"/>
      <c r="GOC7" s="36"/>
      <c r="GOD7" s="36"/>
      <c r="GOE7" s="36"/>
      <c r="GOF7" s="36"/>
      <c r="GOG7" s="36"/>
      <c r="GOH7" s="36"/>
      <c r="GOI7" s="36"/>
      <c r="GOJ7" s="36"/>
      <c r="GOK7" s="36"/>
      <c r="GOL7" s="36"/>
      <c r="GOM7" s="36"/>
      <c r="GON7" s="36"/>
      <c r="GOO7" s="36"/>
      <c r="GOP7" s="36"/>
      <c r="GOQ7" s="36"/>
      <c r="GOR7" s="36"/>
      <c r="GOS7" s="36"/>
      <c r="GOT7" s="36"/>
      <c r="GOU7" s="36"/>
      <c r="GOV7" s="36"/>
      <c r="GOW7" s="36"/>
      <c r="GOX7" s="36"/>
      <c r="GOY7" s="36"/>
      <c r="GOZ7" s="36"/>
      <c r="GPA7" s="36"/>
      <c r="GPB7" s="36"/>
      <c r="GPC7" s="36"/>
      <c r="GPD7" s="36"/>
      <c r="GPE7" s="36"/>
      <c r="GPF7" s="36"/>
      <c r="GPG7" s="36"/>
      <c r="GPH7" s="36"/>
      <c r="GPI7" s="36"/>
      <c r="GPJ7" s="36"/>
      <c r="GPK7" s="36"/>
      <c r="GPL7" s="36"/>
      <c r="GPM7" s="36"/>
      <c r="GPN7" s="36"/>
      <c r="GPO7" s="36"/>
      <c r="GPP7" s="36"/>
      <c r="GPQ7" s="36"/>
      <c r="GPR7" s="36"/>
      <c r="GPS7" s="36"/>
      <c r="GPT7" s="36"/>
      <c r="GPU7" s="36"/>
      <c r="GPV7" s="36"/>
      <c r="GPW7" s="36"/>
      <c r="GPX7" s="36"/>
      <c r="GPY7" s="36"/>
      <c r="GPZ7" s="36"/>
      <c r="GQA7" s="36"/>
      <c r="GQB7" s="36"/>
      <c r="GQC7" s="36"/>
      <c r="GQD7" s="36"/>
      <c r="GQE7" s="36"/>
      <c r="GQF7" s="36"/>
      <c r="GQG7" s="36"/>
      <c r="GQH7" s="36"/>
      <c r="GQI7" s="36"/>
      <c r="GQJ7" s="36"/>
      <c r="GQK7" s="36"/>
      <c r="GQL7" s="36"/>
      <c r="GQM7" s="36"/>
      <c r="GQN7" s="36"/>
      <c r="GQO7" s="36"/>
      <c r="GQP7" s="36"/>
      <c r="GQQ7" s="36"/>
      <c r="GQR7" s="36"/>
      <c r="GQS7" s="36"/>
      <c r="GQT7" s="36"/>
      <c r="GQU7" s="36"/>
      <c r="GQV7" s="36"/>
      <c r="GQW7" s="36"/>
      <c r="GQX7" s="36"/>
      <c r="GQY7" s="36"/>
      <c r="GQZ7" s="36"/>
      <c r="GRA7" s="36"/>
      <c r="GRB7" s="36"/>
      <c r="GRC7" s="36"/>
      <c r="GRD7" s="36"/>
      <c r="GRE7" s="36"/>
      <c r="GRF7" s="36"/>
      <c r="GRG7" s="36"/>
      <c r="GRH7" s="36"/>
      <c r="GRI7" s="36"/>
      <c r="GRJ7" s="36"/>
      <c r="GRK7" s="36"/>
      <c r="GRL7" s="36"/>
      <c r="GRM7" s="36"/>
      <c r="GRN7" s="36"/>
      <c r="GRO7" s="36"/>
      <c r="GRP7" s="36"/>
      <c r="GRQ7" s="36"/>
      <c r="GRR7" s="36"/>
      <c r="GRS7" s="36"/>
      <c r="GRT7" s="36"/>
      <c r="GRU7" s="36"/>
      <c r="GRV7" s="36"/>
      <c r="GRW7" s="36"/>
      <c r="GRX7" s="36"/>
      <c r="GRY7" s="36"/>
      <c r="GRZ7" s="36"/>
      <c r="GSA7" s="36"/>
      <c r="GSB7" s="36"/>
      <c r="GSC7" s="36"/>
      <c r="GSD7" s="36"/>
      <c r="GSE7" s="36"/>
      <c r="GSF7" s="36"/>
      <c r="GSG7" s="36"/>
      <c r="GSH7" s="36"/>
      <c r="GSI7" s="36"/>
      <c r="GSJ7" s="36"/>
      <c r="GSK7" s="36"/>
      <c r="GSL7" s="36"/>
      <c r="GSM7" s="36"/>
      <c r="GSN7" s="36"/>
      <c r="GSO7" s="36"/>
      <c r="GSP7" s="36"/>
      <c r="GSQ7" s="36"/>
      <c r="GSR7" s="36"/>
      <c r="GSS7" s="36"/>
      <c r="GST7" s="36"/>
      <c r="GSU7" s="36"/>
      <c r="GSV7" s="36"/>
      <c r="GSW7" s="36"/>
      <c r="GSX7" s="36"/>
      <c r="GSY7" s="36"/>
      <c r="GSZ7" s="36"/>
      <c r="GTA7" s="36"/>
      <c r="GTB7" s="36"/>
      <c r="GTC7" s="36"/>
      <c r="GTD7" s="36"/>
      <c r="GTE7" s="36"/>
      <c r="GTF7" s="36"/>
      <c r="GTG7" s="36"/>
      <c r="GTH7" s="36"/>
      <c r="GTI7" s="36"/>
      <c r="GTJ7" s="36"/>
      <c r="GTK7" s="36"/>
      <c r="GTL7" s="36"/>
      <c r="GTM7" s="36"/>
      <c r="GTN7" s="36"/>
      <c r="GTO7" s="36"/>
      <c r="GTP7" s="36"/>
      <c r="GTQ7" s="36"/>
      <c r="GTR7" s="36"/>
      <c r="GTS7" s="36"/>
      <c r="GTT7" s="36"/>
      <c r="GTU7" s="36"/>
      <c r="GTV7" s="36"/>
      <c r="GTW7" s="36"/>
      <c r="GTX7" s="36"/>
      <c r="GTY7" s="36"/>
      <c r="GTZ7" s="36"/>
      <c r="GUA7" s="36"/>
      <c r="GUB7" s="36"/>
      <c r="GUC7" s="36"/>
      <c r="GUD7" s="36"/>
      <c r="GUE7" s="36"/>
      <c r="GUF7" s="36"/>
      <c r="GUG7" s="36"/>
      <c r="GUH7" s="36"/>
      <c r="GUI7" s="36"/>
      <c r="GUJ7" s="36"/>
      <c r="GUK7" s="36"/>
      <c r="GUL7" s="36"/>
      <c r="GUM7" s="36"/>
      <c r="GUN7" s="36"/>
      <c r="GUO7" s="36"/>
      <c r="GUP7" s="36"/>
      <c r="GUQ7" s="36"/>
      <c r="GUR7" s="36"/>
      <c r="GUS7" s="36"/>
      <c r="GUT7" s="36"/>
      <c r="GUU7" s="36"/>
      <c r="GUV7" s="36"/>
      <c r="GUW7" s="36"/>
      <c r="GUX7" s="36"/>
      <c r="GUY7" s="36"/>
      <c r="GUZ7" s="36"/>
      <c r="GVA7" s="36"/>
      <c r="GVB7" s="36"/>
      <c r="GVC7" s="36"/>
      <c r="GVD7" s="36"/>
      <c r="GVE7" s="36"/>
      <c r="GVF7" s="36"/>
      <c r="GVG7" s="36"/>
      <c r="GVH7" s="36"/>
      <c r="GVI7" s="36"/>
      <c r="GVJ7" s="36"/>
      <c r="GVK7" s="36"/>
      <c r="GVL7" s="36"/>
      <c r="GVM7" s="36"/>
      <c r="GVN7" s="36"/>
      <c r="GVO7" s="36"/>
      <c r="GVP7" s="36"/>
      <c r="GVQ7" s="36"/>
      <c r="GVR7" s="36"/>
      <c r="GVS7" s="36"/>
      <c r="GVT7" s="36"/>
      <c r="GVU7" s="36"/>
      <c r="GVV7" s="36"/>
      <c r="GVW7" s="36"/>
      <c r="GVX7" s="36"/>
      <c r="GVY7" s="36"/>
      <c r="GVZ7" s="36"/>
      <c r="GWA7" s="36"/>
      <c r="GWB7" s="36"/>
      <c r="GWC7" s="36"/>
      <c r="GWD7" s="36"/>
      <c r="GWE7" s="36"/>
      <c r="GWF7" s="36"/>
      <c r="GWG7" s="36"/>
      <c r="GWH7" s="36"/>
      <c r="GWI7" s="36"/>
      <c r="GWJ7" s="36"/>
      <c r="GWK7" s="36"/>
      <c r="GWL7" s="36"/>
      <c r="GWM7" s="36"/>
      <c r="GWN7" s="36"/>
      <c r="GWO7" s="36"/>
      <c r="GWP7" s="36"/>
      <c r="GWQ7" s="36"/>
      <c r="GWR7" s="36"/>
      <c r="GWS7" s="36"/>
      <c r="GWT7" s="36"/>
      <c r="GWU7" s="36"/>
      <c r="GWV7" s="36"/>
      <c r="GWW7" s="36"/>
      <c r="GWX7" s="36"/>
      <c r="GWY7" s="36"/>
      <c r="GWZ7" s="36"/>
      <c r="GXA7" s="36"/>
      <c r="GXB7" s="36"/>
      <c r="GXC7" s="36"/>
      <c r="GXD7" s="36"/>
      <c r="GXE7" s="36"/>
      <c r="GXF7" s="36"/>
      <c r="GXG7" s="36"/>
      <c r="GXH7" s="36"/>
      <c r="GXI7" s="36"/>
      <c r="GXJ7" s="36"/>
      <c r="GXK7" s="36"/>
      <c r="GXL7" s="36"/>
      <c r="GXM7" s="36"/>
      <c r="GXN7" s="36"/>
      <c r="GXO7" s="36"/>
      <c r="GXP7" s="36"/>
      <c r="GXQ7" s="36"/>
      <c r="GXR7" s="36"/>
      <c r="GXS7" s="36"/>
      <c r="GXT7" s="36"/>
      <c r="GXU7" s="36"/>
      <c r="GXV7" s="36"/>
      <c r="GXW7" s="36"/>
      <c r="GXX7" s="36"/>
      <c r="GXY7" s="36"/>
      <c r="GXZ7" s="36"/>
      <c r="GYA7" s="36"/>
      <c r="GYB7" s="36"/>
      <c r="GYC7" s="36"/>
      <c r="GYD7" s="36"/>
      <c r="GYE7" s="36"/>
      <c r="GYF7" s="36"/>
      <c r="GYG7" s="36"/>
      <c r="GYH7" s="36"/>
      <c r="GYI7" s="36"/>
      <c r="GYJ7" s="36"/>
      <c r="GYK7" s="36"/>
      <c r="GYL7" s="36"/>
      <c r="GYM7" s="36"/>
      <c r="GYN7" s="36"/>
      <c r="GYO7" s="36"/>
      <c r="GYP7" s="36"/>
      <c r="GYQ7" s="36"/>
      <c r="GYR7" s="36"/>
      <c r="GYS7" s="36"/>
      <c r="GYT7" s="36"/>
      <c r="GYU7" s="36"/>
      <c r="GYV7" s="36"/>
      <c r="GYW7" s="36"/>
      <c r="GYX7" s="36"/>
      <c r="GYY7" s="36"/>
      <c r="GYZ7" s="36"/>
      <c r="GZA7" s="36"/>
      <c r="GZB7" s="36"/>
      <c r="GZC7" s="36"/>
      <c r="GZD7" s="36"/>
      <c r="GZE7" s="36"/>
      <c r="GZF7" s="36"/>
      <c r="GZG7" s="36"/>
      <c r="GZH7" s="36"/>
      <c r="GZI7" s="36"/>
      <c r="GZJ7" s="36"/>
      <c r="GZK7" s="36"/>
      <c r="GZL7" s="36"/>
      <c r="GZM7" s="36"/>
      <c r="GZN7" s="36"/>
      <c r="GZO7" s="36"/>
      <c r="GZP7" s="36"/>
      <c r="GZQ7" s="36"/>
      <c r="GZR7" s="36"/>
      <c r="GZS7" s="36"/>
      <c r="GZT7" s="36"/>
      <c r="GZU7" s="36"/>
      <c r="GZV7" s="36"/>
      <c r="GZW7" s="36"/>
      <c r="GZX7" s="36"/>
      <c r="GZY7" s="36"/>
      <c r="GZZ7" s="36"/>
      <c r="HAA7" s="36"/>
      <c r="HAB7" s="36"/>
      <c r="HAC7" s="36"/>
      <c r="HAD7" s="36"/>
      <c r="HAE7" s="36"/>
      <c r="HAF7" s="36"/>
      <c r="HAG7" s="36"/>
      <c r="HAH7" s="36"/>
      <c r="HAI7" s="36"/>
      <c r="HAJ7" s="36"/>
      <c r="HAK7" s="36"/>
      <c r="HAL7" s="36"/>
      <c r="HAM7" s="36"/>
      <c r="HAN7" s="36"/>
      <c r="HAO7" s="36"/>
      <c r="HAP7" s="36"/>
      <c r="HAQ7" s="36"/>
      <c r="HAR7" s="36"/>
      <c r="HAS7" s="36"/>
      <c r="HAT7" s="36"/>
      <c r="HAU7" s="36"/>
      <c r="HAV7" s="36"/>
      <c r="HAW7" s="36"/>
      <c r="HAX7" s="36"/>
      <c r="HAY7" s="36"/>
      <c r="HAZ7" s="36"/>
      <c r="HBA7" s="36"/>
      <c r="HBB7" s="36"/>
      <c r="HBC7" s="36"/>
      <c r="HBD7" s="36"/>
      <c r="HBE7" s="36"/>
      <c r="HBF7" s="36"/>
      <c r="HBG7" s="36"/>
      <c r="HBH7" s="36"/>
      <c r="HBI7" s="36"/>
      <c r="HBJ7" s="36"/>
      <c r="HBK7" s="36"/>
      <c r="HBL7" s="36"/>
      <c r="HBM7" s="36"/>
      <c r="HBN7" s="36"/>
      <c r="HBO7" s="36"/>
      <c r="HBP7" s="36"/>
      <c r="HBQ7" s="36"/>
      <c r="HBR7" s="36"/>
      <c r="HBS7" s="36"/>
      <c r="HBT7" s="36"/>
      <c r="HBU7" s="36"/>
      <c r="HBV7" s="36"/>
      <c r="HBW7" s="36"/>
      <c r="HBX7" s="36"/>
      <c r="HBY7" s="36"/>
      <c r="HBZ7" s="36"/>
      <c r="HCA7" s="36"/>
      <c r="HCB7" s="36"/>
      <c r="HCC7" s="36"/>
      <c r="HCD7" s="36"/>
      <c r="HCE7" s="36"/>
      <c r="HCF7" s="36"/>
      <c r="HCG7" s="36"/>
      <c r="HCH7" s="36"/>
      <c r="HCI7" s="36"/>
      <c r="HCJ7" s="36"/>
      <c r="HCK7" s="36"/>
      <c r="HCL7" s="36"/>
      <c r="HCM7" s="36"/>
      <c r="HCN7" s="36"/>
      <c r="HCO7" s="36"/>
      <c r="HCP7" s="36"/>
      <c r="HCQ7" s="36"/>
      <c r="HCR7" s="36"/>
      <c r="HCS7" s="36"/>
      <c r="HCT7" s="36"/>
      <c r="HCU7" s="36"/>
      <c r="HCV7" s="36"/>
      <c r="HCW7" s="36"/>
      <c r="HCX7" s="36"/>
      <c r="HCY7" s="36"/>
      <c r="HCZ7" s="36"/>
      <c r="HDA7" s="36"/>
      <c r="HDB7" s="36"/>
      <c r="HDC7" s="36"/>
      <c r="HDD7" s="36"/>
      <c r="HDE7" s="36"/>
      <c r="HDF7" s="36"/>
      <c r="HDG7" s="36"/>
      <c r="HDH7" s="36"/>
      <c r="HDI7" s="36"/>
      <c r="HDJ7" s="36"/>
      <c r="HDK7" s="36"/>
      <c r="HDL7" s="36"/>
      <c r="HDM7" s="36"/>
      <c r="HDN7" s="36"/>
      <c r="HDO7" s="36"/>
      <c r="HDP7" s="36"/>
      <c r="HDQ7" s="36"/>
      <c r="HDR7" s="36"/>
      <c r="HDS7" s="36"/>
      <c r="HDT7" s="36"/>
      <c r="HDU7" s="36"/>
      <c r="HDV7" s="36"/>
      <c r="HDW7" s="36"/>
      <c r="HDX7" s="36"/>
      <c r="HDY7" s="36"/>
      <c r="HDZ7" s="36"/>
      <c r="HEA7" s="36"/>
      <c r="HEB7" s="36"/>
      <c r="HEC7" s="36"/>
      <c r="HED7" s="36"/>
      <c r="HEE7" s="36"/>
      <c r="HEF7" s="36"/>
      <c r="HEG7" s="36"/>
      <c r="HEH7" s="36"/>
      <c r="HEI7" s="36"/>
      <c r="HEJ7" s="36"/>
      <c r="HEK7" s="36"/>
      <c r="HEL7" s="36"/>
      <c r="HEM7" s="36"/>
      <c r="HEN7" s="36"/>
      <c r="HEO7" s="36"/>
      <c r="HEP7" s="36"/>
      <c r="HEQ7" s="36"/>
      <c r="HER7" s="36"/>
      <c r="HES7" s="36"/>
      <c r="HET7" s="36"/>
      <c r="HEU7" s="36"/>
      <c r="HEV7" s="36"/>
      <c r="HEW7" s="36"/>
      <c r="HEX7" s="36"/>
      <c r="HEY7" s="36"/>
      <c r="HEZ7" s="36"/>
      <c r="HFA7" s="36"/>
      <c r="HFB7" s="36"/>
      <c r="HFC7" s="36"/>
      <c r="HFD7" s="36"/>
      <c r="HFE7" s="36"/>
      <c r="HFF7" s="36"/>
      <c r="HFG7" s="36"/>
      <c r="HFH7" s="36"/>
      <c r="HFI7" s="36"/>
      <c r="HFJ7" s="36"/>
      <c r="HFK7" s="36"/>
      <c r="HFL7" s="36"/>
      <c r="HFM7" s="36"/>
      <c r="HFN7" s="36"/>
      <c r="HFO7" s="36"/>
      <c r="HFP7" s="36"/>
      <c r="HFQ7" s="36"/>
      <c r="HFR7" s="36"/>
      <c r="HFS7" s="36"/>
      <c r="HFT7" s="36"/>
      <c r="HFU7" s="36"/>
      <c r="HFV7" s="36"/>
      <c r="HFW7" s="36"/>
      <c r="HFX7" s="36"/>
      <c r="HFY7" s="36"/>
      <c r="HFZ7" s="36"/>
      <c r="HGA7" s="36"/>
      <c r="HGB7" s="36"/>
      <c r="HGC7" s="36"/>
      <c r="HGD7" s="36"/>
      <c r="HGE7" s="36"/>
      <c r="HGF7" s="36"/>
      <c r="HGG7" s="36"/>
      <c r="HGH7" s="36"/>
      <c r="HGI7" s="36"/>
      <c r="HGJ7" s="36"/>
      <c r="HGK7" s="36"/>
      <c r="HGL7" s="36"/>
      <c r="HGM7" s="36"/>
      <c r="HGN7" s="36"/>
      <c r="HGO7" s="36"/>
      <c r="HGP7" s="36"/>
      <c r="HGQ7" s="36"/>
      <c r="HGR7" s="36"/>
      <c r="HGS7" s="36"/>
      <c r="HGT7" s="36"/>
      <c r="HGU7" s="36"/>
      <c r="HGV7" s="36"/>
      <c r="HGW7" s="36"/>
      <c r="HGX7" s="36"/>
      <c r="HGY7" s="36"/>
      <c r="HGZ7" s="36"/>
      <c r="HHA7" s="36"/>
      <c r="HHB7" s="36"/>
      <c r="HHC7" s="36"/>
      <c r="HHD7" s="36"/>
      <c r="HHE7" s="36"/>
      <c r="HHF7" s="36"/>
      <c r="HHG7" s="36"/>
      <c r="HHH7" s="36"/>
      <c r="HHI7" s="36"/>
      <c r="HHJ7" s="36"/>
      <c r="HHK7" s="36"/>
      <c r="HHL7" s="36"/>
      <c r="HHM7" s="36"/>
      <c r="HHN7" s="36"/>
      <c r="HHO7" s="36"/>
      <c r="HHP7" s="36"/>
      <c r="HHQ7" s="36"/>
      <c r="HHR7" s="36"/>
      <c r="HHS7" s="36"/>
      <c r="HHT7" s="36"/>
      <c r="HHU7" s="36"/>
      <c r="HHV7" s="36"/>
      <c r="HHW7" s="36"/>
      <c r="HHX7" s="36"/>
      <c r="HHY7" s="36"/>
      <c r="HHZ7" s="36"/>
      <c r="HIA7" s="36"/>
      <c r="HIB7" s="36"/>
      <c r="HIC7" s="36"/>
      <c r="HID7" s="36"/>
      <c r="HIE7" s="36"/>
      <c r="HIF7" s="36"/>
      <c r="HIG7" s="36"/>
      <c r="HIH7" s="36"/>
      <c r="HII7" s="36"/>
      <c r="HIJ7" s="36"/>
      <c r="HIK7" s="36"/>
      <c r="HIL7" s="36"/>
      <c r="HIM7" s="36"/>
      <c r="HIN7" s="36"/>
      <c r="HIO7" s="36"/>
      <c r="HIP7" s="36"/>
      <c r="HIQ7" s="36"/>
      <c r="HIR7" s="36"/>
      <c r="HIS7" s="36"/>
      <c r="HIT7" s="36"/>
      <c r="HIU7" s="36"/>
      <c r="HIV7" s="36"/>
      <c r="HIW7" s="36"/>
      <c r="HIX7" s="36"/>
      <c r="HIY7" s="36"/>
      <c r="HIZ7" s="36"/>
      <c r="HJA7" s="36"/>
      <c r="HJB7" s="36"/>
      <c r="HJC7" s="36"/>
      <c r="HJD7" s="36"/>
      <c r="HJE7" s="36"/>
      <c r="HJF7" s="36"/>
      <c r="HJG7" s="36"/>
      <c r="HJH7" s="36"/>
      <c r="HJI7" s="36"/>
      <c r="HJJ7" s="36"/>
      <c r="HJK7" s="36"/>
      <c r="HJL7" s="36"/>
      <c r="HJM7" s="36"/>
      <c r="HJN7" s="36"/>
      <c r="HJO7" s="36"/>
      <c r="HJP7" s="36"/>
      <c r="HJQ7" s="36"/>
      <c r="HJR7" s="36"/>
      <c r="HJS7" s="36"/>
      <c r="HJT7" s="36"/>
      <c r="HJU7" s="36"/>
      <c r="HJV7" s="36"/>
      <c r="HJW7" s="36"/>
      <c r="HJX7" s="36"/>
      <c r="HJY7" s="36"/>
      <c r="HJZ7" s="36"/>
      <c r="HKA7" s="36"/>
      <c r="HKB7" s="36"/>
      <c r="HKC7" s="36"/>
      <c r="HKD7" s="36"/>
      <c r="HKE7" s="36"/>
      <c r="HKF7" s="36"/>
      <c r="HKG7" s="36"/>
      <c r="HKH7" s="36"/>
      <c r="HKI7" s="36"/>
      <c r="HKJ7" s="36"/>
      <c r="HKK7" s="36"/>
      <c r="HKL7" s="36"/>
      <c r="HKM7" s="36"/>
      <c r="HKN7" s="36"/>
      <c r="HKO7" s="36"/>
      <c r="HKP7" s="36"/>
      <c r="HKQ7" s="36"/>
      <c r="HKR7" s="36"/>
      <c r="HKS7" s="36"/>
      <c r="HKT7" s="36"/>
      <c r="HKU7" s="36"/>
      <c r="HKV7" s="36"/>
      <c r="HKW7" s="36"/>
      <c r="HKX7" s="36"/>
      <c r="HKY7" s="36"/>
      <c r="HKZ7" s="36"/>
      <c r="HLA7" s="36"/>
      <c r="HLB7" s="36"/>
      <c r="HLC7" s="36"/>
      <c r="HLD7" s="36"/>
      <c r="HLE7" s="36"/>
      <c r="HLF7" s="36"/>
      <c r="HLG7" s="36"/>
      <c r="HLH7" s="36"/>
      <c r="HLI7" s="36"/>
      <c r="HLJ7" s="36"/>
      <c r="HLK7" s="36"/>
      <c r="HLL7" s="36"/>
      <c r="HLM7" s="36"/>
      <c r="HLN7" s="36"/>
      <c r="HLO7" s="36"/>
      <c r="HLP7" s="36"/>
      <c r="HLQ7" s="36"/>
      <c r="HLR7" s="36"/>
      <c r="HLS7" s="36"/>
      <c r="HLT7" s="36"/>
      <c r="HLU7" s="36"/>
      <c r="HLV7" s="36"/>
      <c r="HLW7" s="36"/>
      <c r="HLX7" s="36"/>
      <c r="HLY7" s="36"/>
      <c r="HLZ7" s="36"/>
      <c r="HMA7" s="36"/>
      <c r="HMB7" s="36"/>
      <c r="HMC7" s="36"/>
      <c r="HMD7" s="36"/>
      <c r="HME7" s="36"/>
      <c r="HMF7" s="36"/>
      <c r="HMG7" s="36"/>
      <c r="HMH7" s="36"/>
      <c r="HMI7" s="36"/>
      <c r="HMJ7" s="36"/>
      <c r="HMK7" s="36"/>
      <c r="HML7" s="36"/>
      <c r="HMM7" s="36"/>
      <c r="HMN7" s="36"/>
      <c r="HMO7" s="36"/>
      <c r="HMP7" s="36"/>
      <c r="HMQ7" s="36"/>
      <c r="HMR7" s="36"/>
      <c r="HMS7" s="36"/>
      <c r="HMT7" s="36"/>
      <c r="HMU7" s="36"/>
      <c r="HMV7" s="36"/>
      <c r="HMW7" s="36"/>
      <c r="HMX7" s="36"/>
      <c r="HMY7" s="36"/>
      <c r="HMZ7" s="36"/>
      <c r="HNA7" s="36"/>
      <c r="HNB7" s="36"/>
      <c r="HNC7" s="36"/>
      <c r="HND7" s="36"/>
      <c r="HNE7" s="36"/>
      <c r="HNF7" s="36"/>
      <c r="HNG7" s="36"/>
      <c r="HNH7" s="36"/>
      <c r="HNI7" s="36"/>
      <c r="HNJ7" s="36"/>
      <c r="HNK7" s="36"/>
      <c r="HNL7" s="36"/>
      <c r="HNM7" s="36"/>
      <c r="HNN7" s="36"/>
      <c r="HNO7" s="36"/>
      <c r="HNP7" s="36"/>
      <c r="HNQ7" s="36"/>
      <c r="HNR7" s="36"/>
      <c r="HNS7" s="36"/>
      <c r="HNT7" s="36"/>
      <c r="HNU7" s="36"/>
      <c r="HNV7" s="36"/>
      <c r="HNW7" s="36"/>
      <c r="HNX7" s="36"/>
      <c r="HNY7" s="36"/>
      <c r="HNZ7" s="36"/>
      <c r="HOA7" s="36"/>
      <c r="HOB7" s="36"/>
      <c r="HOC7" s="36"/>
      <c r="HOD7" s="36"/>
      <c r="HOE7" s="36"/>
      <c r="HOF7" s="36"/>
      <c r="HOG7" s="36"/>
      <c r="HOH7" s="36"/>
      <c r="HOI7" s="36"/>
      <c r="HOJ7" s="36"/>
      <c r="HOK7" s="36"/>
      <c r="HOL7" s="36"/>
      <c r="HOM7" s="36"/>
      <c r="HON7" s="36"/>
      <c r="HOO7" s="36"/>
      <c r="HOP7" s="36"/>
      <c r="HOQ7" s="36"/>
      <c r="HOR7" s="36"/>
      <c r="HOS7" s="36"/>
      <c r="HOT7" s="36"/>
      <c r="HOU7" s="36"/>
      <c r="HOV7" s="36"/>
      <c r="HOW7" s="36"/>
      <c r="HOX7" s="36"/>
      <c r="HOY7" s="36"/>
      <c r="HOZ7" s="36"/>
      <c r="HPA7" s="36"/>
      <c r="HPB7" s="36"/>
      <c r="HPC7" s="36"/>
      <c r="HPD7" s="36"/>
      <c r="HPE7" s="36"/>
      <c r="HPF7" s="36"/>
      <c r="HPG7" s="36"/>
      <c r="HPH7" s="36"/>
      <c r="HPI7" s="36"/>
      <c r="HPJ7" s="36"/>
      <c r="HPK7" s="36"/>
      <c r="HPL7" s="36"/>
      <c r="HPM7" s="36"/>
      <c r="HPN7" s="36"/>
      <c r="HPO7" s="36"/>
      <c r="HPP7" s="36"/>
      <c r="HPQ7" s="36"/>
      <c r="HPR7" s="36"/>
      <c r="HPS7" s="36"/>
      <c r="HPT7" s="36"/>
      <c r="HPU7" s="36"/>
      <c r="HPV7" s="36"/>
      <c r="HPW7" s="36"/>
      <c r="HPX7" s="36"/>
      <c r="HPY7" s="36"/>
      <c r="HPZ7" s="36"/>
      <c r="HQA7" s="36"/>
      <c r="HQB7" s="36"/>
      <c r="HQC7" s="36"/>
      <c r="HQD7" s="36"/>
      <c r="HQE7" s="36"/>
      <c r="HQF7" s="36"/>
      <c r="HQG7" s="36"/>
      <c r="HQH7" s="36"/>
      <c r="HQI7" s="36"/>
      <c r="HQJ7" s="36"/>
      <c r="HQK7" s="36"/>
      <c r="HQL7" s="36"/>
      <c r="HQM7" s="36"/>
      <c r="HQN7" s="36"/>
      <c r="HQO7" s="36"/>
      <c r="HQP7" s="36"/>
      <c r="HQQ7" s="36"/>
      <c r="HQR7" s="36"/>
      <c r="HQS7" s="36"/>
      <c r="HQT7" s="36"/>
      <c r="HQU7" s="36"/>
      <c r="HQV7" s="36"/>
      <c r="HQW7" s="36"/>
      <c r="HQX7" s="36"/>
      <c r="HQY7" s="36"/>
      <c r="HQZ7" s="36"/>
      <c r="HRA7" s="36"/>
      <c r="HRB7" s="36"/>
      <c r="HRC7" s="36"/>
      <c r="HRD7" s="36"/>
      <c r="HRE7" s="36"/>
      <c r="HRF7" s="36"/>
      <c r="HRG7" s="36"/>
      <c r="HRH7" s="36"/>
      <c r="HRI7" s="36"/>
      <c r="HRJ7" s="36"/>
      <c r="HRK7" s="36"/>
      <c r="HRL7" s="36"/>
      <c r="HRM7" s="36"/>
      <c r="HRN7" s="36"/>
      <c r="HRO7" s="36"/>
      <c r="HRP7" s="36"/>
      <c r="HRQ7" s="36"/>
      <c r="HRR7" s="36"/>
      <c r="HRS7" s="36"/>
      <c r="HRT7" s="36"/>
      <c r="HRU7" s="36"/>
      <c r="HRV7" s="36"/>
      <c r="HRW7" s="36"/>
      <c r="HRX7" s="36"/>
      <c r="HRY7" s="36"/>
      <c r="HRZ7" s="36"/>
      <c r="HSA7" s="36"/>
      <c r="HSB7" s="36"/>
      <c r="HSC7" s="36"/>
      <c r="HSD7" s="36"/>
      <c r="HSE7" s="36"/>
      <c r="HSF7" s="36"/>
      <c r="HSG7" s="36"/>
      <c r="HSH7" s="36"/>
      <c r="HSI7" s="36"/>
      <c r="HSJ7" s="36"/>
      <c r="HSK7" s="36"/>
      <c r="HSL7" s="36"/>
      <c r="HSM7" s="36"/>
      <c r="HSN7" s="36"/>
      <c r="HSO7" s="36"/>
      <c r="HSP7" s="36"/>
      <c r="HSQ7" s="36"/>
      <c r="HSR7" s="36"/>
      <c r="HSS7" s="36"/>
      <c r="HST7" s="36"/>
      <c r="HSU7" s="36"/>
      <c r="HSV7" s="36"/>
      <c r="HSW7" s="36"/>
      <c r="HSX7" s="36"/>
      <c r="HSY7" s="36"/>
      <c r="HSZ7" s="36"/>
      <c r="HTA7" s="36"/>
      <c r="HTB7" s="36"/>
      <c r="HTC7" s="36"/>
      <c r="HTD7" s="36"/>
      <c r="HTE7" s="36"/>
      <c r="HTF7" s="36"/>
      <c r="HTG7" s="36"/>
      <c r="HTH7" s="36"/>
      <c r="HTI7" s="36"/>
      <c r="HTJ7" s="36"/>
      <c r="HTK7" s="36"/>
      <c r="HTL7" s="36"/>
      <c r="HTM7" s="36"/>
      <c r="HTN7" s="36"/>
      <c r="HTO7" s="36"/>
      <c r="HTP7" s="36"/>
      <c r="HTQ7" s="36"/>
      <c r="HTR7" s="36"/>
      <c r="HTS7" s="36"/>
      <c r="HTT7" s="36"/>
      <c r="HTU7" s="36"/>
      <c r="HTV7" s="36"/>
      <c r="HTW7" s="36"/>
      <c r="HTX7" s="36"/>
      <c r="HTY7" s="36"/>
      <c r="HTZ7" s="36"/>
      <c r="HUA7" s="36"/>
      <c r="HUB7" s="36"/>
      <c r="HUC7" s="36"/>
      <c r="HUD7" s="36"/>
      <c r="HUE7" s="36"/>
      <c r="HUF7" s="36"/>
      <c r="HUG7" s="36"/>
      <c r="HUH7" s="36"/>
      <c r="HUI7" s="36"/>
      <c r="HUJ7" s="36"/>
      <c r="HUK7" s="36"/>
      <c r="HUL7" s="36"/>
      <c r="HUM7" s="36"/>
      <c r="HUN7" s="36"/>
      <c r="HUO7" s="36"/>
      <c r="HUP7" s="36"/>
      <c r="HUQ7" s="36"/>
      <c r="HUR7" s="36"/>
      <c r="HUS7" s="36"/>
      <c r="HUT7" s="36"/>
      <c r="HUU7" s="36"/>
      <c r="HUV7" s="36"/>
      <c r="HUW7" s="36"/>
      <c r="HUX7" s="36"/>
      <c r="HUY7" s="36"/>
      <c r="HUZ7" s="36"/>
      <c r="HVA7" s="36"/>
      <c r="HVB7" s="36"/>
      <c r="HVC7" s="36"/>
      <c r="HVD7" s="36"/>
      <c r="HVE7" s="36"/>
      <c r="HVF7" s="36"/>
      <c r="HVG7" s="36"/>
      <c r="HVH7" s="36"/>
      <c r="HVI7" s="36"/>
      <c r="HVJ7" s="36"/>
      <c r="HVK7" s="36"/>
      <c r="HVL7" s="36"/>
      <c r="HVM7" s="36"/>
      <c r="HVN7" s="36"/>
      <c r="HVO7" s="36"/>
      <c r="HVP7" s="36"/>
      <c r="HVQ7" s="36"/>
      <c r="HVR7" s="36"/>
      <c r="HVS7" s="36"/>
      <c r="HVT7" s="36"/>
      <c r="HVU7" s="36"/>
      <c r="HVV7" s="36"/>
      <c r="HVW7" s="36"/>
      <c r="HVX7" s="36"/>
      <c r="HVY7" s="36"/>
      <c r="HVZ7" s="36"/>
      <c r="HWA7" s="36"/>
      <c r="HWB7" s="36"/>
      <c r="HWC7" s="36"/>
      <c r="HWD7" s="36"/>
      <c r="HWE7" s="36"/>
      <c r="HWF7" s="36"/>
      <c r="HWG7" s="36"/>
      <c r="HWH7" s="36"/>
      <c r="HWI7" s="36"/>
      <c r="HWJ7" s="36"/>
      <c r="HWK7" s="36"/>
      <c r="HWL7" s="36"/>
      <c r="HWM7" s="36"/>
      <c r="HWN7" s="36"/>
      <c r="HWO7" s="36"/>
      <c r="HWP7" s="36"/>
      <c r="HWQ7" s="36"/>
      <c r="HWR7" s="36"/>
      <c r="HWS7" s="36"/>
      <c r="HWT7" s="36"/>
      <c r="HWU7" s="36"/>
      <c r="HWV7" s="36"/>
      <c r="HWW7" s="36"/>
      <c r="HWX7" s="36"/>
      <c r="HWY7" s="36"/>
      <c r="HWZ7" s="36"/>
      <c r="HXA7" s="36"/>
      <c r="HXB7" s="36"/>
      <c r="HXC7" s="36"/>
      <c r="HXD7" s="36"/>
      <c r="HXE7" s="36"/>
      <c r="HXF7" s="36"/>
      <c r="HXG7" s="36"/>
      <c r="HXH7" s="36"/>
      <c r="HXI7" s="36"/>
      <c r="HXJ7" s="36"/>
      <c r="HXK7" s="36"/>
      <c r="HXL7" s="36"/>
      <c r="HXM7" s="36"/>
      <c r="HXN7" s="36"/>
      <c r="HXO7" s="36"/>
      <c r="HXP7" s="36"/>
      <c r="HXQ7" s="36"/>
      <c r="HXR7" s="36"/>
      <c r="HXS7" s="36"/>
      <c r="HXT7" s="36"/>
      <c r="HXU7" s="36"/>
      <c r="HXV7" s="36"/>
      <c r="HXW7" s="36"/>
      <c r="HXX7" s="36"/>
      <c r="HXY7" s="36"/>
      <c r="HXZ7" s="36"/>
      <c r="HYA7" s="36"/>
      <c r="HYB7" s="36"/>
      <c r="HYC7" s="36"/>
      <c r="HYD7" s="36"/>
      <c r="HYE7" s="36"/>
      <c r="HYF7" s="36"/>
      <c r="HYG7" s="36"/>
      <c r="HYH7" s="36"/>
      <c r="HYI7" s="36"/>
      <c r="HYJ7" s="36"/>
      <c r="HYK7" s="36"/>
      <c r="HYL7" s="36"/>
      <c r="HYM7" s="36"/>
      <c r="HYN7" s="36"/>
      <c r="HYO7" s="36"/>
      <c r="HYP7" s="36"/>
      <c r="HYQ7" s="36"/>
      <c r="HYR7" s="36"/>
      <c r="HYS7" s="36"/>
      <c r="HYT7" s="36"/>
      <c r="HYU7" s="36"/>
      <c r="HYV7" s="36"/>
      <c r="HYW7" s="36"/>
      <c r="HYX7" s="36"/>
      <c r="HYY7" s="36"/>
      <c r="HYZ7" s="36"/>
      <c r="HZA7" s="36"/>
      <c r="HZB7" s="36"/>
      <c r="HZC7" s="36"/>
      <c r="HZD7" s="36"/>
      <c r="HZE7" s="36"/>
      <c r="HZF7" s="36"/>
      <c r="HZG7" s="36"/>
      <c r="HZH7" s="36"/>
      <c r="HZI7" s="36"/>
      <c r="HZJ7" s="36"/>
      <c r="HZK7" s="36"/>
      <c r="HZL7" s="36"/>
      <c r="HZM7" s="36"/>
      <c r="HZN7" s="36"/>
      <c r="HZO7" s="36"/>
      <c r="HZP7" s="36"/>
      <c r="HZQ7" s="36"/>
      <c r="HZR7" s="36"/>
      <c r="HZS7" s="36"/>
      <c r="HZT7" s="36"/>
      <c r="HZU7" s="36"/>
      <c r="HZV7" s="36"/>
      <c r="HZW7" s="36"/>
      <c r="HZX7" s="36"/>
      <c r="HZY7" s="36"/>
      <c r="HZZ7" s="36"/>
      <c r="IAA7" s="36"/>
      <c r="IAB7" s="36"/>
      <c r="IAC7" s="36"/>
      <c r="IAD7" s="36"/>
      <c r="IAE7" s="36"/>
      <c r="IAF7" s="36"/>
      <c r="IAG7" s="36"/>
      <c r="IAH7" s="36"/>
      <c r="IAI7" s="36"/>
      <c r="IAJ7" s="36"/>
      <c r="IAK7" s="36"/>
      <c r="IAL7" s="36"/>
      <c r="IAM7" s="36"/>
      <c r="IAN7" s="36"/>
      <c r="IAO7" s="36"/>
      <c r="IAP7" s="36"/>
      <c r="IAQ7" s="36"/>
      <c r="IAR7" s="36"/>
      <c r="IAS7" s="36"/>
      <c r="IAT7" s="36"/>
      <c r="IAU7" s="36"/>
      <c r="IAV7" s="36"/>
      <c r="IAW7" s="36"/>
      <c r="IAX7" s="36"/>
      <c r="IAY7" s="36"/>
      <c r="IAZ7" s="36"/>
      <c r="IBA7" s="36"/>
      <c r="IBB7" s="36"/>
      <c r="IBC7" s="36"/>
      <c r="IBD7" s="36"/>
      <c r="IBE7" s="36"/>
      <c r="IBF7" s="36"/>
      <c r="IBG7" s="36"/>
      <c r="IBH7" s="36"/>
      <c r="IBI7" s="36"/>
      <c r="IBJ7" s="36"/>
      <c r="IBK7" s="36"/>
      <c r="IBL7" s="36"/>
      <c r="IBM7" s="36"/>
      <c r="IBN7" s="36"/>
      <c r="IBO7" s="36"/>
      <c r="IBP7" s="36"/>
      <c r="IBQ7" s="36"/>
      <c r="IBR7" s="36"/>
      <c r="IBS7" s="36"/>
      <c r="IBT7" s="36"/>
      <c r="IBU7" s="36"/>
      <c r="IBV7" s="36"/>
      <c r="IBW7" s="36"/>
      <c r="IBX7" s="36"/>
      <c r="IBY7" s="36"/>
      <c r="IBZ7" s="36"/>
      <c r="ICA7" s="36"/>
      <c r="ICB7" s="36"/>
      <c r="ICC7" s="36"/>
      <c r="ICD7" s="36"/>
      <c r="ICE7" s="36"/>
      <c r="ICF7" s="36"/>
      <c r="ICG7" s="36"/>
      <c r="ICH7" s="36"/>
      <c r="ICI7" s="36"/>
      <c r="ICJ7" s="36"/>
      <c r="ICK7" s="36"/>
      <c r="ICL7" s="36"/>
      <c r="ICM7" s="36"/>
      <c r="ICN7" s="36"/>
      <c r="ICO7" s="36"/>
      <c r="ICP7" s="36"/>
      <c r="ICQ7" s="36"/>
      <c r="ICR7" s="36"/>
      <c r="ICS7" s="36"/>
      <c r="ICT7" s="36"/>
      <c r="ICU7" s="36"/>
      <c r="ICV7" s="36"/>
      <c r="ICW7" s="36"/>
      <c r="ICX7" s="36"/>
      <c r="ICY7" s="36"/>
      <c r="ICZ7" s="36"/>
      <c r="IDA7" s="36"/>
      <c r="IDB7" s="36"/>
      <c r="IDC7" s="36"/>
      <c r="IDD7" s="36"/>
      <c r="IDE7" s="36"/>
      <c r="IDF7" s="36"/>
      <c r="IDG7" s="36"/>
      <c r="IDH7" s="36"/>
      <c r="IDI7" s="36"/>
      <c r="IDJ7" s="36"/>
      <c r="IDK7" s="36"/>
      <c r="IDL7" s="36"/>
      <c r="IDM7" s="36"/>
      <c r="IDN7" s="36"/>
      <c r="IDO7" s="36"/>
      <c r="IDP7" s="36"/>
      <c r="IDQ7" s="36"/>
      <c r="IDR7" s="36"/>
      <c r="IDS7" s="36"/>
      <c r="IDT7" s="36"/>
      <c r="IDU7" s="36"/>
      <c r="IDV7" s="36"/>
      <c r="IDW7" s="36"/>
      <c r="IDX7" s="36"/>
      <c r="IDY7" s="36"/>
      <c r="IDZ7" s="36"/>
      <c r="IEA7" s="36"/>
      <c r="IEB7" s="36"/>
      <c r="IEC7" s="36"/>
      <c r="IED7" s="36"/>
      <c r="IEE7" s="36"/>
      <c r="IEF7" s="36"/>
      <c r="IEG7" s="36"/>
      <c r="IEH7" s="36"/>
      <c r="IEI7" s="36"/>
      <c r="IEJ7" s="36"/>
      <c r="IEK7" s="36"/>
      <c r="IEL7" s="36"/>
      <c r="IEM7" s="36"/>
      <c r="IEN7" s="36"/>
      <c r="IEO7" s="36"/>
      <c r="IEP7" s="36"/>
      <c r="IEQ7" s="36"/>
      <c r="IER7" s="36"/>
      <c r="IES7" s="36"/>
      <c r="IET7" s="36"/>
      <c r="IEU7" s="36"/>
      <c r="IEV7" s="36"/>
      <c r="IEW7" s="36"/>
      <c r="IEX7" s="36"/>
      <c r="IEY7" s="36"/>
      <c r="IEZ7" s="36"/>
      <c r="IFA7" s="36"/>
      <c r="IFB7" s="36"/>
      <c r="IFC7" s="36"/>
      <c r="IFD7" s="36"/>
      <c r="IFE7" s="36"/>
      <c r="IFF7" s="36"/>
      <c r="IFG7" s="36"/>
      <c r="IFH7" s="36"/>
      <c r="IFI7" s="36"/>
      <c r="IFJ7" s="36"/>
      <c r="IFK7" s="36"/>
      <c r="IFL7" s="36"/>
      <c r="IFM7" s="36"/>
      <c r="IFN7" s="36"/>
      <c r="IFO7" s="36"/>
      <c r="IFP7" s="36"/>
      <c r="IFQ7" s="36"/>
      <c r="IFR7" s="36"/>
      <c r="IFS7" s="36"/>
      <c r="IFT7" s="36"/>
      <c r="IFU7" s="36"/>
      <c r="IFV7" s="36"/>
      <c r="IFW7" s="36"/>
      <c r="IFX7" s="36"/>
      <c r="IFY7" s="36"/>
      <c r="IFZ7" s="36"/>
      <c r="IGA7" s="36"/>
      <c r="IGB7" s="36"/>
      <c r="IGC7" s="36"/>
      <c r="IGD7" s="36"/>
      <c r="IGE7" s="36"/>
      <c r="IGF7" s="36"/>
      <c r="IGG7" s="36"/>
      <c r="IGH7" s="36"/>
      <c r="IGI7" s="36"/>
      <c r="IGJ7" s="36"/>
      <c r="IGK7" s="36"/>
      <c r="IGL7" s="36"/>
      <c r="IGM7" s="36"/>
      <c r="IGN7" s="36"/>
      <c r="IGO7" s="36"/>
      <c r="IGP7" s="36"/>
      <c r="IGQ7" s="36"/>
      <c r="IGR7" s="36"/>
      <c r="IGS7" s="36"/>
      <c r="IGT7" s="36"/>
      <c r="IGU7" s="36"/>
      <c r="IGV7" s="36"/>
      <c r="IGW7" s="36"/>
      <c r="IGX7" s="36"/>
      <c r="IGY7" s="36"/>
      <c r="IGZ7" s="36"/>
      <c r="IHA7" s="36"/>
      <c r="IHB7" s="36"/>
      <c r="IHC7" s="36"/>
      <c r="IHD7" s="36"/>
      <c r="IHE7" s="36"/>
      <c r="IHF7" s="36"/>
      <c r="IHG7" s="36"/>
      <c r="IHH7" s="36"/>
      <c r="IHI7" s="36"/>
      <c r="IHJ7" s="36"/>
      <c r="IHK7" s="36"/>
      <c r="IHL7" s="36"/>
      <c r="IHM7" s="36"/>
      <c r="IHN7" s="36"/>
      <c r="IHO7" s="36"/>
      <c r="IHP7" s="36"/>
      <c r="IHQ7" s="36"/>
      <c r="IHR7" s="36"/>
      <c r="IHS7" s="36"/>
      <c r="IHT7" s="36"/>
      <c r="IHU7" s="36"/>
      <c r="IHV7" s="36"/>
      <c r="IHW7" s="36"/>
      <c r="IHX7" s="36"/>
      <c r="IHY7" s="36"/>
      <c r="IHZ7" s="36"/>
      <c r="IIA7" s="36"/>
      <c r="IIB7" s="36"/>
      <c r="IIC7" s="36"/>
      <c r="IID7" s="36"/>
      <c r="IIE7" s="36"/>
      <c r="IIF7" s="36"/>
      <c r="IIG7" s="36"/>
      <c r="IIH7" s="36"/>
      <c r="III7" s="36"/>
      <c r="IIJ7" s="36"/>
      <c r="IIK7" s="36"/>
      <c r="IIL7" s="36"/>
      <c r="IIM7" s="36"/>
      <c r="IIN7" s="36"/>
      <c r="IIO7" s="36"/>
      <c r="IIP7" s="36"/>
      <c r="IIQ7" s="36"/>
      <c r="IIR7" s="36"/>
      <c r="IIS7" s="36"/>
      <c r="IIT7" s="36"/>
      <c r="IIU7" s="36"/>
      <c r="IIV7" s="36"/>
      <c r="IIW7" s="36"/>
      <c r="IIX7" s="36"/>
      <c r="IIY7" s="36"/>
      <c r="IIZ7" s="36"/>
      <c r="IJA7" s="36"/>
      <c r="IJB7" s="36"/>
      <c r="IJC7" s="36"/>
      <c r="IJD7" s="36"/>
      <c r="IJE7" s="36"/>
      <c r="IJF7" s="36"/>
      <c r="IJG7" s="36"/>
      <c r="IJH7" s="36"/>
      <c r="IJI7" s="36"/>
      <c r="IJJ7" s="36"/>
      <c r="IJK7" s="36"/>
      <c r="IJL7" s="36"/>
      <c r="IJM7" s="36"/>
      <c r="IJN7" s="36"/>
      <c r="IJO7" s="36"/>
      <c r="IJP7" s="36"/>
      <c r="IJQ7" s="36"/>
      <c r="IJR7" s="36"/>
      <c r="IJS7" s="36"/>
      <c r="IJT7" s="36"/>
      <c r="IJU7" s="36"/>
      <c r="IJV7" s="36"/>
      <c r="IJW7" s="36"/>
      <c r="IJX7" s="36"/>
      <c r="IJY7" s="36"/>
      <c r="IJZ7" s="36"/>
      <c r="IKA7" s="36"/>
      <c r="IKB7" s="36"/>
      <c r="IKC7" s="36"/>
      <c r="IKD7" s="36"/>
      <c r="IKE7" s="36"/>
      <c r="IKF7" s="36"/>
      <c r="IKG7" s="36"/>
      <c r="IKH7" s="36"/>
      <c r="IKI7" s="36"/>
      <c r="IKJ7" s="36"/>
      <c r="IKK7" s="36"/>
      <c r="IKL7" s="36"/>
      <c r="IKM7" s="36"/>
      <c r="IKN7" s="36"/>
      <c r="IKO7" s="36"/>
      <c r="IKP7" s="36"/>
      <c r="IKQ7" s="36"/>
      <c r="IKR7" s="36"/>
      <c r="IKS7" s="36"/>
      <c r="IKT7" s="36"/>
      <c r="IKU7" s="36"/>
      <c r="IKV7" s="36"/>
      <c r="IKW7" s="36"/>
      <c r="IKX7" s="36"/>
      <c r="IKY7" s="36"/>
      <c r="IKZ7" s="36"/>
      <c r="ILA7" s="36"/>
      <c r="ILB7" s="36"/>
      <c r="ILC7" s="36"/>
      <c r="ILD7" s="36"/>
      <c r="ILE7" s="36"/>
      <c r="ILF7" s="36"/>
      <c r="ILG7" s="36"/>
      <c r="ILH7" s="36"/>
      <c r="ILI7" s="36"/>
      <c r="ILJ7" s="36"/>
      <c r="ILK7" s="36"/>
      <c r="ILL7" s="36"/>
      <c r="ILM7" s="36"/>
      <c r="ILN7" s="36"/>
      <c r="ILO7" s="36"/>
      <c r="ILP7" s="36"/>
      <c r="ILQ7" s="36"/>
      <c r="ILR7" s="36"/>
      <c r="ILS7" s="36"/>
      <c r="ILT7" s="36"/>
      <c r="ILU7" s="36"/>
      <c r="ILV7" s="36"/>
      <c r="ILW7" s="36"/>
      <c r="ILX7" s="36"/>
      <c r="ILY7" s="36"/>
      <c r="ILZ7" s="36"/>
      <c r="IMA7" s="36"/>
      <c r="IMB7" s="36"/>
      <c r="IMC7" s="36"/>
      <c r="IMD7" s="36"/>
      <c r="IME7" s="36"/>
      <c r="IMF7" s="36"/>
      <c r="IMG7" s="36"/>
      <c r="IMH7" s="36"/>
      <c r="IMI7" s="36"/>
      <c r="IMJ7" s="36"/>
      <c r="IMK7" s="36"/>
      <c r="IML7" s="36"/>
      <c r="IMM7" s="36"/>
      <c r="IMN7" s="36"/>
      <c r="IMO7" s="36"/>
      <c r="IMP7" s="36"/>
      <c r="IMQ7" s="36"/>
      <c r="IMR7" s="36"/>
      <c r="IMS7" s="36"/>
      <c r="IMT7" s="36"/>
      <c r="IMU7" s="36"/>
      <c r="IMV7" s="36"/>
      <c r="IMW7" s="36"/>
      <c r="IMX7" s="36"/>
      <c r="IMY7" s="36"/>
      <c r="IMZ7" s="36"/>
      <c r="INA7" s="36"/>
      <c r="INB7" s="36"/>
      <c r="INC7" s="36"/>
      <c r="IND7" s="36"/>
      <c r="INE7" s="36"/>
      <c r="INF7" s="36"/>
      <c r="ING7" s="36"/>
      <c r="INH7" s="36"/>
      <c r="INI7" s="36"/>
      <c r="INJ7" s="36"/>
      <c r="INK7" s="36"/>
      <c r="INL7" s="36"/>
      <c r="INM7" s="36"/>
      <c r="INN7" s="36"/>
      <c r="INO7" s="36"/>
      <c r="INP7" s="36"/>
      <c r="INQ7" s="36"/>
      <c r="INR7" s="36"/>
      <c r="INS7" s="36"/>
      <c r="INT7" s="36"/>
      <c r="INU7" s="36"/>
      <c r="INV7" s="36"/>
      <c r="INW7" s="36"/>
      <c r="INX7" s="36"/>
      <c r="INY7" s="36"/>
      <c r="INZ7" s="36"/>
      <c r="IOA7" s="36"/>
      <c r="IOB7" s="36"/>
      <c r="IOC7" s="36"/>
      <c r="IOD7" s="36"/>
      <c r="IOE7" s="36"/>
      <c r="IOF7" s="36"/>
      <c r="IOG7" s="36"/>
      <c r="IOH7" s="36"/>
      <c r="IOI7" s="36"/>
      <c r="IOJ7" s="36"/>
      <c r="IOK7" s="36"/>
      <c r="IOL7" s="36"/>
      <c r="IOM7" s="36"/>
      <c r="ION7" s="36"/>
      <c r="IOO7" s="36"/>
      <c r="IOP7" s="36"/>
      <c r="IOQ7" s="36"/>
      <c r="IOR7" s="36"/>
      <c r="IOS7" s="36"/>
      <c r="IOT7" s="36"/>
      <c r="IOU7" s="36"/>
      <c r="IOV7" s="36"/>
      <c r="IOW7" s="36"/>
      <c r="IOX7" s="36"/>
      <c r="IOY7" s="36"/>
      <c r="IOZ7" s="36"/>
      <c r="IPA7" s="36"/>
      <c r="IPB7" s="36"/>
      <c r="IPC7" s="36"/>
      <c r="IPD7" s="36"/>
      <c r="IPE7" s="36"/>
      <c r="IPF7" s="36"/>
      <c r="IPG7" s="36"/>
      <c r="IPH7" s="36"/>
      <c r="IPI7" s="36"/>
      <c r="IPJ7" s="36"/>
      <c r="IPK7" s="36"/>
      <c r="IPL7" s="36"/>
      <c r="IPM7" s="36"/>
      <c r="IPN7" s="36"/>
      <c r="IPO7" s="36"/>
      <c r="IPP7" s="36"/>
      <c r="IPQ7" s="36"/>
      <c r="IPR7" s="36"/>
      <c r="IPS7" s="36"/>
      <c r="IPT7" s="36"/>
      <c r="IPU7" s="36"/>
      <c r="IPV7" s="36"/>
      <c r="IPW7" s="36"/>
      <c r="IPX7" s="36"/>
      <c r="IPY7" s="36"/>
      <c r="IPZ7" s="36"/>
      <c r="IQA7" s="36"/>
      <c r="IQB7" s="36"/>
      <c r="IQC7" s="36"/>
      <c r="IQD7" s="36"/>
      <c r="IQE7" s="36"/>
      <c r="IQF7" s="36"/>
      <c r="IQG7" s="36"/>
      <c r="IQH7" s="36"/>
      <c r="IQI7" s="36"/>
      <c r="IQJ7" s="36"/>
      <c r="IQK7" s="36"/>
      <c r="IQL7" s="36"/>
      <c r="IQM7" s="36"/>
      <c r="IQN7" s="36"/>
      <c r="IQO7" s="36"/>
      <c r="IQP7" s="36"/>
      <c r="IQQ7" s="36"/>
      <c r="IQR7" s="36"/>
      <c r="IQS7" s="36"/>
      <c r="IQT7" s="36"/>
      <c r="IQU7" s="36"/>
      <c r="IQV7" s="36"/>
      <c r="IQW7" s="36"/>
      <c r="IQX7" s="36"/>
      <c r="IQY7" s="36"/>
      <c r="IQZ7" s="36"/>
      <c r="IRA7" s="36"/>
      <c r="IRB7" s="36"/>
      <c r="IRC7" s="36"/>
      <c r="IRD7" s="36"/>
      <c r="IRE7" s="36"/>
      <c r="IRF7" s="36"/>
      <c r="IRG7" s="36"/>
      <c r="IRH7" s="36"/>
      <c r="IRI7" s="36"/>
      <c r="IRJ7" s="36"/>
      <c r="IRK7" s="36"/>
      <c r="IRL7" s="36"/>
      <c r="IRM7" s="36"/>
      <c r="IRN7" s="36"/>
      <c r="IRO7" s="36"/>
      <c r="IRP7" s="36"/>
      <c r="IRQ7" s="36"/>
      <c r="IRR7" s="36"/>
      <c r="IRS7" s="36"/>
      <c r="IRT7" s="36"/>
      <c r="IRU7" s="36"/>
      <c r="IRV7" s="36"/>
      <c r="IRW7" s="36"/>
      <c r="IRX7" s="36"/>
      <c r="IRY7" s="36"/>
      <c r="IRZ7" s="36"/>
      <c r="ISA7" s="36"/>
      <c r="ISB7" s="36"/>
      <c r="ISC7" s="36"/>
      <c r="ISD7" s="36"/>
      <c r="ISE7" s="36"/>
      <c r="ISF7" s="36"/>
      <c r="ISG7" s="36"/>
      <c r="ISH7" s="36"/>
      <c r="ISI7" s="36"/>
      <c r="ISJ7" s="36"/>
      <c r="ISK7" s="36"/>
      <c r="ISL7" s="36"/>
      <c r="ISM7" s="36"/>
      <c r="ISN7" s="36"/>
      <c r="ISO7" s="36"/>
      <c r="ISP7" s="36"/>
      <c r="ISQ7" s="36"/>
      <c r="ISR7" s="36"/>
      <c r="ISS7" s="36"/>
      <c r="IST7" s="36"/>
      <c r="ISU7" s="36"/>
      <c r="ISV7" s="36"/>
      <c r="ISW7" s="36"/>
      <c r="ISX7" s="36"/>
      <c r="ISY7" s="36"/>
      <c r="ISZ7" s="36"/>
      <c r="ITA7" s="36"/>
      <c r="ITB7" s="36"/>
      <c r="ITC7" s="36"/>
      <c r="ITD7" s="36"/>
      <c r="ITE7" s="36"/>
      <c r="ITF7" s="36"/>
      <c r="ITG7" s="36"/>
      <c r="ITH7" s="36"/>
      <c r="ITI7" s="36"/>
      <c r="ITJ7" s="36"/>
      <c r="ITK7" s="36"/>
      <c r="ITL7" s="36"/>
      <c r="ITM7" s="36"/>
      <c r="ITN7" s="36"/>
      <c r="ITO7" s="36"/>
      <c r="ITP7" s="36"/>
      <c r="ITQ7" s="36"/>
      <c r="ITR7" s="36"/>
      <c r="ITS7" s="36"/>
      <c r="ITT7" s="36"/>
      <c r="ITU7" s="36"/>
      <c r="ITV7" s="36"/>
      <c r="ITW7" s="36"/>
      <c r="ITX7" s="36"/>
      <c r="ITY7" s="36"/>
      <c r="ITZ7" s="36"/>
      <c r="IUA7" s="36"/>
      <c r="IUB7" s="36"/>
      <c r="IUC7" s="36"/>
      <c r="IUD7" s="36"/>
      <c r="IUE7" s="36"/>
      <c r="IUF7" s="36"/>
      <c r="IUG7" s="36"/>
      <c r="IUH7" s="36"/>
      <c r="IUI7" s="36"/>
      <c r="IUJ7" s="36"/>
      <c r="IUK7" s="36"/>
      <c r="IUL7" s="36"/>
      <c r="IUM7" s="36"/>
      <c r="IUN7" s="36"/>
      <c r="IUO7" s="36"/>
      <c r="IUP7" s="36"/>
      <c r="IUQ7" s="36"/>
      <c r="IUR7" s="36"/>
      <c r="IUS7" s="36"/>
      <c r="IUT7" s="36"/>
      <c r="IUU7" s="36"/>
      <c r="IUV7" s="36"/>
      <c r="IUW7" s="36"/>
      <c r="IUX7" s="36"/>
      <c r="IUY7" s="36"/>
      <c r="IUZ7" s="36"/>
      <c r="IVA7" s="36"/>
      <c r="IVB7" s="36"/>
      <c r="IVC7" s="36"/>
      <c r="IVD7" s="36"/>
      <c r="IVE7" s="36"/>
      <c r="IVF7" s="36"/>
      <c r="IVG7" s="36"/>
      <c r="IVH7" s="36"/>
      <c r="IVI7" s="36"/>
      <c r="IVJ7" s="36"/>
      <c r="IVK7" s="36"/>
      <c r="IVL7" s="36"/>
      <c r="IVM7" s="36"/>
      <c r="IVN7" s="36"/>
      <c r="IVO7" s="36"/>
      <c r="IVP7" s="36"/>
      <c r="IVQ7" s="36"/>
      <c r="IVR7" s="36"/>
      <c r="IVS7" s="36"/>
      <c r="IVT7" s="36"/>
      <c r="IVU7" s="36"/>
      <c r="IVV7" s="36"/>
      <c r="IVW7" s="36"/>
      <c r="IVX7" s="36"/>
      <c r="IVY7" s="36"/>
      <c r="IVZ7" s="36"/>
      <c r="IWA7" s="36"/>
      <c r="IWB7" s="36"/>
      <c r="IWC7" s="36"/>
      <c r="IWD7" s="36"/>
      <c r="IWE7" s="36"/>
      <c r="IWF7" s="36"/>
      <c r="IWG7" s="36"/>
      <c r="IWH7" s="36"/>
      <c r="IWI7" s="36"/>
      <c r="IWJ7" s="36"/>
      <c r="IWK7" s="36"/>
      <c r="IWL7" s="36"/>
      <c r="IWM7" s="36"/>
      <c r="IWN7" s="36"/>
      <c r="IWO7" s="36"/>
      <c r="IWP7" s="36"/>
      <c r="IWQ7" s="36"/>
      <c r="IWR7" s="36"/>
      <c r="IWS7" s="36"/>
      <c r="IWT7" s="36"/>
      <c r="IWU7" s="36"/>
      <c r="IWV7" s="36"/>
      <c r="IWW7" s="36"/>
      <c r="IWX7" s="36"/>
      <c r="IWY7" s="36"/>
      <c r="IWZ7" s="36"/>
      <c r="IXA7" s="36"/>
      <c r="IXB7" s="36"/>
      <c r="IXC7" s="36"/>
      <c r="IXD7" s="36"/>
      <c r="IXE7" s="36"/>
      <c r="IXF7" s="36"/>
      <c r="IXG7" s="36"/>
      <c r="IXH7" s="36"/>
      <c r="IXI7" s="36"/>
      <c r="IXJ7" s="36"/>
      <c r="IXK7" s="36"/>
      <c r="IXL7" s="36"/>
      <c r="IXM7" s="36"/>
      <c r="IXN7" s="36"/>
      <c r="IXO7" s="36"/>
      <c r="IXP7" s="36"/>
      <c r="IXQ7" s="36"/>
      <c r="IXR7" s="36"/>
      <c r="IXS7" s="36"/>
      <c r="IXT7" s="36"/>
      <c r="IXU7" s="36"/>
      <c r="IXV7" s="36"/>
      <c r="IXW7" s="36"/>
      <c r="IXX7" s="36"/>
      <c r="IXY7" s="36"/>
      <c r="IXZ7" s="36"/>
      <c r="IYA7" s="36"/>
      <c r="IYB7" s="36"/>
      <c r="IYC7" s="36"/>
      <c r="IYD7" s="36"/>
      <c r="IYE7" s="36"/>
      <c r="IYF7" s="36"/>
      <c r="IYG7" s="36"/>
      <c r="IYH7" s="36"/>
      <c r="IYI7" s="36"/>
      <c r="IYJ7" s="36"/>
      <c r="IYK7" s="36"/>
      <c r="IYL7" s="36"/>
      <c r="IYM7" s="36"/>
      <c r="IYN7" s="36"/>
      <c r="IYO7" s="36"/>
      <c r="IYP7" s="36"/>
      <c r="IYQ7" s="36"/>
      <c r="IYR7" s="36"/>
      <c r="IYS7" s="36"/>
      <c r="IYT7" s="36"/>
      <c r="IYU7" s="36"/>
      <c r="IYV7" s="36"/>
      <c r="IYW7" s="36"/>
      <c r="IYX7" s="36"/>
      <c r="IYY7" s="36"/>
      <c r="IYZ7" s="36"/>
      <c r="IZA7" s="36"/>
      <c r="IZB7" s="36"/>
      <c r="IZC7" s="36"/>
      <c r="IZD7" s="36"/>
      <c r="IZE7" s="36"/>
      <c r="IZF7" s="36"/>
      <c r="IZG7" s="36"/>
      <c r="IZH7" s="36"/>
      <c r="IZI7" s="36"/>
      <c r="IZJ7" s="36"/>
      <c r="IZK7" s="36"/>
      <c r="IZL7" s="36"/>
      <c r="IZM7" s="36"/>
      <c r="IZN7" s="36"/>
      <c r="IZO7" s="36"/>
      <c r="IZP7" s="36"/>
      <c r="IZQ7" s="36"/>
      <c r="IZR7" s="36"/>
      <c r="IZS7" s="36"/>
      <c r="IZT7" s="36"/>
      <c r="IZU7" s="36"/>
      <c r="IZV7" s="36"/>
      <c r="IZW7" s="36"/>
      <c r="IZX7" s="36"/>
      <c r="IZY7" s="36"/>
      <c r="IZZ7" s="36"/>
      <c r="JAA7" s="36"/>
      <c r="JAB7" s="36"/>
      <c r="JAC7" s="36"/>
      <c r="JAD7" s="36"/>
      <c r="JAE7" s="36"/>
      <c r="JAF7" s="36"/>
      <c r="JAG7" s="36"/>
      <c r="JAH7" s="36"/>
      <c r="JAI7" s="36"/>
      <c r="JAJ7" s="36"/>
      <c r="JAK7" s="36"/>
      <c r="JAL7" s="36"/>
      <c r="JAM7" s="36"/>
      <c r="JAN7" s="36"/>
      <c r="JAO7" s="36"/>
      <c r="JAP7" s="36"/>
      <c r="JAQ7" s="36"/>
      <c r="JAR7" s="36"/>
      <c r="JAS7" s="36"/>
      <c r="JAT7" s="36"/>
      <c r="JAU7" s="36"/>
      <c r="JAV7" s="36"/>
      <c r="JAW7" s="36"/>
      <c r="JAX7" s="36"/>
      <c r="JAY7" s="36"/>
      <c r="JAZ7" s="36"/>
      <c r="JBA7" s="36"/>
      <c r="JBB7" s="36"/>
      <c r="JBC7" s="36"/>
      <c r="JBD7" s="36"/>
      <c r="JBE7" s="36"/>
      <c r="JBF7" s="36"/>
      <c r="JBG7" s="36"/>
      <c r="JBH7" s="36"/>
      <c r="JBI7" s="36"/>
      <c r="JBJ7" s="36"/>
      <c r="JBK7" s="36"/>
      <c r="JBL7" s="36"/>
      <c r="JBM7" s="36"/>
      <c r="JBN7" s="36"/>
      <c r="JBO7" s="36"/>
      <c r="JBP7" s="36"/>
      <c r="JBQ7" s="36"/>
      <c r="JBR7" s="36"/>
      <c r="JBS7" s="36"/>
      <c r="JBT7" s="36"/>
      <c r="JBU7" s="36"/>
      <c r="JBV7" s="36"/>
      <c r="JBW7" s="36"/>
      <c r="JBX7" s="36"/>
      <c r="JBY7" s="36"/>
      <c r="JBZ7" s="36"/>
      <c r="JCA7" s="36"/>
      <c r="JCB7" s="36"/>
      <c r="JCC7" s="36"/>
      <c r="JCD7" s="36"/>
      <c r="JCE7" s="36"/>
      <c r="JCF7" s="36"/>
      <c r="JCG7" s="36"/>
      <c r="JCH7" s="36"/>
      <c r="JCI7" s="36"/>
      <c r="JCJ7" s="36"/>
      <c r="JCK7" s="36"/>
      <c r="JCL7" s="36"/>
      <c r="JCM7" s="36"/>
      <c r="JCN7" s="36"/>
      <c r="JCO7" s="36"/>
      <c r="JCP7" s="36"/>
      <c r="JCQ7" s="36"/>
      <c r="JCR7" s="36"/>
      <c r="JCS7" s="36"/>
      <c r="JCT7" s="36"/>
      <c r="JCU7" s="36"/>
      <c r="JCV7" s="36"/>
      <c r="JCW7" s="36"/>
      <c r="JCX7" s="36"/>
      <c r="JCY7" s="36"/>
      <c r="JCZ7" s="36"/>
      <c r="JDA7" s="36"/>
      <c r="JDB7" s="36"/>
      <c r="JDC7" s="36"/>
      <c r="JDD7" s="36"/>
      <c r="JDE7" s="36"/>
      <c r="JDF7" s="36"/>
      <c r="JDG7" s="36"/>
      <c r="JDH7" s="36"/>
      <c r="JDI7" s="36"/>
      <c r="JDJ7" s="36"/>
      <c r="JDK7" s="36"/>
      <c r="JDL7" s="36"/>
      <c r="JDM7" s="36"/>
      <c r="JDN7" s="36"/>
      <c r="JDO7" s="36"/>
      <c r="JDP7" s="36"/>
      <c r="JDQ7" s="36"/>
      <c r="JDR7" s="36"/>
      <c r="JDS7" s="36"/>
      <c r="JDT7" s="36"/>
      <c r="JDU7" s="36"/>
      <c r="JDV7" s="36"/>
      <c r="JDW7" s="36"/>
      <c r="JDX7" s="36"/>
      <c r="JDY7" s="36"/>
      <c r="JDZ7" s="36"/>
      <c r="JEA7" s="36"/>
      <c r="JEB7" s="36"/>
      <c r="JEC7" s="36"/>
      <c r="JED7" s="36"/>
      <c r="JEE7" s="36"/>
      <c r="JEF7" s="36"/>
      <c r="JEG7" s="36"/>
      <c r="JEH7" s="36"/>
      <c r="JEI7" s="36"/>
      <c r="JEJ7" s="36"/>
      <c r="JEK7" s="36"/>
      <c r="JEL7" s="36"/>
      <c r="JEM7" s="36"/>
      <c r="JEN7" s="36"/>
      <c r="JEO7" s="36"/>
      <c r="JEP7" s="36"/>
      <c r="JEQ7" s="36"/>
      <c r="JER7" s="36"/>
      <c r="JES7" s="36"/>
      <c r="JET7" s="36"/>
      <c r="JEU7" s="36"/>
      <c r="JEV7" s="36"/>
      <c r="JEW7" s="36"/>
      <c r="JEX7" s="36"/>
      <c r="JEY7" s="36"/>
      <c r="JEZ7" s="36"/>
      <c r="JFA7" s="36"/>
      <c r="JFB7" s="36"/>
      <c r="JFC7" s="36"/>
      <c r="JFD7" s="36"/>
      <c r="JFE7" s="36"/>
      <c r="JFF7" s="36"/>
      <c r="JFG7" s="36"/>
      <c r="JFH7" s="36"/>
      <c r="JFI7" s="36"/>
      <c r="JFJ7" s="36"/>
      <c r="JFK7" s="36"/>
      <c r="JFL7" s="36"/>
      <c r="JFM7" s="36"/>
      <c r="JFN7" s="36"/>
      <c r="JFO7" s="36"/>
      <c r="JFP7" s="36"/>
      <c r="JFQ7" s="36"/>
      <c r="JFR7" s="36"/>
      <c r="JFS7" s="36"/>
      <c r="JFT7" s="36"/>
      <c r="JFU7" s="36"/>
      <c r="JFV7" s="36"/>
      <c r="JFW7" s="36"/>
      <c r="JFX7" s="36"/>
      <c r="JFY7" s="36"/>
      <c r="JFZ7" s="36"/>
      <c r="JGA7" s="36"/>
      <c r="JGB7" s="36"/>
      <c r="JGC7" s="36"/>
      <c r="JGD7" s="36"/>
      <c r="JGE7" s="36"/>
      <c r="JGF7" s="36"/>
      <c r="JGG7" s="36"/>
      <c r="JGH7" s="36"/>
      <c r="JGI7" s="36"/>
      <c r="JGJ7" s="36"/>
      <c r="JGK7" s="36"/>
      <c r="JGL7" s="36"/>
      <c r="JGM7" s="36"/>
      <c r="JGN7" s="36"/>
      <c r="JGO7" s="36"/>
      <c r="JGP7" s="36"/>
      <c r="JGQ7" s="36"/>
      <c r="JGR7" s="36"/>
      <c r="JGS7" s="36"/>
      <c r="JGT7" s="36"/>
      <c r="JGU7" s="36"/>
      <c r="JGV7" s="36"/>
      <c r="JGW7" s="36"/>
      <c r="JGX7" s="36"/>
      <c r="JGY7" s="36"/>
      <c r="JGZ7" s="36"/>
      <c r="JHA7" s="36"/>
      <c r="JHB7" s="36"/>
      <c r="JHC7" s="36"/>
      <c r="JHD7" s="36"/>
      <c r="JHE7" s="36"/>
      <c r="JHF7" s="36"/>
      <c r="JHG7" s="36"/>
      <c r="JHH7" s="36"/>
      <c r="JHI7" s="36"/>
      <c r="JHJ7" s="36"/>
      <c r="JHK7" s="36"/>
      <c r="JHL7" s="36"/>
      <c r="JHM7" s="36"/>
      <c r="JHN7" s="36"/>
      <c r="JHO7" s="36"/>
      <c r="JHP7" s="36"/>
      <c r="JHQ7" s="36"/>
      <c r="JHR7" s="36"/>
      <c r="JHS7" s="36"/>
      <c r="JHT7" s="36"/>
      <c r="JHU7" s="36"/>
      <c r="JHV7" s="36"/>
      <c r="JHW7" s="36"/>
      <c r="JHX7" s="36"/>
      <c r="JHY7" s="36"/>
      <c r="JHZ7" s="36"/>
      <c r="JIA7" s="36"/>
      <c r="JIB7" s="36"/>
      <c r="JIC7" s="36"/>
      <c r="JID7" s="36"/>
      <c r="JIE7" s="36"/>
      <c r="JIF7" s="36"/>
      <c r="JIG7" s="36"/>
      <c r="JIH7" s="36"/>
      <c r="JII7" s="36"/>
      <c r="JIJ7" s="36"/>
      <c r="JIK7" s="36"/>
      <c r="JIL7" s="36"/>
      <c r="JIM7" s="36"/>
      <c r="JIN7" s="36"/>
      <c r="JIO7" s="36"/>
      <c r="JIP7" s="36"/>
      <c r="JIQ7" s="36"/>
      <c r="JIR7" s="36"/>
      <c r="JIS7" s="36"/>
      <c r="JIT7" s="36"/>
      <c r="JIU7" s="36"/>
      <c r="JIV7" s="36"/>
      <c r="JIW7" s="36"/>
      <c r="JIX7" s="36"/>
      <c r="JIY7" s="36"/>
      <c r="JIZ7" s="36"/>
      <c r="JJA7" s="36"/>
      <c r="JJB7" s="36"/>
      <c r="JJC7" s="36"/>
      <c r="JJD7" s="36"/>
      <c r="JJE7" s="36"/>
      <c r="JJF7" s="36"/>
      <c r="JJG7" s="36"/>
      <c r="JJH7" s="36"/>
      <c r="JJI7" s="36"/>
      <c r="JJJ7" s="36"/>
      <c r="JJK7" s="36"/>
      <c r="JJL7" s="36"/>
      <c r="JJM7" s="36"/>
      <c r="JJN7" s="36"/>
      <c r="JJO7" s="36"/>
      <c r="JJP7" s="36"/>
      <c r="JJQ7" s="36"/>
      <c r="JJR7" s="36"/>
      <c r="JJS7" s="36"/>
      <c r="JJT7" s="36"/>
      <c r="JJU7" s="36"/>
      <c r="JJV7" s="36"/>
      <c r="JJW7" s="36"/>
      <c r="JJX7" s="36"/>
      <c r="JJY7" s="36"/>
      <c r="JJZ7" s="36"/>
      <c r="JKA7" s="36"/>
      <c r="JKB7" s="36"/>
      <c r="JKC7" s="36"/>
      <c r="JKD7" s="36"/>
      <c r="JKE7" s="36"/>
      <c r="JKF7" s="36"/>
      <c r="JKG7" s="36"/>
      <c r="JKH7" s="36"/>
      <c r="JKI7" s="36"/>
      <c r="JKJ7" s="36"/>
      <c r="JKK7" s="36"/>
      <c r="JKL7" s="36"/>
      <c r="JKM7" s="36"/>
      <c r="JKN7" s="36"/>
      <c r="JKO7" s="36"/>
      <c r="JKP7" s="36"/>
      <c r="JKQ7" s="36"/>
      <c r="JKR7" s="36"/>
      <c r="JKS7" s="36"/>
      <c r="JKT7" s="36"/>
      <c r="JKU7" s="36"/>
      <c r="JKV7" s="36"/>
      <c r="JKW7" s="36"/>
      <c r="JKX7" s="36"/>
      <c r="JKY7" s="36"/>
      <c r="JKZ7" s="36"/>
      <c r="JLA7" s="36"/>
      <c r="JLB7" s="36"/>
      <c r="JLC7" s="36"/>
      <c r="JLD7" s="36"/>
      <c r="JLE7" s="36"/>
      <c r="JLF7" s="36"/>
      <c r="JLG7" s="36"/>
      <c r="JLH7" s="36"/>
      <c r="JLI7" s="36"/>
      <c r="JLJ7" s="36"/>
      <c r="JLK7" s="36"/>
      <c r="JLL7" s="36"/>
      <c r="JLM7" s="36"/>
      <c r="JLN7" s="36"/>
      <c r="JLO7" s="36"/>
      <c r="JLP7" s="36"/>
      <c r="JLQ7" s="36"/>
      <c r="JLR7" s="36"/>
      <c r="JLS7" s="36"/>
      <c r="JLT7" s="36"/>
      <c r="JLU7" s="36"/>
      <c r="JLV7" s="36"/>
      <c r="JLW7" s="36"/>
      <c r="JLX7" s="36"/>
      <c r="JLY7" s="36"/>
      <c r="JLZ7" s="36"/>
      <c r="JMA7" s="36"/>
      <c r="JMB7" s="36"/>
      <c r="JMC7" s="36"/>
      <c r="JMD7" s="36"/>
      <c r="JME7" s="36"/>
      <c r="JMF7" s="36"/>
      <c r="JMG7" s="36"/>
      <c r="JMH7" s="36"/>
      <c r="JMI7" s="36"/>
      <c r="JMJ7" s="36"/>
      <c r="JMK7" s="36"/>
      <c r="JML7" s="36"/>
      <c r="JMM7" s="36"/>
      <c r="JMN7" s="36"/>
      <c r="JMO7" s="36"/>
      <c r="JMP7" s="36"/>
      <c r="JMQ7" s="36"/>
      <c r="JMR7" s="36"/>
      <c r="JMS7" s="36"/>
      <c r="JMT7" s="36"/>
      <c r="JMU7" s="36"/>
      <c r="JMV7" s="36"/>
      <c r="JMW7" s="36"/>
      <c r="JMX7" s="36"/>
      <c r="JMY7" s="36"/>
      <c r="JMZ7" s="36"/>
      <c r="JNA7" s="36"/>
      <c r="JNB7" s="36"/>
      <c r="JNC7" s="36"/>
      <c r="JND7" s="36"/>
      <c r="JNE7" s="36"/>
      <c r="JNF7" s="36"/>
      <c r="JNG7" s="36"/>
      <c r="JNH7" s="36"/>
      <c r="JNI7" s="36"/>
      <c r="JNJ7" s="36"/>
      <c r="JNK7" s="36"/>
      <c r="JNL7" s="36"/>
      <c r="JNM7" s="36"/>
      <c r="JNN7" s="36"/>
      <c r="JNO7" s="36"/>
      <c r="JNP7" s="36"/>
      <c r="JNQ7" s="36"/>
      <c r="JNR7" s="36"/>
      <c r="JNS7" s="36"/>
      <c r="JNT7" s="36"/>
      <c r="JNU7" s="36"/>
      <c r="JNV7" s="36"/>
      <c r="JNW7" s="36"/>
      <c r="JNX7" s="36"/>
      <c r="JNY7" s="36"/>
      <c r="JNZ7" s="36"/>
      <c r="JOA7" s="36"/>
      <c r="JOB7" s="36"/>
      <c r="JOC7" s="36"/>
      <c r="JOD7" s="36"/>
      <c r="JOE7" s="36"/>
      <c r="JOF7" s="36"/>
      <c r="JOG7" s="36"/>
      <c r="JOH7" s="36"/>
      <c r="JOI7" s="36"/>
      <c r="JOJ7" s="36"/>
      <c r="JOK7" s="36"/>
      <c r="JOL7" s="36"/>
      <c r="JOM7" s="36"/>
      <c r="JON7" s="36"/>
      <c r="JOO7" s="36"/>
      <c r="JOP7" s="36"/>
      <c r="JOQ7" s="36"/>
      <c r="JOR7" s="36"/>
      <c r="JOS7" s="36"/>
      <c r="JOT7" s="36"/>
      <c r="JOU7" s="36"/>
      <c r="JOV7" s="36"/>
      <c r="JOW7" s="36"/>
      <c r="JOX7" s="36"/>
      <c r="JOY7" s="36"/>
      <c r="JOZ7" s="36"/>
      <c r="JPA7" s="36"/>
      <c r="JPB7" s="36"/>
      <c r="JPC7" s="36"/>
      <c r="JPD7" s="36"/>
      <c r="JPE7" s="36"/>
      <c r="JPF7" s="36"/>
      <c r="JPG7" s="36"/>
      <c r="JPH7" s="36"/>
      <c r="JPI7" s="36"/>
      <c r="JPJ7" s="36"/>
      <c r="JPK7" s="36"/>
      <c r="JPL7" s="36"/>
      <c r="JPM7" s="36"/>
      <c r="JPN7" s="36"/>
      <c r="JPO7" s="36"/>
      <c r="JPP7" s="36"/>
      <c r="JPQ7" s="36"/>
      <c r="JPR7" s="36"/>
      <c r="JPS7" s="36"/>
      <c r="JPT7" s="36"/>
      <c r="JPU7" s="36"/>
      <c r="JPV7" s="36"/>
      <c r="JPW7" s="36"/>
      <c r="JPX7" s="36"/>
      <c r="JPY7" s="36"/>
      <c r="JPZ7" s="36"/>
      <c r="JQA7" s="36"/>
      <c r="JQB7" s="36"/>
      <c r="JQC7" s="36"/>
      <c r="JQD7" s="36"/>
      <c r="JQE7" s="36"/>
      <c r="JQF7" s="36"/>
      <c r="JQG7" s="36"/>
      <c r="JQH7" s="36"/>
      <c r="JQI7" s="36"/>
      <c r="JQJ7" s="36"/>
      <c r="JQK7" s="36"/>
      <c r="JQL7" s="36"/>
      <c r="JQM7" s="36"/>
      <c r="JQN7" s="36"/>
      <c r="JQO7" s="36"/>
      <c r="JQP7" s="36"/>
      <c r="JQQ7" s="36"/>
      <c r="JQR7" s="36"/>
      <c r="JQS7" s="36"/>
      <c r="JQT7" s="36"/>
      <c r="JQU7" s="36"/>
      <c r="JQV7" s="36"/>
      <c r="JQW7" s="36"/>
      <c r="JQX7" s="36"/>
      <c r="JQY7" s="36"/>
      <c r="JQZ7" s="36"/>
      <c r="JRA7" s="36"/>
      <c r="JRB7" s="36"/>
      <c r="JRC7" s="36"/>
      <c r="JRD7" s="36"/>
      <c r="JRE7" s="36"/>
      <c r="JRF7" s="36"/>
      <c r="JRG7" s="36"/>
      <c r="JRH7" s="36"/>
      <c r="JRI7" s="36"/>
      <c r="JRJ7" s="36"/>
      <c r="JRK7" s="36"/>
      <c r="JRL7" s="36"/>
      <c r="JRM7" s="36"/>
      <c r="JRN7" s="36"/>
      <c r="JRO7" s="36"/>
      <c r="JRP7" s="36"/>
      <c r="JRQ7" s="36"/>
      <c r="JRR7" s="36"/>
      <c r="JRS7" s="36"/>
      <c r="JRT7" s="36"/>
      <c r="JRU7" s="36"/>
      <c r="JRV7" s="36"/>
      <c r="JRW7" s="36"/>
      <c r="JRX7" s="36"/>
      <c r="JRY7" s="36"/>
      <c r="JRZ7" s="36"/>
      <c r="JSA7" s="36"/>
      <c r="JSB7" s="36"/>
      <c r="JSC7" s="36"/>
      <c r="JSD7" s="36"/>
      <c r="JSE7" s="36"/>
      <c r="JSF7" s="36"/>
      <c r="JSG7" s="36"/>
      <c r="JSH7" s="36"/>
      <c r="JSI7" s="36"/>
      <c r="JSJ7" s="36"/>
      <c r="JSK7" s="36"/>
      <c r="JSL7" s="36"/>
      <c r="JSM7" s="36"/>
      <c r="JSN7" s="36"/>
      <c r="JSO7" s="36"/>
      <c r="JSP7" s="36"/>
      <c r="JSQ7" s="36"/>
      <c r="JSR7" s="36"/>
      <c r="JSS7" s="36"/>
      <c r="JST7" s="36"/>
      <c r="JSU7" s="36"/>
      <c r="JSV7" s="36"/>
      <c r="JSW7" s="36"/>
      <c r="JSX7" s="36"/>
      <c r="JSY7" s="36"/>
      <c r="JSZ7" s="36"/>
      <c r="JTA7" s="36"/>
      <c r="JTB7" s="36"/>
      <c r="JTC7" s="36"/>
      <c r="JTD7" s="36"/>
      <c r="JTE7" s="36"/>
      <c r="JTF7" s="36"/>
      <c r="JTG7" s="36"/>
      <c r="JTH7" s="36"/>
      <c r="JTI7" s="36"/>
      <c r="JTJ7" s="36"/>
      <c r="JTK7" s="36"/>
      <c r="JTL7" s="36"/>
      <c r="JTM7" s="36"/>
      <c r="JTN7" s="36"/>
      <c r="JTO7" s="36"/>
      <c r="JTP7" s="36"/>
      <c r="JTQ7" s="36"/>
      <c r="JTR7" s="36"/>
      <c r="JTS7" s="36"/>
      <c r="JTT7" s="36"/>
      <c r="JTU7" s="36"/>
      <c r="JTV7" s="36"/>
      <c r="JTW7" s="36"/>
      <c r="JTX7" s="36"/>
      <c r="JTY7" s="36"/>
      <c r="JTZ7" s="36"/>
      <c r="JUA7" s="36"/>
      <c r="JUB7" s="36"/>
      <c r="JUC7" s="36"/>
      <c r="JUD7" s="36"/>
      <c r="JUE7" s="36"/>
      <c r="JUF7" s="36"/>
      <c r="JUG7" s="36"/>
      <c r="JUH7" s="36"/>
      <c r="JUI7" s="36"/>
      <c r="JUJ7" s="36"/>
      <c r="JUK7" s="36"/>
      <c r="JUL7" s="36"/>
      <c r="JUM7" s="36"/>
      <c r="JUN7" s="36"/>
      <c r="JUO7" s="36"/>
      <c r="JUP7" s="36"/>
      <c r="JUQ7" s="36"/>
      <c r="JUR7" s="36"/>
      <c r="JUS7" s="36"/>
      <c r="JUT7" s="36"/>
      <c r="JUU7" s="36"/>
      <c r="JUV7" s="36"/>
      <c r="JUW7" s="36"/>
      <c r="JUX7" s="36"/>
      <c r="JUY7" s="36"/>
      <c r="JUZ7" s="36"/>
      <c r="JVA7" s="36"/>
      <c r="JVB7" s="36"/>
      <c r="JVC7" s="36"/>
      <c r="JVD7" s="36"/>
      <c r="JVE7" s="36"/>
      <c r="JVF7" s="36"/>
      <c r="JVG7" s="36"/>
      <c r="JVH7" s="36"/>
      <c r="JVI7" s="36"/>
      <c r="JVJ7" s="36"/>
      <c r="JVK7" s="36"/>
      <c r="JVL7" s="36"/>
      <c r="JVM7" s="36"/>
      <c r="JVN7" s="36"/>
      <c r="JVO7" s="36"/>
      <c r="JVP7" s="36"/>
      <c r="JVQ7" s="36"/>
      <c r="JVR7" s="36"/>
      <c r="JVS7" s="36"/>
      <c r="JVT7" s="36"/>
      <c r="JVU7" s="36"/>
      <c r="JVV7" s="36"/>
      <c r="JVW7" s="36"/>
      <c r="JVX7" s="36"/>
      <c r="JVY7" s="36"/>
      <c r="JVZ7" s="36"/>
      <c r="JWA7" s="36"/>
      <c r="JWB7" s="36"/>
      <c r="JWC7" s="36"/>
      <c r="JWD7" s="36"/>
      <c r="JWE7" s="36"/>
      <c r="JWF7" s="36"/>
      <c r="JWG7" s="36"/>
      <c r="JWH7" s="36"/>
      <c r="JWI7" s="36"/>
      <c r="JWJ7" s="36"/>
      <c r="JWK7" s="36"/>
      <c r="JWL7" s="36"/>
      <c r="JWM7" s="36"/>
      <c r="JWN7" s="36"/>
      <c r="JWO7" s="36"/>
      <c r="JWP7" s="36"/>
      <c r="JWQ7" s="36"/>
      <c r="JWR7" s="36"/>
      <c r="JWS7" s="36"/>
      <c r="JWT7" s="36"/>
      <c r="JWU7" s="36"/>
      <c r="JWV7" s="36"/>
      <c r="JWW7" s="36"/>
      <c r="JWX7" s="36"/>
      <c r="JWY7" s="36"/>
      <c r="JWZ7" s="36"/>
      <c r="JXA7" s="36"/>
      <c r="JXB7" s="36"/>
      <c r="JXC7" s="36"/>
      <c r="JXD7" s="36"/>
      <c r="JXE7" s="36"/>
      <c r="JXF7" s="36"/>
      <c r="JXG7" s="36"/>
      <c r="JXH7" s="36"/>
      <c r="JXI7" s="36"/>
      <c r="JXJ7" s="36"/>
      <c r="JXK7" s="36"/>
      <c r="JXL7" s="36"/>
      <c r="JXM7" s="36"/>
      <c r="JXN7" s="36"/>
      <c r="JXO7" s="36"/>
      <c r="JXP7" s="36"/>
      <c r="JXQ7" s="36"/>
      <c r="JXR7" s="36"/>
      <c r="JXS7" s="36"/>
      <c r="JXT7" s="36"/>
      <c r="JXU7" s="36"/>
      <c r="JXV7" s="36"/>
      <c r="JXW7" s="36"/>
      <c r="JXX7" s="36"/>
      <c r="JXY7" s="36"/>
      <c r="JXZ7" s="36"/>
      <c r="JYA7" s="36"/>
      <c r="JYB7" s="36"/>
      <c r="JYC7" s="36"/>
      <c r="JYD7" s="36"/>
      <c r="JYE7" s="36"/>
      <c r="JYF7" s="36"/>
      <c r="JYG7" s="36"/>
      <c r="JYH7" s="36"/>
      <c r="JYI7" s="36"/>
      <c r="JYJ7" s="36"/>
      <c r="JYK7" s="36"/>
      <c r="JYL7" s="36"/>
      <c r="JYM7" s="36"/>
      <c r="JYN7" s="36"/>
      <c r="JYO7" s="36"/>
      <c r="JYP7" s="36"/>
      <c r="JYQ7" s="36"/>
      <c r="JYR7" s="36"/>
      <c r="JYS7" s="36"/>
      <c r="JYT7" s="36"/>
      <c r="JYU7" s="36"/>
      <c r="JYV7" s="36"/>
      <c r="JYW7" s="36"/>
      <c r="JYX7" s="36"/>
      <c r="JYY7" s="36"/>
      <c r="JYZ7" s="36"/>
      <c r="JZA7" s="36"/>
      <c r="JZB7" s="36"/>
      <c r="JZC7" s="36"/>
      <c r="JZD7" s="36"/>
      <c r="JZE7" s="36"/>
      <c r="JZF7" s="36"/>
      <c r="JZG7" s="36"/>
      <c r="JZH7" s="36"/>
      <c r="JZI7" s="36"/>
      <c r="JZJ7" s="36"/>
      <c r="JZK7" s="36"/>
      <c r="JZL7" s="36"/>
      <c r="JZM7" s="36"/>
      <c r="JZN7" s="36"/>
      <c r="JZO7" s="36"/>
      <c r="JZP7" s="36"/>
      <c r="JZQ7" s="36"/>
      <c r="JZR7" s="36"/>
      <c r="JZS7" s="36"/>
      <c r="JZT7" s="36"/>
      <c r="JZU7" s="36"/>
      <c r="JZV7" s="36"/>
      <c r="JZW7" s="36"/>
      <c r="JZX7" s="36"/>
      <c r="JZY7" s="36"/>
      <c r="JZZ7" s="36"/>
      <c r="KAA7" s="36"/>
      <c r="KAB7" s="36"/>
      <c r="KAC7" s="36"/>
      <c r="KAD7" s="36"/>
      <c r="KAE7" s="36"/>
      <c r="KAF7" s="36"/>
      <c r="KAG7" s="36"/>
      <c r="KAH7" s="36"/>
      <c r="KAI7" s="36"/>
      <c r="KAJ7" s="36"/>
      <c r="KAK7" s="36"/>
      <c r="KAL7" s="36"/>
      <c r="KAM7" s="36"/>
      <c r="KAN7" s="36"/>
      <c r="KAO7" s="36"/>
      <c r="KAP7" s="36"/>
      <c r="KAQ7" s="36"/>
      <c r="KAR7" s="36"/>
      <c r="KAS7" s="36"/>
      <c r="KAT7" s="36"/>
      <c r="KAU7" s="36"/>
      <c r="KAV7" s="36"/>
      <c r="KAW7" s="36"/>
      <c r="KAX7" s="36"/>
      <c r="KAY7" s="36"/>
      <c r="KAZ7" s="36"/>
      <c r="KBA7" s="36"/>
      <c r="KBB7" s="36"/>
      <c r="KBC7" s="36"/>
      <c r="KBD7" s="36"/>
      <c r="KBE7" s="36"/>
      <c r="KBF7" s="36"/>
      <c r="KBG7" s="36"/>
      <c r="KBH7" s="36"/>
      <c r="KBI7" s="36"/>
      <c r="KBJ7" s="36"/>
      <c r="KBK7" s="36"/>
      <c r="KBL7" s="36"/>
      <c r="KBM7" s="36"/>
      <c r="KBN7" s="36"/>
      <c r="KBO7" s="36"/>
      <c r="KBP7" s="36"/>
      <c r="KBQ7" s="36"/>
      <c r="KBR7" s="36"/>
      <c r="KBS7" s="36"/>
      <c r="KBT7" s="36"/>
      <c r="KBU7" s="36"/>
      <c r="KBV7" s="36"/>
      <c r="KBW7" s="36"/>
      <c r="KBX7" s="36"/>
      <c r="KBY7" s="36"/>
      <c r="KBZ7" s="36"/>
      <c r="KCA7" s="36"/>
      <c r="KCB7" s="36"/>
      <c r="KCC7" s="36"/>
      <c r="KCD7" s="36"/>
      <c r="KCE7" s="36"/>
      <c r="KCF7" s="36"/>
      <c r="KCG7" s="36"/>
      <c r="KCH7" s="36"/>
      <c r="KCI7" s="36"/>
      <c r="KCJ7" s="36"/>
      <c r="KCK7" s="36"/>
      <c r="KCL7" s="36"/>
      <c r="KCM7" s="36"/>
      <c r="KCN7" s="36"/>
      <c r="KCO7" s="36"/>
      <c r="KCP7" s="36"/>
      <c r="KCQ7" s="36"/>
      <c r="KCR7" s="36"/>
      <c r="KCS7" s="36"/>
      <c r="KCT7" s="36"/>
      <c r="KCU7" s="36"/>
      <c r="KCV7" s="36"/>
      <c r="KCW7" s="36"/>
      <c r="KCX7" s="36"/>
      <c r="KCY7" s="36"/>
      <c r="KCZ7" s="36"/>
      <c r="KDA7" s="36"/>
      <c r="KDB7" s="36"/>
      <c r="KDC7" s="36"/>
      <c r="KDD7" s="36"/>
      <c r="KDE7" s="36"/>
      <c r="KDF7" s="36"/>
      <c r="KDG7" s="36"/>
      <c r="KDH7" s="36"/>
      <c r="KDI7" s="36"/>
      <c r="KDJ7" s="36"/>
      <c r="KDK7" s="36"/>
      <c r="KDL7" s="36"/>
      <c r="KDM7" s="36"/>
      <c r="KDN7" s="36"/>
      <c r="KDO7" s="36"/>
      <c r="KDP7" s="36"/>
      <c r="KDQ7" s="36"/>
      <c r="KDR7" s="36"/>
      <c r="KDS7" s="36"/>
      <c r="KDT7" s="36"/>
      <c r="KDU7" s="36"/>
      <c r="KDV7" s="36"/>
      <c r="KDW7" s="36"/>
      <c r="KDX7" s="36"/>
      <c r="KDY7" s="36"/>
      <c r="KDZ7" s="36"/>
      <c r="KEA7" s="36"/>
      <c r="KEB7" s="36"/>
      <c r="KEC7" s="36"/>
      <c r="KED7" s="36"/>
      <c r="KEE7" s="36"/>
      <c r="KEF7" s="36"/>
      <c r="KEG7" s="36"/>
      <c r="KEH7" s="36"/>
      <c r="KEI7" s="36"/>
      <c r="KEJ7" s="36"/>
      <c r="KEK7" s="36"/>
      <c r="KEL7" s="36"/>
      <c r="KEM7" s="36"/>
      <c r="KEN7" s="36"/>
      <c r="KEO7" s="36"/>
      <c r="KEP7" s="36"/>
      <c r="KEQ7" s="36"/>
      <c r="KER7" s="36"/>
      <c r="KES7" s="36"/>
      <c r="KET7" s="36"/>
      <c r="KEU7" s="36"/>
      <c r="KEV7" s="36"/>
      <c r="KEW7" s="36"/>
      <c r="KEX7" s="36"/>
      <c r="KEY7" s="36"/>
      <c r="KEZ7" s="36"/>
      <c r="KFA7" s="36"/>
      <c r="KFB7" s="36"/>
      <c r="KFC7" s="36"/>
      <c r="KFD7" s="36"/>
      <c r="KFE7" s="36"/>
      <c r="KFF7" s="36"/>
      <c r="KFG7" s="36"/>
      <c r="KFH7" s="36"/>
      <c r="KFI7" s="36"/>
      <c r="KFJ7" s="36"/>
      <c r="KFK7" s="36"/>
      <c r="KFL7" s="36"/>
      <c r="KFM7" s="36"/>
      <c r="KFN7" s="36"/>
      <c r="KFO7" s="36"/>
      <c r="KFP7" s="36"/>
      <c r="KFQ7" s="36"/>
      <c r="KFR7" s="36"/>
      <c r="KFS7" s="36"/>
      <c r="KFT7" s="36"/>
      <c r="KFU7" s="36"/>
      <c r="KFV7" s="36"/>
      <c r="KFW7" s="36"/>
      <c r="KFX7" s="36"/>
      <c r="KFY7" s="36"/>
      <c r="KFZ7" s="36"/>
      <c r="KGA7" s="36"/>
      <c r="KGB7" s="36"/>
      <c r="KGC7" s="36"/>
      <c r="KGD7" s="36"/>
      <c r="KGE7" s="36"/>
      <c r="KGF7" s="36"/>
      <c r="KGG7" s="36"/>
      <c r="KGH7" s="36"/>
      <c r="KGI7" s="36"/>
      <c r="KGJ7" s="36"/>
      <c r="KGK7" s="36"/>
      <c r="KGL7" s="36"/>
      <c r="KGM7" s="36"/>
      <c r="KGN7" s="36"/>
      <c r="KGO7" s="36"/>
      <c r="KGP7" s="36"/>
      <c r="KGQ7" s="36"/>
      <c r="KGR7" s="36"/>
      <c r="KGS7" s="36"/>
      <c r="KGT7" s="36"/>
      <c r="KGU7" s="36"/>
      <c r="KGV7" s="36"/>
      <c r="KGW7" s="36"/>
      <c r="KGX7" s="36"/>
      <c r="KGY7" s="36"/>
      <c r="KGZ7" s="36"/>
      <c r="KHA7" s="36"/>
      <c r="KHB7" s="36"/>
      <c r="KHC7" s="36"/>
      <c r="KHD7" s="36"/>
      <c r="KHE7" s="36"/>
      <c r="KHF7" s="36"/>
      <c r="KHG7" s="36"/>
      <c r="KHH7" s="36"/>
      <c r="KHI7" s="36"/>
      <c r="KHJ7" s="36"/>
      <c r="KHK7" s="36"/>
      <c r="KHL7" s="36"/>
      <c r="KHM7" s="36"/>
      <c r="KHN7" s="36"/>
      <c r="KHO7" s="36"/>
      <c r="KHP7" s="36"/>
      <c r="KHQ7" s="36"/>
      <c r="KHR7" s="36"/>
      <c r="KHS7" s="36"/>
      <c r="KHT7" s="36"/>
      <c r="KHU7" s="36"/>
      <c r="KHV7" s="36"/>
      <c r="KHW7" s="36"/>
      <c r="KHX7" s="36"/>
      <c r="KHY7" s="36"/>
      <c r="KHZ7" s="36"/>
      <c r="KIA7" s="36"/>
      <c r="KIB7" s="36"/>
      <c r="KIC7" s="36"/>
      <c r="KID7" s="36"/>
      <c r="KIE7" s="36"/>
      <c r="KIF7" s="36"/>
      <c r="KIG7" s="36"/>
      <c r="KIH7" s="36"/>
      <c r="KII7" s="36"/>
      <c r="KIJ7" s="36"/>
      <c r="KIK7" s="36"/>
      <c r="KIL7" s="36"/>
      <c r="KIM7" s="36"/>
      <c r="KIN7" s="36"/>
      <c r="KIO7" s="36"/>
      <c r="KIP7" s="36"/>
      <c r="KIQ7" s="36"/>
      <c r="KIR7" s="36"/>
      <c r="KIS7" s="36"/>
      <c r="KIT7" s="36"/>
      <c r="KIU7" s="36"/>
      <c r="KIV7" s="36"/>
      <c r="KIW7" s="36"/>
      <c r="KIX7" s="36"/>
      <c r="KIY7" s="36"/>
      <c r="KIZ7" s="36"/>
      <c r="KJA7" s="36"/>
      <c r="KJB7" s="36"/>
      <c r="KJC7" s="36"/>
      <c r="KJD7" s="36"/>
      <c r="KJE7" s="36"/>
      <c r="KJF7" s="36"/>
      <c r="KJG7" s="36"/>
      <c r="KJH7" s="36"/>
      <c r="KJI7" s="36"/>
      <c r="KJJ7" s="36"/>
      <c r="KJK7" s="36"/>
      <c r="KJL7" s="36"/>
      <c r="KJM7" s="36"/>
      <c r="KJN7" s="36"/>
      <c r="KJO7" s="36"/>
      <c r="KJP7" s="36"/>
      <c r="KJQ7" s="36"/>
      <c r="KJR7" s="36"/>
      <c r="KJS7" s="36"/>
      <c r="KJT7" s="36"/>
      <c r="KJU7" s="36"/>
      <c r="KJV7" s="36"/>
      <c r="KJW7" s="36"/>
      <c r="KJX7" s="36"/>
      <c r="KJY7" s="36"/>
      <c r="KJZ7" s="36"/>
      <c r="KKA7" s="36"/>
      <c r="KKB7" s="36"/>
      <c r="KKC7" s="36"/>
      <c r="KKD7" s="36"/>
      <c r="KKE7" s="36"/>
      <c r="KKF7" s="36"/>
      <c r="KKG7" s="36"/>
      <c r="KKH7" s="36"/>
      <c r="KKI7" s="36"/>
      <c r="KKJ7" s="36"/>
      <c r="KKK7" s="36"/>
      <c r="KKL7" s="36"/>
      <c r="KKM7" s="36"/>
      <c r="KKN7" s="36"/>
      <c r="KKO7" s="36"/>
      <c r="KKP7" s="36"/>
      <c r="KKQ7" s="36"/>
      <c r="KKR7" s="36"/>
      <c r="KKS7" s="36"/>
      <c r="KKT7" s="36"/>
      <c r="KKU7" s="36"/>
      <c r="KKV7" s="36"/>
      <c r="KKW7" s="36"/>
      <c r="KKX7" s="36"/>
      <c r="KKY7" s="36"/>
      <c r="KKZ7" s="36"/>
      <c r="KLA7" s="36"/>
      <c r="KLB7" s="36"/>
      <c r="KLC7" s="36"/>
      <c r="KLD7" s="36"/>
      <c r="KLE7" s="36"/>
      <c r="KLF7" s="36"/>
      <c r="KLG7" s="36"/>
      <c r="KLH7" s="36"/>
      <c r="KLI7" s="36"/>
      <c r="KLJ7" s="36"/>
      <c r="KLK7" s="36"/>
      <c r="KLL7" s="36"/>
      <c r="KLM7" s="36"/>
      <c r="KLN7" s="36"/>
      <c r="KLO7" s="36"/>
      <c r="KLP7" s="36"/>
      <c r="KLQ7" s="36"/>
      <c r="KLR7" s="36"/>
      <c r="KLS7" s="36"/>
      <c r="KLT7" s="36"/>
      <c r="KLU7" s="36"/>
      <c r="KLV7" s="36"/>
      <c r="KLW7" s="36"/>
      <c r="KLX7" s="36"/>
      <c r="KLY7" s="36"/>
      <c r="KLZ7" s="36"/>
      <c r="KMA7" s="36"/>
      <c r="KMB7" s="36"/>
      <c r="KMC7" s="36"/>
      <c r="KMD7" s="36"/>
      <c r="KME7" s="36"/>
      <c r="KMF7" s="36"/>
      <c r="KMG7" s="36"/>
      <c r="KMH7" s="36"/>
      <c r="KMI7" s="36"/>
      <c r="KMJ7" s="36"/>
      <c r="KMK7" s="36"/>
      <c r="KML7" s="36"/>
      <c r="KMM7" s="36"/>
      <c r="KMN7" s="36"/>
      <c r="KMO7" s="36"/>
      <c r="KMP7" s="36"/>
      <c r="KMQ7" s="36"/>
      <c r="KMR7" s="36"/>
      <c r="KMS7" s="36"/>
      <c r="KMT7" s="36"/>
      <c r="KMU7" s="36"/>
      <c r="KMV7" s="36"/>
      <c r="KMW7" s="36"/>
      <c r="KMX7" s="36"/>
      <c r="KMY7" s="36"/>
      <c r="KMZ7" s="36"/>
      <c r="KNA7" s="36"/>
      <c r="KNB7" s="36"/>
      <c r="KNC7" s="36"/>
      <c r="KND7" s="36"/>
      <c r="KNE7" s="36"/>
      <c r="KNF7" s="36"/>
      <c r="KNG7" s="36"/>
      <c r="KNH7" s="36"/>
      <c r="KNI7" s="36"/>
      <c r="KNJ7" s="36"/>
      <c r="KNK7" s="36"/>
      <c r="KNL7" s="36"/>
      <c r="KNM7" s="36"/>
      <c r="KNN7" s="36"/>
      <c r="KNO7" s="36"/>
      <c r="KNP7" s="36"/>
      <c r="KNQ7" s="36"/>
      <c r="KNR7" s="36"/>
      <c r="KNS7" s="36"/>
      <c r="KNT7" s="36"/>
      <c r="KNU7" s="36"/>
      <c r="KNV7" s="36"/>
      <c r="KNW7" s="36"/>
      <c r="KNX7" s="36"/>
      <c r="KNY7" s="36"/>
      <c r="KNZ7" s="36"/>
      <c r="KOA7" s="36"/>
      <c r="KOB7" s="36"/>
      <c r="KOC7" s="36"/>
      <c r="KOD7" s="36"/>
      <c r="KOE7" s="36"/>
      <c r="KOF7" s="36"/>
      <c r="KOG7" s="36"/>
      <c r="KOH7" s="36"/>
      <c r="KOI7" s="36"/>
      <c r="KOJ7" s="36"/>
      <c r="KOK7" s="36"/>
      <c r="KOL7" s="36"/>
      <c r="KOM7" s="36"/>
      <c r="KON7" s="36"/>
      <c r="KOO7" s="36"/>
      <c r="KOP7" s="36"/>
      <c r="KOQ7" s="36"/>
      <c r="KOR7" s="36"/>
      <c r="KOS7" s="36"/>
      <c r="KOT7" s="36"/>
      <c r="KOU7" s="36"/>
      <c r="KOV7" s="36"/>
      <c r="KOW7" s="36"/>
      <c r="KOX7" s="36"/>
      <c r="KOY7" s="36"/>
      <c r="KOZ7" s="36"/>
      <c r="KPA7" s="36"/>
      <c r="KPB7" s="36"/>
      <c r="KPC7" s="36"/>
      <c r="KPD7" s="36"/>
      <c r="KPE7" s="36"/>
      <c r="KPF7" s="36"/>
      <c r="KPG7" s="36"/>
      <c r="KPH7" s="36"/>
      <c r="KPI7" s="36"/>
      <c r="KPJ7" s="36"/>
      <c r="KPK7" s="36"/>
      <c r="KPL7" s="36"/>
      <c r="KPM7" s="36"/>
      <c r="KPN7" s="36"/>
      <c r="KPO7" s="36"/>
      <c r="KPP7" s="36"/>
      <c r="KPQ7" s="36"/>
      <c r="KPR7" s="36"/>
      <c r="KPS7" s="36"/>
      <c r="KPT7" s="36"/>
      <c r="KPU7" s="36"/>
      <c r="KPV7" s="36"/>
      <c r="KPW7" s="36"/>
      <c r="KPX7" s="36"/>
      <c r="KPY7" s="36"/>
      <c r="KPZ7" s="36"/>
      <c r="KQA7" s="36"/>
      <c r="KQB7" s="36"/>
      <c r="KQC7" s="36"/>
      <c r="KQD7" s="36"/>
      <c r="KQE7" s="36"/>
      <c r="KQF7" s="36"/>
      <c r="KQG7" s="36"/>
      <c r="KQH7" s="36"/>
      <c r="KQI7" s="36"/>
      <c r="KQJ7" s="36"/>
      <c r="KQK7" s="36"/>
      <c r="KQL7" s="36"/>
      <c r="KQM7" s="36"/>
      <c r="KQN7" s="36"/>
      <c r="KQO7" s="36"/>
      <c r="KQP7" s="36"/>
      <c r="KQQ7" s="36"/>
      <c r="KQR7" s="36"/>
      <c r="KQS7" s="36"/>
      <c r="KQT7" s="36"/>
      <c r="KQU7" s="36"/>
      <c r="KQV7" s="36"/>
      <c r="KQW7" s="36"/>
      <c r="KQX7" s="36"/>
      <c r="KQY7" s="36"/>
      <c r="KQZ7" s="36"/>
      <c r="KRA7" s="36"/>
      <c r="KRB7" s="36"/>
      <c r="KRC7" s="36"/>
      <c r="KRD7" s="36"/>
      <c r="KRE7" s="36"/>
      <c r="KRF7" s="36"/>
      <c r="KRG7" s="36"/>
      <c r="KRH7" s="36"/>
      <c r="KRI7" s="36"/>
      <c r="KRJ7" s="36"/>
      <c r="KRK7" s="36"/>
      <c r="KRL7" s="36"/>
      <c r="KRM7" s="36"/>
      <c r="KRN7" s="36"/>
      <c r="KRO7" s="36"/>
      <c r="KRP7" s="36"/>
      <c r="KRQ7" s="36"/>
      <c r="KRR7" s="36"/>
      <c r="KRS7" s="36"/>
      <c r="KRT7" s="36"/>
      <c r="KRU7" s="36"/>
      <c r="KRV7" s="36"/>
      <c r="KRW7" s="36"/>
      <c r="KRX7" s="36"/>
      <c r="KRY7" s="36"/>
      <c r="KRZ7" s="36"/>
      <c r="KSA7" s="36"/>
      <c r="KSB7" s="36"/>
      <c r="KSC7" s="36"/>
      <c r="KSD7" s="36"/>
      <c r="KSE7" s="36"/>
      <c r="KSF7" s="36"/>
      <c r="KSG7" s="36"/>
      <c r="KSH7" s="36"/>
      <c r="KSI7" s="36"/>
      <c r="KSJ7" s="36"/>
      <c r="KSK7" s="36"/>
      <c r="KSL7" s="36"/>
      <c r="KSM7" s="36"/>
      <c r="KSN7" s="36"/>
      <c r="KSO7" s="36"/>
      <c r="KSP7" s="36"/>
      <c r="KSQ7" s="36"/>
      <c r="KSR7" s="36"/>
      <c r="KSS7" s="36"/>
      <c r="KST7" s="36"/>
      <c r="KSU7" s="36"/>
      <c r="KSV7" s="36"/>
      <c r="KSW7" s="36"/>
      <c r="KSX7" s="36"/>
      <c r="KSY7" s="36"/>
      <c r="KSZ7" s="36"/>
      <c r="KTA7" s="36"/>
      <c r="KTB7" s="36"/>
      <c r="KTC7" s="36"/>
      <c r="KTD7" s="36"/>
      <c r="KTE7" s="36"/>
      <c r="KTF7" s="36"/>
      <c r="KTG7" s="36"/>
      <c r="KTH7" s="36"/>
      <c r="KTI7" s="36"/>
      <c r="KTJ7" s="36"/>
      <c r="KTK7" s="36"/>
      <c r="KTL7" s="36"/>
      <c r="KTM7" s="36"/>
      <c r="KTN7" s="36"/>
      <c r="KTO7" s="36"/>
      <c r="KTP7" s="36"/>
      <c r="KTQ7" s="36"/>
      <c r="KTR7" s="36"/>
      <c r="KTS7" s="36"/>
      <c r="KTT7" s="36"/>
      <c r="KTU7" s="36"/>
      <c r="KTV7" s="36"/>
      <c r="KTW7" s="36"/>
      <c r="KTX7" s="36"/>
      <c r="KTY7" s="36"/>
      <c r="KTZ7" s="36"/>
      <c r="KUA7" s="36"/>
      <c r="KUB7" s="36"/>
      <c r="KUC7" s="36"/>
      <c r="KUD7" s="36"/>
      <c r="KUE7" s="36"/>
      <c r="KUF7" s="36"/>
      <c r="KUG7" s="36"/>
      <c r="KUH7" s="36"/>
      <c r="KUI7" s="36"/>
      <c r="KUJ7" s="36"/>
      <c r="KUK7" s="36"/>
      <c r="KUL7" s="36"/>
      <c r="KUM7" s="36"/>
      <c r="KUN7" s="36"/>
      <c r="KUO7" s="36"/>
      <c r="KUP7" s="36"/>
      <c r="KUQ7" s="36"/>
      <c r="KUR7" s="36"/>
      <c r="KUS7" s="36"/>
      <c r="KUT7" s="36"/>
      <c r="KUU7" s="36"/>
      <c r="KUV7" s="36"/>
      <c r="KUW7" s="36"/>
      <c r="KUX7" s="36"/>
      <c r="KUY7" s="36"/>
      <c r="KUZ7" s="36"/>
      <c r="KVA7" s="36"/>
      <c r="KVB7" s="36"/>
      <c r="KVC7" s="36"/>
      <c r="KVD7" s="36"/>
      <c r="KVE7" s="36"/>
      <c r="KVF7" s="36"/>
      <c r="KVG7" s="36"/>
      <c r="KVH7" s="36"/>
      <c r="KVI7" s="36"/>
      <c r="KVJ7" s="36"/>
      <c r="KVK7" s="36"/>
      <c r="KVL7" s="36"/>
      <c r="KVM7" s="36"/>
      <c r="KVN7" s="36"/>
      <c r="KVO7" s="36"/>
      <c r="KVP7" s="36"/>
      <c r="KVQ7" s="36"/>
      <c r="KVR7" s="36"/>
      <c r="KVS7" s="36"/>
      <c r="KVT7" s="36"/>
      <c r="KVU7" s="36"/>
      <c r="KVV7" s="36"/>
      <c r="KVW7" s="36"/>
      <c r="KVX7" s="36"/>
      <c r="KVY7" s="36"/>
      <c r="KVZ7" s="36"/>
      <c r="KWA7" s="36"/>
      <c r="KWB7" s="36"/>
      <c r="KWC7" s="36"/>
      <c r="KWD7" s="36"/>
      <c r="KWE7" s="36"/>
      <c r="KWF7" s="36"/>
      <c r="KWG7" s="36"/>
      <c r="KWH7" s="36"/>
      <c r="KWI7" s="36"/>
      <c r="KWJ7" s="36"/>
      <c r="KWK7" s="36"/>
      <c r="KWL7" s="36"/>
      <c r="KWM7" s="36"/>
      <c r="KWN7" s="36"/>
      <c r="KWO7" s="36"/>
      <c r="KWP7" s="36"/>
      <c r="KWQ7" s="36"/>
      <c r="KWR7" s="36"/>
      <c r="KWS7" s="36"/>
      <c r="KWT7" s="36"/>
      <c r="KWU7" s="36"/>
      <c r="KWV7" s="36"/>
      <c r="KWW7" s="36"/>
      <c r="KWX7" s="36"/>
      <c r="KWY7" s="36"/>
      <c r="KWZ7" s="36"/>
      <c r="KXA7" s="36"/>
      <c r="KXB7" s="36"/>
      <c r="KXC7" s="36"/>
      <c r="KXD7" s="36"/>
      <c r="KXE7" s="36"/>
      <c r="KXF7" s="36"/>
      <c r="KXG7" s="36"/>
      <c r="KXH7" s="36"/>
      <c r="KXI7" s="36"/>
      <c r="KXJ7" s="36"/>
      <c r="KXK7" s="36"/>
      <c r="KXL7" s="36"/>
      <c r="KXM7" s="36"/>
      <c r="KXN7" s="36"/>
      <c r="KXO7" s="36"/>
      <c r="KXP7" s="36"/>
      <c r="KXQ7" s="36"/>
      <c r="KXR7" s="36"/>
      <c r="KXS7" s="36"/>
      <c r="KXT7" s="36"/>
      <c r="KXU7" s="36"/>
      <c r="KXV7" s="36"/>
      <c r="KXW7" s="36"/>
      <c r="KXX7" s="36"/>
      <c r="KXY7" s="36"/>
      <c r="KXZ7" s="36"/>
      <c r="KYA7" s="36"/>
      <c r="KYB7" s="36"/>
      <c r="KYC7" s="36"/>
      <c r="KYD7" s="36"/>
      <c r="KYE7" s="36"/>
      <c r="KYF7" s="36"/>
      <c r="KYG7" s="36"/>
      <c r="KYH7" s="36"/>
      <c r="KYI7" s="36"/>
      <c r="KYJ7" s="36"/>
      <c r="KYK7" s="36"/>
      <c r="KYL7" s="36"/>
      <c r="KYM7" s="36"/>
      <c r="KYN7" s="36"/>
      <c r="KYO7" s="36"/>
      <c r="KYP7" s="36"/>
      <c r="KYQ7" s="36"/>
      <c r="KYR7" s="36"/>
      <c r="KYS7" s="36"/>
      <c r="KYT7" s="36"/>
      <c r="KYU7" s="36"/>
      <c r="KYV7" s="36"/>
      <c r="KYW7" s="36"/>
      <c r="KYX7" s="36"/>
      <c r="KYY7" s="36"/>
      <c r="KYZ7" s="36"/>
      <c r="KZA7" s="36"/>
      <c r="KZB7" s="36"/>
      <c r="KZC7" s="36"/>
      <c r="KZD7" s="36"/>
      <c r="KZE7" s="36"/>
      <c r="KZF7" s="36"/>
      <c r="KZG7" s="36"/>
      <c r="KZH7" s="36"/>
      <c r="KZI7" s="36"/>
      <c r="KZJ7" s="36"/>
      <c r="KZK7" s="36"/>
      <c r="KZL7" s="36"/>
      <c r="KZM7" s="36"/>
      <c r="KZN7" s="36"/>
      <c r="KZO7" s="36"/>
      <c r="KZP7" s="36"/>
      <c r="KZQ7" s="36"/>
      <c r="KZR7" s="36"/>
      <c r="KZS7" s="36"/>
      <c r="KZT7" s="36"/>
      <c r="KZU7" s="36"/>
      <c r="KZV7" s="36"/>
      <c r="KZW7" s="36"/>
      <c r="KZX7" s="36"/>
      <c r="KZY7" s="36"/>
      <c r="KZZ7" s="36"/>
      <c r="LAA7" s="36"/>
      <c r="LAB7" s="36"/>
      <c r="LAC7" s="36"/>
      <c r="LAD7" s="36"/>
      <c r="LAE7" s="36"/>
      <c r="LAF7" s="36"/>
      <c r="LAG7" s="36"/>
      <c r="LAH7" s="36"/>
      <c r="LAI7" s="36"/>
      <c r="LAJ7" s="36"/>
      <c r="LAK7" s="36"/>
      <c r="LAL7" s="36"/>
      <c r="LAM7" s="36"/>
      <c r="LAN7" s="36"/>
      <c r="LAO7" s="36"/>
      <c r="LAP7" s="36"/>
      <c r="LAQ7" s="36"/>
      <c r="LAR7" s="36"/>
      <c r="LAS7" s="36"/>
      <c r="LAT7" s="36"/>
      <c r="LAU7" s="36"/>
      <c r="LAV7" s="36"/>
      <c r="LAW7" s="36"/>
      <c r="LAX7" s="36"/>
      <c r="LAY7" s="36"/>
      <c r="LAZ7" s="36"/>
      <c r="LBA7" s="36"/>
      <c r="LBB7" s="36"/>
      <c r="LBC7" s="36"/>
      <c r="LBD7" s="36"/>
      <c r="LBE7" s="36"/>
      <c r="LBF7" s="36"/>
      <c r="LBG7" s="36"/>
      <c r="LBH7" s="36"/>
      <c r="LBI7" s="36"/>
      <c r="LBJ7" s="36"/>
      <c r="LBK7" s="36"/>
      <c r="LBL7" s="36"/>
      <c r="LBM7" s="36"/>
      <c r="LBN7" s="36"/>
      <c r="LBO7" s="36"/>
      <c r="LBP7" s="36"/>
      <c r="LBQ7" s="36"/>
      <c r="LBR7" s="36"/>
      <c r="LBS7" s="36"/>
      <c r="LBT7" s="36"/>
      <c r="LBU7" s="36"/>
      <c r="LBV7" s="36"/>
      <c r="LBW7" s="36"/>
      <c r="LBX7" s="36"/>
      <c r="LBY7" s="36"/>
      <c r="LBZ7" s="36"/>
      <c r="LCA7" s="36"/>
      <c r="LCB7" s="36"/>
      <c r="LCC7" s="36"/>
      <c r="LCD7" s="36"/>
      <c r="LCE7" s="36"/>
      <c r="LCF7" s="36"/>
      <c r="LCG7" s="36"/>
      <c r="LCH7" s="36"/>
      <c r="LCI7" s="36"/>
      <c r="LCJ7" s="36"/>
      <c r="LCK7" s="36"/>
      <c r="LCL7" s="36"/>
      <c r="LCM7" s="36"/>
      <c r="LCN7" s="36"/>
      <c r="LCO7" s="36"/>
      <c r="LCP7" s="36"/>
      <c r="LCQ7" s="36"/>
      <c r="LCR7" s="36"/>
      <c r="LCS7" s="36"/>
      <c r="LCT7" s="36"/>
      <c r="LCU7" s="36"/>
      <c r="LCV7" s="36"/>
      <c r="LCW7" s="36"/>
      <c r="LCX7" s="36"/>
      <c r="LCY7" s="36"/>
      <c r="LCZ7" s="36"/>
      <c r="LDA7" s="36"/>
      <c r="LDB7" s="36"/>
      <c r="LDC7" s="36"/>
      <c r="LDD7" s="36"/>
      <c r="LDE7" s="36"/>
      <c r="LDF7" s="36"/>
      <c r="LDG7" s="36"/>
      <c r="LDH7" s="36"/>
      <c r="LDI7" s="36"/>
      <c r="LDJ7" s="36"/>
      <c r="LDK7" s="36"/>
      <c r="LDL7" s="36"/>
      <c r="LDM7" s="36"/>
      <c r="LDN7" s="36"/>
      <c r="LDO7" s="36"/>
      <c r="LDP7" s="36"/>
      <c r="LDQ7" s="36"/>
      <c r="LDR7" s="36"/>
      <c r="LDS7" s="36"/>
      <c r="LDT7" s="36"/>
      <c r="LDU7" s="36"/>
      <c r="LDV7" s="36"/>
      <c r="LDW7" s="36"/>
      <c r="LDX7" s="36"/>
      <c r="LDY7" s="36"/>
      <c r="LDZ7" s="36"/>
      <c r="LEA7" s="36"/>
      <c r="LEB7" s="36"/>
      <c r="LEC7" s="36"/>
      <c r="LED7" s="36"/>
      <c r="LEE7" s="36"/>
      <c r="LEF7" s="36"/>
      <c r="LEG7" s="36"/>
      <c r="LEH7" s="36"/>
      <c r="LEI7" s="36"/>
      <c r="LEJ7" s="36"/>
      <c r="LEK7" s="36"/>
      <c r="LEL7" s="36"/>
      <c r="LEM7" s="36"/>
      <c r="LEN7" s="36"/>
      <c r="LEO7" s="36"/>
      <c r="LEP7" s="36"/>
      <c r="LEQ7" s="36"/>
      <c r="LER7" s="36"/>
      <c r="LES7" s="36"/>
      <c r="LET7" s="36"/>
      <c r="LEU7" s="36"/>
      <c r="LEV7" s="36"/>
      <c r="LEW7" s="36"/>
      <c r="LEX7" s="36"/>
      <c r="LEY7" s="36"/>
      <c r="LEZ7" s="36"/>
      <c r="LFA7" s="36"/>
      <c r="LFB7" s="36"/>
      <c r="LFC7" s="36"/>
      <c r="LFD7" s="36"/>
      <c r="LFE7" s="36"/>
      <c r="LFF7" s="36"/>
      <c r="LFG7" s="36"/>
      <c r="LFH7" s="36"/>
      <c r="LFI7" s="36"/>
      <c r="LFJ7" s="36"/>
      <c r="LFK7" s="36"/>
      <c r="LFL7" s="36"/>
      <c r="LFM7" s="36"/>
      <c r="LFN7" s="36"/>
      <c r="LFO7" s="36"/>
      <c r="LFP7" s="36"/>
      <c r="LFQ7" s="36"/>
      <c r="LFR7" s="36"/>
      <c r="LFS7" s="36"/>
      <c r="LFT7" s="36"/>
      <c r="LFU7" s="36"/>
      <c r="LFV7" s="36"/>
      <c r="LFW7" s="36"/>
      <c r="LFX7" s="36"/>
      <c r="LFY7" s="36"/>
      <c r="LFZ7" s="36"/>
      <c r="LGA7" s="36"/>
      <c r="LGB7" s="36"/>
      <c r="LGC7" s="36"/>
      <c r="LGD7" s="36"/>
      <c r="LGE7" s="36"/>
      <c r="LGF7" s="36"/>
      <c r="LGG7" s="36"/>
      <c r="LGH7" s="36"/>
      <c r="LGI7" s="36"/>
      <c r="LGJ7" s="36"/>
      <c r="LGK7" s="36"/>
      <c r="LGL7" s="36"/>
      <c r="LGM7" s="36"/>
      <c r="LGN7" s="36"/>
      <c r="LGO7" s="36"/>
      <c r="LGP7" s="36"/>
      <c r="LGQ7" s="36"/>
      <c r="LGR7" s="36"/>
      <c r="LGS7" s="36"/>
      <c r="LGT7" s="36"/>
      <c r="LGU7" s="36"/>
      <c r="LGV7" s="36"/>
      <c r="LGW7" s="36"/>
      <c r="LGX7" s="36"/>
      <c r="LGY7" s="36"/>
      <c r="LGZ7" s="36"/>
      <c r="LHA7" s="36"/>
      <c r="LHB7" s="36"/>
      <c r="LHC7" s="36"/>
      <c r="LHD7" s="36"/>
      <c r="LHE7" s="36"/>
      <c r="LHF7" s="36"/>
      <c r="LHG7" s="36"/>
      <c r="LHH7" s="36"/>
      <c r="LHI7" s="36"/>
      <c r="LHJ7" s="36"/>
      <c r="LHK7" s="36"/>
      <c r="LHL7" s="36"/>
      <c r="LHM7" s="36"/>
      <c r="LHN7" s="36"/>
      <c r="LHO7" s="36"/>
      <c r="LHP7" s="36"/>
      <c r="LHQ7" s="36"/>
      <c r="LHR7" s="36"/>
      <c r="LHS7" s="36"/>
      <c r="LHT7" s="36"/>
      <c r="LHU7" s="36"/>
      <c r="LHV7" s="36"/>
      <c r="LHW7" s="36"/>
      <c r="LHX7" s="36"/>
      <c r="LHY7" s="36"/>
      <c r="LHZ7" s="36"/>
      <c r="LIA7" s="36"/>
      <c r="LIB7" s="36"/>
      <c r="LIC7" s="36"/>
      <c r="LID7" s="36"/>
      <c r="LIE7" s="36"/>
      <c r="LIF7" s="36"/>
      <c r="LIG7" s="36"/>
      <c r="LIH7" s="36"/>
      <c r="LII7" s="36"/>
      <c r="LIJ7" s="36"/>
      <c r="LIK7" s="36"/>
      <c r="LIL7" s="36"/>
      <c r="LIM7" s="36"/>
      <c r="LIN7" s="36"/>
      <c r="LIO7" s="36"/>
      <c r="LIP7" s="36"/>
      <c r="LIQ7" s="36"/>
      <c r="LIR7" s="36"/>
      <c r="LIS7" s="36"/>
      <c r="LIT7" s="36"/>
      <c r="LIU7" s="36"/>
      <c r="LIV7" s="36"/>
      <c r="LIW7" s="36"/>
      <c r="LIX7" s="36"/>
      <c r="LIY7" s="36"/>
      <c r="LIZ7" s="36"/>
      <c r="LJA7" s="36"/>
      <c r="LJB7" s="36"/>
      <c r="LJC7" s="36"/>
      <c r="LJD7" s="36"/>
      <c r="LJE7" s="36"/>
      <c r="LJF7" s="36"/>
      <c r="LJG7" s="36"/>
      <c r="LJH7" s="36"/>
      <c r="LJI7" s="36"/>
      <c r="LJJ7" s="36"/>
      <c r="LJK7" s="36"/>
      <c r="LJL7" s="36"/>
      <c r="LJM7" s="36"/>
      <c r="LJN7" s="36"/>
      <c r="LJO7" s="36"/>
      <c r="LJP7" s="36"/>
      <c r="LJQ7" s="36"/>
      <c r="LJR7" s="36"/>
      <c r="LJS7" s="36"/>
      <c r="LJT7" s="36"/>
      <c r="LJU7" s="36"/>
      <c r="LJV7" s="36"/>
      <c r="LJW7" s="36"/>
      <c r="LJX7" s="36"/>
      <c r="LJY7" s="36"/>
      <c r="LJZ7" s="36"/>
      <c r="LKA7" s="36"/>
      <c r="LKB7" s="36"/>
      <c r="LKC7" s="36"/>
      <c r="LKD7" s="36"/>
      <c r="LKE7" s="36"/>
      <c r="LKF7" s="36"/>
      <c r="LKG7" s="36"/>
      <c r="LKH7" s="36"/>
      <c r="LKI7" s="36"/>
      <c r="LKJ7" s="36"/>
      <c r="LKK7" s="36"/>
      <c r="LKL7" s="36"/>
      <c r="LKM7" s="36"/>
      <c r="LKN7" s="36"/>
      <c r="LKO7" s="36"/>
      <c r="LKP7" s="36"/>
      <c r="LKQ7" s="36"/>
      <c r="LKR7" s="36"/>
      <c r="LKS7" s="36"/>
      <c r="LKT7" s="36"/>
      <c r="LKU7" s="36"/>
      <c r="LKV7" s="36"/>
      <c r="LKW7" s="36"/>
      <c r="LKX7" s="36"/>
      <c r="LKY7" s="36"/>
      <c r="LKZ7" s="36"/>
      <c r="LLA7" s="36"/>
      <c r="LLB7" s="36"/>
      <c r="LLC7" s="36"/>
      <c r="LLD7" s="36"/>
      <c r="LLE7" s="36"/>
      <c r="LLF7" s="36"/>
      <c r="LLG7" s="36"/>
      <c r="LLH7" s="36"/>
      <c r="LLI7" s="36"/>
      <c r="LLJ7" s="36"/>
      <c r="LLK7" s="36"/>
      <c r="LLL7" s="36"/>
      <c r="LLM7" s="36"/>
      <c r="LLN7" s="36"/>
      <c r="LLO7" s="36"/>
      <c r="LLP7" s="36"/>
      <c r="LLQ7" s="36"/>
      <c r="LLR7" s="36"/>
      <c r="LLS7" s="36"/>
      <c r="LLT7" s="36"/>
      <c r="LLU7" s="36"/>
      <c r="LLV7" s="36"/>
      <c r="LLW7" s="36"/>
      <c r="LLX7" s="36"/>
      <c r="LLY7" s="36"/>
      <c r="LLZ7" s="36"/>
      <c r="LMA7" s="36"/>
      <c r="LMB7" s="36"/>
      <c r="LMC7" s="36"/>
      <c r="LMD7" s="36"/>
      <c r="LME7" s="36"/>
      <c r="LMF7" s="36"/>
      <c r="LMG7" s="36"/>
      <c r="LMH7" s="36"/>
      <c r="LMI7" s="36"/>
      <c r="LMJ7" s="36"/>
      <c r="LMK7" s="36"/>
      <c r="LML7" s="36"/>
      <c r="LMM7" s="36"/>
      <c r="LMN7" s="36"/>
      <c r="LMO7" s="36"/>
      <c r="LMP7" s="36"/>
      <c r="LMQ7" s="36"/>
      <c r="LMR7" s="36"/>
      <c r="LMS7" s="36"/>
      <c r="LMT7" s="36"/>
      <c r="LMU7" s="36"/>
      <c r="LMV7" s="36"/>
      <c r="LMW7" s="36"/>
      <c r="LMX7" s="36"/>
      <c r="LMY7" s="36"/>
      <c r="LMZ7" s="36"/>
      <c r="LNA7" s="36"/>
      <c r="LNB7" s="36"/>
      <c r="LNC7" s="36"/>
      <c r="LND7" s="36"/>
      <c r="LNE7" s="36"/>
      <c r="LNF7" s="36"/>
      <c r="LNG7" s="36"/>
      <c r="LNH7" s="36"/>
      <c r="LNI7" s="36"/>
      <c r="LNJ7" s="36"/>
      <c r="LNK7" s="36"/>
      <c r="LNL7" s="36"/>
      <c r="LNM7" s="36"/>
      <c r="LNN7" s="36"/>
      <c r="LNO7" s="36"/>
      <c r="LNP7" s="36"/>
      <c r="LNQ7" s="36"/>
      <c r="LNR7" s="36"/>
      <c r="LNS7" s="36"/>
      <c r="LNT7" s="36"/>
      <c r="LNU7" s="36"/>
      <c r="LNV7" s="36"/>
      <c r="LNW7" s="36"/>
      <c r="LNX7" s="36"/>
      <c r="LNY7" s="36"/>
      <c r="LNZ7" s="36"/>
      <c r="LOA7" s="36"/>
      <c r="LOB7" s="36"/>
      <c r="LOC7" s="36"/>
      <c r="LOD7" s="36"/>
      <c r="LOE7" s="36"/>
      <c r="LOF7" s="36"/>
      <c r="LOG7" s="36"/>
      <c r="LOH7" s="36"/>
      <c r="LOI7" s="36"/>
      <c r="LOJ7" s="36"/>
      <c r="LOK7" s="36"/>
      <c r="LOL7" s="36"/>
      <c r="LOM7" s="36"/>
      <c r="LON7" s="36"/>
      <c r="LOO7" s="36"/>
      <c r="LOP7" s="36"/>
      <c r="LOQ7" s="36"/>
      <c r="LOR7" s="36"/>
      <c r="LOS7" s="36"/>
      <c r="LOT7" s="36"/>
      <c r="LOU7" s="36"/>
      <c r="LOV7" s="36"/>
      <c r="LOW7" s="36"/>
      <c r="LOX7" s="36"/>
      <c r="LOY7" s="36"/>
      <c r="LOZ7" s="36"/>
      <c r="LPA7" s="36"/>
      <c r="LPB7" s="36"/>
      <c r="LPC7" s="36"/>
      <c r="LPD7" s="36"/>
      <c r="LPE7" s="36"/>
      <c r="LPF7" s="36"/>
      <c r="LPG7" s="36"/>
      <c r="LPH7" s="36"/>
      <c r="LPI7" s="36"/>
      <c r="LPJ7" s="36"/>
      <c r="LPK7" s="36"/>
      <c r="LPL7" s="36"/>
      <c r="LPM7" s="36"/>
      <c r="LPN7" s="36"/>
      <c r="LPO7" s="36"/>
      <c r="LPP7" s="36"/>
      <c r="LPQ7" s="36"/>
      <c r="LPR7" s="36"/>
      <c r="LPS7" s="36"/>
      <c r="LPT7" s="36"/>
      <c r="LPU7" s="36"/>
      <c r="LPV7" s="36"/>
      <c r="LPW7" s="36"/>
      <c r="LPX7" s="36"/>
      <c r="LPY7" s="36"/>
      <c r="LPZ7" s="36"/>
      <c r="LQA7" s="36"/>
      <c r="LQB7" s="36"/>
      <c r="LQC7" s="36"/>
      <c r="LQD7" s="36"/>
      <c r="LQE7" s="36"/>
      <c r="LQF7" s="36"/>
      <c r="LQG7" s="36"/>
      <c r="LQH7" s="36"/>
      <c r="LQI7" s="36"/>
      <c r="LQJ7" s="36"/>
      <c r="LQK7" s="36"/>
      <c r="LQL7" s="36"/>
      <c r="LQM7" s="36"/>
      <c r="LQN7" s="36"/>
      <c r="LQO7" s="36"/>
      <c r="LQP7" s="36"/>
      <c r="LQQ7" s="36"/>
      <c r="LQR7" s="36"/>
      <c r="LQS7" s="36"/>
      <c r="LQT7" s="36"/>
      <c r="LQU7" s="36"/>
      <c r="LQV7" s="36"/>
      <c r="LQW7" s="36"/>
      <c r="LQX7" s="36"/>
      <c r="LQY7" s="36"/>
      <c r="LQZ7" s="36"/>
      <c r="LRA7" s="36"/>
      <c r="LRB7" s="36"/>
      <c r="LRC7" s="36"/>
      <c r="LRD7" s="36"/>
      <c r="LRE7" s="36"/>
      <c r="LRF7" s="36"/>
      <c r="LRG7" s="36"/>
      <c r="LRH7" s="36"/>
      <c r="LRI7" s="36"/>
      <c r="LRJ7" s="36"/>
      <c r="LRK7" s="36"/>
      <c r="LRL7" s="36"/>
      <c r="LRM7" s="36"/>
      <c r="LRN7" s="36"/>
      <c r="LRO7" s="36"/>
      <c r="LRP7" s="36"/>
      <c r="LRQ7" s="36"/>
      <c r="LRR7" s="36"/>
      <c r="LRS7" s="36"/>
      <c r="LRT7" s="36"/>
      <c r="LRU7" s="36"/>
      <c r="LRV7" s="36"/>
      <c r="LRW7" s="36"/>
      <c r="LRX7" s="36"/>
      <c r="LRY7" s="36"/>
      <c r="LRZ7" s="36"/>
      <c r="LSA7" s="36"/>
      <c r="LSB7" s="36"/>
      <c r="LSC7" s="36"/>
      <c r="LSD7" s="36"/>
      <c r="LSE7" s="36"/>
      <c r="LSF7" s="36"/>
      <c r="LSG7" s="36"/>
      <c r="LSH7" s="36"/>
      <c r="LSI7" s="36"/>
      <c r="LSJ7" s="36"/>
      <c r="LSK7" s="36"/>
      <c r="LSL7" s="36"/>
      <c r="LSM7" s="36"/>
      <c r="LSN7" s="36"/>
      <c r="LSO7" s="36"/>
      <c r="LSP7" s="36"/>
      <c r="LSQ7" s="36"/>
      <c r="LSR7" s="36"/>
      <c r="LSS7" s="36"/>
      <c r="LST7" s="36"/>
      <c r="LSU7" s="36"/>
      <c r="LSV7" s="36"/>
      <c r="LSW7" s="36"/>
      <c r="LSX7" s="36"/>
      <c r="LSY7" s="36"/>
      <c r="LSZ7" s="36"/>
      <c r="LTA7" s="36"/>
      <c r="LTB7" s="36"/>
      <c r="LTC7" s="36"/>
      <c r="LTD7" s="36"/>
      <c r="LTE7" s="36"/>
      <c r="LTF7" s="36"/>
      <c r="LTG7" s="36"/>
      <c r="LTH7" s="36"/>
      <c r="LTI7" s="36"/>
      <c r="LTJ7" s="36"/>
      <c r="LTK7" s="36"/>
      <c r="LTL7" s="36"/>
      <c r="LTM7" s="36"/>
      <c r="LTN7" s="36"/>
      <c r="LTO7" s="36"/>
      <c r="LTP7" s="36"/>
      <c r="LTQ7" s="36"/>
      <c r="LTR7" s="36"/>
      <c r="LTS7" s="36"/>
      <c r="LTT7" s="36"/>
      <c r="LTU7" s="36"/>
      <c r="LTV7" s="36"/>
      <c r="LTW7" s="36"/>
      <c r="LTX7" s="36"/>
      <c r="LTY7" s="36"/>
      <c r="LTZ7" s="36"/>
      <c r="LUA7" s="36"/>
      <c r="LUB7" s="36"/>
      <c r="LUC7" s="36"/>
      <c r="LUD7" s="36"/>
      <c r="LUE7" s="36"/>
      <c r="LUF7" s="36"/>
      <c r="LUG7" s="36"/>
      <c r="LUH7" s="36"/>
      <c r="LUI7" s="36"/>
      <c r="LUJ7" s="36"/>
      <c r="LUK7" s="36"/>
      <c r="LUL7" s="36"/>
      <c r="LUM7" s="36"/>
      <c r="LUN7" s="36"/>
      <c r="LUO7" s="36"/>
      <c r="LUP7" s="36"/>
      <c r="LUQ7" s="36"/>
      <c r="LUR7" s="36"/>
      <c r="LUS7" s="36"/>
      <c r="LUT7" s="36"/>
      <c r="LUU7" s="36"/>
      <c r="LUV7" s="36"/>
      <c r="LUW7" s="36"/>
      <c r="LUX7" s="36"/>
      <c r="LUY7" s="36"/>
      <c r="LUZ7" s="36"/>
      <c r="LVA7" s="36"/>
      <c r="LVB7" s="36"/>
      <c r="LVC7" s="36"/>
      <c r="LVD7" s="36"/>
      <c r="LVE7" s="36"/>
      <c r="LVF7" s="36"/>
      <c r="LVG7" s="36"/>
      <c r="LVH7" s="36"/>
      <c r="LVI7" s="36"/>
      <c r="LVJ7" s="36"/>
      <c r="LVK7" s="36"/>
      <c r="LVL7" s="36"/>
      <c r="LVM7" s="36"/>
      <c r="LVN7" s="36"/>
      <c r="LVO7" s="36"/>
      <c r="LVP7" s="36"/>
      <c r="LVQ7" s="36"/>
      <c r="LVR7" s="36"/>
      <c r="LVS7" s="36"/>
      <c r="LVT7" s="36"/>
      <c r="LVU7" s="36"/>
      <c r="LVV7" s="36"/>
      <c r="LVW7" s="36"/>
      <c r="LVX7" s="36"/>
      <c r="LVY7" s="36"/>
      <c r="LVZ7" s="36"/>
      <c r="LWA7" s="36"/>
      <c r="LWB7" s="36"/>
      <c r="LWC7" s="36"/>
      <c r="LWD7" s="36"/>
      <c r="LWE7" s="36"/>
      <c r="LWF7" s="36"/>
      <c r="LWG7" s="36"/>
      <c r="LWH7" s="36"/>
      <c r="LWI7" s="36"/>
      <c r="LWJ7" s="36"/>
      <c r="LWK7" s="36"/>
      <c r="LWL7" s="36"/>
      <c r="LWM7" s="36"/>
      <c r="LWN7" s="36"/>
      <c r="LWO7" s="36"/>
      <c r="LWP7" s="36"/>
      <c r="LWQ7" s="36"/>
      <c r="LWR7" s="36"/>
      <c r="LWS7" s="36"/>
      <c r="LWT7" s="36"/>
      <c r="LWU7" s="36"/>
      <c r="LWV7" s="36"/>
      <c r="LWW7" s="36"/>
      <c r="LWX7" s="36"/>
      <c r="LWY7" s="36"/>
      <c r="LWZ7" s="36"/>
      <c r="LXA7" s="36"/>
      <c r="LXB7" s="36"/>
      <c r="LXC7" s="36"/>
      <c r="LXD7" s="36"/>
      <c r="LXE7" s="36"/>
      <c r="LXF7" s="36"/>
      <c r="LXG7" s="36"/>
      <c r="LXH7" s="36"/>
      <c r="LXI7" s="36"/>
      <c r="LXJ7" s="36"/>
      <c r="LXK7" s="36"/>
      <c r="LXL7" s="36"/>
      <c r="LXM7" s="36"/>
      <c r="LXN7" s="36"/>
      <c r="LXO7" s="36"/>
      <c r="LXP7" s="36"/>
      <c r="LXQ7" s="36"/>
      <c r="LXR7" s="36"/>
      <c r="LXS7" s="36"/>
      <c r="LXT7" s="36"/>
      <c r="LXU7" s="36"/>
      <c r="LXV7" s="36"/>
      <c r="LXW7" s="36"/>
      <c r="LXX7" s="36"/>
      <c r="LXY7" s="36"/>
      <c r="LXZ7" s="36"/>
      <c r="LYA7" s="36"/>
      <c r="LYB7" s="36"/>
      <c r="LYC7" s="36"/>
      <c r="LYD7" s="36"/>
      <c r="LYE7" s="36"/>
      <c r="LYF7" s="36"/>
      <c r="LYG7" s="36"/>
      <c r="LYH7" s="36"/>
      <c r="LYI7" s="36"/>
      <c r="LYJ7" s="36"/>
      <c r="LYK7" s="36"/>
      <c r="LYL7" s="36"/>
      <c r="LYM7" s="36"/>
      <c r="LYN7" s="36"/>
      <c r="LYO7" s="36"/>
      <c r="LYP7" s="36"/>
      <c r="LYQ7" s="36"/>
      <c r="LYR7" s="36"/>
      <c r="LYS7" s="36"/>
      <c r="LYT7" s="36"/>
      <c r="LYU7" s="36"/>
      <c r="LYV7" s="36"/>
      <c r="LYW7" s="36"/>
      <c r="LYX7" s="36"/>
      <c r="LYY7" s="36"/>
      <c r="LYZ7" s="36"/>
      <c r="LZA7" s="36"/>
      <c r="LZB7" s="36"/>
      <c r="LZC7" s="36"/>
      <c r="LZD7" s="36"/>
      <c r="LZE7" s="36"/>
      <c r="LZF7" s="36"/>
      <c r="LZG7" s="36"/>
      <c r="LZH7" s="36"/>
      <c r="LZI7" s="36"/>
      <c r="LZJ7" s="36"/>
      <c r="LZK7" s="36"/>
      <c r="LZL7" s="36"/>
      <c r="LZM7" s="36"/>
      <c r="LZN7" s="36"/>
      <c r="LZO7" s="36"/>
      <c r="LZP7" s="36"/>
      <c r="LZQ7" s="36"/>
      <c r="LZR7" s="36"/>
      <c r="LZS7" s="36"/>
      <c r="LZT7" s="36"/>
      <c r="LZU7" s="36"/>
      <c r="LZV7" s="36"/>
      <c r="LZW7" s="36"/>
      <c r="LZX7" s="36"/>
      <c r="LZY7" s="36"/>
      <c r="LZZ7" s="36"/>
      <c r="MAA7" s="36"/>
      <c r="MAB7" s="36"/>
      <c r="MAC7" s="36"/>
      <c r="MAD7" s="36"/>
      <c r="MAE7" s="36"/>
      <c r="MAF7" s="36"/>
      <c r="MAG7" s="36"/>
      <c r="MAH7" s="36"/>
      <c r="MAI7" s="36"/>
      <c r="MAJ7" s="36"/>
      <c r="MAK7" s="36"/>
      <c r="MAL7" s="36"/>
      <c r="MAM7" s="36"/>
      <c r="MAN7" s="36"/>
      <c r="MAO7" s="36"/>
      <c r="MAP7" s="36"/>
      <c r="MAQ7" s="36"/>
      <c r="MAR7" s="36"/>
      <c r="MAS7" s="36"/>
      <c r="MAT7" s="36"/>
      <c r="MAU7" s="36"/>
      <c r="MAV7" s="36"/>
      <c r="MAW7" s="36"/>
      <c r="MAX7" s="36"/>
      <c r="MAY7" s="36"/>
      <c r="MAZ7" s="36"/>
      <c r="MBA7" s="36"/>
      <c r="MBB7" s="36"/>
      <c r="MBC7" s="36"/>
      <c r="MBD7" s="36"/>
      <c r="MBE7" s="36"/>
      <c r="MBF7" s="36"/>
      <c r="MBG7" s="36"/>
      <c r="MBH7" s="36"/>
      <c r="MBI7" s="36"/>
      <c r="MBJ7" s="36"/>
      <c r="MBK7" s="36"/>
      <c r="MBL7" s="36"/>
      <c r="MBM7" s="36"/>
      <c r="MBN7" s="36"/>
      <c r="MBO7" s="36"/>
      <c r="MBP7" s="36"/>
      <c r="MBQ7" s="36"/>
      <c r="MBR7" s="36"/>
      <c r="MBS7" s="36"/>
      <c r="MBT7" s="36"/>
      <c r="MBU7" s="36"/>
      <c r="MBV7" s="36"/>
      <c r="MBW7" s="36"/>
      <c r="MBX7" s="36"/>
      <c r="MBY7" s="36"/>
      <c r="MBZ7" s="36"/>
      <c r="MCA7" s="36"/>
      <c r="MCB7" s="36"/>
      <c r="MCC7" s="36"/>
      <c r="MCD7" s="36"/>
      <c r="MCE7" s="36"/>
      <c r="MCF7" s="36"/>
      <c r="MCG7" s="36"/>
      <c r="MCH7" s="36"/>
      <c r="MCI7" s="36"/>
      <c r="MCJ7" s="36"/>
      <c r="MCK7" s="36"/>
      <c r="MCL7" s="36"/>
      <c r="MCM7" s="36"/>
      <c r="MCN7" s="36"/>
      <c r="MCO7" s="36"/>
      <c r="MCP7" s="36"/>
      <c r="MCQ7" s="36"/>
      <c r="MCR7" s="36"/>
      <c r="MCS7" s="36"/>
      <c r="MCT7" s="36"/>
      <c r="MCU7" s="36"/>
      <c r="MCV7" s="36"/>
      <c r="MCW7" s="36"/>
      <c r="MCX7" s="36"/>
      <c r="MCY7" s="36"/>
      <c r="MCZ7" s="36"/>
      <c r="MDA7" s="36"/>
      <c r="MDB7" s="36"/>
      <c r="MDC7" s="36"/>
      <c r="MDD7" s="36"/>
      <c r="MDE7" s="36"/>
      <c r="MDF7" s="36"/>
      <c r="MDG7" s="36"/>
      <c r="MDH7" s="36"/>
      <c r="MDI7" s="36"/>
      <c r="MDJ7" s="36"/>
      <c r="MDK7" s="36"/>
      <c r="MDL7" s="36"/>
      <c r="MDM7" s="36"/>
      <c r="MDN7" s="36"/>
      <c r="MDO7" s="36"/>
      <c r="MDP7" s="36"/>
      <c r="MDQ7" s="36"/>
      <c r="MDR7" s="36"/>
      <c r="MDS7" s="36"/>
      <c r="MDT7" s="36"/>
      <c r="MDU7" s="36"/>
      <c r="MDV7" s="36"/>
      <c r="MDW7" s="36"/>
      <c r="MDX7" s="36"/>
      <c r="MDY7" s="36"/>
      <c r="MDZ7" s="36"/>
      <c r="MEA7" s="36"/>
      <c r="MEB7" s="36"/>
      <c r="MEC7" s="36"/>
      <c r="MED7" s="36"/>
      <c r="MEE7" s="36"/>
      <c r="MEF7" s="36"/>
      <c r="MEG7" s="36"/>
      <c r="MEH7" s="36"/>
      <c r="MEI7" s="36"/>
      <c r="MEJ7" s="36"/>
      <c r="MEK7" s="36"/>
      <c r="MEL7" s="36"/>
      <c r="MEM7" s="36"/>
      <c r="MEN7" s="36"/>
      <c r="MEO7" s="36"/>
      <c r="MEP7" s="36"/>
      <c r="MEQ7" s="36"/>
      <c r="MER7" s="36"/>
      <c r="MES7" s="36"/>
      <c r="MET7" s="36"/>
      <c r="MEU7" s="36"/>
      <c r="MEV7" s="36"/>
      <c r="MEW7" s="36"/>
      <c r="MEX7" s="36"/>
      <c r="MEY7" s="36"/>
      <c r="MEZ7" s="36"/>
      <c r="MFA7" s="36"/>
      <c r="MFB7" s="36"/>
      <c r="MFC7" s="36"/>
      <c r="MFD7" s="36"/>
      <c r="MFE7" s="36"/>
      <c r="MFF7" s="36"/>
      <c r="MFG7" s="36"/>
      <c r="MFH7" s="36"/>
      <c r="MFI7" s="36"/>
      <c r="MFJ7" s="36"/>
      <c r="MFK7" s="36"/>
      <c r="MFL7" s="36"/>
      <c r="MFM7" s="36"/>
      <c r="MFN7" s="36"/>
      <c r="MFO7" s="36"/>
      <c r="MFP7" s="36"/>
      <c r="MFQ7" s="36"/>
      <c r="MFR7" s="36"/>
      <c r="MFS7" s="36"/>
      <c r="MFT7" s="36"/>
      <c r="MFU7" s="36"/>
      <c r="MFV7" s="36"/>
      <c r="MFW7" s="36"/>
      <c r="MFX7" s="36"/>
      <c r="MFY7" s="36"/>
      <c r="MFZ7" s="36"/>
      <c r="MGA7" s="36"/>
      <c r="MGB7" s="36"/>
      <c r="MGC7" s="36"/>
      <c r="MGD7" s="36"/>
      <c r="MGE7" s="36"/>
      <c r="MGF7" s="36"/>
      <c r="MGG7" s="36"/>
      <c r="MGH7" s="36"/>
      <c r="MGI7" s="36"/>
      <c r="MGJ7" s="36"/>
      <c r="MGK7" s="36"/>
      <c r="MGL7" s="36"/>
      <c r="MGM7" s="36"/>
      <c r="MGN7" s="36"/>
      <c r="MGO7" s="36"/>
      <c r="MGP7" s="36"/>
      <c r="MGQ7" s="36"/>
      <c r="MGR7" s="36"/>
      <c r="MGS7" s="36"/>
      <c r="MGT7" s="36"/>
      <c r="MGU7" s="36"/>
      <c r="MGV7" s="36"/>
      <c r="MGW7" s="36"/>
      <c r="MGX7" s="36"/>
      <c r="MGY7" s="36"/>
      <c r="MGZ7" s="36"/>
      <c r="MHA7" s="36"/>
      <c r="MHB7" s="36"/>
      <c r="MHC7" s="36"/>
      <c r="MHD7" s="36"/>
      <c r="MHE7" s="36"/>
      <c r="MHF7" s="36"/>
      <c r="MHG7" s="36"/>
      <c r="MHH7" s="36"/>
      <c r="MHI7" s="36"/>
      <c r="MHJ7" s="36"/>
      <c r="MHK7" s="36"/>
      <c r="MHL7" s="36"/>
      <c r="MHM7" s="36"/>
      <c r="MHN7" s="36"/>
      <c r="MHO7" s="36"/>
      <c r="MHP7" s="36"/>
      <c r="MHQ7" s="36"/>
      <c r="MHR7" s="36"/>
      <c r="MHS7" s="36"/>
      <c r="MHT7" s="36"/>
      <c r="MHU7" s="36"/>
      <c r="MHV7" s="36"/>
      <c r="MHW7" s="36"/>
      <c r="MHX7" s="36"/>
      <c r="MHY7" s="36"/>
      <c r="MHZ7" s="36"/>
      <c r="MIA7" s="36"/>
      <c r="MIB7" s="36"/>
      <c r="MIC7" s="36"/>
      <c r="MID7" s="36"/>
      <c r="MIE7" s="36"/>
      <c r="MIF7" s="36"/>
      <c r="MIG7" s="36"/>
      <c r="MIH7" s="36"/>
      <c r="MII7" s="36"/>
      <c r="MIJ7" s="36"/>
      <c r="MIK7" s="36"/>
      <c r="MIL7" s="36"/>
      <c r="MIM7" s="36"/>
      <c r="MIN7" s="36"/>
      <c r="MIO7" s="36"/>
      <c r="MIP7" s="36"/>
      <c r="MIQ7" s="36"/>
      <c r="MIR7" s="36"/>
      <c r="MIS7" s="36"/>
      <c r="MIT7" s="36"/>
      <c r="MIU7" s="36"/>
      <c r="MIV7" s="36"/>
      <c r="MIW7" s="36"/>
      <c r="MIX7" s="36"/>
      <c r="MIY7" s="36"/>
      <c r="MIZ7" s="36"/>
      <c r="MJA7" s="36"/>
      <c r="MJB7" s="36"/>
      <c r="MJC7" s="36"/>
      <c r="MJD7" s="36"/>
      <c r="MJE7" s="36"/>
      <c r="MJF7" s="36"/>
      <c r="MJG7" s="36"/>
      <c r="MJH7" s="36"/>
      <c r="MJI7" s="36"/>
      <c r="MJJ7" s="36"/>
      <c r="MJK7" s="36"/>
      <c r="MJL7" s="36"/>
      <c r="MJM7" s="36"/>
      <c r="MJN7" s="36"/>
      <c r="MJO7" s="36"/>
      <c r="MJP7" s="36"/>
      <c r="MJQ7" s="36"/>
      <c r="MJR7" s="36"/>
      <c r="MJS7" s="36"/>
      <c r="MJT7" s="36"/>
      <c r="MJU7" s="36"/>
      <c r="MJV7" s="36"/>
      <c r="MJW7" s="36"/>
      <c r="MJX7" s="36"/>
      <c r="MJY7" s="36"/>
      <c r="MJZ7" s="36"/>
      <c r="MKA7" s="36"/>
      <c r="MKB7" s="36"/>
      <c r="MKC7" s="36"/>
      <c r="MKD7" s="36"/>
      <c r="MKE7" s="36"/>
      <c r="MKF7" s="36"/>
      <c r="MKG7" s="36"/>
      <c r="MKH7" s="36"/>
      <c r="MKI7" s="36"/>
      <c r="MKJ7" s="36"/>
      <c r="MKK7" s="36"/>
      <c r="MKL7" s="36"/>
      <c r="MKM7" s="36"/>
      <c r="MKN7" s="36"/>
      <c r="MKO7" s="36"/>
      <c r="MKP7" s="36"/>
      <c r="MKQ7" s="36"/>
      <c r="MKR7" s="36"/>
      <c r="MKS7" s="36"/>
      <c r="MKT7" s="36"/>
      <c r="MKU7" s="36"/>
      <c r="MKV7" s="36"/>
      <c r="MKW7" s="36"/>
      <c r="MKX7" s="36"/>
      <c r="MKY7" s="36"/>
      <c r="MKZ7" s="36"/>
      <c r="MLA7" s="36"/>
      <c r="MLB7" s="36"/>
      <c r="MLC7" s="36"/>
      <c r="MLD7" s="36"/>
      <c r="MLE7" s="36"/>
      <c r="MLF7" s="36"/>
      <c r="MLG7" s="36"/>
      <c r="MLH7" s="36"/>
      <c r="MLI7" s="36"/>
      <c r="MLJ7" s="36"/>
      <c r="MLK7" s="36"/>
      <c r="MLL7" s="36"/>
      <c r="MLM7" s="36"/>
      <c r="MLN7" s="36"/>
      <c r="MLO7" s="36"/>
      <c r="MLP7" s="36"/>
      <c r="MLQ7" s="36"/>
      <c r="MLR7" s="36"/>
      <c r="MLS7" s="36"/>
      <c r="MLT7" s="36"/>
      <c r="MLU7" s="36"/>
      <c r="MLV7" s="36"/>
      <c r="MLW7" s="36"/>
      <c r="MLX7" s="36"/>
      <c r="MLY7" s="36"/>
      <c r="MLZ7" s="36"/>
      <c r="MMA7" s="36"/>
      <c r="MMB7" s="36"/>
      <c r="MMC7" s="36"/>
      <c r="MMD7" s="36"/>
      <c r="MME7" s="36"/>
      <c r="MMF7" s="36"/>
      <c r="MMG7" s="36"/>
      <c r="MMH7" s="36"/>
      <c r="MMI7" s="36"/>
      <c r="MMJ7" s="36"/>
      <c r="MMK7" s="36"/>
      <c r="MML7" s="36"/>
      <c r="MMM7" s="36"/>
      <c r="MMN7" s="36"/>
      <c r="MMO7" s="36"/>
      <c r="MMP7" s="36"/>
      <c r="MMQ7" s="36"/>
      <c r="MMR7" s="36"/>
      <c r="MMS7" s="36"/>
      <c r="MMT7" s="36"/>
      <c r="MMU7" s="36"/>
      <c r="MMV7" s="36"/>
      <c r="MMW7" s="36"/>
      <c r="MMX7" s="36"/>
      <c r="MMY7" s="36"/>
      <c r="MMZ7" s="36"/>
      <c r="MNA7" s="36"/>
      <c r="MNB7" s="36"/>
      <c r="MNC7" s="36"/>
      <c r="MND7" s="36"/>
      <c r="MNE7" s="36"/>
      <c r="MNF7" s="36"/>
      <c r="MNG7" s="36"/>
      <c r="MNH7" s="36"/>
      <c r="MNI7" s="36"/>
      <c r="MNJ7" s="36"/>
      <c r="MNK7" s="36"/>
      <c r="MNL7" s="36"/>
      <c r="MNM7" s="36"/>
      <c r="MNN7" s="36"/>
      <c r="MNO7" s="36"/>
      <c r="MNP7" s="36"/>
      <c r="MNQ7" s="36"/>
      <c r="MNR7" s="36"/>
      <c r="MNS7" s="36"/>
      <c r="MNT7" s="36"/>
      <c r="MNU7" s="36"/>
      <c r="MNV7" s="36"/>
      <c r="MNW7" s="36"/>
      <c r="MNX7" s="36"/>
      <c r="MNY7" s="36"/>
      <c r="MNZ7" s="36"/>
      <c r="MOA7" s="36"/>
      <c r="MOB7" s="36"/>
      <c r="MOC7" s="36"/>
      <c r="MOD7" s="36"/>
      <c r="MOE7" s="36"/>
      <c r="MOF7" s="36"/>
      <c r="MOG7" s="36"/>
      <c r="MOH7" s="36"/>
      <c r="MOI7" s="36"/>
      <c r="MOJ7" s="36"/>
      <c r="MOK7" s="36"/>
      <c r="MOL7" s="36"/>
      <c r="MOM7" s="36"/>
      <c r="MON7" s="36"/>
      <c r="MOO7" s="36"/>
      <c r="MOP7" s="36"/>
      <c r="MOQ7" s="36"/>
      <c r="MOR7" s="36"/>
      <c r="MOS7" s="36"/>
      <c r="MOT7" s="36"/>
      <c r="MOU7" s="36"/>
      <c r="MOV7" s="36"/>
      <c r="MOW7" s="36"/>
      <c r="MOX7" s="36"/>
      <c r="MOY7" s="36"/>
      <c r="MOZ7" s="36"/>
      <c r="MPA7" s="36"/>
      <c r="MPB7" s="36"/>
      <c r="MPC7" s="36"/>
      <c r="MPD7" s="36"/>
      <c r="MPE7" s="36"/>
      <c r="MPF7" s="36"/>
      <c r="MPG7" s="36"/>
      <c r="MPH7" s="36"/>
      <c r="MPI7" s="36"/>
      <c r="MPJ7" s="36"/>
      <c r="MPK7" s="36"/>
      <c r="MPL7" s="36"/>
      <c r="MPM7" s="36"/>
      <c r="MPN7" s="36"/>
      <c r="MPO7" s="36"/>
      <c r="MPP7" s="36"/>
      <c r="MPQ7" s="36"/>
      <c r="MPR7" s="36"/>
      <c r="MPS7" s="36"/>
      <c r="MPT7" s="36"/>
      <c r="MPU7" s="36"/>
      <c r="MPV7" s="36"/>
      <c r="MPW7" s="36"/>
      <c r="MPX7" s="36"/>
      <c r="MPY7" s="36"/>
      <c r="MPZ7" s="36"/>
      <c r="MQA7" s="36"/>
      <c r="MQB7" s="36"/>
      <c r="MQC7" s="36"/>
      <c r="MQD7" s="36"/>
      <c r="MQE7" s="36"/>
      <c r="MQF7" s="36"/>
      <c r="MQG7" s="36"/>
      <c r="MQH7" s="36"/>
      <c r="MQI7" s="36"/>
      <c r="MQJ7" s="36"/>
      <c r="MQK7" s="36"/>
      <c r="MQL7" s="36"/>
      <c r="MQM7" s="36"/>
      <c r="MQN7" s="36"/>
      <c r="MQO7" s="36"/>
      <c r="MQP7" s="36"/>
      <c r="MQQ7" s="36"/>
      <c r="MQR7" s="36"/>
      <c r="MQS7" s="36"/>
      <c r="MQT7" s="36"/>
      <c r="MQU7" s="36"/>
      <c r="MQV7" s="36"/>
      <c r="MQW7" s="36"/>
      <c r="MQX7" s="36"/>
      <c r="MQY7" s="36"/>
      <c r="MQZ7" s="36"/>
      <c r="MRA7" s="36"/>
      <c r="MRB7" s="36"/>
      <c r="MRC7" s="36"/>
      <c r="MRD7" s="36"/>
      <c r="MRE7" s="36"/>
      <c r="MRF7" s="36"/>
      <c r="MRG7" s="36"/>
      <c r="MRH7" s="36"/>
      <c r="MRI7" s="36"/>
      <c r="MRJ7" s="36"/>
      <c r="MRK7" s="36"/>
      <c r="MRL7" s="36"/>
      <c r="MRM7" s="36"/>
      <c r="MRN7" s="36"/>
      <c r="MRO7" s="36"/>
      <c r="MRP7" s="36"/>
      <c r="MRQ7" s="36"/>
      <c r="MRR7" s="36"/>
      <c r="MRS7" s="36"/>
      <c r="MRT7" s="36"/>
      <c r="MRU7" s="36"/>
      <c r="MRV7" s="36"/>
      <c r="MRW7" s="36"/>
      <c r="MRX7" s="36"/>
      <c r="MRY7" s="36"/>
      <c r="MRZ7" s="36"/>
      <c r="MSA7" s="36"/>
      <c r="MSB7" s="36"/>
      <c r="MSC7" s="36"/>
      <c r="MSD7" s="36"/>
      <c r="MSE7" s="36"/>
      <c r="MSF7" s="36"/>
      <c r="MSG7" s="36"/>
      <c r="MSH7" s="36"/>
      <c r="MSI7" s="36"/>
      <c r="MSJ7" s="36"/>
      <c r="MSK7" s="36"/>
      <c r="MSL7" s="36"/>
      <c r="MSM7" s="36"/>
      <c r="MSN7" s="36"/>
      <c r="MSO7" s="36"/>
      <c r="MSP7" s="36"/>
      <c r="MSQ7" s="36"/>
      <c r="MSR7" s="36"/>
      <c r="MSS7" s="36"/>
      <c r="MST7" s="36"/>
      <c r="MSU7" s="36"/>
      <c r="MSV7" s="36"/>
      <c r="MSW7" s="36"/>
      <c r="MSX7" s="36"/>
      <c r="MSY7" s="36"/>
      <c r="MSZ7" s="36"/>
      <c r="MTA7" s="36"/>
      <c r="MTB7" s="36"/>
      <c r="MTC7" s="36"/>
      <c r="MTD7" s="36"/>
      <c r="MTE7" s="36"/>
      <c r="MTF7" s="36"/>
      <c r="MTG7" s="36"/>
      <c r="MTH7" s="36"/>
      <c r="MTI7" s="36"/>
      <c r="MTJ7" s="36"/>
      <c r="MTK7" s="36"/>
      <c r="MTL7" s="36"/>
      <c r="MTM7" s="36"/>
      <c r="MTN7" s="36"/>
      <c r="MTO7" s="36"/>
      <c r="MTP7" s="36"/>
      <c r="MTQ7" s="36"/>
      <c r="MTR7" s="36"/>
      <c r="MTS7" s="36"/>
      <c r="MTT7" s="36"/>
      <c r="MTU7" s="36"/>
      <c r="MTV7" s="36"/>
      <c r="MTW7" s="36"/>
      <c r="MTX7" s="36"/>
      <c r="MTY7" s="36"/>
      <c r="MTZ7" s="36"/>
      <c r="MUA7" s="36"/>
      <c r="MUB7" s="36"/>
      <c r="MUC7" s="36"/>
      <c r="MUD7" s="36"/>
      <c r="MUE7" s="36"/>
      <c r="MUF7" s="36"/>
      <c r="MUG7" s="36"/>
      <c r="MUH7" s="36"/>
      <c r="MUI7" s="36"/>
      <c r="MUJ7" s="36"/>
      <c r="MUK7" s="36"/>
      <c r="MUL7" s="36"/>
      <c r="MUM7" s="36"/>
      <c r="MUN7" s="36"/>
      <c r="MUO7" s="36"/>
      <c r="MUP7" s="36"/>
      <c r="MUQ7" s="36"/>
      <c r="MUR7" s="36"/>
      <c r="MUS7" s="36"/>
      <c r="MUT7" s="36"/>
      <c r="MUU7" s="36"/>
      <c r="MUV7" s="36"/>
      <c r="MUW7" s="36"/>
      <c r="MUX7" s="36"/>
      <c r="MUY7" s="36"/>
      <c r="MUZ7" s="36"/>
      <c r="MVA7" s="36"/>
      <c r="MVB7" s="36"/>
      <c r="MVC7" s="36"/>
      <c r="MVD7" s="36"/>
      <c r="MVE7" s="36"/>
      <c r="MVF7" s="36"/>
      <c r="MVG7" s="36"/>
      <c r="MVH7" s="36"/>
      <c r="MVI7" s="36"/>
      <c r="MVJ7" s="36"/>
      <c r="MVK7" s="36"/>
      <c r="MVL7" s="36"/>
      <c r="MVM7" s="36"/>
      <c r="MVN7" s="36"/>
      <c r="MVO7" s="36"/>
      <c r="MVP7" s="36"/>
      <c r="MVQ7" s="36"/>
      <c r="MVR7" s="36"/>
      <c r="MVS7" s="36"/>
      <c r="MVT7" s="36"/>
      <c r="MVU7" s="36"/>
      <c r="MVV7" s="36"/>
      <c r="MVW7" s="36"/>
      <c r="MVX7" s="36"/>
      <c r="MVY7" s="36"/>
      <c r="MVZ7" s="36"/>
      <c r="MWA7" s="36"/>
      <c r="MWB7" s="36"/>
      <c r="MWC7" s="36"/>
      <c r="MWD7" s="36"/>
      <c r="MWE7" s="36"/>
      <c r="MWF7" s="36"/>
      <c r="MWG7" s="36"/>
      <c r="MWH7" s="36"/>
      <c r="MWI7" s="36"/>
      <c r="MWJ7" s="36"/>
      <c r="MWK7" s="36"/>
      <c r="MWL7" s="36"/>
      <c r="MWM7" s="36"/>
      <c r="MWN7" s="36"/>
      <c r="MWO7" s="36"/>
      <c r="MWP7" s="36"/>
      <c r="MWQ7" s="36"/>
      <c r="MWR7" s="36"/>
      <c r="MWS7" s="36"/>
      <c r="MWT7" s="36"/>
      <c r="MWU7" s="36"/>
      <c r="MWV7" s="36"/>
      <c r="MWW7" s="36"/>
      <c r="MWX7" s="36"/>
      <c r="MWY7" s="36"/>
      <c r="MWZ7" s="36"/>
      <c r="MXA7" s="36"/>
      <c r="MXB7" s="36"/>
      <c r="MXC7" s="36"/>
      <c r="MXD7" s="36"/>
      <c r="MXE7" s="36"/>
      <c r="MXF7" s="36"/>
      <c r="MXG7" s="36"/>
      <c r="MXH7" s="36"/>
      <c r="MXI7" s="36"/>
      <c r="MXJ7" s="36"/>
      <c r="MXK7" s="36"/>
      <c r="MXL7" s="36"/>
      <c r="MXM7" s="36"/>
      <c r="MXN7" s="36"/>
      <c r="MXO7" s="36"/>
      <c r="MXP7" s="36"/>
      <c r="MXQ7" s="36"/>
      <c r="MXR7" s="36"/>
      <c r="MXS7" s="36"/>
      <c r="MXT7" s="36"/>
      <c r="MXU7" s="36"/>
      <c r="MXV7" s="36"/>
      <c r="MXW7" s="36"/>
      <c r="MXX7" s="36"/>
      <c r="MXY7" s="36"/>
      <c r="MXZ7" s="36"/>
      <c r="MYA7" s="36"/>
      <c r="MYB7" s="36"/>
      <c r="MYC7" s="36"/>
      <c r="MYD7" s="36"/>
      <c r="MYE7" s="36"/>
      <c r="MYF7" s="36"/>
      <c r="MYG7" s="36"/>
      <c r="MYH7" s="36"/>
      <c r="MYI7" s="36"/>
      <c r="MYJ7" s="36"/>
      <c r="MYK7" s="36"/>
      <c r="MYL7" s="36"/>
      <c r="MYM7" s="36"/>
      <c r="MYN7" s="36"/>
      <c r="MYO7" s="36"/>
      <c r="MYP7" s="36"/>
      <c r="MYQ7" s="36"/>
      <c r="MYR7" s="36"/>
      <c r="MYS7" s="36"/>
      <c r="MYT7" s="36"/>
      <c r="MYU7" s="36"/>
      <c r="MYV7" s="36"/>
      <c r="MYW7" s="36"/>
      <c r="MYX7" s="36"/>
      <c r="MYY7" s="36"/>
      <c r="MYZ7" s="36"/>
      <c r="MZA7" s="36"/>
      <c r="MZB7" s="36"/>
      <c r="MZC7" s="36"/>
      <c r="MZD7" s="36"/>
      <c r="MZE7" s="36"/>
      <c r="MZF7" s="36"/>
      <c r="MZG7" s="36"/>
      <c r="MZH7" s="36"/>
      <c r="MZI7" s="36"/>
      <c r="MZJ7" s="36"/>
      <c r="MZK7" s="36"/>
      <c r="MZL7" s="36"/>
      <c r="MZM7" s="36"/>
      <c r="MZN7" s="36"/>
      <c r="MZO7" s="36"/>
      <c r="MZP7" s="36"/>
      <c r="MZQ7" s="36"/>
      <c r="MZR7" s="36"/>
      <c r="MZS7" s="36"/>
      <c r="MZT7" s="36"/>
      <c r="MZU7" s="36"/>
      <c r="MZV7" s="36"/>
      <c r="MZW7" s="36"/>
      <c r="MZX7" s="36"/>
      <c r="MZY7" s="36"/>
      <c r="MZZ7" s="36"/>
      <c r="NAA7" s="36"/>
      <c r="NAB7" s="36"/>
      <c r="NAC7" s="36"/>
      <c r="NAD7" s="36"/>
      <c r="NAE7" s="36"/>
      <c r="NAF7" s="36"/>
      <c r="NAG7" s="36"/>
      <c r="NAH7" s="36"/>
      <c r="NAI7" s="36"/>
      <c r="NAJ7" s="36"/>
      <c r="NAK7" s="36"/>
      <c r="NAL7" s="36"/>
      <c r="NAM7" s="36"/>
      <c r="NAN7" s="36"/>
      <c r="NAO7" s="36"/>
      <c r="NAP7" s="36"/>
      <c r="NAQ7" s="36"/>
      <c r="NAR7" s="36"/>
      <c r="NAS7" s="36"/>
      <c r="NAT7" s="36"/>
      <c r="NAU7" s="36"/>
      <c r="NAV7" s="36"/>
      <c r="NAW7" s="36"/>
      <c r="NAX7" s="36"/>
      <c r="NAY7" s="36"/>
      <c r="NAZ7" s="36"/>
      <c r="NBA7" s="36"/>
      <c r="NBB7" s="36"/>
      <c r="NBC7" s="36"/>
      <c r="NBD7" s="36"/>
      <c r="NBE7" s="36"/>
      <c r="NBF7" s="36"/>
      <c r="NBG7" s="36"/>
      <c r="NBH7" s="36"/>
      <c r="NBI7" s="36"/>
      <c r="NBJ7" s="36"/>
      <c r="NBK7" s="36"/>
      <c r="NBL7" s="36"/>
      <c r="NBM7" s="36"/>
      <c r="NBN7" s="36"/>
      <c r="NBO7" s="36"/>
      <c r="NBP7" s="36"/>
      <c r="NBQ7" s="36"/>
      <c r="NBR7" s="36"/>
      <c r="NBS7" s="36"/>
      <c r="NBT7" s="36"/>
      <c r="NBU7" s="36"/>
      <c r="NBV7" s="36"/>
      <c r="NBW7" s="36"/>
      <c r="NBX7" s="36"/>
      <c r="NBY7" s="36"/>
      <c r="NBZ7" s="36"/>
      <c r="NCA7" s="36"/>
      <c r="NCB7" s="36"/>
      <c r="NCC7" s="36"/>
      <c r="NCD7" s="36"/>
      <c r="NCE7" s="36"/>
      <c r="NCF7" s="36"/>
      <c r="NCG7" s="36"/>
      <c r="NCH7" s="36"/>
      <c r="NCI7" s="36"/>
      <c r="NCJ7" s="36"/>
      <c r="NCK7" s="36"/>
      <c r="NCL7" s="36"/>
      <c r="NCM7" s="36"/>
      <c r="NCN7" s="36"/>
      <c r="NCO7" s="36"/>
      <c r="NCP7" s="36"/>
      <c r="NCQ7" s="36"/>
      <c r="NCR7" s="36"/>
      <c r="NCS7" s="36"/>
      <c r="NCT7" s="36"/>
      <c r="NCU7" s="36"/>
      <c r="NCV7" s="36"/>
      <c r="NCW7" s="36"/>
      <c r="NCX7" s="36"/>
      <c r="NCY7" s="36"/>
      <c r="NCZ7" s="36"/>
      <c r="NDA7" s="36"/>
      <c r="NDB7" s="36"/>
      <c r="NDC7" s="36"/>
      <c r="NDD7" s="36"/>
      <c r="NDE7" s="36"/>
      <c r="NDF7" s="36"/>
      <c r="NDG7" s="36"/>
      <c r="NDH7" s="36"/>
      <c r="NDI7" s="36"/>
      <c r="NDJ7" s="36"/>
      <c r="NDK7" s="36"/>
      <c r="NDL7" s="36"/>
      <c r="NDM7" s="36"/>
      <c r="NDN7" s="36"/>
      <c r="NDO7" s="36"/>
      <c r="NDP7" s="36"/>
      <c r="NDQ7" s="36"/>
      <c r="NDR7" s="36"/>
      <c r="NDS7" s="36"/>
      <c r="NDT7" s="36"/>
      <c r="NDU7" s="36"/>
      <c r="NDV7" s="36"/>
      <c r="NDW7" s="36"/>
      <c r="NDX7" s="36"/>
      <c r="NDY7" s="36"/>
      <c r="NDZ7" s="36"/>
      <c r="NEA7" s="36"/>
      <c r="NEB7" s="36"/>
      <c r="NEC7" s="36"/>
      <c r="NED7" s="36"/>
      <c r="NEE7" s="36"/>
      <c r="NEF7" s="36"/>
      <c r="NEG7" s="36"/>
      <c r="NEH7" s="36"/>
      <c r="NEI7" s="36"/>
      <c r="NEJ7" s="36"/>
      <c r="NEK7" s="36"/>
      <c r="NEL7" s="36"/>
      <c r="NEM7" s="36"/>
      <c r="NEN7" s="36"/>
      <c r="NEO7" s="36"/>
      <c r="NEP7" s="36"/>
      <c r="NEQ7" s="36"/>
      <c r="NER7" s="36"/>
      <c r="NES7" s="36"/>
      <c r="NET7" s="36"/>
      <c r="NEU7" s="36"/>
      <c r="NEV7" s="36"/>
      <c r="NEW7" s="36"/>
      <c r="NEX7" s="36"/>
      <c r="NEY7" s="36"/>
      <c r="NEZ7" s="36"/>
      <c r="NFA7" s="36"/>
      <c r="NFB7" s="36"/>
      <c r="NFC7" s="36"/>
      <c r="NFD7" s="36"/>
      <c r="NFE7" s="36"/>
      <c r="NFF7" s="36"/>
      <c r="NFG7" s="36"/>
      <c r="NFH7" s="36"/>
      <c r="NFI7" s="36"/>
      <c r="NFJ7" s="36"/>
      <c r="NFK7" s="36"/>
      <c r="NFL7" s="36"/>
      <c r="NFM7" s="36"/>
      <c r="NFN7" s="36"/>
      <c r="NFO7" s="36"/>
      <c r="NFP7" s="36"/>
      <c r="NFQ7" s="36"/>
      <c r="NFR7" s="36"/>
      <c r="NFS7" s="36"/>
      <c r="NFT7" s="36"/>
      <c r="NFU7" s="36"/>
      <c r="NFV7" s="36"/>
      <c r="NFW7" s="36"/>
      <c r="NFX7" s="36"/>
      <c r="NFY7" s="36"/>
      <c r="NFZ7" s="36"/>
      <c r="NGA7" s="36"/>
      <c r="NGB7" s="36"/>
      <c r="NGC7" s="36"/>
      <c r="NGD7" s="36"/>
      <c r="NGE7" s="36"/>
      <c r="NGF7" s="36"/>
      <c r="NGG7" s="36"/>
      <c r="NGH7" s="36"/>
      <c r="NGI7" s="36"/>
      <c r="NGJ7" s="36"/>
      <c r="NGK7" s="36"/>
      <c r="NGL7" s="36"/>
      <c r="NGM7" s="36"/>
      <c r="NGN7" s="36"/>
      <c r="NGO7" s="36"/>
      <c r="NGP7" s="36"/>
      <c r="NGQ7" s="36"/>
      <c r="NGR7" s="36"/>
      <c r="NGS7" s="36"/>
      <c r="NGT7" s="36"/>
      <c r="NGU7" s="36"/>
      <c r="NGV7" s="36"/>
      <c r="NGW7" s="36"/>
      <c r="NGX7" s="36"/>
      <c r="NGY7" s="36"/>
      <c r="NGZ7" s="36"/>
      <c r="NHA7" s="36"/>
      <c r="NHB7" s="36"/>
      <c r="NHC7" s="36"/>
      <c r="NHD7" s="36"/>
      <c r="NHE7" s="36"/>
      <c r="NHF7" s="36"/>
      <c r="NHG7" s="36"/>
      <c r="NHH7" s="36"/>
      <c r="NHI7" s="36"/>
      <c r="NHJ7" s="36"/>
      <c r="NHK7" s="36"/>
      <c r="NHL7" s="36"/>
      <c r="NHM7" s="36"/>
      <c r="NHN7" s="36"/>
      <c r="NHO7" s="36"/>
      <c r="NHP7" s="36"/>
      <c r="NHQ7" s="36"/>
      <c r="NHR7" s="36"/>
      <c r="NHS7" s="36"/>
      <c r="NHT7" s="36"/>
      <c r="NHU7" s="36"/>
      <c r="NHV7" s="36"/>
      <c r="NHW7" s="36"/>
      <c r="NHX7" s="36"/>
      <c r="NHY7" s="36"/>
      <c r="NHZ7" s="36"/>
      <c r="NIA7" s="36"/>
      <c r="NIB7" s="36"/>
      <c r="NIC7" s="36"/>
      <c r="NID7" s="36"/>
      <c r="NIE7" s="36"/>
      <c r="NIF7" s="36"/>
      <c r="NIG7" s="36"/>
      <c r="NIH7" s="36"/>
      <c r="NII7" s="36"/>
      <c r="NIJ7" s="36"/>
      <c r="NIK7" s="36"/>
      <c r="NIL7" s="36"/>
      <c r="NIM7" s="36"/>
      <c r="NIN7" s="36"/>
      <c r="NIO7" s="36"/>
      <c r="NIP7" s="36"/>
      <c r="NIQ7" s="36"/>
      <c r="NIR7" s="36"/>
      <c r="NIS7" s="36"/>
      <c r="NIT7" s="36"/>
      <c r="NIU7" s="36"/>
      <c r="NIV7" s="36"/>
      <c r="NIW7" s="36"/>
      <c r="NIX7" s="36"/>
      <c r="NIY7" s="36"/>
      <c r="NIZ7" s="36"/>
      <c r="NJA7" s="36"/>
      <c r="NJB7" s="36"/>
      <c r="NJC7" s="36"/>
      <c r="NJD7" s="36"/>
      <c r="NJE7" s="36"/>
      <c r="NJF7" s="36"/>
      <c r="NJG7" s="36"/>
      <c r="NJH7" s="36"/>
      <c r="NJI7" s="36"/>
      <c r="NJJ7" s="36"/>
      <c r="NJK7" s="36"/>
      <c r="NJL7" s="36"/>
      <c r="NJM7" s="36"/>
      <c r="NJN7" s="36"/>
      <c r="NJO7" s="36"/>
      <c r="NJP7" s="36"/>
      <c r="NJQ7" s="36"/>
      <c r="NJR7" s="36"/>
      <c r="NJS7" s="36"/>
      <c r="NJT7" s="36"/>
      <c r="NJU7" s="36"/>
      <c r="NJV7" s="36"/>
      <c r="NJW7" s="36"/>
      <c r="NJX7" s="36"/>
      <c r="NJY7" s="36"/>
      <c r="NJZ7" s="36"/>
      <c r="NKA7" s="36"/>
      <c r="NKB7" s="36"/>
      <c r="NKC7" s="36"/>
      <c r="NKD7" s="36"/>
      <c r="NKE7" s="36"/>
      <c r="NKF7" s="36"/>
      <c r="NKG7" s="36"/>
      <c r="NKH7" s="36"/>
      <c r="NKI7" s="36"/>
      <c r="NKJ7" s="36"/>
      <c r="NKK7" s="36"/>
      <c r="NKL7" s="36"/>
      <c r="NKM7" s="36"/>
      <c r="NKN7" s="36"/>
      <c r="NKO7" s="36"/>
      <c r="NKP7" s="36"/>
      <c r="NKQ7" s="36"/>
      <c r="NKR7" s="36"/>
      <c r="NKS7" s="36"/>
      <c r="NKT7" s="36"/>
      <c r="NKU7" s="36"/>
      <c r="NKV7" s="36"/>
      <c r="NKW7" s="36"/>
      <c r="NKX7" s="36"/>
      <c r="NKY7" s="36"/>
      <c r="NKZ7" s="36"/>
      <c r="NLA7" s="36"/>
      <c r="NLB7" s="36"/>
      <c r="NLC7" s="36"/>
      <c r="NLD7" s="36"/>
      <c r="NLE7" s="36"/>
      <c r="NLF7" s="36"/>
      <c r="NLG7" s="36"/>
      <c r="NLH7" s="36"/>
      <c r="NLI7" s="36"/>
      <c r="NLJ7" s="36"/>
      <c r="NLK7" s="36"/>
      <c r="NLL7" s="36"/>
      <c r="NLM7" s="36"/>
      <c r="NLN7" s="36"/>
      <c r="NLO7" s="36"/>
      <c r="NLP7" s="36"/>
      <c r="NLQ7" s="36"/>
      <c r="NLR7" s="36"/>
      <c r="NLS7" s="36"/>
      <c r="NLT7" s="36"/>
      <c r="NLU7" s="36"/>
      <c r="NLV7" s="36"/>
      <c r="NLW7" s="36"/>
      <c r="NLX7" s="36"/>
      <c r="NLY7" s="36"/>
      <c r="NLZ7" s="36"/>
      <c r="NMA7" s="36"/>
      <c r="NMB7" s="36"/>
      <c r="NMC7" s="36"/>
      <c r="NMD7" s="36"/>
      <c r="NME7" s="36"/>
      <c r="NMF7" s="36"/>
      <c r="NMG7" s="36"/>
      <c r="NMH7" s="36"/>
      <c r="NMI7" s="36"/>
      <c r="NMJ7" s="36"/>
      <c r="NMK7" s="36"/>
      <c r="NML7" s="36"/>
      <c r="NMM7" s="36"/>
      <c r="NMN7" s="36"/>
      <c r="NMO7" s="36"/>
      <c r="NMP7" s="36"/>
      <c r="NMQ7" s="36"/>
      <c r="NMR7" s="36"/>
      <c r="NMS7" s="36"/>
      <c r="NMT7" s="36"/>
      <c r="NMU7" s="36"/>
      <c r="NMV7" s="36"/>
      <c r="NMW7" s="36"/>
      <c r="NMX7" s="36"/>
      <c r="NMY7" s="36"/>
      <c r="NMZ7" s="36"/>
      <c r="NNA7" s="36"/>
      <c r="NNB7" s="36"/>
      <c r="NNC7" s="36"/>
      <c r="NND7" s="36"/>
      <c r="NNE7" s="36"/>
      <c r="NNF7" s="36"/>
      <c r="NNG7" s="36"/>
      <c r="NNH7" s="36"/>
      <c r="NNI7" s="36"/>
      <c r="NNJ7" s="36"/>
      <c r="NNK7" s="36"/>
      <c r="NNL7" s="36"/>
      <c r="NNM7" s="36"/>
      <c r="NNN7" s="36"/>
      <c r="NNO7" s="36"/>
      <c r="NNP7" s="36"/>
      <c r="NNQ7" s="36"/>
      <c r="NNR7" s="36"/>
      <c r="NNS7" s="36"/>
      <c r="NNT7" s="36"/>
      <c r="NNU7" s="36"/>
      <c r="NNV7" s="36"/>
      <c r="NNW7" s="36"/>
      <c r="NNX7" s="36"/>
      <c r="NNY7" s="36"/>
      <c r="NNZ7" s="36"/>
      <c r="NOA7" s="36"/>
      <c r="NOB7" s="36"/>
      <c r="NOC7" s="36"/>
      <c r="NOD7" s="36"/>
      <c r="NOE7" s="36"/>
      <c r="NOF7" s="36"/>
      <c r="NOG7" s="36"/>
      <c r="NOH7" s="36"/>
      <c r="NOI7" s="36"/>
      <c r="NOJ7" s="36"/>
      <c r="NOK7" s="36"/>
      <c r="NOL7" s="36"/>
      <c r="NOM7" s="36"/>
      <c r="NON7" s="36"/>
      <c r="NOO7" s="36"/>
      <c r="NOP7" s="36"/>
      <c r="NOQ7" s="36"/>
      <c r="NOR7" s="36"/>
      <c r="NOS7" s="36"/>
      <c r="NOT7" s="36"/>
      <c r="NOU7" s="36"/>
      <c r="NOV7" s="36"/>
      <c r="NOW7" s="36"/>
      <c r="NOX7" s="36"/>
      <c r="NOY7" s="36"/>
      <c r="NOZ7" s="36"/>
      <c r="NPA7" s="36"/>
      <c r="NPB7" s="36"/>
      <c r="NPC7" s="36"/>
      <c r="NPD7" s="36"/>
      <c r="NPE7" s="36"/>
      <c r="NPF7" s="36"/>
      <c r="NPG7" s="36"/>
      <c r="NPH7" s="36"/>
      <c r="NPI7" s="36"/>
      <c r="NPJ7" s="36"/>
      <c r="NPK7" s="36"/>
      <c r="NPL7" s="36"/>
      <c r="NPM7" s="36"/>
      <c r="NPN7" s="36"/>
      <c r="NPO7" s="36"/>
      <c r="NPP7" s="36"/>
      <c r="NPQ7" s="36"/>
      <c r="NPR7" s="36"/>
      <c r="NPS7" s="36"/>
      <c r="NPT7" s="36"/>
      <c r="NPU7" s="36"/>
      <c r="NPV7" s="36"/>
      <c r="NPW7" s="36"/>
      <c r="NPX7" s="36"/>
      <c r="NPY7" s="36"/>
      <c r="NPZ7" s="36"/>
      <c r="NQA7" s="36"/>
      <c r="NQB7" s="36"/>
      <c r="NQC7" s="36"/>
      <c r="NQD7" s="36"/>
      <c r="NQE7" s="36"/>
      <c r="NQF7" s="36"/>
      <c r="NQG7" s="36"/>
      <c r="NQH7" s="36"/>
      <c r="NQI7" s="36"/>
      <c r="NQJ7" s="36"/>
      <c r="NQK7" s="36"/>
      <c r="NQL7" s="36"/>
      <c r="NQM7" s="36"/>
      <c r="NQN7" s="36"/>
      <c r="NQO7" s="36"/>
      <c r="NQP7" s="36"/>
      <c r="NQQ7" s="36"/>
      <c r="NQR7" s="36"/>
      <c r="NQS7" s="36"/>
      <c r="NQT7" s="36"/>
      <c r="NQU7" s="36"/>
      <c r="NQV7" s="36"/>
      <c r="NQW7" s="36"/>
      <c r="NQX7" s="36"/>
      <c r="NQY7" s="36"/>
      <c r="NQZ7" s="36"/>
      <c r="NRA7" s="36"/>
      <c r="NRB7" s="36"/>
      <c r="NRC7" s="36"/>
      <c r="NRD7" s="36"/>
      <c r="NRE7" s="36"/>
      <c r="NRF7" s="36"/>
      <c r="NRG7" s="36"/>
      <c r="NRH7" s="36"/>
      <c r="NRI7" s="36"/>
      <c r="NRJ7" s="36"/>
      <c r="NRK7" s="36"/>
      <c r="NRL7" s="36"/>
      <c r="NRM7" s="36"/>
      <c r="NRN7" s="36"/>
      <c r="NRO7" s="36"/>
      <c r="NRP7" s="36"/>
      <c r="NRQ7" s="36"/>
      <c r="NRR7" s="36"/>
      <c r="NRS7" s="36"/>
      <c r="NRT7" s="36"/>
      <c r="NRU7" s="36"/>
      <c r="NRV7" s="36"/>
      <c r="NRW7" s="36"/>
      <c r="NRX7" s="36"/>
      <c r="NRY7" s="36"/>
      <c r="NRZ7" s="36"/>
      <c r="NSA7" s="36"/>
      <c r="NSB7" s="36"/>
      <c r="NSC7" s="36"/>
      <c r="NSD7" s="36"/>
      <c r="NSE7" s="36"/>
      <c r="NSF7" s="36"/>
      <c r="NSG7" s="36"/>
      <c r="NSH7" s="36"/>
      <c r="NSI7" s="36"/>
      <c r="NSJ7" s="36"/>
      <c r="NSK7" s="36"/>
      <c r="NSL7" s="36"/>
      <c r="NSM7" s="36"/>
      <c r="NSN7" s="36"/>
      <c r="NSO7" s="36"/>
      <c r="NSP7" s="36"/>
      <c r="NSQ7" s="36"/>
      <c r="NSR7" s="36"/>
      <c r="NSS7" s="36"/>
      <c r="NST7" s="36"/>
      <c r="NSU7" s="36"/>
      <c r="NSV7" s="36"/>
      <c r="NSW7" s="36"/>
      <c r="NSX7" s="36"/>
      <c r="NSY7" s="36"/>
      <c r="NSZ7" s="36"/>
      <c r="NTA7" s="36"/>
      <c r="NTB7" s="36"/>
      <c r="NTC7" s="36"/>
      <c r="NTD7" s="36"/>
      <c r="NTE7" s="36"/>
      <c r="NTF7" s="36"/>
      <c r="NTG7" s="36"/>
      <c r="NTH7" s="36"/>
      <c r="NTI7" s="36"/>
      <c r="NTJ7" s="36"/>
      <c r="NTK7" s="36"/>
      <c r="NTL7" s="36"/>
      <c r="NTM7" s="36"/>
      <c r="NTN7" s="36"/>
      <c r="NTO7" s="36"/>
      <c r="NTP7" s="36"/>
      <c r="NTQ7" s="36"/>
      <c r="NTR7" s="36"/>
      <c r="NTS7" s="36"/>
      <c r="NTT7" s="36"/>
      <c r="NTU7" s="36"/>
      <c r="NTV7" s="36"/>
      <c r="NTW7" s="36"/>
      <c r="NTX7" s="36"/>
      <c r="NTY7" s="36"/>
      <c r="NTZ7" s="36"/>
      <c r="NUA7" s="36"/>
      <c r="NUB7" s="36"/>
      <c r="NUC7" s="36"/>
      <c r="NUD7" s="36"/>
      <c r="NUE7" s="36"/>
      <c r="NUF7" s="36"/>
      <c r="NUG7" s="36"/>
      <c r="NUH7" s="36"/>
      <c r="NUI7" s="36"/>
      <c r="NUJ7" s="36"/>
      <c r="NUK7" s="36"/>
      <c r="NUL7" s="36"/>
      <c r="NUM7" s="36"/>
      <c r="NUN7" s="36"/>
      <c r="NUO7" s="36"/>
      <c r="NUP7" s="36"/>
      <c r="NUQ7" s="36"/>
      <c r="NUR7" s="36"/>
      <c r="NUS7" s="36"/>
      <c r="NUT7" s="36"/>
      <c r="NUU7" s="36"/>
      <c r="NUV7" s="36"/>
      <c r="NUW7" s="36"/>
      <c r="NUX7" s="36"/>
      <c r="NUY7" s="36"/>
      <c r="NUZ7" s="36"/>
      <c r="NVA7" s="36"/>
      <c r="NVB7" s="36"/>
      <c r="NVC7" s="36"/>
      <c r="NVD7" s="36"/>
      <c r="NVE7" s="36"/>
      <c r="NVF7" s="36"/>
      <c r="NVG7" s="36"/>
      <c r="NVH7" s="36"/>
      <c r="NVI7" s="36"/>
      <c r="NVJ7" s="36"/>
      <c r="NVK7" s="36"/>
      <c r="NVL7" s="36"/>
      <c r="NVM7" s="36"/>
      <c r="NVN7" s="36"/>
      <c r="NVO7" s="36"/>
      <c r="NVP7" s="36"/>
      <c r="NVQ7" s="36"/>
      <c r="NVR7" s="36"/>
      <c r="NVS7" s="36"/>
      <c r="NVT7" s="36"/>
      <c r="NVU7" s="36"/>
      <c r="NVV7" s="36"/>
      <c r="NVW7" s="36"/>
      <c r="NVX7" s="36"/>
      <c r="NVY7" s="36"/>
      <c r="NVZ7" s="36"/>
      <c r="NWA7" s="36"/>
      <c r="NWB7" s="36"/>
      <c r="NWC7" s="36"/>
      <c r="NWD7" s="36"/>
      <c r="NWE7" s="36"/>
      <c r="NWF7" s="36"/>
      <c r="NWG7" s="36"/>
      <c r="NWH7" s="36"/>
      <c r="NWI7" s="36"/>
      <c r="NWJ7" s="36"/>
      <c r="NWK7" s="36"/>
      <c r="NWL7" s="36"/>
      <c r="NWM7" s="36"/>
      <c r="NWN7" s="36"/>
      <c r="NWO7" s="36"/>
      <c r="NWP7" s="36"/>
      <c r="NWQ7" s="36"/>
      <c r="NWR7" s="36"/>
      <c r="NWS7" s="36"/>
      <c r="NWT7" s="36"/>
      <c r="NWU7" s="36"/>
      <c r="NWV7" s="36"/>
      <c r="NWW7" s="36"/>
      <c r="NWX7" s="36"/>
      <c r="NWY7" s="36"/>
      <c r="NWZ7" s="36"/>
      <c r="NXA7" s="36"/>
      <c r="NXB7" s="36"/>
      <c r="NXC7" s="36"/>
      <c r="NXD7" s="36"/>
      <c r="NXE7" s="36"/>
      <c r="NXF7" s="36"/>
      <c r="NXG7" s="36"/>
      <c r="NXH7" s="36"/>
      <c r="NXI7" s="36"/>
      <c r="NXJ7" s="36"/>
      <c r="NXK7" s="36"/>
      <c r="NXL7" s="36"/>
      <c r="NXM7" s="36"/>
      <c r="NXN7" s="36"/>
      <c r="NXO7" s="36"/>
      <c r="NXP7" s="36"/>
      <c r="NXQ7" s="36"/>
      <c r="NXR7" s="36"/>
      <c r="NXS7" s="36"/>
      <c r="NXT7" s="36"/>
      <c r="NXU7" s="36"/>
      <c r="NXV7" s="36"/>
      <c r="NXW7" s="36"/>
      <c r="NXX7" s="36"/>
      <c r="NXY7" s="36"/>
      <c r="NXZ7" s="36"/>
      <c r="NYA7" s="36"/>
      <c r="NYB7" s="36"/>
      <c r="NYC7" s="36"/>
      <c r="NYD7" s="36"/>
      <c r="NYE7" s="36"/>
      <c r="NYF7" s="36"/>
      <c r="NYG7" s="36"/>
      <c r="NYH7" s="36"/>
      <c r="NYI7" s="36"/>
      <c r="NYJ7" s="36"/>
      <c r="NYK7" s="36"/>
      <c r="NYL7" s="36"/>
      <c r="NYM7" s="36"/>
      <c r="NYN7" s="36"/>
      <c r="NYO7" s="36"/>
      <c r="NYP7" s="36"/>
      <c r="NYQ7" s="36"/>
      <c r="NYR7" s="36"/>
      <c r="NYS7" s="36"/>
      <c r="NYT7" s="36"/>
      <c r="NYU7" s="36"/>
      <c r="NYV7" s="36"/>
      <c r="NYW7" s="36"/>
      <c r="NYX7" s="36"/>
      <c r="NYY7" s="36"/>
      <c r="NYZ7" s="36"/>
      <c r="NZA7" s="36"/>
      <c r="NZB7" s="36"/>
      <c r="NZC7" s="36"/>
      <c r="NZD7" s="36"/>
      <c r="NZE7" s="36"/>
      <c r="NZF7" s="36"/>
      <c r="NZG7" s="36"/>
      <c r="NZH7" s="36"/>
      <c r="NZI7" s="36"/>
      <c r="NZJ7" s="36"/>
      <c r="NZK7" s="36"/>
      <c r="NZL7" s="36"/>
      <c r="NZM7" s="36"/>
      <c r="NZN7" s="36"/>
      <c r="NZO7" s="36"/>
      <c r="NZP7" s="36"/>
      <c r="NZQ7" s="36"/>
      <c r="NZR7" s="36"/>
      <c r="NZS7" s="36"/>
      <c r="NZT7" s="36"/>
      <c r="NZU7" s="36"/>
      <c r="NZV7" s="36"/>
      <c r="NZW7" s="36"/>
      <c r="NZX7" s="36"/>
      <c r="NZY7" s="36"/>
      <c r="NZZ7" s="36"/>
      <c r="OAA7" s="36"/>
      <c r="OAB7" s="36"/>
      <c r="OAC7" s="36"/>
      <c r="OAD7" s="36"/>
      <c r="OAE7" s="36"/>
      <c r="OAF7" s="36"/>
      <c r="OAG7" s="36"/>
      <c r="OAH7" s="36"/>
      <c r="OAI7" s="36"/>
      <c r="OAJ7" s="36"/>
      <c r="OAK7" s="36"/>
      <c r="OAL7" s="36"/>
      <c r="OAM7" s="36"/>
      <c r="OAN7" s="36"/>
      <c r="OAO7" s="36"/>
      <c r="OAP7" s="36"/>
      <c r="OAQ7" s="36"/>
      <c r="OAR7" s="36"/>
      <c r="OAS7" s="36"/>
      <c r="OAT7" s="36"/>
      <c r="OAU7" s="36"/>
      <c r="OAV7" s="36"/>
      <c r="OAW7" s="36"/>
      <c r="OAX7" s="36"/>
      <c r="OAY7" s="36"/>
      <c r="OAZ7" s="36"/>
      <c r="OBA7" s="36"/>
      <c r="OBB7" s="36"/>
      <c r="OBC7" s="36"/>
      <c r="OBD7" s="36"/>
      <c r="OBE7" s="36"/>
      <c r="OBF7" s="36"/>
      <c r="OBG7" s="36"/>
      <c r="OBH7" s="36"/>
      <c r="OBI7" s="36"/>
      <c r="OBJ7" s="36"/>
      <c r="OBK7" s="36"/>
      <c r="OBL7" s="36"/>
      <c r="OBM7" s="36"/>
      <c r="OBN7" s="36"/>
      <c r="OBO7" s="36"/>
      <c r="OBP7" s="36"/>
      <c r="OBQ7" s="36"/>
      <c r="OBR7" s="36"/>
      <c r="OBS7" s="36"/>
      <c r="OBT7" s="36"/>
      <c r="OBU7" s="36"/>
      <c r="OBV7" s="36"/>
      <c r="OBW7" s="36"/>
      <c r="OBX7" s="36"/>
      <c r="OBY7" s="36"/>
      <c r="OBZ7" s="36"/>
      <c r="OCA7" s="36"/>
      <c r="OCB7" s="36"/>
      <c r="OCC7" s="36"/>
      <c r="OCD7" s="36"/>
      <c r="OCE7" s="36"/>
      <c r="OCF7" s="36"/>
      <c r="OCG7" s="36"/>
      <c r="OCH7" s="36"/>
      <c r="OCI7" s="36"/>
      <c r="OCJ7" s="36"/>
      <c r="OCK7" s="36"/>
      <c r="OCL7" s="36"/>
      <c r="OCM7" s="36"/>
      <c r="OCN7" s="36"/>
      <c r="OCO7" s="36"/>
      <c r="OCP7" s="36"/>
      <c r="OCQ7" s="36"/>
      <c r="OCR7" s="36"/>
      <c r="OCS7" s="36"/>
      <c r="OCT7" s="36"/>
      <c r="OCU7" s="36"/>
      <c r="OCV7" s="36"/>
      <c r="OCW7" s="36"/>
      <c r="OCX7" s="36"/>
      <c r="OCY7" s="36"/>
      <c r="OCZ7" s="36"/>
      <c r="ODA7" s="36"/>
      <c r="ODB7" s="36"/>
      <c r="ODC7" s="36"/>
      <c r="ODD7" s="36"/>
      <c r="ODE7" s="36"/>
      <c r="ODF7" s="36"/>
      <c r="ODG7" s="36"/>
      <c r="ODH7" s="36"/>
      <c r="ODI7" s="36"/>
      <c r="ODJ7" s="36"/>
      <c r="ODK7" s="36"/>
      <c r="ODL7" s="36"/>
      <c r="ODM7" s="36"/>
      <c r="ODN7" s="36"/>
      <c r="ODO7" s="36"/>
      <c r="ODP7" s="36"/>
      <c r="ODQ7" s="36"/>
      <c r="ODR7" s="36"/>
      <c r="ODS7" s="36"/>
      <c r="ODT7" s="36"/>
      <c r="ODU7" s="36"/>
      <c r="ODV7" s="36"/>
      <c r="ODW7" s="36"/>
      <c r="ODX7" s="36"/>
      <c r="ODY7" s="36"/>
      <c r="ODZ7" s="36"/>
      <c r="OEA7" s="36"/>
      <c r="OEB7" s="36"/>
      <c r="OEC7" s="36"/>
      <c r="OED7" s="36"/>
      <c r="OEE7" s="36"/>
      <c r="OEF7" s="36"/>
      <c r="OEG7" s="36"/>
      <c r="OEH7" s="36"/>
      <c r="OEI7" s="36"/>
      <c r="OEJ7" s="36"/>
      <c r="OEK7" s="36"/>
      <c r="OEL7" s="36"/>
      <c r="OEM7" s="36"/>
      <c r="OEN7" s="36"/>
      <c r="OEO7" s="36"/>
      <c r="OEP7" s="36"/>
      <c r="OEQ7" s="36"/>
      <c r="OER7" s="36"/>
      <c r="OES7" s="36"/>
      <c r="OET7" s="36"/>
      <c r="OEU7" s="36"/>
      <c r="OEV7" s="36"/>
      <c r="OEW7" s="36"/>
      <c r="OEX7" s="36"/>
      <c r="OEY7" s="36"/>
      <c r="OEZ7" s="36"/>
      <c r="OFA7" s="36"/>
      <c r="OFB7" s="36"/>
      <c r="OFC7" s="36"/>
      <c r="OFD7" s="36"/>
      <c r="OFE7" s="36"/>
      <c r="OFF7" s="36"/>
      <c r="OFG7" s="36"/>
      <c r="OFH7" s="36"/>
      <c r="OFI7" s="36"/>
      <c r="OFJ7" s="36"/>
      <c r="OFK7" s="36"/>
      <c r="OFL7" s="36"/>
      <c r="OFM7" s="36"/>
      <c r="OFN7" s="36"/>
      <c r="OFO7" s="36"/>
      <c r="OFP7" s="36"/>
      <c r="OFQ7" s="36"/>
      <c r="OFR7" s="36"/>
      <c r="OFS7" s="36"/>
      <c r="OFT7" s="36"/>
      <c r="OFU7" s="36"/>
      <c r="OFV7" s="36"/>
      <c r="OFW7" s="36"/>
      <c r="OFX7" s="36"/>
      <c r="OFY7" s="36"/>
      <c r="OFZ7" s="36"/>
      <c r="OGA7" s="36"/>
      <c r="OGB7" s="36"/>
      <c r="OGC7" s="36"/>
      <c r="OGD7" s="36"/>
      <c r="OGE7" s="36"/>
      <c r="OGF7" s="36"/>
      <c r="OGG7" s="36"/>
      <c r="OGH7" s="36"/>
      <c r="OGI7" s="36"/>
      <c r="OGJ7" s="36"/>
      <c r="OGK7" s="36"/>
      <c r="OGL7" s="36"/>
      <c r="OGM7" s="36"/>
      <c r="OGN7" s="36"/>
      <c r="OGO7" s="36"/>
      <c r="OGP7" s="36"/>
      <c r="OGQ7" s="36"/>
      <c r="OGR7" s="36"/>
      <c r="OGS7" s="36"/>
      <c r="OGT7" s="36"/>
      <c r="OGU7" s="36"/>
      <c r="OGV7" s="36"/>
      <c r="OGW7" s="36"/>
      <c r="OGX7" s="36"/>
      <c r="OGY7" s="36"/>
      <c r="OGZ7" s="36"/>
      <c r="OHA7" s="36"/>
      <c r="OHB7" s="36"/>
      <c r="OHC7" s="36"/>
      <c r="OHD7" s="36"/>
      <c r="OHE7" s="36"/>
      <c r="OHF7" s="36"/>
      <c r="OHG7" s="36"/>
      <c r="OHH7" s="36"/>
      <c r="OHI7" s="36"/>
      <c r="OHJ7" s="36"/>
      <c r="OHK7" s="36"/>
      <c r="OHL7" s="36"/>
      <c r="OHM7" s="36"/>
      <c r="OHN7" s="36"/>
      <c r="OHO7" s="36"/>
      <c r="OHP7" s="36"/>
      <c r="OHQ7" s="36"/>
      <c r="OHR7" s="36"/>
      <c r="OHS7" s="36"/>
      <c r="OHT7" s="36"/>
      <c r="OHU7" s="36"/>
      <c r="OHV7" s="36"/>
      <c r="OHW7" s="36"/>
      <c r="OHX7" s="36"/>
      <c r="OHY7" s="36"/>
      <c r="OHZ7" s="36"/>
      <c r="OIA7" s="36"/>
      <c r="OIB7" s="36"/>
      <c r="OIC7" s="36"/>
      <c r="OID7" s="36"/>
      <c r="OIE7" s="36"/>
      <c r="OIF7" s="36"/>
      <c r="OIG7" s="36"/>
      <c r="OIH7" s="36"/>
      <c r="OII7" s="36"/>
      <c r="OIJ7" s="36"/>
      <c r="OIK7" s="36"/>
      <c r="OIL7" s="36"/>
      <c r="OIM7" s="36"/>
      <c r="OIN7" s="36"/>
      <c r="OIO7" s="36"/>
      <c r="OIP7" s="36"/>
      <c r="OIQ7" s="36"/>
      <c r="OIR7" s="36"/>
      <c r="OIS7" s="36"/>
      <c r="OIT7" s="36"/>
      <c r="OIU7" s="36"/>
      <c r="OIV7" s="36"/>
      <c r="OIW7" s="36"/>
      <c r="OIX7" s="36"/>
      <c r="OIY7" s="36"/>
      <c r="OIZ7" s="36"/>
      <c r="OJA7" s="36"/>
      <c r="OJB7" s="36"/>
      <c r="OJC7" s="36"/>
      <c r="OJD7" s="36"/>
      <c r="OJE7" s="36"/>
      <c r="OJF7" s="36"/>
      <c r="OJG7" s="36"/>
      <c r="OJH7" s="36"/>
      <c r="OJI7" s="36"/>
      <c r="OJJ7" s="36"/>
      <c r="OJK7" s="36"/>
      <c r="OJL7" s="36"/>
      <c r="OJM7" s="36"/>
      <c r="OJN7" s="36"/>
      <c r="OJO7" s="36"/>
      <c r="OJP7" s="36"/>
      <c r="OJQ7" s="36"/>
      <c r="OJR7" s="36"/>
      <c r="OJS7" s="36"/>
      <c r="OJT7" s="36"/>
      <c r="OJU7" s="36"/>
      <c r="OJV7" s="36"/>
      <c r="OJW7" s="36"/>
      <c r="OJX7" s="36"/>
      <c r="OJY7" s="36"/>
      <c r="OJZ7" s="36"/>
      <c r="OKA7" s="36"/>
      <c r="OKB7" s="36"/>
      <c r="OKC7" s="36"/>
      <c r="OKD7" s="36"/>
      <c r="OKE7" s="36"/>
      <c r="OKF7" s="36"/>
      <c r="OKG7" s="36"/>
      <c r="OKH7" s="36"/>
      <c r="OKI7" s="36"/>
      <c r="OKJ7" s="36"/>
      <c r="OKK7" s="36"/>
      <c r="OKL7" s="36"/>
      <c r="OKM7" s="36"/>
      <c r="OKN7" s="36"/>
      <c r="OKO7" s="36"/>
      <c r="OKP7" s="36"/>
      <c r="OKQ7" s="36"/>
      <c r="OKR7" s="36"/>
      <c r="OKS7" s="36"/>
      <c r="OKT7" s="36"/>
      <c r="OKU7" s="36"/>
      <c r="OKV7" s="36"/>
      <c r="OKW7" s="36"/>
      <c r="OKX7" s="36"/>
      <c r="OKY7" s="36"/>
      <c r="OKZ7" s="36"/>
      <c r="OLA7" s="36"/>
      <c r="OLB7" s="36"/>
      <c r="OLC7" s="36"/>
      <c r="OLD7" s="36"/>
      <c r="OLE7" s="36"/>
      <c r="OLF7" s="36"/>
      <c r="OLG7" s="36"/>
      <c r="OLH7" s="36"/>
      <c r="OLI7" s="36"/>
      <c r="OLJ7" s="36"/>
      <c r="OLK7" s="36"/>
      <c r="OLL7" s="36"/>
      <c r="OLM7" s="36"/>
      <c r="OLN7" s="36"/>
      <c r="OLO7" s="36"/>
      <c r="OLP7" s="36"/>
      <c r="OLQ7" s="36"/>
      <c r="OLR7" s="36"/>
      <c r="OLS7" s="36"/>
      <c r="OLT7" s="36"/>
      <c r="OLU7" s="36"/>
      <c r="OLV7" s="36"/>
      <c r="OLW7" s="36"/>
      <c r="OLX7" s="36"/>
      <c r="OLY7" s="36"/>
      <c r="OLZ7" s="36"/>
      <c r="OMA7" s="36"/>
      <c r="OMB7" s="36"/>
      <c r="OMC7" s="36"/>
      <c r="OMD7" s="36"/>
      <c r="OME7" s="36"/>
      <c r="OMF7" s="36"/>
      <c r="OMG7" s="36"/>
      <c r="OMH7" s="36"/>
      <c r="OMI7" s="36"/>
      <c r="OMJ7" s="36"/>
      <c r="OMK7" s="36"/>
      <c r="OML7" s="36"/>
      <c r="OMM7" s="36"/>
      <c r="OMN7" s="36"/>
      <c r="OMO7" s="36"/>
      <c r="OMP7" s="36"/>
      <c r="OMQ7" s="36"/>
      <c r="OMR7" s="36"/>
      <c r="OMS7" s="36"/>
      <c r="OMT7" s="36"/>
      <c r="OMU7" s="36"/>
      <c r="OMV7" s="36"/>
      <c r="OMW7" s="36"/>
      <c r="OMX7" s="36"/>
      <c r="OMY7" s="36"/>
      <c r="OMZ7" s="36"/>
      <c r="ONA7" s="36"/>
      <c r="ONB7" s="36"/>
      <c r="ONC7" s="36"/>
      <c r="OND7" s="36"/>
      <c r="ONE7" s="36"/>
      <c r="ONF7" s="36"/>
      <c r="ONG7" s="36"/>
      <c r="ONH7" s="36"/>
      <c r="ONI7" s="36"/>
      <c r="ONJ7" s="36"/>
      <c r="ONK7" s="36"/>
      <c r="ONL7" s="36"/>
      <c r="ONM7" s="36"/>
      <c r="ONN7" s="36"/>
      <c r="ONO7" s="36"/>
      <c r="ONP7" s="36"/>
      <c r="ONQ7" s="36"/>
      <c r="ONR7" s="36"/>
      <c r="ONS7" s="36"/>
      <c r="ONT7" s="36"/>
      <c r="ONU7" s="36"/>
      <c r="ONV7" s="36"/>
      <c r="ONW7" s="36"/>
      <c r="ONX7" s="36"/>
      <c r="ONY7" s="36"/>
      <c r="ONZ7" s="36"/>
      <c r="OOA7" s="36"/>
      <c r="OOB7" s="36"/>
      <c r="OOC7" s="36"/>
      <c r="OOD7" s="36"/>
      <c r="OOE7" s="36"/>
      <c r="OOF7" s="36"/>
      <c r="OOG7" s="36"/>
      <c r="OOH7" s="36"/>
      <c r="OOI7" s="36"/>
      <c r="OOJ7" s="36"/>
      <c r="OOK7" s="36"/>
      <c r="OOL7" s="36"/>
      <c r="OOM7" s="36"/>
      <c r="OON7" s="36"/>
      <c r="OOO7" s="36"/>
      <c r="OOP7" s="36"/>
      <c r="OOQ7" s="36"/>
      <c r="OOR7" s="36"/>
      <c r="OOS7" s="36"/>
      <c r="OOT7" s="36"/>
      <c r="OOU7" s="36"/>
      <c r="OOV7" s="36"/>
      <c r="OOW7" s="36"/>
      <c r="OOX7" s="36"/>
      <c r="OOY7" s="36"/>
      <c r="OOZ7" s="36"/>
      <c r="OPA7" s="36"/>
      <c r="OPB7" s="36"/>
      <c r="OPC7" s="36"/>
      <c r="OPD7" s="36"/>
      <c r="OPE7" s="36"/>
      <c r="OPF7" s="36"/>
      <c r="OPG7" s="36"/>
      <c r="OPH7" s="36"/>
      <c r="OPI7" s="36"/>
      <c r="OPJ7" s="36"/>
      <c r="OPK7" s="36"/>
      <c r="OPL7" s="36"/>
      <c r="OPM7" s="36"/>
      <c r="OPN7" s="36"/>
      <c r="OPO7" s="36"/>
      <c r="OPP7" s="36"/>
      <c r="OPQ7" s="36"/>
      <c r="OPR7" s="36"/>
      <c r="OPS7" s="36"/>
      <c r="OPT7" s="36"/>
      <c r="OPU7" s="36"/>
      <c r="OPV7" s="36"/>
      <c r="OPW7" s="36"/>
      <c r="OPX7" s="36"/>
      <c r="OPY7" s="36"/>
      <c r="OPZ7" s="36"/>
      <c r="OQA7" s="36"/>
      <c r="OQB7" s="36"/>
      <c r="OQC7" s="36"/>
      <c r="OQD7" s="36"/>
      <c r="OQE7" s="36"/>
      <c r="OQF7" s="36"/>
      <c r="OQG7" s="36"/>
      <c r="OQH7" s="36"/>
      <c r="OQI7" s="36"/>
      <c r="OQJ7" s="36"/>
      <c r="OQK7" s="36"/>
      <c r="OQL7" s="36"/>
      <c r="OQM7" s="36"/>
      <c r="OQN7" s="36"/>
      <c r="OQO7" s="36"/>
      <c r="OQP7" s="36"/>
      <c r="OQQ7" s="36"/>
      <c r="OQR7" s="36"/>
      <c r="OQS7" s="36"/>
      <c r="OQT7" s="36"/>
      <c r="OQU7" s="36"/>
      <c r="OQV7" s="36"/>
      <c r="OQW7" s="36"/>
      <c r="OQX7" s="36"/>
      <c r="OQY7" s="36"/>
      <c r="OQZ7" s="36"/>
      <c r="ORA7" s="36"/>
      <c r="ORB7" s="36"/>
      <c r="ORC7" s="36"/>
      <c r="ORD7" s="36"/>
      <c r="ORE7" s="36"/>
      <c r="ORF7" s="36"/>
      <c r="ORG7" s="36"/>
      <c r="ORH7" s="36"/>
      <c r="ORI7" s="36"/>
      <c r="ORJ7" s="36"/>
      <c r="ORK7" s="36"/>
      <c r="ORL7" s="36"/>
      <c r="ORM7" s="36"/>
      <c r="ORN7" s="36"/>
      <c r="ORO7" s="36"/>
      <c r="ORP7" s="36"/>
      <c r="ORQ7" s="36"/>
      <c r="ORR7" s="36"/>
      <c r="ORS7" s="36"/>
      <c r="ORT7" s="36"/>
      <c r="ORU7" s="36"/>
      <c r="ORV7" s="36"/>
      <c r="ORW7" s="36"/>
      <c r="ORX7" s="36"/>
      <c r="ORY7" s="36"/>
      <c r="ORZ7" s="36"/>
      <c r="OSA7" s="36"/>
      <c r="OSB7" s="36"/>
      <c r="OSC7" s="36"/>
      <c r="OSD7" s="36"/>
      <c r="OSE7" s="36"/>
      <c r="OSF7" s="36"/>
      <c r="OSG7" s="36"/>
      <c r="OSH7" s="36"/>
      <c r="OSI7" s="36"/>
      <c r="OSJ7" s="36"/>
      <c r="OSK7" s="36"/>
      <c r="OSL7" s="36"/>
      <c r="OSM7" s="36"/>
      <c r="OSN7" s="36"/>
      <c r="OSO7" s="36"/>
      <c r="OSP7" s="36"/>
      <c r="OSQ7" s="36"/>
      <c r="OSR7" s="36"/>
      <c r="OSS7" s="36"/>
      <c r="OST7" s="36"/>
      <c r="OSU7" s="36"/>
      <c r="OSV7" s="36"/>
      <c r="OSW7" s="36"/>
      <c r="OSX7" s="36"/>
      <c r="OSY7" s="36"/>
      <c r="OSZ7" s="36"/>
      <c r="OTA7" s="36"/>
      <c r="OTB7" s="36"/>
      <c r="OTC7" s="36"/>
      <c r="OTD7" s="36"/>
      <c r="OTE7" s="36"/>
      <c r="OTF7" s="36"/>
      <c r="OTG7" s="36"/>
      <c r="OTH7" s="36"/>
      <c r="OTI7" s="36"/>
      <c r="OTJ7" s="36"/>
      <c r="OTK7" s="36"/>
      <c r="OTL7" s="36"/>
      <c r="OTM7" s="36"/>
      <c r="OTN7" s="36"/>
      <c r="OTO7" s="36"/>
      <c r="OTP7" s="36"/>
      <c r="OTQ7" s="36"/>
      <c r="OTR7" s="36"/>
      <c r="OTS7" s="36"/>
      <c r="OTT7" s="36"/>
      <c r="OTU7" s="36"/>
      <c r="OTV7" s="36"/>
      <c r="OTW7" s="36"/>
      <c r="OTX7" s="36"/>
      <c r="OTY7" s="36"/>
      <c r="OTZ7" s="36"/>
      <c r="OUA7" s="36"/>
      <c r="OUB7" s="36"/>
      <c r="OUC7" s="36"/>
      <c r="OUD7" s="36"/>
      <c r="OUE7" s="36"/>
      <c r="OUF7" s="36"/>
      <c r="OUG7" s="36"/>
      <c r="OUH7" s="36"/>
      <c r="OUI7" s="36"/>
      <c r="OUJ7" s="36"/>
      <c r="OUK7" s="36"/>
      <c r="OUL7" s="36"/>
      <c r="OUM7" s="36"/>
      <c r="OUN7" s="36"/>
      <c r="OUO7" s="36"/>
      <c r="OUP7" s="36"/>
      <c r="OUQ7" s="36"/>
      <c r="OUR7" s="36"/>
      <c r="OUS7" s="36"/>
      <c r="OUT7" s="36"/>
      <c r="OUU7" s="36"/>
      <c r="OUV7" s="36"/>
      <c r="OUW7" s="36"/>
      <c r="OUX7" s="36"/>
      <c r="OUY7" s="36"/>
      <c r="OUZ7" s="36"/>
      <c r="OVA7" s="36"/>
      <c r="OVB7" s="36"/>
      <c r="OVC7" s="36"/>
      <c r="OVD7" s="36"/>
      <c r="OVE7" s="36"/>
      <c r="OVF7" s="36"/>
      <c r="OVG7" s="36"/>
      <c r="OVH7" s="36"/>
      <c r="OVI7" s="36"/>
      <c r="OVJ7" s="36"/>
      <c r="OVK7" s="36"/>
      <c r="OVL7" s="36"/>
      <c r="OVM7" s="36"/>
      <c r="OVN7" s="36"/>
      <c r="OVO7" s="36"/>
      <c r="OVP7" s="36"/>
      <c r="OVQ7" s="36"/>
      <c r="OVR7" s="36"/>
      <c r="OVS7" s="36"/>
      <c r="OVT7" s="36"/>
      <c r="OVU7" s="36"/>
      <c r="OVV7" s="36"/>
      <c r="OVW7" s="36"/>
      <c r="OVX7" s="36"/>
      <c r="OVY7" s="36"/>
      <c r="OVZ7" s="36"/>
      <c r="OWA7" s="36"/>
      <c r="OWB7" s="36"/>
      <c r="OWC7" s="36"/>
      <c r="OWD7" s="36"/>
      <c r="OWE7" s="36"/>
      <c r="OWF7" s="36"/>
      <c r="OWG7" s="36"/>
      <c r="OWH7" s="36"/>
      <c r="OWI7" s="36"/>
      <c r="OWJ7" s="36"/>
      <c r="OWK7" s="36"/>
      <c r="OWL7" s="36"/>
      <c r="OWM7" s="36"/>
      <c r="OWN7" s="36"/>
      <c r="OWO7" s="36"/>
      <c r="OWP7" s="36"/>
      <c r="OWQ7" s="36"/>
      <c r="OWR7" s="36"/>
      <c r="OWS7" s="36"/>
      <c r="OWT7" s="36"/>
      <c r="OWU7" s="36"/>
      <c r="OWV7" s="36"/>
      <c r="OWW7" s="36"/>
      <c r="OWX7" s="36"/>
      <c r="OWY7" s="36"/>
      <c r="OWZ7" s="36"/>
      <c r="OXA7" s="36"/>
      <c r="OXB7" s="36"/>
      <c r="OXC7" s="36"/>
      <c r="OXD7" s="36"/>
      <c r="OXE7" s="36"/>
      <c r="OXF7" s="36"/>
      <c r="OXG7" s="36"/>
      <c r="OXH7" s="36"/>
      <c r="OXI7" s="36"/>
      <c r="OXJ7" s="36"/>
      <c r="OXK7" s="36"/>
      <c r="OXL7" s="36"/>
      <c r="OXM7" s="36"/>
      <c r="OXN7" s="36"/>
      <c r="OXO7" s="36"/>
      <c r="OXP7" s="36"/>
      <c r="OXQ7" s="36"/>
      <c r="OXR7" s="36"/>
      <c r="OXS7" s="36"/>
      <c r="OXT7" s="36"/>
      <c r="OXU7" s="36"/>
      <c r="OXV7" s="36"/>
      <c r="OXW7" s="36"/>
      <c r="OXX7" s="36"/>
      <c r="OXY7" s="36"/>
      <c r="OXZ7" s="36"/>
      <c r="OYA7" s="36"/>
      <c r="OYB7" s="36"/>
      <c r="OYC7" s="36"/>
      <c r="OYD7" s="36"/>
      <c r="OYE7" s="36"/>
      <c r="OYF7" s="36"/>
      <c r="OYG7" s="36"/>
      <c r="OYH7" s="36"/>
      <c r="OYI7" s="36"/>
      <c r="OYJ7" s="36"/>
      <c r="OYK7" s="36"/>
      <c r="OYL7" s="36"/>
      <c r="OYM7" s="36"/>
      <c r="OYN7" s="36"/>
      <c r="OYO7" s="36"/>
      <c r="OYP7" s="36"/>
      <c r="OYQ7" s="36"/>
      <c r="OYR7" s="36"/>
      <c r="OYS7" s="36"/>
      <c r="OYT7" s="36"/>
      <c r="OYU7" s="36"/>
      <c r="OYV7" s="36"/>
      <c r="OYW7" s="36"/>
      <c r="OYX7" s="36"/>
      <c r="OYY7" s="36"/>
      <c r="OYZ7" s="36"/>
      <c r="OZA7" s="36"/>
      <c r="OZB7" s="36"/>
      <c r="OZC7" s="36"/>
      <c r="OZD7" s="36"/>
      <c r="OZE7" s="36"/>
      <c r="OZF7" s="36"/>
      <c r="OZG7" s="36"/>
      <c r="OZH7" s="36"/>
      <c r="OZI7" s="36"/>
      <c r="OZJ7" s="36"/>
      <c r="OZK7" s="36"/>
      <c r="OZL7" s="36"/>
      <c r="OZM7" s="36"/>
      <c r="OZN7" s="36"/>
      <c r="OZO7" s="36"/>
      <c r="OZP7" s="36"/>
      <c r="OZQ7" s="36"/>
      <c r="OZR7" s="36"/>
      <c r="OZS7" s="36"/>
      <c r="OZT7" s="36"/>
      <c r="OZU7" s="36"/>
      <c r="OZV7" s="36"/>
      <c r="OZW7" s="36"/>
      <c r="OZX7" s="36"/>
      <c r="OZY7" s="36"/>
      <c r="OZZ7" s="36"/>
      <c r="PAA7" s="36"/>
      <c r="PAB7" s="36"/>
      <c r="PAC7" s="36"/>
      <c r="PAD7" s="36"/>
      <c r="PAE7" s="36"/>
      <c r="PAF7" s="36"/>
      <c r="PAG7" s="36"/>
      <c r="PAH7" s="36"/>
      <c r="PAI7" s="36"/>
      <c r="PAJ7" s="36"/>
      <c r="PAK7" s="36"/>
      <c r="PAL7" s="36"/>
      <c r="PAM7" s="36"/>
      <c r="PAN7" s="36"/>
      <c r="PAO7" s="36"/>
      <c r="PAP7" s="36"/>
      <c r="PAQ7" s="36"/>
      <c r="PAR7" s="36"/>
      <c r="PAS7" s="36"/>
      <c r="PAT7" s="36"/>
      <c r="PAU7" s="36"/>
      <c r="PAV7" s="36"/>
      <c r="PAW7" s="36"/>
      <c r="PAX7" s="36"/>
      <c r="PAY7" s="36"/>
      <c r="PAZ7" s="36"/>
      <c r="PBA7" s="36"/>
      <c r="PBB7" s="36"/>
      <c r="PBC7" s="36"/>
      <c r="PBD7" s="36"/>
      <c r="PBE7" s="36"/>
      <c r="PBF7" s="36"/>
      <c r="PBG7" s="36"/>
      <c r="PBH7" s="36"/>
      <c r="PBI7" s="36"/>
      <c r="PBJ7" s="36"/>
      <c r="PBK7" s="36"/>
      <c r="PBL7" s="36"/>
      <c r="PBM7" s="36"/>
      <c r="PBN7" s="36"/>
      <c r="PBO7" s="36"/>
      <c r="PBP7" s="36"/>
      <c r="PBQ7" s="36"/>
      <c r="PBR7" s="36"/>
      <c r="PBS7" s="36"/>
      <c r="PBT7" s="36"/>
      <c r="PBU7" s="36"/>
      <c r="PBV7" s="36"/>
      <c r="PBW7" s="36"/>
      <c r="PBX7" s="36"/>
      <c r="PBY7" s="36"/>
      <c r="PBZ7" s="36"/>
      <c r="PCA7" s="36"/>
      <c r="PCB7" s="36"/>
      <c r="PCC7" s="36"/>
      <c r="PCD7" s="36"/>
      <c r="PCE7" s="36"/>
      <c r="PCF7" s="36"/>
      <c r="PCG7" s="36"/>
      <c r="PCH7" s="36"/>
      <c r="PCI7" s="36"/>
      <c r="PCJ7" s="36"/>
      <c r="PCK7" s="36"/>
      <c r="PCL7" s="36"/>
      <c r="PCM7" s="36"/>
      <c r="PCN7" s="36"/>
      <c r="PCO7" s="36"/>
      <c r="PCP7" s="36"/>
      <c r="PCQ7" s="36"/>
      <c r="PCR7" s="36"/>
      <c r="PCS7" s="36"/>
      <c r="PCT7" s="36"/>
      <c r="PCU7" s="36"/>
      <c r="PCV7" s="36"/>
      <c r="PCW7" s="36"/>
      <c r="PCX7" s="36"/>
      <c r="PCY7" s="36"/>
      <c r="PCZ7" s="36"/>
      <c r="PDA7" s="36"/>
      <c r="PDB7" s="36"/>
      <c r="PDC7" s="36"/>
      <c r="PDD7" s="36"/>
      <c r="PDE7" s="36"/>
      <c r="PDF7" s="36"/>
      <c r="PDG7" s="36"/>
      <c r="PDH7" s="36"/>
      <c r="PDI7" s="36"/>
      <c r="PDJ7" s="36"/>
      <c r="PDK7" s="36"/>
      <c r="PDL7" s="36"/>
      <c r="PDM7" s="36"/>
      <c r="PDN7" s="36"/>
      <c r="PDO7" s="36"/>
      <c r="PDP7" s="36"/>
      <c r="PDQ7" s="36"/>
      <c r="PDR7" s="36"/>
      <c r="PDS7" s="36"/>
      <c r="PDT7" s="36"/>
      <c r="PDU7" s="36"/>
      <c r="PDV7" s="36"/>
      <c r="PDW7" s="36"/>
      <c r="PDX7" s="36"/>
      <c r="PDY7" s="36"/>
      <c r="PDZ7" s="36"/>
      <c r="PEA7" s="36"/>
      <c r="PEB7" s="36"/>
      <c r="PEC7" s="36"/>
      <c r="PED7" s="36"/>
      <c r="PEE7" s="36"/>
      <c r="PEF7" s="36"/>
      <c r="PEG7" s="36"/>
      <c r="PEH7" s="36"/>
      <c r="PEI7" s="36"/>
      <c r="PEJ7" s="36"/>
      <c r="PEK7" s="36"/>
      <c r="PEL7" s="36"/>
      <c r="PEM7" s="36"/>
      <c r="PEN7" s="36"/>
      <c r="PEO7" s="36"/>
      <c r="PEP7" s="36"/>
      <c r="PEQ7" s="36"/>
      <c r="PER7" s="36"/>
      <c r="PES7" s="36"/>
      <c r="PET7" s="36"/>
      <c r="PEU7" s="36"/>
      <c r="PEV7" s="36"/>
      <c r="PEW7" s="36"/>
      <c r="PEX7" s="36"/>
      <c r="PEY7" s="36"/>
      <c r="PEZ7" s="36"/>
      <c r="PFA7" s="36"/>
      <c r="PFB7" s="36"/>
      <c r="PFC7" s="36"/>
      <c r="PFD7" s="36"/>
      <c r="PFE7" s="36"/>
      <c r="PFF7" s="36"/>
      <c r="PFG7" s="36"/>
      <c r="PFH7" s="36"/>
      <c r="PFI7" s="36"/>
      <c r="PFJ7" s="36"/>
      <c r="PFK7" s="36"/>
      <c r="PFL7" s="36"/>
      <c r="PFM7" s="36"/>
      <c r="PFN7" s="36"/>
      <c r="PFO7" s="36"/>
      <c r="PFP7" s="36"/>
      <c r="PFQ7" s="36"/>
      <c r="PFR7" s="36"/>
      <c r="PFS7" s="36"/>
      <c r="PFT7" s="36"/>
      <c r="PFU7" s="36"/>
      <c r="PFV7" s="36"/>
      <c r="PFW7" s="36"/>
      <c r="PFX7" s="36"/>
      <c r="PFY7" s="36"/>
      <c r="PFZ7" s="36"/>
      <c r="PGA7" s="36"/>
      <c r="PGB7" s="36"/>
      <c r="PGC7" s="36"/>
      <c r="PGD7" s="36"/>
      <c r="PGE7" s="36"/>
      <c r="PGF7" s="36"/>
      <c r="PGG7" s="36"/>
      <c r="PGH7" s="36"/>
      <c r="PGI7" s="36"/>
      <c r="PGJ7" s="36"/>
      <c r="PGK7" s="36"/>
      <c r="PGL7" s="36"/>
      <c r="PGM7" s="36"/>
      <c r="PGN7" s="36"/>
      <c r="PGO7" s="36"/>
      <c r="PGP7" s="36"/>
      <c r="PGQ7" s="36"/>
      <c r="PGR7" s="36"/>
      <c r="PGS7" s="36"/>
      <c r="PGT7" s="36"/>
      <c r="PGU7" s="36"/>
      <c r="PGV7" s="36"/>
      <c r="PGW7" s="36"/>
      <c r="PGX7" s="36"/>
      <c r="PGY7" s="36"/>
      <c r="PGZ7" s="36"/>
      <c r="PHA7" s="36"/>
      <c r="PHB7" s="36"/>
      <c r="PHC7" s="36"/>
      <c r="PHD7" s="36"/>
      <c r="PHE7" s="36"/>
      <c r="PHF7" s="36"/>
      <c r="PHG7" s="36"/>
      <c r="PHH7" s="36"/>
      <c r="PHI7" s="36"/>
      <c r="PHJ7" s="36"/>
      <c r="PHK7" s="36"/>
      <c r="PHL7" s="36"/>
      <c r="PHM7" s="36"/>
      <c r="PHN7" s="36"/>
      <c r="PHO7" s="36"/>
      <c r="PHP7" s="36"/>
      <c r="PHQ7" s="36"/>
      <c r="PHR7" s="36"/>
      <c r="PHS7" s="36"/>
      <c r="PHT7" s="36"/>
      <c r="PHU7" s="36"/>
      <c r="PHV7" s="36"/>
      <c r="PHW7" s="36"/>
      <c r="PHX7" s="36"/>
      <c r="PHY7" s="36"/>
      <c r="PHZ7" s="36"/>
      <c r="PIA7" s="36"/>
      <c r="PIB7" s="36"/>
      <c r="PIC7" s="36"/>
      <c r="PID7" s="36"/>
      <c r="PIE7" s="36"/>
      <c r="PIF7" s="36"/>
      <c r="PIG7" s="36"/>
      <c r="PIH7" s="36"/>
      <c r="PII7" s="36"/>
      <c r="PIJ7" s="36"/>
      <c r="PIK7" s="36"/>
      <c r="PIL7" s="36"/>
      <c r="PIM7" s="36"/>
      <c r="PIN7" s="36"/>
      <c r="PIO7" s="36"/>
      <c r="PIP7" s="36"/>
      <c r="PIQ7" s="36"/>
      <c r="PIR7" s="36"/>
      <c r="PIS7" s="36"/>
      <c r="PIT7" s="36"/>
      <c r="PIU7" s="36"/>
      <c r="PIV7" s="36"/>
      <c r="PIW7" s="36"/>
      <c r="PIX7" s="36"/>
      <c r="PIY7" s="36"/>
      <c r="PIZ7" s="36"/>
      <c r="PJA7" s="36"/>
      <c r="PJB7" s="36"/>
      <c r="PJC7" s="36"/>
      <c r="PJD7" s="36"/>
      <c r="PJE7" s="36"/>
      <c r="PJF7" s="36"/>
      <c r="PJG7" s="36"/>
      <c r="PJH7" s="36"/>
      <c r="PJI7" s="36"/>
      <c r="PJJ7" s="36"/>
      <c r="PJK7" s="36"/>
      <c r="PJL7" s="36"/>
      <c r="PJM7" s="36"/>
      <c r="PJN7" s="36"/>
      <c r="PJO7" s="36"/>
      <c r="PJP7" s="36"/>
      <c r="PJQ7" s="36"/>
      <c r="PJR7" s="36"/>
      <c r="PJS7" s="36"/>
      <c r="PJT7" s="36"/>
      <c r="PJU7" s="36"/>
      <c r="PJV7" s="36"/>
      <c r="PJW7" s="36"/>
      <c r="PJX7" s="36"/>
      <c r="PJY7" s="36"/>
      <c r="PJZ7" s="36"/>
      <c r="PKA7" s="36"/>
      <c r="PKB7" s="36"/>
      <c r="PKC7" s="36"/>
      <c r="PKD7" s="36"/>
      <c r="PKE7" s="36"/>
      <c r="PKF7" s="36"/>
      <c r="PKG7" s="36"/>
      <c r="PKH7" s="36"/>
      <c r="PKI7" s="36"/>
      <c r="PKJ7" s="36"/>
      <c r="PKK7" s="36"/>
      <c r="PKL7" s="36"/>
      <c r="PKM7" s="36"/>
      <c r="PKN7" s="36"/>
      <c r="PKO7" s="36"/>
      <c r="PKP7" s="36"/>
      <c r="PKQ7" s="36"/>
      <c r="PKR7" s="36"/>
      <c r="PKS7" s="36"/>
      <c r="PKT7" s="36"/>
      <c r="PKU7" s="36"/>
      <c r="PKV7" s="36"/>
      <c r="PKW7" s="36"/>
      <c r="PKX7" s="36"/>
      <c r="PKY7" s="36"/>
      <c r="PKZ7" s="36"/>
      <c r="PLA7" s="36"/>
      <c r="PLB7" s="36"/>
      <c r="PLC7" s="36"/>
      <c r="PLD7" s="36"/>
      <c r="PLE7" s="36"/>
      <c r="PLF7" s="36"/>
      <c r="PLG7" s="36"/>
      <c r="PLH7" s="36"/>
      <c r="PLI7" s="36"/>
      <c r="PLJ7" s="36"/>
      <c r="PLK7" s="36"/>
      <c r="PLL7" s="36"/>
      <c r="PLM7" s="36"/>
      <c r="PLN7" s="36"/>
      <c r="PLO7" s="36"/>
      <c r="PLP7" s="36"/>
      <c r="PLQ7" s="36"/>
      <c r="PLR7" s="36"/>
      <c r="PLS7" s="36"/>
      <c r="PLT7" s="36"/>
      <c r="PLU7" s="36"/>
      <c r="PLV7" s="36"/>
      <c r="PLW7" s="36"/>
      <c r="PLX7" s="36"/>
      <c r="PLY7" s="36"/>
      <c r="PLZ7" s="36"/>
      <c r="PMA7" s="36"/>
      <c r="PMB7" s="36"/>
      <c r="PMC7" s="36"/>
      <c r="PMD7" s="36"/>
      <c r="PME7" s="36"/>
      <c r="PMF7" s="36"/>
      <c r="PMG7" s="36"/>
      <c r="PMH7" s="36"/>
      <c r="PMI7" s="36"/>
      <c r="PMJ7" s="36"/>
      <c r="PMK7" s="36"/>
      <c r="PML7" s="36"/>
      <c r="PMM7" s="36"/>
      <c r="PMN7" s="36"/>
      <c r="PMO7" s="36"/>
      <c r="PMP7" s="36"/>
      <c r="PMQ7" s="36"/>
      <c r="PMR7" s="36"/>
      <c r="PMS7" s="36"/>
      <c r="PMT7" s="36"/>
      <c r="PMU7" s="36"/>
      <c r="PMV7" s="36"/>
      <c r="PMW7" s="36"/>
      <c r="PMX7" s="36"/>
      <c r="PMY7" s="36"/>
      <c r="PMZ7" s="36"/>
      <c r="PNA7" s="36"/>
      <c r="PNB7" s="36"/>
      <c r="PNC7" s="36"/>
      <c r="PND7" s="36"/>
      <c r="PNE7" s="36"/>
      <c r="PNF7" s="36"/>
      <c r="PNG7" s="36"/>
      <c r="PNH7" s="36"/>
      <c r="PNI7" s="36"/>
      <c r="PNJ7" s="36"/>
      <c r="PNK7" s="36"/>
      <c r="PNL7" s="36"/>
      <c r="PNM7" s="36"/>
      <c r="PNN7" s="36"/>
      <c r="PNO7" s="36"/>
      <c r="PNP7" s="36"/>
      <c r="PNQ7" s="36"/>
      <c r="PNR7" s="36"/>
      <c r="PNS7" s="36"/>
      <c r="PNT7" s="36"/>
      <c r="PNU7" s="36"/>
      <c r="PNV7" s="36"/>
      <c r="PNW7" s="36"/>
      <c r="PNX7" s="36"/>
      <c r="PNY7" s="36"/>
      <c r="PNZ7" s="36"/>
      <c r="POA7" s="36"/>
      <c r="POB7" s="36"/>
      <c r="POC7" s="36"/>
      <c r="POD7" s="36"/>
      <c r="POE7" s="36"/>
      <c r="POF7" s="36"/>
      <c r="POG7" s="36"/>
      <c r="POH7" s="36"/>
      <c r="POI7" s="36"/>
      <c r="POJ7" s="36"/>
      <c r="POK7" s="36"/>
      <c r="POL7" s="36"/>
      <c r="POM7" s="36"/>
      <c r="PON7" s="36"/>
      <c r="POO7" s="36"/>
      <c r="POP7" s="36"/>
      <c r="POQ7" s="36"/>
      <c r="POR7" s="36"/>
      <c r="POS7" s="36"/>
      <c r="POT7" s="36"/>
      <c r="POU7" s="36"/>
      <c r="POV7" s="36"/>
      <c r="POW7" s="36"/>
      <c r="POX7" s="36"/>
      <c r="POY7" s="36"/>
      <c r="POZ7" s="36"/>
      <c r="PPA7" s="36"/>
      <c r="PPB7" s="36"/>
      <c r="PPC7" s="36"/>
      <c r="PPD7" s="36"/>
      <c r="PPE7" s="36"/>
      <c r="PPF7" s="36"/>
      <c r="PPG7" s="36"/>
      <c r="PPH7" s="36"/>
      <c r="PPI7" s="36"/>
      <c r="PPJ7" s="36"/>
      <c r="PPK7" s="36"/>
      <c r="PPL7" s="36"/>
      <c r="PPM7" s="36"/>
      <c r="PPN7" s="36"/>
      <c r="PPO7" s="36"/>
      <c r="PPP7" s="36"/>
      <c r="PPQ7" s="36"/>
      <c r="PPR7" s="36"/>
      <c r="PPS7" s="36"/>
      <c r="PPT7" s="36"/>
      <c r="PPU7" s="36"/>
      <c r="PPV7" s="36"/>
      <c r="PPW7" s="36"/>
      <c r="PPX7" s="36"/>
      <c r="PPY7" s="36"/>
      <c r="PPZ7" s="36"/>
      <c r="PQA7" s="36"/>
      <c r="PQB7" s="36"/>
      <c r="PQC7" s="36"/>
      <c r="PQD7" s="36"/>
      <c r="PQE7" s="36"/>
      <c r="PQF7" s="36"/>
      <c r="PQG7" s="36"/>
      <c r="PQH7" s="36"/>
      <c r="PQI7" s="36"/>
      <c r="PQJ7" s="36"/>
      <c r="PQK7" s="36"/>
      <c r="PQL7" s="36"/>
      <c r="PQM7" s="36"/>
      <c r="PQN7" s="36"/>
      <c r="PQO7" s="36"/>
      <c r="PQP7" s="36"/>
      <c r="PQQ7" s="36"/>
      <c r="PQR7" s="36"/>
      <c r="PQS7" s="36"/>
      <c r="PQT7" s="36"/>
      <c r="PQU7" s="36"/>
      <c r="PQV7" s="36"/>
      <c r="PQW7" s="36"/>
      <c r="PQX7" s="36"/>
      <c r="PQY7" s="36"/>
      <c r="PQZ7" s="36"/>
      <c r="PRA7" s="36"/>
      <c r="PRB7" s="36"/>
      <c r="PRC7" s="36"/>
      <c r="PRD7" s="36"/>
      <c r="PRE7" s="36"/>
      <c r="PRF7" s="36"/>
      <c r="PRG7" s="36"/>
      <c r="PRH7" s="36"/>
      <c r="PRI7" s="36"/>
      <c r="PRJ7" s="36"/>
      <c r="PRK7" s="36"/>
      <c r="PRL7" s="36"/>
      <c r="PRM7" s="36"/>
      <c r="PRN7" s="36"/>
      <c r="PRO7" s="36"/>
      <c r="PRP7" s="36"/>
      <c r="PRQ7" s="36"/>
      <c r="PRR7" s="36"/>
      <c r="PRS7" s="36"/>
      <c r="PRT7" s="36"/>
      <c r="PRU7" s="36"/>
      <c r="PRV7" s="36"/>
      <c r="PRW7" s="36"/>
      <c r="PRX7" s="36"/>
      <c r="PRY7" s="36"/>
      <c r="PRZ7" s="36"/>
      <c r="PSA7" s="36"/>
      <c r="PSB7" s="36"/>
      <c r="PSC7" s="36"/>
      <c r="PSD7" s="36"/>
      <c r="PSE7" s="36"/>
      <c r="PSF7" s="36"/>
      <c r="PSG7" s="36"/>
      <c r="PSH7" s="36"/>
      <c r="PSI7" s="36"/>
      <c r="PSJ7" s="36"/>
      <c r="PSK7" s="36"/>
      <c r="PSL7" s="36"/>
      <c r="PSM7" s="36"/>
      <c r="PSN7" s="36"/>
      <c r="PSO7" s="36"/>
      <c r="PSP7" s="36"/>
      <c r="PSQ7" s="36"/>
      <c r="PSR7" s="36"/>
      <c r="PSS7" s="36"/>
      <c r="PST7" s="36"/>
      <c r="PSU7" s="36"/>
      <c r="PSV7" s="36"/>
      <c r="PSW7" s="36"/>
      <c r="PSX7" s="36"/>
      <c r="PSY7" s="36"/>
      <c r="PSZ7" s="36"/>
      <c r="PTA7" s="36"/>
      <c r="PTB7" s="36"/>
      <c r="PTC7" s="36"/>
      <c r="PTD7" s="36"/>
      <c r="PTE7" s="36"/>
      <c r="PTF7" s="36"/>
      <c r="PTG7" s="36"/>
      <c r="PTH7" s="36"/>
      <c r="PTI7" s="36"/>
      <c r="PTJ7" s="36"/>
      <c r="PTK7" s="36"/>
      <c r="PTL7" s="36"/>
      <c r="PTM7" s="36"/>
      <c r="PTN7" s="36"/>
      <c r="PTO7" s="36"/>
      <c r="PTP7" s="36"/>
      <c r="PTQ7" s="36"/>
      <c r="PTR7" s="36"/>
      <c r="PTS7" s="36"/>
      <c r="PTT7" s="36"/>
      <c r="PTU7" s="36"/>
      <c r="PTV7" s="36"/>
      <c r="PTW7" s="36"/>
      <c r="PTX7" s="36"/>
      <c r="PTY7" s="36"/>
      <c r="PTZ7" s="36"/>
      <c r="PUA7" s="36"/>
      <c r="PUB7" s="36"/>
      <c r="PUC7" s="36"/>
      <c r="PUD7" s="36"/>
      <c r="PUE7" s="36"/>
      <c r="PUF7" s="36"/>
      <c r="PUG7" s="36"/>
      <c r="PUH7" s="36"/>
      <c r="PUI7" s="36"/>
      <c r="PUJ7" s="36"/>
      <c r="PUK7" s="36"/>
      <c r="PUL7" s="36"/>
      <c r="PUM7" s="36"/>
      <c r="PUN7" s="36"/>
      <c r="PUO7" s="36"/>
      <c r="PUP7" s="36"/>
      <c r="PUQ7" s="36"/>
      <c r="PUR7" s="36"/>
      <c r="PUS7" s="36"/>
      <c r="PUT7" s="36"/>
      <c r="PUU7" s="36"/>
      <c r="PUV7" s="36"/>
      <c r="PUW7" s="36"/>
      <c r="PUX7" s="36"/>
      <c r="PUY7" s="36"/>
      <c r="PUZ7" s="36"/>
      <c r="PVA7" s="36"/>
      <c r="PVB7" s="36"/>
      <c r="PVC7" s="36"/>
      <c r="PVD7" s="36"/>
      <c r="PVE7" s="36"/>
      <c r="PVF7" s="36"/>
      <c r="PVG7" s="36"/>
      <c r="PVH7" s="36"/>
      <c r="PVI7" s="36"/>
      <c r="PVJ7" s="36"/>
      <c r="PVK7" s="36"/>
      <c r="PVL7" s="36"/>
      <c r="PVM7" s="36"/>
      <c r="PVN7" s="36"/>
      <c r="PVO7" s="36"/>
      <c r="PVP7" s="36"/>
      <c r="PVQ7" s="36"/>
      <c r="PVR7" s="36"/>
      <c r="PVS7" s="36"/>
      <c r="PVT7" s="36"/>
      <c r="PVU7" s="36"/>
      <c r="PVV7" s="36"/>
      <c r="PVW7" s="36"/>
      <c r="PVX7" s="36"/>
      <c r="PVY7" s="36"/>
      <c r="PVZ7" s="36"/>
      <c r="PWA7" s="36"/>
      <c r="PWB7" s="36"/>
      <c r="PWC7" s="36"/>
      <c r="PWD7" s="36"/>
      <c r="PWE7" s="36"/>
      <c r="PWF7" s="36"/>
      <c r="PWG7" s="36"/>
      <c r="PWH7" s="36"/>
      <c r="PWI7" s="36"/>
      <c r="PWJ7" s="36"/>
      <c r="PWK7" s="36"/>
      <c r="PWL7" s="36"/>
      <c r="PWM7" s="36"/>
      <c r="PWN7" s="36"/>
      <c r="PWO7" s="36"/>
      <c r="PWP7" s="36"/>
      <c r="PWQ7" s="36"/>
      <c r="PWR7" s="36"/>
      <c r="PWS7" s="36"/>
      <c r="PWT7" s="36"/>
      <c r="PWU7" s="36"/>
      <c r="PWV7" s="36"/>
      <c r="PWW7" s="36"/>
      <c r="PWX7" s="36"/>
      <c r="PWY7" s="36"/>
      <c r="PWZ7" s="36"/>
      <c r="PXA7" s="36"/>
      <c r="PXB7" s="36"/>
      <c r="PXC7" s="36"/>
      <c r="PXD7" s="36"/>
      <c r="PXE7" s="36"/>
      <c r="PXF7" s="36"/>
      <c r="PXG7" s="36"/>
      <c r="PXH7" s="36"/>
      <c r="PXI7" s="36"/>
      <c r="PXJ7" s="36"/>
      <c r="PXK7" s="36"/>
      <c r="PXL7" s="36"/>
      <c r="PXM7" s="36"/>
      <c r="PXN7" s="36"/>
      <c r="PXO7" s="36"/>
      <c r="PXP7" s="36"/>
      <c r="PXQ7" s="36"/>
      <c r="PXR7" s="36"/>
      <c r="PXS7" s="36"/>
      <c r="PXT7" s="36"/>
      <c r="PXU7" s="36"/>
      <c r="PXV7" s="36"/>
      <c r="PXW7" s="36"/>
      <c r="PXX7" s="36"/>
      <c r="PXY7" s="36"/>
      <c r="PXZ7" s="36"/>
      <c r="PYA7" s="36"/>
      <c r="PYB7" s="36"/>
      <c r="PYC7" s="36"/>
      <c r="PYD7" s="36"/>
      <c r="PYE7" s="36"/>
      <c r="PYF7" s="36"/>
      <c r="PYG7" s="36"/>
      <c r="PYH7" s="36"/>
      <c r="PYI7" s="36"/>
      <c r="PYJ7" s="36"/>
      <c r="PYK7" s="36"/>
      <c r="PYL7" s="36"/>
      <c r="PYM7" s="36"/>
      <c r="PYN7" s="36"/>
      <c r="PYO7" s="36"/>
      <c r="PYP7" s="36"/>
      <c r="PYQ7" s="36"/>
      <c r="PYR7" s="36"/>
      <c r="PYS7" s="36"/>
      <c r="PYT7" s="36"/>
      <c r="PYU7" s="36"/>
      <c r="PYV7" s="36"/>
      <c r="PYW7" s="36"/>
      <c r="PYX7" s="36"/>
      <c r="PYY7" s="36"/>
      <c r="PYZ7" s="36"/>
      <c r="PZA7" s="36"/>
      <c r="PZB7" s="36"/>
      <c r="PZC7" s="36"/>
      <c r="PZD7" s="36"/>
      <c r="PZE7" s="36"/>
      <c r="PZF7" s="36"/>
      <c r="PZG7" s="36"/>
      <c r="PZH7" s="36"/>
      <c r="PZI7" s="36"/>
      <c r="PZJ7" s="36"/>
      <c r="PZK7" s="36"/>
      <c r="PZL7" s="36"/>
      <c r="PZM7" s="36"/>
      <c r="PZN7" s="36"/>
      <c r="PZO7" s="36"/>
      <c r="PZP7" s="36"/>
      <c r="PZQ7" s="36"/>
      <c r="PZR7" s="36"/>
      <c r="PZS7" s="36"/>
      <c r="PZT7" s="36"/>
      <c r="PZU7" s="36"/>
      <c r="PZV7" s="36"/>
      <c r="PZW7" s="36"/>
      <c r="PZX7" s="36"/>
      <c r="PZY7" s="36"/>
      <c r="PZZ7" s="36"/>
      <c r="QAA7" s="36"/>
      <c r="QAB7" s="36"/>
      <c r="QAC7" s="36"/>
      <c r="QAD7" s="36"/>
      <c r="QAE7" s="36"/>
      <c r="QAF7" s="36"/>
      <c r="QAG7" s="36"/>
      <c r="QAH7" s="36"/>
      <c r="QAI7" s="36"/>
      <c r="QAJ7" s="36"/>
      <c r="QAK7" s="36"/>
      <c r="QAL7" s="36"/>
      <c r="QAM7" s="36"/>
      <c r="QAN7" s="36"/>
      <c r="QAO7" s="36"/>
      <c r="QAP7" s="36"/>
      <c r="QAQ7" s="36"/>
      <c r="QAR7" s="36"/>
      <c r="QAS7" s="36"/>
      <c r="QAT7" s="36"/>
      <c r="QAU7" s="36"/>
      <c r="QAV7" s="36"/>
      <c r="QAW7" s="36"/>
      <c r="QAX7" s="36"/>
      <c r="QAY7" s="36"/>
      <c r="QAZ7" s="36"/>
      <c r="QBA7" s="36"/>
      <c r="QBB7" s="36"/>
      <c r="QBC7" s="36"/>
      <c r="QBD7" s="36"/>
      <c r="QBE7" s="36"/>
      <c r="QBF7" s="36"/>
      <c r="QBG7" s="36"/>
      <c r="QBH7" s="36"/>
      <c r="QBI7" s="36"/>
      <c r="QBJ7" s="36"/>
      <c r="QBK7" s="36"/>
      <c r="QBL7" s="36"/>
      <c r="QBM7" s="36"/>
      <c r="QBN7" s="36"/>
      <c r="QBO7" s="36"/>
      <c r="QBP7" s="36"/>
      <c r="QBQ7" s="36"/>
      <c r="QBR7" s="36"/>
      <c r="QBS7" s="36"/>
      <c r="QBT7" s="36"/>
      <c r="QBU7" s="36"/>
      <c r="QBV7" s="36"/>
      <c r="QBW7" s="36"/>
      <c r="QBX7" s="36"/>
      <c r="QBY7" s="36"/>
      <c r="QBZ7" s="36"/>
      <c r="QCA7" s="36"/>
      <c r="QCB7" s="36"/>
      <c r="QCC7" s="36"/>
      <c r="QCD7" s="36"/>
      <c r="QCE7" s="36"/>
      <c r="QCF7" s="36"/>
      <c r="QCG7" s="36"/>
      <c r="QCH7" s="36"/>
      <c r="QCI7" s="36"/>
      <c r="QCJ7" s="36"/>
      <c r="QCK7" s="36"/>
      <c r="QCL7" s="36"/>
      <c r="QCM7" s="36"/>
      <c r="QCN7" s="36"/>
      <c r="QCO7" s="36"/>
      <c r="QCP7" s="36"/>
      <c r="QCQ7" s="36"/>
      <c r="QCR7" s="36"/>
      <c r="QCS7" s="36"/>
      <c r="QCT7" s="36"/>
      <c r="QCU7" s="36"/>
      <c r="QCV7" s="36"/>
      <c r="QCW7" s="36"/>
      <c r="QCX7" s="36"/>
      <c r="QCY7" s="36"/>
      <c r="QCZ7" s="36"/>
      <c r="QDA7" s="36"/>
      <c r="QDB7" s="36"/>
      <c r="QDC7" s="36"/>
      <c r="QDD7" s="36"/>
      <c r="QDE7" s="36"/>
      <c r="QDF7" s="36"/>
      <c r="QDG7" s="36"/>
      <c r="QDH7" s="36"/>
      <c r="QDI7" s="36"/>
      <c r="QDJ7" s="36"/>
      <c r="QDK7" s="36"/>
      <c r="QDL7" s="36"/>
      <c r="QDM7" s="36"/>
      <c r="QDN7" s="36"/>
      <c r="QDO7" s="36"/>
      <c r="QDP7" s="36"/>
      <c r="QDQ7" s="36"/>
      <c r="QDR7" s="36"/>
      <c r="QDS7" s="36"/>
      <c r="QDT7" s="36"/>
      <c r="QDU7" s="36"/>
      <c r="QDV7" s="36"/>
      <c r="QDW7" s="36"/>
      <c r="QDX7" s="36"/>
      <c r="QDY7" s="36"/>
      <c r="QDZ7" s="36"/>
      <c r="QEA7" s="36"/>
      <c r="QEB7" s="36"/>
      <c r="QEC7" s="36"/>
      <c r="QED7" s="36"/>
      <c r="QEE7" s="36"/>
      <c r="QEF7" s="36"/>
      <c r="QEG7" s="36"/>
      <c r="QEH7" s="36"/>
      <c r="QEI7" s="36"/>
      <c r="QEJ7" s="36"/>
      <c r="QEK7" s="36"/>
      <c r="QEL7" s="36"/>
      <c r="QEM7" s="36"/>
      <c r="QEN7" s="36"/>
      <c r="QEO7" s="36"/>
      <c r="QEP7" s="36"/>
      <c r="QEQ7" s="36"/>
      <c r="QER7" s="36"/>
      <c r="QES7" s="36"/>
      <c r="QET7" s="36"/>
      <c r="QEU7" s="36"/>
      <c r="QEV7" s="36"/>
      <c r="QEW7" s="36"/>
      <c r="QEX7" s="36"/>
      <c r="QEY7" s="36"/>
      <c r="QEZ7" s="36"/>
      <c r="QFA7" s="36"/>
      <c r="QFB7" s="36"/>
      <c r="QFC7" s="36"/>
      <c r="QFD7" s="36"/>
      <c r="QFE7" s="36"/>
      <c r="QFF7" s="36"/>
      <c r="QFG7" s="36"/>
      <c r="QFH7" s="36"/>
      <c r="QFI7" s="36"/>
      <c r="QFJ7" s="36"/>
      <c r="QFK7" s="36"/>
      <c r="QFL7" s="36"/>
      <c r="QFM7" s="36"/>
      <c r="QFN7" s="36"/>
      <c r="QFO7" s="36"/>
      <c r="QFP7" s="36"/>
      <c r="QFQ7" s="36"/>
      <c r="QFR7" s="36"/>
      <c r="QFS7" s="36"/>
      <c r="QFT7" s="36"/>
      <c r="QFU7" s="36"/>
      <c r="QFV7" s="36"/>
      <c r="QFW7" s="36"/>
      <c r="QFX7" s="36"/>
      <c r="QFY7" s="36"/>
      <c r="QFZ7" s="36"/>
      <c r="QGA7" s="36"/>
      <c r="QGB7" s="36"/>
      <c r="QGC7" s="36"/>
      <c r="QGD7" s="36"/>
      <c r="QGE7" s="36"/>
      <c r="QGF7" s="36"/>
      <c r="QGG7" s="36"/>
      <c r="QGH7" s="36"/>
      <c r="QGI7" s="36"/>
      <c r="QGJ7" s="36"/>
      <c r="QGK7" s="36"/>
      <c r="QGL7" s="36"/>
      <c r="QGM7" s="36"/>
      <c r="QGN7" s="36"/>
      <c r="QGO7" s="36"/>
      <c r="QGP7" s="36"/>
      <c r="QGQ7" s="36"/>
      <c r="QGR7" s="36"/>
      <c r="QGS7" s="36"/>
      <c r="QGT7" s="36"/>
      <c r="QGU7" s="36"/>
      <c r="QGV7" s="36"/>
      <c r="QGW7" s="36"/>
      <c r="QGX7" s="36"/>
      <c r="QGY7" s="36"/>
      <c r="QGZ7" s="36"/>
      <c r="QHA7" s="36"/>
      <c r="QHB7" s="36"/>
      <c r="QHC7" s="36"/>
      <c r="QHD7" s="36"/>
      <c r="QHE7" s="36"/>
      <c r="QHF7" s="36"/>
      <c r="QHG7" s="36"/>
      <c r="QHH7" s="36"/>
      <c r="QHI7" s="36"/>
      <c r="QHJ7" s="36"/>
      <c r="QHK7" s="36"/>
      <c r="QHL7" s="36"/>
      <c r="QHM7" s="36"/>
      <c r="QHN7" s="36"/>
      <c r="QHO7" s="36"/>
      <c r="QHP7" s="36"/>
      <c r="QHQ7" s="36"/>
      <c r="QHR7" s="36"/>
      <c r="QHS7" s="36"/>
      <c r="QHT7" s="36"/>
      <c r="QHU7" s="36"/>
      <c r="QHV7" s="36"/>
      <c r="QHW7" s="36"/>
      <c r="QHX7" s="36"/>
      <c r="QHY7" s="36"/>
      <c r="QHZ7" s="36"/>
      <c r="QIA7" s="36"/>
      <c r="QIB7" s="36"/>
      <c r="QIC7" s="36"/>
      <c r="QID7" s="36"/>
      <c r="QIE7" s="36"/>
      <c r="QIF7" s="36"/>
      <c r="QIG7" s="36"/>
      <c r="QIH7" s="36"/>
      <c r="QII7" s="36"/>
      <c r="QIJ7" s="36"/>
      <c r="QIK7" s="36"/>
      <c r="QIL7" s="36"/>
      <c r="QIM7" s="36"/>
      <c r="QIN7" s="36"/>
      <c r="QIO7" s="36"/>
      <c r="QIP7" s="36"/>
      <c r="QIQ7" s="36"/>
      <c r="QIR7" s="36"/>
      <c r="QIS7" s="36"/>
      <c r="QIT7" s="36"/>
      <c r="QIU7" s="36"/>
      <c r="QIV7" s="36"/>
      <c r="QIW7" s="36"/>
      <c r="QIX7" s="36"/>
      <c r="QIY7" s="36"/>
      <c r="QIZ7" s="36"/>
      <c r="QJA7" s="36"/>
      <c r="QJB7" s="36"/>
      <c r="QJC7" s="36"/>
      <c r="QJD7" s="36"/>
      <c r="QJE7" s="36"/>
      <c r="QJF7" s="36"/>
      <c r="QJG7" s="36"/>
      <c r="QJH7" s="36"/>
      <c r="QJI7" s="36"/>
      <c r="QJJ7" s="36"/>
      <c r="QJK7" s="36"/>
      <c r="QJL7" s="36"/>
      <c r="QJM7" s="36"/>
      <c r="QJN7" s="36"/>
      <c r="QJO7" s="36"/>
      <c r="QJP7" s="36"/>
      <c r="QJQ7" s="36"/>
      <c r="QJR7" s="36"/>
      <c r="QJS7" s="36"/>
      <c r="QJT7" s="36"/>
      <c r="QJU7" s="36"/>
      <c r="QJV7" s="36"/>
      <c r="QJW7" s="36"/>
      <c r="QJX7" s="36"/>
      <c r="QJY7" s="36"/>
      <c r="QJZ7" s="36"/>
      <c r="QKA7" s="36"/>
      <c r="QKB7" s="36"/>
      <c r="QKC7" s="36"/>
      <c r="QKD7" s="36"/>
      <c r="QKE7" s="36"/>
      <c r="QKF7" s="36"/>
      <c r="QKG7" s="36"/>
      <c r="QKH7" s="36"/>
      <c r="QKI7" s="36"/>
      <c r="QKJ7" s="36"/>
      <c r="QKK7" s="36"/>
      <c r="QKL7" s="36"/>
      <c r="QKM7" s="36"/>
      <c r="QKN7" s="36"/>
      <c r="QKO7" s="36"/>
      <c r="QKP7" s="36"/>
      <c r="QKQ7" s="36"/>
      <c r="QKR7" s="36"/>
      <c r="QKS7" s="36"/>
      <c r="QKT7" s="36"/>
      <c r="QKU7" s="36"/>
      <c r="QKV7" s="36"/>
      <c r="QKW7" s="36"/>
      <c r="QKX7" s="36"/>
      <c r="QKY7" s="36"/>
      <c r="QKZ7" s="36"/>
      <c r="QLA7" s="36"/>
      <c r="QLB7" s="36"/>
      <c r="QLC7" s="36"/>
      <c r="QLD7" s="36"/>
      <c r="QLE7" s="36"/>
      <c r="QLF7" s="36"/>
      <c r="QLG7" s="36"/>
      <c r="QLH7" s="36"/>
      <c r="QLI7" s="36"/>
      <c r="QLJ7" s="36"/>
      <c r="QLK7" s="36"/>
      <c r="QLL7" s="36"/>
      <c r="QLM7" s="36"/>
      <c r="QLN7" s="36"/>
      <c r="QLO7" s="36"/>
      <c r="QLP7" s="36"/>
      <c r="QLQ7" s="36"/>
      <c r="QLR7" s="36"/>
      <c r="QLS7" s="36"/>
      <c r="QLT7" s="36"/>
      <c r="QLU7" s="36"/>
      <c r="QLV7" s="36"/>
      <c r="QLW7" s="36"/>
      <c r="QLX7" s="36"/>
      <c r="QLY7" s="36"/>
      <c r="QLZ7" s="36"/>
      <c r="QMA7" s="36"/>
      <c r="QMB7" s="36"/>
      <c r="QMC7" s="36"/>
      <c r="QMD7" s="36"/>
      <c r="QME7" s="36"/>
      <c r="QMF7" s="36"/>
      <c r="QMG7" s="36"/>
      <c r="QMH7" s="36"/>
      <c r="QMI7" s="36"/>
      <c r="QMJ7" s="36"/>
      <c r="QMK7" s="36"/>
      <c r="QML7" s="36"/>
      <c r="QMM7" s="36"/>
      <c r="QMN7" s="36"/>
      <c r="QMO7" s="36"/>
      <c r="QMP7" s="36"/>
      <c r="QMQ7" s="36"/>
      <c r="QMR7" s="36"/>
      <c r="QMS7" s="36"/>
      <c r="QMT7" s="36"/>
      <c r="QMU7" s="36"/>
      <c r="QMV7" s="36"/>
      <c r="QMW7" s="36"/>
      <c r="QMX7" s="36"/>
      <c r="QMY7" s="36"/>
      <c r="QMZ7" s="36"/>
      <c r="QNA7" s="36"/>
      <c r="QNB7" s="36"/>
      <c r="QNC7" s="36"/>
      <c r="QND7" s="36"/>
      <c r="QNE7" s="36"/>
      <c r="QNF7" s="36"/>
      <c r="QNG7" s="36"/>
      <c r="QNH7" s="36"/>
      <c r="QNI7" s="36"/>
      <c r="QNJ7" s="36"/>
      <c r="QNK7" s="36"/>
      <c r="QNL7" s="36"/>
      <c r="QNM7" s="36"/>
      <c r="QNN7" s="36"/>
      <c r="QNO7" s="36"/>
      <c r="QNP7" s="36"/>
      <c r="QNQ7" s="36"/>
      <c r="QNR7" s="36"/>
      <c r="QNS7" s="36"/>
      <c r="QNT7" s="36"/>
      <c r="QNU7" s="36"/>
      <c r="QNV7" s="36"/>
      <c r="QNW7" s="36"/>
      <c r="QNX7" s="36"/>
      <c r="QNY7" s="36"/>
      <c r="QNZ7" s="36"/>
      <c r="QOA7" s="36"/>
      <c r="QOB7" s="36"/>
      <c r="QOC7" s="36"/>
      <c r="QOD7" s="36"/>
      <c r="QOE7" s="36"/>
      <c r="QOF7" s="36"/>
      <c r="QOG7" s="36"/>
      <c r="QOH7" s="36"/>
      <c r="QOI7" s="36"/>
      <c r="QOJ7" s="36"/>
      <c r="QOK7" s="36"/>
      <c r="QOL7" s="36"/>
      <c r="QOM7" s="36"/>
      <c r="QON7" s="36"/>
      <c r="QOO7" s="36"/>
      <c r="QOP7" s="36"/>
      <c r="QOQ7" s="36"/>
      <c r="QOR7" s="36"/>
      <c r="QOS7" s="36"/>
      <c r="QOT7" s="36"/>
      <c r="QOU7" s="36"/>
      <c r="QOV7" s="36"/>
      <c r="QOW7" s="36"/>
      <c r="QOX7" s="36"/>
      <c r="QOY7" s="36"/>
      <c r="QOZ7" s="36"/>
      <c r="QPA7" s="36"/>
      <c r="QPB7" s="36"/>
      <c r="QPC7" s="36"/>
      <c r="QPD7" s="36"/>
      <c r="QPE7" s="36"/>
      <c r="QPF7" s="36"/>
      <c r="QPG7" s="36"/>
      <c r="QPH7" s="36"/>
      <c r="QPI7" s="36"/>
      <c r="QPJ7" s="36"/>
      <c r="QPK7" s="36"/>
      <c r="QPL7" s="36"/>
      <c r="QPM7" s="36"/>
      <c r="QPN7" s="36"/>
      <c r="QPO7" s="36"/>
      <c r="QPP7" s="36"/>
      <c r="QPQ7" s="36"/>
      <c r="QPR7" s="36"/>
      <c r="QPS7" s="36"/>
      <c r="QPT7" s="36"/>
      <c r="QPU7" s="36"/>
      <c r="QPV7" s="36"/>
      <c r="QPW7" s="36"/>
      <c r="QPX7" s="36"/>
      <c r="QPY7" s="36"/>
      <c r="QPZ7" s="36"/>
      <c r="QQA7" s="36"/>
      <c r="QQB7" s="36"/>
      <c r="QQC7" s="36"/>
      <c r="QQD7" s="36"/>
      <c r="QQE7" s="36"/>
      <c r="QQF7" s="36"/>
      <c r="QQG7" s="36"/>
      <c r="QQH7" s="36"/>
      <c r="QQI7" s="36"/>
      <c r="QQJ7" s="36"/>
      <c r="QQK7" s="36"/>
      <c r="QQL7" s="36"/>
      <c r="QQM7" s="36"/>
      <c r="QQN7" s="36"/>
      <c r="QQO7" s="36"/>
      <c r="QQP7" s="36"/>
      <c r="QQQ7" s="36"/>
      <c r="QQR7" s="36"/>
      <c r="QQS7" s="36"/>
      <c r="QQT7" s="36"/>
      <c r="QQU7" s="36"/>
      <c r="QQV7" s="36"/>
      <c r="QQW7" s="36"/>
      <c r="QQX7" s="36"/>
      <c r="QQY7" s="36"/>
      <c r="QQZ7" s="36"/>
      <c r="QRA7" s="36"/>
      <c r="QRB7" s="36"/>
      <c r="QRC7" s="36"/>
      <c r="QRD7" s="36"/>
      <c r="QRE7" s="36"/>
      <c r="QRF7" s="36"/>
      <c r="QRG7" s="36"/>
      <c r="QRH7" s="36"/>
      <c r="QRI7" s="36"/>
      <c r="QRJ7" s="36"/>
      <c r="QRK7" s="36"/>
      <c r="QRL7" s="36"/>
      <c r="QRM7" s="36"/>
      <c r="QRN7" s="36"/>
      <c r="QRO7" s="36"/>
      <c r="QRP7" s="36"/>
      <c r="QRQ7" s="36"/>
      <c r="QRR7" s="36"/>
      <c r="QRS7" s="36"/>
      <c r="QRT7" s="36"/>
      <c r="QRU7" s="36"/>
      <c r="QRV7" s="36"/>
      <c r="QRW7" s="36"/>
      <c r="QRX7" s="36"/>
      <c r="QRY7" s="36"/>
      <c r="QRZ7" s="36"/>
      <c r="QSA7" s="36"/>
      <c r="QSB7" s="36"/>
      <c r="QSC7" s="36"/>
      <c r="QSD7" s="36"/>
      <c r="QSE7" s="36"/>
      <c r="QSF7" s="36"/>
      <c r="QSG7" s="36"/>
      <c r="QSH7" s="36"/>
      <c r="QSI7" s="36"/>
      <c r="QSJ7" s="36"/>
      <c r="QSK7" s="36"/>
      <c r="QSL7" s="36"/>
      <c r="QSM7" s="36"/>
      <c r="QSN7" s="36"/>
      <c r="QSO7" s="36"/>
      <c r="QSP7" s="36"/>
      <c r="QSQ7" s="36"/>
      <c r="QSR7" s="36"/>
      <c r="QSS7" s="36"/>
      <c r="QST7" s="36"/>
      <c r="QSU7" s="36"/>
      <c r="QSV7" s="36"/>
      <c r="QSW7" s="36"/>
      <c r="QSX7" s="36"/>
      <c r="QSY7" s="36"/>
      <c r="QSZ7" s="36"/>
      <c r="QTA7" s="36"/>
      <c r="QTB7" s="36"/>
      <c r="QTC7" s="36"/>
      <c r="QTD7" s="36"/>
      <c r="QTE7" s="36"/>
      <c r="QTF7" s="36"/>
      <c r="QTG7" s="36"/>
      <c r="QTH7" s="36"/>
      <c r="QTI7" s="36"/>
      <c r="QTJ7" s="36"/>
      <c r="QTK7" s="36"/>
      <c r="QTL7" s="36"/>
      <c r="QTM7" s="36"/>
      <c r="QTN7" s="36"/>
      <c r="QTO7" s="36"/>
      <c r="QTP7" s="36"/>
      <c r="QTQ7" s="36"/>
      <c r="QTR7" s="36"/>
      <c r="QTS7" s="36"/>
      <c r="QTT7" s="36"/>
      <c r="QTU7" s="36"/>
      <c r="QTV7" s="36"/>
      <c r="QTW7" s="36"/>
      <c r="QTX7" s="36"/>
      <c r="QTY7" s="36"/>
      <c r="QTZ7" s="36"/>
      <c r="QUA7" s="36"/>
      <c r="QUB7" s="36"/>
      <c r="QUC7" s="36"/>
      <c r="QUD7" s="36"/>
      <c r="QUE7" s="36"/>
      <c r="QUF7" s="36"/>
      <c r="QUG7" s="36"/>
      <c r="QUH7" s="36"/>
      <c r="QUI7" s="36"/>
      <c r="QUJ7" s="36"/>
      <c r="QUK7" s="36"/>
      <c r="QUL7" s="36"/>
      <c r="QUM7" s="36"/>
      <c r="QUN7" s="36"/>
      <c r="QUO7" s="36"/>
      <c r="QUP7" s="36"/>
      <c r="QUQ7" s="36"/>
      <c r="QUR7" s="36"/>
      <c r="QUS7" s="36"/>
      <c r="QUT7" s="36"/>
      <c r="QUU7" s="36"/>
      <c r="QUV7" s="36"/>
      <c r="QUW7" s="36"/>
      <c r="QUX7" s="36"/>
      <c r="QUY7" s="36"/>
      <c r="QUZ7" s="36"/>
      <c r="QVA7" s="36"/>
      <c r="QVB7" s="36"/>
      <c r="QVC7" s="36"/>
      <c r="QVD7" s="36"/>
      <c r="QVE7" s="36"/>
      <c r="QVF7" s="36"/>
      <c r="QVG7" s="36"/>
      <c r="QVH7" s="36"/>
      <c r="QVI7" s="36"/>
      <c r="QVJ7" s="36"/>
      <c r="QVK7" s="36"/>
      <c r="QVL7" s="36"/>
      <c r="QVM7" s="36"/>
      <c r="QVN7" s="36"/>
      <c r="QVO7" s="36"/>
      <c r="QVP7" s="36"/>
      <c r="QVQ7" s="36"/>
      <c r="QVR7" s="36"/>
      <c r="QVS7" s="36"/>
      <c r="QVT7" s="36"/>
      <c r="QVU7" s="36"/>
      <c r="QVV7" s="36"/>
      <c r="QVW7" s="36"/>
      <c r="QVX7" s="36"/>
      <c r="QVY7" s="36"/>
      <c r="QVZ7" s="36"/>
      <c r="QWA7" s="36"/>
      <c r="QWB7" s="36"/>
      <c r="QWC7" s="36"/>
      <c r="QWD7" s="36"/>
      <c r="QWE7" s="36"/>
      <c r="QWF7" s="36"/>
      <c r="QWG7" s="36"/>
      <c r="QWH7" s="36"/>
      <c r="QWI7" s="36"/>
      <c r="QWJ7" s="36"/>
      <c r="QWK7" s="36"/>
      <c r="QWL7" s="36"/>
      <c r="QWM7" s="36"/>
      <c r="QWN7" s="36"/>
      <c r="QWO7" s="36"/>
      <c r="QWP7" s="36"/>
      <c r="QWQ7" s="36"/>
      <c r="QWR7" s="36"/>
      <c r="QWS7" s="36"/>
      <c r="QWT7" s="36"/>
      <c r="QWU7" s="36"/>
      <c r="QWV7" s="36"/>
      <c r="QWW7" s="36"/>
      <c r="QWX7" s="36"/>
      <c r="QWY7" s="36"/>
      <c r="QWZ7" s="36"/>
      <c r="QXA7" s="36"/>
      <c r="QXB7" s="36"/>
      <c r="QXC7" s="36"/>
      <c r="QXD7" s="36"/>
      <c r="QXE7" s="36"/>
      <c r="QXF7" s="36"/>
      <c r="QXG7" s="36"/>
      <c r="QXH7" s="36"/>
      <c r="QXI7" s="36"/>
      <c r="QXJ7" s="36"/>
      <c r="QXK7" s="36"/>
      <c r="QXL7" s="36"/>
      <c r="QXM7" s="36"/>
      <c r="QXN7" s="36"/>
      <c r="QXO7" s="36"/>
      <c r="QXP7" s="36"/>
      <c r="QXQ7" s="36"/>
      <c r="QXR7" s="36"/>
      <c r="QXS7" s="36"/>
      <c r="QXT7" s="36"/>
      <c r="QXU7" s="36"/>
      <c r="QXV7" s="36"/>
      <c r="QXW7" s="36"/>
      <c r="QXX7" s="36"/>
      <c r="QXY7" s="36"/>
      <c r="QXZ7" s="36"/>
      <c r="QYA7" s="36"/>
      <c r="QYB7" s="36"/>
      <c r="QYC7" s="36"/>
      <c r="QYD7" s="36"/>
      <c r="QYE7" s="36"/>
      <c r="QYF7" s="36"/>
      <c r="QYG7" s="36"/>
      <c r="QYH7" s="36"/>
      <c r="QYI7" s="36"/>
      <c r="QYJ7" s="36"/>
      <c r="QYK7" s="36"/>
      <c r="QYL7" s="36"/>
      <c r="QYM7" s="36"/>
      <c r="QYN7" s="36"/>
      <c r="QYO7" s="36"/>
      <c r="QYP7" s="36"/>
      <c r="QYQ7" s="36"/>
      <c r="QYR7" s="36"/>
      <c r="QYS7" s="36"/>
      <c r="QYT7" s="36"/>
      <c r="QYU7" s="36"/>
      <c r="QYV7" s="36"/>
      <c r="QYW7" s="36"/>
      <c r="QYX7" s="36"/>
      <c r="QYY7" s="36"/>
      <c r="QYZ7" s="36"/>
      <c r="QZA7" s="36"/>
      <c r="QZB7" s="36"/>
      <c r="QZC7" s="36"/>
      <c r="QZD7" s="36"/>
      <c r="QZE7" s="36"/>
      <c r="QZF7" s="36"/>
      <c r="QZG7" s="36"/>
      <c r="QZH7" s="36"/>
      <c r="QZI7" s="36"/>
      <c r="QZJ7" s="36"/>
      <c r="QZK7" s="36"/>
      <c r="QZL7" s="36"/>
      <c r="QZM7" s="36"/>
      <c r="QZN7" s="36"/>
      <c r="QZO7" s="36"/>
      <c r="QZP7" s="36"/>
      <c r="QZQ7" s="36"/>
      <c r="QZR7" s="36"/>
      <c r="QZS7" s="36"/>
      <c r="QZT7" s="36"/>
      <c r="QZU7" s="36"/>
      <c r="QZV7" s="36"/>
      <c r="QZW7" s="36"/>
      <c r="QZX7" s="36"/>
      <c r="QZY7" s="36"/>
      <c r="QZZ7" s="36"/>
      <c r="RAA7" s="36"/>
      <c r="RAB7" s="36"/>
      <c r="RAC7" s="36"/>
      <c r="RAD7" s="36"/>
      <c r="RAE7" s="36"/>
      <c r="RAF7" s="36"/>
      <c r="RAG7" s="36"/>
      <c r="RAH7" s="36"/>
      <c r="RAI7" s="36"/>
      <c r="RAJ7" s="36"/>
      <c r="RAK7" s="36"/>
      <c r="RAL7" s="36"/>
      <c r="RAM7" s="36"/>
      <c r="RAN7" s="36"/>
      <c r="RAO7" s="36"/>
      <c r="RAP7" s="36"/>
      <c r="RAQ7" s="36"/>
      <c r="RAR7" s="36"/>
      <c r="RAS7" s="36"/>
      <c r="RAT7" s="36"/>
      <c r="RAU7" s="36"/>
      <c r="RAV7" s="36"/>
      <c r="RAW7" s="36"/>
      <c r="RAX7" s="36"/>
      <c r="RAY7" s="36"/>
      <c r="RAZ7" s="36"/>
      <c r="RBA7" s="36"/>
      <c r="RBB7" s="36"/>
      <c r="RBC7" s="36"/>
      <c r="RBD7" s="36"/>
      <c r="RBE7" s="36"/>
      <c r="RBF7" s="36"/>
      <c r="RBG7" s="36"/>
      <c r="RBH7" s="36"/>
      <c r="RBI7" s="36"/>
      <c r="RBJ7" s="36"/>
      <c r="RBK7" s="36"/>
      <c r="RBL7" s="36"/>
      <c r="RBM7" s="36"/>
      <c r="RBN7" s="36"/>
      <c r="RBO7" s="36"/>
      <c r="RBP7" s="36"/>
      <c r="RBQ7" s="36"/>
      <c r="RBR7" s="36"/>
      <c r="RBS7" s="36"/>
      <c r="RBT7" s="36"/>
      <c r="RBU7" s="36"/>
      <c r="RBV7" s="36"/>
      <c r="RBW7" s="36"/>
      <c r="RBX7" s="36"/>
      <c r="RBY7" s="36"/>
      <c r="RBZ7" s="36"/>
      <c r="RCA7" s="36"/>
      <c r="RCB7" s="36"/>
      <c r="RCC7" s="36"/>
      <c r="RCD7" s="36"/>
      <c r="RCE7" s="36"/>
      <c r="RCF7" s="36"/>
      <c r="RCG7" s="36"/>
      <c r="RCH7" s="36"/>
      <c r="RCI7" s="36"/>
      <c r="RCJ7" s="36"/>
      <c r="RCK7" s="36"/>
      <c r="RCL7" s="36"/>
      <c r="RCM7" s="36"/>
      <c r="RCN7" s="36"/>
      <c r="RCO7" s="36"/>
      <c r="RCP7" s="36"/>
      <c r="RCQ7" s="36"/>
      <c r="RCR7" s="36"/>
      <c r="RCS7" s="36"/>
      <c r="RCT7" s="36"/>
      <c r="RCU7" s="36"/>
      <c r="RCV7" s="36"/>
      <c r="RCW7" s="36"/>
      <c r="RCX7" s="36"/>
      <c r="RCY7" s="36"/>
      <c r="RCZ7" s="36"/>
      <c r="RDA7" s="36"/>
      <c r="RDB7" s="36"/>
      <c r="RDC7" s="36"/>
      <c r="RDD7" s="36"/>
      <c r="RDE7" s="36"/>
      <c r="RDF7" s="36"/>
      <c r="RDG7" s="36"/>
      <c r="RDH7" s="36"/>
      <c r="RDI7" s="36"/>
      <c r="RDJ7" s="36"/>
      <c r="RDK7" s="36"/>
      <c r="RDL7" s="36"/>
      <c r="RDM7" s="36"/>
      <c r="RDN7" s="36"/>
      <c r="RDO7" s="36"/>
      <c r="RDP7" s="36"/>
      <c r="RDQ7" s="36"/>
      <c r="RDR7" s="36"/>
      <c r="RDS7" s="36"/>
      <c r="RDT7" s="36"/>
      <c r="RDU7" s="36"/>
      <c r="RDV7" s="36"/>
      <c r="RDW7" s="36"/>
      <c r="RDX7" s="36"/>
      <c r="RDY7" s="36"/>
      <c r="RDZ7" s="36"/>
      <c r="REA7" s="36"/>
      <c r="REB7" s="36"/>
      <c r="REC7" s="36"/>
      <c r="RED7" s="36"/>
      <c r="REE7" s="36"/>
      <c r="REF7" s="36"/>
      <c r="REG7" s="36"/>
      <c r="REH7" s="36"/>
      <c r="REI7" s="36"/>
      <c r="REJ7" s="36"/>
      <c r="REK7" s="36"/>
      <c r="REL7" s="36"/>
      <c r="REM7" s="36"/>
      <c r="REN7" s="36"/>
      <c r="REO7" s="36"/>
      <c r="REP7" s="36"/>
      <c r="REQ7" s="36"/>
      <c r="RER7" s="36"/>
      <c r="RES7" s="36"/>
      <c r="RET7" s="36"/>
      <c r="REU7" s="36"/>
      <c r="REV7" s="36"/>
      <c r="REW7" s="36"/>
      <c r="REX7" s="36"/>
      <c r="REY7" s="36"/>
      <c r="REZ7" s="36"/>
      <c r="RFA7" s="36"/>
      <c r="RFB7" s="36"/>
      <c r="RFC7" s="36"/>
      <c r="RFD7" s="36"/>
      <c r="RFE7" s="36"/>
      <c r="RFF7" s="36"/>
      <c r="RFG7" s="36"/>
      <c r="RFH7" s="36"/>
      <c r="RFI7" s="36"/>
      <c r="RFJ7" s="36"/>
      <c r="RFK7" s="36"/>
      <c r="RFL7" s="36"/>
      <c r="RFM7" s="36"/>
      <c r="RFN7" s="36"/>
      <c r="RFO7" s="36"/>
      <c r="RFP7" s="36"/>
      <c r="RFQ7" s="36"/>
      <c r="RFR7" s="36"/>
      <c r="RFS7" s="36"/>
      <c r="RFT7" s="36"/>
      <c r="RFU7" s="36"/>
      <c r="RFV7" s="36"/>
      <c r="RFW7" s="36"/>
      <c r="RFX7" s="36"/>
      <c r="RFY7" s="36"/>
      <c r="RFZ7" s="36"/>
      <c r="RGA7" s="36"/>
      <c r="RGB7" s="36"/>
      <c r="RGC7" s="36"/>
      <c r="RGD7" s="36"/>
      <c r="RGE7" s="36"/>
      <c r="RGF7" s="36"/>
      <c r="RGG7" s="36"/>
      <c r="RGH7" s="36"/>
      <c r="RGI7" s="36"/>
      <c r="RGJ7" s="36"/>
      <c r="RGK7" s="36"/>
      <c r="RGL7" s="36"/>
      <c r="RGM7" s="36"/>
      <c r="RGN7" s="36"/>
      <c r="RGO7" s="36"/>
      <c r="RGP7" s="36"/>
      <c r="RGQ7" s="36"/>
      <c r="RGR7" s="36"/>
      <c r="RGS7" s="36"/>
      <c r="RGT7" s="36"/>
      <c r="RGU7" s="36"/>
      <c r="RGV7" s="36"/>
      <c r="RGW7" s="36"/>
      <c r="RGX7" s="36"/>
      <c r="RGY7" s="36"/>
      <c r="RGZ7" s="36"/>
      <c r="RHA7" s="36"/>
      <c r="RHB7" s="36"/>
      <c r="RHC7" s="36"/>
      <c r="RHD7" s="36"/>
      <c r="RHE7" s="36"/>
      <c r="RHF7" s="36"/>
      <c r="RHG7" s="36"/>
      <c r="RHH7" s="36"/>
      <c r="RHI7" s="36"/>
      <c r="RHJ7" s="36"/>
      <c r="RHK7" s="36"/>
      <c r="RHL7" s="36"/>
      <c r="RHM7" s="36"/>
      <c r="RHN7" s="36"/>
      <c r="RHO7" s="36"/>
      <c r="RHP7" s="36"/>
      <c r="RHQ7" s="36"/>
      <c r="RHR7" s="36"/>
      <c r="RHS7" s="36"/>
      <c r="RHT7" s="36"/>
      <c r="RHU7" s="36"/>
      <c r="RHV7" s="36"/>
      <c r="RHW7" s="36"/>
      <c r="RHX7" s="36"/>
      <c r="RHY7" s="36"/>
      <c r="RHZ7" s="36"/>
      <c r="RIA7" s="36"/>
      <c r="RIB7" s="36"/>
      <c r="RIC7" s="36"/>
      <c r="RID7" s="36"/>
      <c r="RIE7" s="36"/>
      <c r="RIF7" s="36"/>
      <c r="RIG7" s="36"/>
      <c r="RIH7" s="36"/>
      <c r="RII7" s="36"/>
      <c r="RIJ7" s="36"/>
      <c r="RIK7" s="36"/>
      <c r="RIL7" s="36"/>
      <c r="RIM7" s="36"/>
      <c r="RIN7" s="36"/>
      <c r="RIO7" s="36"/>
      <c r="RIP7" s="36"/>
      <c r="RIQ7" s="36"/>
      <c r="RIR7" s="36"/>
      <c r="RIS7" s="36"/>
      <c r="RIT7" s="36"/>
      <c r="RIU7" s="36"/>
      <c r="RIV7" s="36"/>
      <c r="RIW7" s="36"/>
      <c r="RIX7" s="36"/>
      <c r="RIY7" s="36"/>
      <c r="RIZ7" s="36"/>
      <c r="RJA7" s="36"/>
      <c r="RJB7" s="36"/>
      <c r="RJC7" s="36"/>
      <c r="RJD7" s="36"/>
      <c r="RJE7" s="36"/>
      <c r="RJF7" s="36"/>
      <c r="RJG7" s="36"/>
      <c r="RJH7" s="36"/>
      <c r="RJI7" s="36"/>
      <c r="RJJ7" s="36"/>
      <c r="RJK7" s="36"/>
      <c r="RJL7" s="36"/>
      <c r="RJM7" s="36"/>
      <c r="RJN7" s="36"/>
      <c r="RJO7" s="36"/>
      <c r="RJP7" s="36"/>
      <c r="RJQ7" s="36"/>
      <c r="RJR7" s="36"/>
      <c r="RJS7" s="36"/>
      <c r="RJT7" s="36"/>
      <c r="RJU7" s="36"/>
      <c r="RJV7" s="36"/>
      <c r="RJW7" s="36"/>
      <c r="RJX7" s="36"/>
      <c r="RJY7" s="36"/>
      <c r="RJZ7" s="36"/>
      <c r="RKA7" s="36"/>
      <c r="RKB7" s="36"/>
      <c r="RKC7" s="36"/>
      <c r="RKD7" s="36"/>
      <c r="RKE7" s="36"/>
      <c r="RKF7" s="36"/>
      <c r="RKG7" s="36"/>
      <c r="RKH7" s="36"/>
      <c r="RKI7" s="36"/>
      <c r="RKJ7" s="36"/>
      <c r="RKK7" s="36"/>
      <c r="RKL7" s="36"/>
      <c r="RKM7" s="36"/>
      <c r="RKN7" s="36"/>
      <c r="RKO7" s="36"/>
      <c r="RKP7" s="36"/>
      <c r="RKQ7" s="36"/>
      <c r="RKR7" s="36"/>
      <c r="RKS7" s="36"/>
      <c r="RKT7" s="36"/>
      <c r="RKU7" s="36"/>
      <c r="RKV7" s="36"/>
      <c r="RKW7" s="36"/>
      <c r="RKX7" s="36"/>
      <c r="RKY7" s="36"/>
      <c r="RKZ7" s="36"/>
      <c r="RLA7" s="36"/>
      <c r="RLB7" s="36"/>
      <c r="RLC7" s="36"/>
      <c r="RLD7" s="36"/>
      <c r="RLE7" s="36"/>
      <c r="RLF7" s="36"/>
      <c r="RLG7" s="36"/>
      <c r="RLH7" s="36"/>
      <c r="RLI7" s="36"/>
      <c r="RLJ7" s="36"/>
      <c r="RLK7" s="36"/>
      <c r="RLL7" s="36"/>
      <c r="RLM7" s="36"/>
      <c r="RLN7" s="36"/>
      <c r="RLO7" s="36"/>
      <c r="RLP7" s="36"/>
      <c r="RLQ7" s="36"/>
      <c r="RLR7" s="36"/>
      <c r="RLS7" s="36"/>
      <c r="RLT7" s="36"/>
      <c r="RLU7" s="36"/>
      <c r="RLV7" s="36"/>
      <c r="RLW7" s="36"/>
      <c r="RLX7" s="36"/>
      <c r="RLY7" s="36"/>
      <c r="RLZ7" s="36"/>
      <c r="RMA7" s="36"/>
      <c r="RMB7" s="36"/>
      <c r="RMC7" s="36"/>
      <c r="RMD7" s="36"/>
      <c r="RME7" s="36"/>
      <c r="RMF7" s="36"/>
      <c r="RMG7" s="36"/>
      <c r="RMH7" s="36"/>
      <c r="RMI7" s="36"/>
      <c r="RMJ7" s="36"/>
      <c r="RMK7" s="36"/>
      <c r="RML7" s="36"/>
      <c r="RMM7" s="36"/>
      <c r="RMN7" s="36"/>
      <c r="RMO7" s="36"/>
      <c r="RMP7" s="36"/>
      <c r="RMQ7" s="36"/>
      <c r="RMR7" s="36"/>
      <c r="RMS7" s="36"/>
      <c r="RMT7" s="36"/>
      <c r="RMU7" s="36"/>
      <c r="RMV7" s="36"/>
      <c r="RMW7" s="36"/>
      <c r="RMX7" s="36"/>
      <c r="RMY7" s="36"/>
      <c r="RMZ7" s="36"/>
      <c r="RNA7" s="36"/>
      <c r="RNB7" s="36"/>
      <c r="RNC7" s="36"/>
      <c r="RND7" s="36"/>
      <c r="RNE7" s="36"/>
      <c r="RNF7" s="36"/>
      <c r="RNG7" s="36"/>
      <c r="RNH7" s="36"/>
      <c r="RNI7" s="36"/>
      <c r="RNJ7" s="36"/>
      <c r="RNK7" s="36"/>
      <c r="RNL7" s="36"/>
      <c r="RNM7" s="36"/>
      <c r="RNN7" s="36"/>
      <c r="RNO7" s="36"/>
      <c r="RNP7" s="36"/>
      <c r="RNQ7" s="36"/>
      <c r="RNR7" s="36"/>
      <c r="RNS7" s="36"/>
      <c r="RNT7" s="36"/>
      <c r="RNU7" s="36"/>
      <c r="RNV7" s="36"/>
      <c r="RNW7" s="36"/>
      <c r="RNX7" s="36"/>
      <c r="RNY7" s="36"/>
      <c r="RNZ7" s="36"/>
      <c r="ROA7" s="36"/>
      <c r="ROB7" s="36"/>
      <c r="ROC7" s="36"/>
      <c r="ROD7" s="36"/>
      <c r="ROE7" s="36"/>
      <c r="ROF7" s="36"/>
      <c r="ROG7" s="36"/>
      <c r="ROH7" s="36"/>
      <c r="ROI7" s="36"/>
      <c r="ROJ7" s="36"/>
      <c r="ROK7" s="36"/>
      <c r="ROL7" s="36"/>
      <c r="ROM7" s="36"/>
      <c r="RON7" s="36"/>
      <c r="ROO7" s="36"/>
      <c r="ROP7" s="36"/>
      <c r="ROQ7" s="36"/>
      <c r="ROR7" s="36"/>
      <c r="ROS7" s="36"/>
      <c r="ROT7" s="36"/>
      <c r="ROU7" s="36"/>
      <c r="ROV7" s="36"/>
      <c r="ROW7" s="36"/>
      <c r="ROX7" s="36"/>
      <c r="ROY7" s="36"/>
      <c r="ROZ7" s="36"/>
      <c r="RPA7" s="36"/>
      <c r="RPB7" s="36"/>
      <c r="RPC7" s="36"/>
      <c r="RPD7" s="36"/>
      <c r="RPE7" s="36"/>
      <c r="RPF7" s="36"/>
      <c r="RPG7" s="36"/>
      <c r="RPH7" s="36"/>
      <c r="RPI7" s="36"/>
      <c r="RPJ7" s="36"/>
      <c r="RPK7" s="36"/>
      <c r="RPL7" s="36"/>
      <c r="RPM7" s="36"/>
      <c r="RPN7" s="36"/>
      <c r="RPO7" s="36"/>
      <c r="RPP7" s="36"/>
      <c r="RPQ7" s="36"/>
      <c r="RPR7" s="36"/>
      <c r="RPS7" s="36"/>
      <c r="RPT7" s="36"/>
      <c r="RPU7" s="36"/>
      <c r="RPV7" s="36"/>
      <c r="RPW7" s="36"/>
      <c r="RPX7" s="36"/>
      <c r="RPY7" s="36"/>
      <c r="RPZ7" s="36"/>
      <c r="RQA7" s="36"/>
      <c r="RQB7" s="36"/>
      <c r="RQC7" s="36"/>
      <c r="RQD7" s="36"/>
      <c r="RQE7" s="36"/>
      <c r="RQF7" s="36"/>
      <c r="RQG7" s="36"/>
      <c r="RQH7" s="36"/>
      <c r="RQI7" s="36"/>
      <c r="RQJ7" s="36"/>
      <c r="RQK7" s="36"/>
      <c r="RQL7" s="36"/>
      <c r="RQM7" s="36"/>
      <c r="RQN7" s="36"/>
      <c r="RQO7" s="36"/>
      <c r="RQP7" s="36"/>
      <c r="RQQ7" s="36"/>
      <c r="RQR7" s="36"/>
      <c r="RQS7" s="36"/>
      <c r="RQT7" s="36"/>
      <c r="RQU7" s="36"/>
      <c r="RQV7" s="36"/>
      <c r="RQW7" s="36"/>
      <c r="RQX7" s="36"/>
      <c r="RQY7" s="36"/>
      <c r="RQZ7" s="36"/>
      <c r="RRA7" s="36"/>
      <c r="RRB7" s="36"/>
      <c r="RRC7" s="36"/>
      <c r="RRD7" s="36"/>
      <c r="RRE7" s="36"/>
      <c r="RRF7" s="36"/>
      <c r="RRG7" s="36"/>
      <c r="RRH7" s="36"/>
      <c r="RRI7" s="36"/>
      <c r="RRJ7" s="36"/>
      <c r="RRK7" s="36"/>
      <c r="RRL7" s="36"/>
      <c r="RRM7" s="36"/>
      <c r="RRN7" s="36"/>
      <c r="RRO7" s="36"/>
      <c r="RRP7" s="36"/>
      <c r="RRQ7" s="36"/>
      <c r="RRR7" s="36"/>
      <c r="RRS7" s="36"/>
      <c r="RRT7" s="36"/>
      <c r="RRU7" s="36"/>
      <c r="RRV7" s="36"/>
      <c r="RRW7" s="36"/>
      <c r="RRX7" s="36"/>
      <c r="RRY7" s="36"/>
      <c r="RRZ7" s="36"/>
      <c r="RSA7" s="36"/>
      <c r="RSB7" s="36"/>
      <c r="RSC7" s="36"/>
      <c r="RSD7" s="36"/>
      <c r="RSE7" s="36"/>
      <c r="RSF7" s="36"/>
      <c r="RSG7" s="36"/>
      <c r="RSH7" s="36"/>
      <c r="RSI7" s="36"/>
      <c r="RSJ7" s="36"/>
      <c r="RSK7" s="36"/>
      <c r="RSL7" s="36"/>
      <c r="RSM7" s="36"/>
      <c r="RSN7" s="36"/>
      <c r="RSO7" s="36"/>
      <c r="RSP7" s="36"/>
      <c r="RSQ7" s="36"/>
      <c r="RSR7" s="36"/>
      <c r="RSS7" s="36"/>
      <c r="RST7" s="36"/>
      <c r="RSU7" s="36"/>
      <c r="RSV7" s="36"/>
      <c r="RSW7" s="36"/>
      <c r="RSX7" s="36"/>
      <c r="RSY7" s="36"/>
      <c r="RSZ7" s="36"/>
      <c r="RTA7" s="36"/>
      <c r="RTB7" s="36"/>
      <c r="RTC7" s="36"/>
      <c r="RTD7" s="36"/>
      <c r="RTE7" s="36"/>
      <c r="RTF7" s="36"/>
      <c r="RTG7" s="36"/>
      <c r="RTH7" s="36"/>
      <c r="RTI7" s="36"/>
      <c r="RTJ7" s="36"/>
      <c r="RTK7" s="36"/>
      <c r="RTL7" s="36"/>
      <c r="RTM7" s="36"/>
      <c r="RTN7" s="36"/>
      <c r="RTO7" s="36"/>
      <c r="RTP7" s="36"/>
      <c r="RTQ7" s="36"/>
      <c r="RTR7" s="36"/>
      <c r="RTS7" s="36"/>
      <c r="RTT7" s="36"/>
      <c r="RTU7" s="36"/>
      <c r="RTV7" s="36"/>
      <c r="RTW7" s="36"/>
      <c r="RTX7" s="36"/>
      <c r="RTY7" s="36"/>
      <c r="RTZ7" s="36"/>
      <c r="RUA7" s="36"/>
      <c r="RUB7" s="36"/>
      <c r="RUC7" s="36"/>
      <c r="RUD7" s="36"/>
      <c r="RUE7" s="36"/>
      <c r="RUF7" s="36"/>
      <c r="RUG7" s="36"/>
      <c r="RUH7" s="36"/>
      <c r="RUI7" s="36"/>
      <c r="RUJ7" s="36"/>
      <c r="RUK7" s="36"/>
      <c r="RUL7" s="36"/>
      <c r="RUM7" s="36"/>
      <c r="RUN7" s="36"/>
      <c r="RUO7" s="36"/>
      <c r="RUP7" s="36"/>
      <c r="RUQ7" s="36"/>
      <c r="RUR7" s="36"/>
      <c r="RUS7" s="36"/>
      <c r="RUT7" s="36"/>
      <c r="RUU7" s="36"/>
      <c r="RUV7" s="36"/>
      <c r="RUW7" s="36"/>
      <c r="RUX7" s="36"/>
      <c r="RUY7" s="36"/>
      <c r="RUZ7" s="36"/>
      <c r="RVA7" s="36"/>
      <c r="RVB7" s="36"/>
      <c r="RVC7" s="36"/>
      <c r="RVD7" s="36"/>
      <c r="RVE7" s="36"/>
      <c r="RVF7" s="36"/>
      <c r="RVG7" s="36"/>
      <c r="RVH7" s="36"/>
      <c r="RVI7" s="36"/>
      <c r="RVJ7" s="36"/>
      <c r="RVK7" s="36"/>
      <c r="RVL7" s="36"/>
      <c r="RVM7" s="36"/>
      <c r="RVN7" s="36"/>
      <c r="RVO7" s="36"/>
      <c r="RVP7" s="36"/>
      <c r="RVQ7" s="36"/>
      <c r="RVR7" s="36"/>
      <c r="RVS7" s="36"/>
      <c r="RVT7" s="36"/>
      <c r="RVU7" s="36"/>
      <c r="RVV7" s="36"/>
      <c r="RVW7" s="36"/>
      <c r="RVX7" s="36"/>
      <c r="RVY7" s="36"/>
      <c r="RVZ7" s="36"/>
      <c r="RWA7" s="36"/>
      <c r="RWB7" s="36"/>
      <c r="RWC7" s="36"/>
      <c r="RWD7" s="36"/>
      <c r="RWE7" s="36"/>
      <c r="RWF7" s="36"/>
      <c r="RWG7" s="36"/>
      <c r="RWH7" s="36"/>
      <c r="RWI7" s="36"/>
      <c r="RWJ7" s="36"/>
      <c r="RWK7" s="36"/>
      <c r="RWL7" s="36"/>
      <c r="RWM7" s="36"/>
      <c r="RWN7" s="36"/>
      <c r="RWO7" s="36"/>
      <c r="RWP7" s="36"/>
      <c r="RWQ7" s="36"/>
      <c r="RWR7" s="36"/>
      <c r="RWS7" s="36"/>
      <c r="RWT7" s="36"/>
      <c r="RWU7" s="36"/>
      <c r="RWV7" s="36"/>
      <c r="RWW7" s="36"/>
      <c r="RWX7" s="36"/>
      <c r="RWY7" s="36"/>
      <c r="RWZ7" s="36"/>
      <c r="RXA7" s="36"/>
      <c r="RXB7" s="36"/>
      <c r="RXC7" s="36"/>
      <c r="RXD7" s="36"/>
      <c r="RXE7" s="36"/>
      <c r="RXF7" s="36"/>
      <c r="RXG7" s="36"/>
      <c r="RXH7" s="36"/>
      <c r="RXI7" s="36"/>
      <c r="RXJ7" s="36"/>
      <c r="RXK7" s="36"/>
      <c r="RXL7" s="36"/>
      <c r="RXM7" s="36"/>
      <c r="RXN7" s="36"/>
      <c r="RXO7" s="36"/>
      <c r="RXP7" s="36"/>
      <c r="RXQ7" s="36"/>
      <c r="RXR7" s="36"/>
      <c r="RXS7" s="36"/>
      <c r="RXT7" s="36"/>
      <c r="RXU7" s="36"/>
      <c r="RXV7" s="36"/>
      <c r="RXW7" s="36"/>
      <c r="RXX7" s="36"/>
      <c r="RXY7" s="36"/>
      <c r="RXZ7" s="36"/>
      <c r="RYA7" s="36"/>
      <c r="RYB7" s="36"/>
      <c r="RYC7" s="36"/>
      <c r="RYD7" s="36"/>
      <c r="RYE7" s="36"/>
      <c r="RYF7" s="36"/>
      <c r="RYG7" s="36"/>
      <c r="RYH7" s="36"/>
      <c r="RYI7" s="36"/>
      <c r="RYJ7" s="36"/>
      <c r="RYK7" s="36"/>
      <c r="RYL7" s="36"/>
      <c r="RYM7" s="36"/>
      <c r="RYN7" s="36"/>
      <c r="RYO7" s="36"/>
      <c r="RYP7" s="36"/>
      <c r="RYQ7" s="36"/>
      <c r="RYR7" s="36"/>
      <c r="RYS7" s="36"/>
      <c r="RYT7" s="36"/>
      <c r="RYU7" s="36"/>
      <c r="RYV7" s="36"/>
      <c r="RYW7" s="36"/>
      <c r="RYX7" s="36"/>
      <c r="RYY7" s="36"/>
      <c r="RYZ7" s="36"/>
      <c r="RZA7" s="36"/>
      <c r="RZB7" s="36"/>
      <c r="RZC7" s="36"/>
      <c r="RZD7" s="36"/>
      <c r="RZE7" s="36"/>
      <c r="RZF7" s="36"/>
      <c r="RZG7" s="36"/>
      <c r="RZH7" s="36"/>
      <c r="RZI7" s="36"/>
      <c r="RZJ7" s="36"/>
      <c r="RZK7" s="36"/>
      <c r="RZL7" s="36"/>
      <c r="RZM7" s="36"/>
      <c r="RZN7" s="36"/>
      <c r="RZO7" s="36"/>
      <c r="RZP7" s="36"/>
      <c r="RZQ7" s="36"/>
      <c r="RZR7" s="36"/>
      <c r="RZS7" s="36"/>
      <c r="RZT7" s="36"/>
      <c r="RZU7" s="36"/>
      <c r="RZV7" s="36"/>
      <c r="RZW7" s="36"/>
      <c r="RZX7" s="36"/>
      <c r="RZY7" s="36"/>
      <c r="RZZ7" s="36"/>
      <c r="SAA7" s="36"/>
      <c r="SAB7" s="36"/>
      <c r="SAC7" s="36"/>
      <c r="SAD7" s="36"/>
      <c r="SAE7" s="36"/>
      <c r="SAF7" s="36"/>
      <c r="SAG7" s="36"/>
      <c r="SAH7" s="36"/>
      <c r="SAI7" s="36"/>
      <c r="SAJ7" s="36"/>
      <c r="SAK7" s="36"/>
      <c r="SAL7" s="36"/>
      <c r="SAM7" s="36"/>
      <c r="SAN7" s="36"/>
      <c r="SAO7" s="36"/>
      <c r="SAP7" s="36"/>
      <c r="SAQ7" s="36"/>
      <c r="SAR7" s="36"/>
      <c r="SAS7" s="36"/>
      <c r="SAT7" s="36"/>
      <c r="SAU7" s="36"/>
      <c r="SAV7" s="36"/>
      <c r="SAW7" s="36"/>
      <c r="SAX7" s="36"/>
      <c r="SAY7" s="36"/>
      <c r="SAZ7" s="36"/>
      <c r="SBA7" s="36"/>
      <c r="SBB7" s="36"/>
      <c r="SBC7" s="36"/>
      <c r="SBD7" s="36"/>
      <c r="SBE7" s="36"/>
      <c r="SBF7" s="36"/>
      <c r="SBG7" s="36"/>
      <c r="SBH7" s="36"/>
      <c r="SBI7" s="36"/>
      <c r="SBJ7" s="36"/>
      <c r="SBK7" s="36"/>
      <c r="SBL7" s="36"/>
      <c r="SBM7" s="36"/>
      <c r="SBN7" s="36"/>
      <c r="SBO7" s="36"/>
      <c r="SBP7" s="36"/>
      <c r="SBQ7" s="36"/>
      <c r="SBR7" s="36"/>
      <c r="SBS7" s="36"/>
      <c r="SBT7" s="36"/>
      <c r="SBU7" s="36"/>
      <c r="SBV7" s="36"/>
      <c r="SBW7" s="36"/>
      <c r="SBX7" s="36"/>
      <c r="SBY7" s="36"/>
      <c r="SBZ7" s="36"/>
      <c r="SCA7" s="36"/>
      <c r="SCB7" s="36"/>
      <c r="SCC7" s="36"/>
      <c r="SCD7" s="36"/>
      <c r="SCE7" s="36"/>
      <c r="SCF7" s="36"/>
      <c r="SCG7" s="36"/>
      <c r="SCH7" s="36"/>
      <c r="SCI7" s="36"/>
      <c r="SCJ7" s="36"/>
      <c r="SCK7" s="36"/>
      <c r="SCL7" s="36"/>
      <c r="SCM7" s="36"/>
      <c r="SCN7" s="36"/>
      <c r="SCO7" s="36"/>
      <c r="SCP7" s="36"/>
      <c r="SCQ7" s="36"/>
      <c r="SCR7" s="36"/>
      <c r="SCS7" s="36"/>
      <c r="SCT7" s="36"/>
      <c r="SCU7" s="36"/>
      <c r="SCV7" s="36"/>
      <c r="SCW7" s="36"/>
      <c r="SCX7" s="36"/>
      <c r="SCY7" s="36"/>
      <c r="SCZ7" s="36"/>
      <c r="SDA7" s="36"/>
      <c r="SDB7" s="36"/>
      <c r="SDC7" s="36"/>
      <c r="SDD7" s="36"/>
      <c r="SDE7" s="36"/>
      <c r="SDF7" s="36"/>
      <c r="SDG7" s="36"/>
      <c r="SDH7" s="36"/>
      <c r="SDI7" s="36"/>
      <c r="SDJ7" s="36"/>
      <c r="SDK7" s="36"/>
      <c r="SDL7" s="36"/>
      <c r="SDM7" s="36"/>
      <c r="SDN7" s="36"/>
      <c r="SDO7" s="36"/>
      <c r="SDP7" s="36"/>
      <c r="SDQ7" s="36"/>
      <c r="SDR7" s="36"/>
      <c r="SDS7" s="36"/>
      <c r="SDT7" s="36"/>
      <c r="SDU7" s="36"/>
      <c r="SDV7" s="36"/>
      <c r="SDW7" s="36"/>
      <c r="SDX7" s="36"/>
      <c r="SDY7" s="36"/>
      <c r="SDZ7" s="36"/>
      <c r="SEA7" s="36"/>
      <c r="SEB7" s="36"/>
      <c r="SEC7" s="36"/>
      <c r="SED7" s="36"/>
      <c r="SEE7" s="36"/>
      <c r="SEF7" s="36"/>
      <c r="SEG7" s="36"/>
      <c r="SEH7" s="36"/>
      <c r="SEI7" s="36"/>
      <c r="SEJ7" s="36"/>
      <c r="SEK7" s="36"/>
      <c r="SEL7" s="36"/>
      <c r="SEM7" s="36"/>
      <c r="SEN7" s="36"/>
      <c r="SEO7" s="36"/>
      <c r="SEP7" s="36"/>
      <c r="SEQ7" s="36"/>
      <c r="SER7" s="36"/>
      <c r="SES7" s="36"/>
      <c r="SET7" s="36"/>
      <c r="SEU7" s="36"/>
      <c r="SEV7" s="36"/>
      <c r="SEW7" s="36"/>
      <c r="SEX7" s="36"/>
      <c r="SEY7" s="36"/>
      <c r="SEZ7" s="36"/>
      <c r="SFA7" s="36"/>
      <c r="SFB7" s="36"/>
      <c r="SFC7" s="36"/>
      <c r="SFD7" s="36"/>
      <c r="SFE7" s="36"/>
      <c r="SFF7" s="36"/>
      <c r="SFG7" s="36"/>
      <c r="SFH7" s="36"/>
      <c r="SFI7" s="36"/>
      <c r="SFJ7" s="36"/>
      <c r="SFK7" s="36"/>
      <c r="SFL7" s="36"/>
      <c r="SFM7" s="36"/>
      <c r="SFN7" s="36"/>
      <c r="SFO7" s="36"/>
      <c r="SFP7" s="36"/>
      <c r="SFQ7" s="36"/>
      <c r="SFR7" s="36"/>
      <c r="SFS7" s="36"/>
      <c r="SFT7" s="36"/>
      <c r="SFU7" s="36"/>
      <c r="SFV7" s="36"/>
      <c r="SFW7" s="36"/>
      <c r="SFX7" s="36"/>
      <c r="SFY7" s="36"/>
      <c r="SFZ7" s="36"/>
      <c r="SGA7" s="36"/>
      <c r="SGB7" s="36"/>
      <c r="SGC7" s="36"/>
      <c r="SGD7" s="36"/>
      <c r="SGE7" s="36"/>
      <c r="SGF7" s="36"/>
      <c r="SGG7" s="36"/>
      <c r="SGH7" s="36"/>
      <c r="SGI7" s="36"/>
      <c r="SGJ7" s="36"/>
      <c r="SGK7" s="36"/>
      <c r="SGL7" s="36"/>
      <c r="SGM7" s="36"/>
      <c r="SGN7" s="36"/>
      <c r="SGO7" s="36"/>
      <c r="SGP7" s="36"/>
      <c r="SGQ7" s="36"/>
      <c r="SGR7" s="36"/>
      <c r="SGS7" s="36"/>
      <c r="SGT7" s="36"/>
      <c r="SGU7" s="36"/>
      <c r="SGV7" s="36"/>
      <c r="SGW7" s="36"/>
      <c r="SGX7" s="36"/>
      <c r="SGY7" s="36"/>
      <c r="SGZ7" s="36"/>
      <c r="SHA7" s="36"/>
      <c r="SHB7" s="36"/>
      <c r="SHC7" s="36"/>
      <c r="SHD7" s="36"/>
      <c r="SHE7" s="36"/>
      <c r="SHF7" s="36"/>
      <c r="SHG7" s="36"/>
      <c r="SHH7" s="36"/>
      <c r="SHI7" s="36"/>
      <c r="SHJ7" s="36"/>
      <c r="SHK7" s="36"/>
      <c r="SHL7" s="36"/>
      <c r="SHM7" s="36"/>
      <c r="SHN7" s="36"/>
      <c r="SHO7" s="36"/>
      <c r="SHP7" s="36"/>
      <c r="SHQ7" s="36"/>
      <c r="SHR7" s="36"/>
      <c r="SHS7" s="36"/>
      <c r="SHT7" s="36"/>
      <c r="SHU7" s="36"/>
      <c r="SHV7" s="36"/>
      <c r="SHW7" s="36"/>
      <c r="SHX7" s="36"/>
      <c r="SHY7" s="36"/>
      <c r="SHZ7" s="36"/>
      <c r="SIA7" s="36"/>
      <c r="SIB7" s="36"/>
      <c r="SIC7" s="36"/>
      <c r="SID7" s="36"/>
      <c r="SIE7" s="36"/>
      <c r="SIF7" s="36"/>
      <c r="SIG7" s="36"/>
      <c r="SIH7" s="36"/>
      <c r="SII7" s="36"/>
      <c r="SIJ7" s="36"/>
      <c r="SIK7" s="36"/>
      <c r="SIL7" s="36"/>
      <c r="SIM7" s="36"/>
      <c r="SIN7" s="36"/>
      <c r="SIO7" s="36"/>
      <c r="SIP7" s="36"/>
      <c r="SIQ7" s="36"/>
      <c r="SIR7" s="36"/>
      <c r="SIS7" s="36"/>
      <c r="SIT7" s="36"/>
      <c r="SIU7" s="36"/>
      <c r="SIV7" s="36"/>
      <c r="SIW7" s="36"/>
      <c r="SIX7" s="36"/>
      <c r="SIY7" s="36"/>
      <c r="SIZ7" s="36"/>
      <c r="SJA7" s="36"/>
      <c r="SJB7" s="36"/>
      <c r="SJC7" s="36"/>
      <c r="SJD7" s="36"/>
      <c r="SJE7" s="36"/>
      <c r="SJF7" s="36"/>
      <c r="SJG7" s="36"/>
      <c r="SJH7" s="36"/>
      <c r="SJI7" s="36"/>
      <c r="SJJ7" s="36"/>
      <c r="SJK7" s="36"/>
      <c r="SJL7" s="36"/>
      <c r="SJM7" s="36"/>
      <c r="SJN7" s="36"/>
      <c r="SJO7" s="36"/>
      <c r="SJP7" s="36"/>
      <c r="SJQ7" s="36"/>
      <c r="SJR7" s="36"/>
      <c r="SJS7" s="36"/>
      <c r="SJT7" s="36"/>
      <c r="SJU7" s="36"/>
      <c r="SJV7" s="36"/>
      <c r="SJW7" s="36"/>
      <c r="SJX7" s="36"/>
      <c r="SJY7" s="36"/>
      <c r="SJZ7" s="36"/>
      <c r="SKA7" s="36"/>
      <c r="SKB7" s="36"/>
      <c r="SKC7" s="36"/>
      <c r="SKD7" s="36"/>
      <c r="SKE7" s="36"/>
      <c r="SKF7" s="36"/>
      <c r="SKG7" s="36"/>
      <c r="SKH7" s="36"/>
      <c r="SKI7" s="36"/>
      <c r="SKJ7" s="36"/>
      <c r="SKK7" s="36"/>
      <c r="SKL7" s="36"/>
      <c r="SKM7" s="36"/>
      <c r="SKN7" s="36"/>
      <c r="SKO7" s="36"/>
      <c r="SKP7" s="36"/>
      <c r="SKQ7" s="36"/>
      <c r="SKR7" s="36"/>
      <c r="SKS7" s="36"/>
      <c r="SKT7" s="36"/>
      <c r="SKU7" s="36"/>
      <c r="SKV7" s="36"/>
      <c r="SKW7" s="36"/>
      <c r="SKX7" s="36"/>
      <c r="SKY7" s="36"/>
      <c r="SKZ7" s="36"/>
      <c r="SLA7" s="36"/>
      <c r="SLB7" s="36"/>
      <c r="SLC7" s="36"/>
      <c r="SLD7" s="36"/>
      <c r="SLE7" s="36"/>
      <c r="SLF7" s="36"/>
      <c r="SLG7" s="36"/>
      <c r="SLH7" s="36"/>
      <c r="SLI7" s="36"/>
      <c r="SLJ7" s="36"/>
      <c r="SLK7" s="36"/>
      <c r="SLL7" s="36"/>
      <c r="SLM7" s="36"/>
      <c r="SLN7" s="36"/>
      <c r="SLO7" s="36"/>
      <c r="SLP7" s="36"/>
      <c r="SLQ7" s="36"/>
      <c r="SLR7" s="36"/>
      <c r="SLS7" s="36"/>
      <c r="SLT7" s="36"/>
      <c r="SLU7" s="36"/>
      <c r="SLV7" s="36"/>
      <c r="SLW7" s="36"/>
      <c r="SLX7" s="36"/>
      <c r="SLY7" s="36"/>
      <c r="SLZ7" s="36"/>
      <c r="SMA7" s="36"/>
      <c r="SMB7" s="36"/>
      <c r="SMC7" s="36"/>
      <c r="SMD7" s="36"/>
      <c r="SME7" s="36"/>
      <c r="SMF7" s="36"/>
      <c r="SMG7" s="36"/>
      <c r="SMH7" s="36"/>
      <c r="SMI7" s="36"/>
      <c r="SMJ7" s="36"/>
      <c r="SMK7" s="36"/>
      <c r="SML7" s="36"/>
      <c r="SMM7" s="36"/>
      <c r="SMN7" s="36"/>
      <c r="SMO7" s="36"/>
      <c r="SMP7" s="36"/>
      <c r="SMQ7" s="36"/>
      <c r="SMR7" s="36"/>
      <c r="SMS7" s="36"/>
      <c r="SMT7" s="36"/>
      <c r="SMU7" s="36"/>
      <c r="SMV7" s="36"/>
      <c r="SMW7" s="36"/>
      <c r="SMX7" s="36"/>
      <c r="SMY7" s="36"/>
      <c r="SMZ7" s="36"/>
      <c r="SNA7" s="36"/>
      <c r="SNB7" s="36"/>
      <c r="SNC7" s="36"/>
      <c r="SND7" s="36"/>
      <c r="SNE7" s="36"/>
      <c r="SNF7" s="36"/>
      <c r="SNG7" s="36"/>
      <c r="SNH7" s="36"/>
      <c r="SNI7" s="36"/>
      <c r="SNJ7" s="36"/>
      <c r="SNK7" s="36"/>
      <c r="SNL7" s="36"/>
      <c r="SNM7" s="36"/>
      <c r="SNN7" s="36"/>
      <c r="SNO7" s="36"/>
      <c r="SNP7" s="36"/>
      <c r="SNQ7" s="36"/>
      <c r="SNR7" s="36"/>
      <c r="SNS7" s="36"/>
      <c r="SNT7" s="36"/>
      <c r="SNU7" s="36"/>
      <c r="SNV7" s="36"/>
      <c r="SNW7" s="36"/>
      <c r="SNX7" s="36"/>
      <c r="SNY7" s="36"/>
      <c r="SNZ7" s="36"/>
      <c r="SOA7" s="36"/>
      <c r="SOB7" s="36"/>
      <c r="SOC7" s="36"/>
      <c r="SOD7" s="36"/>
      <c r="SOE7" s="36"/>
      <c r="SOF7" s="36"/>
      <c r="SOG7" s="36"/>
      <c r="SOH7" s="36"/>
      <c r="SOI7" s="36"/>
      <c r="SOJ7" s="36"/>
      <c r="SOK7" s="36"/>
      <c r="SOL7" s="36"/>
      <c r="SOM7" s="36"/>
      <c r="SON7" s="36"/>
      <c r="SOO7" s="36"/>
      <c r="SOP7" s="36"/>
      <c r="SOQ7" s="36"/>
      <c r="SOR7" s="36"/>
      <c r="SOS7" s="36"/>
      <c r="SOT7" s="36"/>
      <c r="SOU7" s="36"/>
      <c r="SOV7" s="36"/>
      <c r="SOW7" s="36"/>
      <c r="SOX7" s="36"/>
      <c r="SOY7" s="36"/>
      <c r="SOZ7" s="36"/>
      <c r="SPA7" s="36"/>
      <c r="SPB7" s="36"/>
      <c r="SPC7" s="36"/>
      <c r="SPD7" s="36"/>
      <c r="SPE7" s="36"/>
      <c r="SPF7" s="36"/>
      <c r="SPG7" s="36"/>
      <c r="SPH7" s="36"/>
      <c r="SPI7" s="36"/>
      <c r="SPJ7" s="36"/>
      <c r="SPK7" s="36"/>
      <c r="SPL7" s="36"/>
      <c r="SPM7" s="36"/>
      <c r="SPN7" s="36"/>
      <c r="SPO7" s="36"/>
      <c r="SPP7" s="36"/>
      <c r="SPQ7" s="36"/>
      <c r="SPR7" s="36"/>
      <c r="SPS7" s="36"/>
      <c r="SPT7" s="36"/>
      <c r="SPU7" s="36"/>
      <c r="SPV7" s="36"/>
      <c r="SPW7" s="36"/>
      <c r="SPX7" s="36"/>
      <c r="SPY7" s="36"/>
      <c r="SPZ7" s="36"/>
      <c r="SQA7" s="36"/>
      <c r="SQB7" s="36"/>
      <c r="SQC7" s="36"/>
      <c r="SQD7" s="36"/>
      <c r="SQE7" s="36"/>
      <c r="SQF7" s="36"/>
      <c r="SQG7" s="36"/>
      <c r="SQH7" s="36"/>
      <c r="SQI7" s="36"/>
      <c r="SQJ7" s="36"/>
      <c r="SQK7" s="36"/>
      <c r="SQL7" s="36"/>
      <c r="SQM7" s="36"/>
      <c r="SQN7" s="36"/>
      <c r="SQO7" s="36"/>
      <c r="SQP7" s="36"/>
      <c r="SQQ7" s="36"/>
      <c r="SQR7" s="36"/>
      <c r="SQS7" s="36"/>
      <c r="SQT7" s="36"/>
      <c r="SQU7" s="36"/>
      <c r="SQV7" s="36"/>
      <c r="SQW7" s="36"/>
      <c r="SQX7" s="36"/>
      <c r="SQY7" s="36"/>
      <c r="SQZ7" s="36"/>
      <c r="SRA7" s="36"/>
      <c r="SRB7" s="36"/>
      <c r="SRC7" s="36"/>
      <c r="SRD7" s="36"/>
      <c r="SRE7" s="36"/>
      <c r="SRF7" s="36"/>
      <c r="SRG7" s="36"/>
      <c r="SRH7" s="36"/>
      <c r="SRI7" s="36"/>
      <c r="SRJ7" s="36"/>
      <c r="SRK7" s="36"/>
      <c r="SRL7" s="36"/>
      <c r="SRM7" s="36"/>
      <c r="SRN7" s="36"/>
      <c r="SRO7" s="36"/>
      <c r="SRP7" s="36"/>
      <c r="SRQ7" s="36"/>
      <c r="SRR7" s="36"/>
      <c r="SRS7" s="36"/>
      <c r="SRT7" s="36"/>
      <c r="SRU7" s="36"/>
      <c r="SRV7" s="36"/>
      <c r="SRW7" s="36"/>
      <c r="SRX7" s="36"/>
      <c r="SRY7" s="36"/>
      <c r="SRZ7" s="36"/>
      <c r="SSA7" s="36"/>
      <c r="SSB7" s="36"/>
      <c r="SSC7" s="36"/>
      <c r="SSD7" s="36"/>
      <c r="SSE7" s="36"/>
      <c r="SSF7" s="36"/>
      <c r="SSG7" s="36"/>
      <c r="SSH7" s="36"/>
      <c r="SSI7" s="36"/>
      <c r="SSJ7" s="36"/>
      <c r="SSK7" s="36"/>
      <c r="SSL7" s="36"/>
      <c r="SSM7" s="36"/>
      <c r="SSN7" s="36"/>
      <c r="SSO7" s="36"/>
      <c r="SSP7" s="36"/>
      <c r="SSQ7" s="36"/>
      <c r="SSR7" s="36"/>
      <c r="SSS7" s="36"/>
      <c r="SST7" s="36"/>
      <c r="SSU7" s="36"/>
      <c r="SSV7" s="36"/>
      <c r="SSW7" s="36"/>
      <c r="SSX7" s="36"/>
      <c r="SSY7" s="36"/>
      <c r="SSZ7" s="36"/>
      <c r="STA7" s="36"/>
      <c r="STB7" s="36"/>
      <c r="STC7" s="36"/>
      <c r="STD7" s="36"/>
      <c r="STE7" s="36"/>
      <c r="STF7" s="36"/>
      <c r="STG7" s="36"/>
      <c r="STH7" s="36"/>
      <c r="STI7" s="36"/>
      <c r="STJ7" s="36"/>
      <c r="STK7" s="36"/>
      <c r="STL7" s="36"/>
      <c r="STM7" s="36"/>
      <c r="STN7" s="36"/>
      <c r="STO7" s="36"/>
      <c r="STP7" s="36"/>
      <c r="STQ7" s="36"/>
      <c r="STR7" s="36"/>
      <c r="STS7" s="36"/>
      <c r="STT7" s="36"/>
      <c r="STU7" s="36"/>
      <c r="STV7" s="36"/>
      <c r="STW7" s="36"/>
      <c r="STX7" s="36"/>
      <c r="STY7" s="36"/>
      <c r="STZ7" s="36"/>
      <c r="SUA7" s="36"/>
      <c r="SUB7" s="36"/>
      <c r="SUC7" s="36"/>
      <c r="SUD7" s="36"/>
      <c r="SUE7" s="36"/>
      <c r="SUF7" s="36"/>
      <c r="SUG7" s="36"/>
      <c r="SUH7" s="36"/>
      <c r="SUI7" s="36"/>
      <c r="SUJ7" s="36"/>
      <c r="SUK7" s="36"/>
      <c r="SUL7" s="36"/>
      <c r="SUM7" s="36"/>
      <c r="SUN7" s="36"/>
      <c r="SUO7" s="36"/>
      <c r="SUP7" s="36"/>
      <c r="SUQ7" s="36"/>
      <c r="SUR7" s="36"/>
      <c r="SUS7" s="36"/>
      <c r="SUT7" s="36"/>
      <c r="SUU7" s="36"/>
      <c r="SUV7" s="36"/>
      <c r="SUW7" s="36"/>
      <c r="SUX7" s="36"/>
      <c r="SUY7" s="36"/>
      <c r="SUZ7" s="36"/>
      <c r="SVA7" s="36"/>
      <c r="SVB7" s="36"/>
      <c r="SVC7" s="36"/>
      <c r="SVD7" s="36"/>
      <c r="SVE7" s="36"/>
      <c r="SVF7" s="36"/>
      <c r="SVG7" s="36"/>
      <c r="SVH7" s="36"/>
      <c r="SVI7" s="36"/>
      <c r="SVJ7" s="36"/>
      <c r="SVK7" s="36"/>
      <c r="SVL7" s="36"/>
      <c r="SVM7" s="36"/>
      <c r="SVN7" s="36"/>
      <c r="SVO7" s="36"/>
      <c r="SVP7" s="36"/>
      <c r="SVQ7" s="36"/>
      <c r="SVR7" s="36"/>
      <c r="SVS7" s="36"/>
      <c r="SVT7" s="36"/>
      <c r="SVU7" s="36"/>
      <c r="SVV7" s="36"/>
      <c r="SVW7" s="36"/>
      <c r="SVX7" s="36"/>
      <c r="SVY7" s="36"/>
      <c r="SVZ7" s="36"/>
      <c r="SWA7" s="36"/>
      <c r="SWB7" s="36"/>
      <c r="SWC7" s="36"/>
      <c r="SWD7" s="36"/>
      <c r="SWE7" s="36"/>
      <c r="SWF7" s="36"/>
      <c r="SWG7" s="36"/>
      <c r="SWH7" s="36"/>
      <c r="SWI7" s="36"/>
      <c r="SWJ7" s="36"/>
      <c r="SWK7" s="36"/>
      <c r="SWL7" s="36"/>
      <c r="SWM7" s="36"/>
      <c r="SWN7" s="36"/>
      <c r="SWO7" s="36"/>
      <c r="SWP7" s="36"/>
      <c r="SWQ7" s="36"/>
      <c r="SWR7" s="36"/>
      <c r="SWS7" s="36"/>
      <c r="SWT7" s="36"/>
      <c r="SWU7" s="36"/>
      <c r="SWV7" s="36"/>
      <c r="SWW7" s="36"/>
      <c r="SWX7" s="36"/>
      <c r="SWY7" s="36"/>
      <c r="SWZ7" s="36"/>
      <c r="SXA7" s="36"/>
      <c r="SXB7" s="36"/>
      <c r="SXC7" s="36"/>
      <c r="SXD7" s="36"/>
      <c r="SXE7" s="36"/>
      <c r="SXF7" s="36"/>
      <c r="SXG7" s="36"/>
      <c r="SXH7" s="36"/>
      <c r="SXI7" s="36"/>
      <c r="SXJ7" s="36"/>
      <c r="SXK7" s="36"/>
      <c r="SXL7" s="36"/>
      <c r="SXM7" s="36"/>
      <c r="SXN7" s="36"/>
      <c r="SXO7" s="36"/>
      <c r="SXP7" s="36"/>
      <c r="SXQ7" s="36"/>
      <c r="SXR7" s="36"/>
      <c r="SXS7" s="36"/>
      <c r="SXT7" s="36"/>
      <c r="SXU7" s="36"/>
      <c r="SXV7" s="36"/>
      <c r="SXW7" s="36"/>
      <c r="SXX7" s="36"/>
      <c r="SXY7" s="36"/>
      <c r="SXZ7" s="36"/>
      <c r="SYA7" s="36"/>
      <c r="SYB7" s="36"/>
      <c r="SYC7" s="36"/>
      <c r="SYD7" s="36"/>
      <c r="SYE7" s="36"/>
      <c r="SYF7" s="36"/>
      <c r="SYG7" s="36"/>
      <c r="SYH7" s="36"/>
      <c r="SYI7" s="36"/>
      <c r="SYJ7" s="36"/>
      <c r="SYK7" s="36"/>
      <c r="SYL7" s="36"/>
      <c r="SYM7" s="36"/>
      <c r="SYN7" s="36"/>
      <c r="SYO7" s="36"/>
      <c r="SYP7" s="36"/>
      <c r="SYQ7" s="36"/>
      <c r="SYR7" s="36"/>
      <c r="SYS7" s="36"/>
      <c r="SYT7" s="36"/>
      <c r="SYU7" s="36"/>
      <c r="SYV7" s="36"/>
      <c r="SYW7" s="36"/>
      <c r="SYX7" s="36"/>
      <c r="SYY7" s="36"/>
      <c r="SYZ7" s="36"/>
      <c r="SZA7" s="36"/>
      <c r="SZB7" s="36"/>
      <c r="SZC7" s="36"/>
      <c r="SZD7" s="36"/>
      <c r="SZE7" s="36"/>
      <c r="SZF7" s="36"/>
      <c r="SZG7" s="36"/>
      <c r="SZH7" s="36"/>
      <c r="SZI7" s="36"/>
      <c r="SZJ7" s="36"/>
      <c r="SZK7" s="36"/>
      <c r="SZL7" s="36"/>
      <c r="SZM7" s="36"/>
      <c r="SZN7" s="36"/>
      <c r="SZO7" s="36"/>
      <c r="SZP7" s="36"/>
      <c r="SZQ7" s="36"/>
      <c r="SZR7" s="36"/>
      <c r="SZS7" s="36"/>
      <c r="SZT7" s="36"/>
      <c r="SZU7" s="36"/>
      <c r="SZV7" s="36"/>
      <c r="SZW7" s="36"/>
      <c r="SZX7" s="36"/>
      <c r="SZY7" s="36"/>
      <c r="SZZ7" s="36"/>
      <c r="TAA7" s="36"/>
      <c r="TAB7" s="36"/>
      <c r="TAC7" s="36"/>
      <c r="TAD7" s="36"/>
      <c r="TAE7" s="36"/>
      <c r="TAF7" s="36"/>
      <c r="TAG7" s="36"/>
      <c r="TAH7" s="36"/>
      <c r="TAI7" s="36"/>
      <c r="TAJ7" s="36"/>
      <c r="TAK7" s="36"/>
      <c r="TAL7" s="36"/>
      <c r="TAM7" s="36"/>
      <c r="TAN7" s="36"/>
      <c r="TAO7" s="36"/>
      <c r="TAP7" s="36"/>
      <c r="TAQ7" s="36"/>
      <c r="TAR7" s="36"/>
      <c r="TAS7" s="36"/>
      <c r="TAT7" s="36"/>
      <c r="TAU7" s="36"/>
      <c r="TAV7" s="36"/>
      <c r="TAW7" s="36"/>
      <c r="TAX7" s="36"/>
      <c r="TAY7" s="36"/>
      <c r="TAZ7" s="36"/>
      <c r="TBA7" s="36"/>
      <c r="TBB7" s="36"/>
      <c r="TBC7" s="36"/>
      <c r="TBD7" s="36"/>
      <c r="TBE7" s="36"/>
      <c r="TBF7" s="36"/>
      <c r="TBG7" s="36"/>
      <c r="TBH7" s="36"/>
      <c r="TBI7" s="36"/>
      <c r="TBJ7" s="36"/>
      <c r="TBK7" s="36"/>
      <c r="TBL7" s="36"/>
      <c r="TBM7" s="36"/>
      <c r="TBN7" s="36"/>
      <c r="TBO7" s="36"/>
      <c r="TBP7" s="36"/>
      <c r="TBQ7" s="36"/>
      <c r="TBR7" s="36"/>
      <c r="TBS7" s="36"/>
      <c r="TBT7" s="36"/>
      <c r="TBU7" s="36"/>
      <c r="TBV7" s="36"/>
      <c r="TBW7" s="36"/>
      <c r="TBX7" s="36"/>
      <c r="TBY7" s="36"/>
      <c r="TBZ7" s="36"/>
      <c r="TCA7" s="36"/>
      <c r="TCB7" s="36"/>
      <c r="TCC7" s="36"/>
      <c r="TCD7" s="36"/>
      <c r="TCE7" s="36"/>
      <c r="TCF7" s="36"/>
      <c r="TCG7" s="36"/>
      <c r="TCH7" s="36"/>
      <c r="TCI7" s="36"/>
      <c r="TCJ7" s="36"/>
      <c r="TCK7" s="36"/>
      <c r="TCL7" s="36"/>
      <c r="TCM7" s="36"/>
      <c r="TCN7" s="36"/>
      <c r="TCO7" s="36"/>
      <c r="TCP7" s="36"/>
      <c r="TCQ7" s="36"/>
      <c r="TCR7" s="36"/>
      <c r="TCS7" s="36"/>
      <c r="TCT7" s="36"/>
      <c r="TCU7" s="36"/>
      <c r="TCV7" s="36"/>
      <c r="TCW7" s="36"/>
      <c r="TCX7" s="36"/>
      <c r="TCY7" s="36"/>
      <c r="TCZ7" s="36"/>
      <c r="TDA7" s="36"/>
      <c r="TDB7" s="36"/>
      <c r="TDC7" s="36"/>
      <c r="TDD7" s="36"/>
      <c r="TDE7" s="36"/>
      <c r="TDF7" s="36"/>
      <c r="TDG7" s="36"/>
      <c r="TDH7" s="36"/>
      <c r="TDI7" s="36"/>
      <c r="TDJ7" s="36"/>
      <c r="TDK7" s="36"/>
      <c r="TDL7" s="36"/>
      <c r="TDM7" s="36"/>
      <c r="TDN7" s="36"/>
      <c r="TDO7" s="36"/>
      <c r="TDP7" s="36"/>
      <c r="TDQ7" s="36"/>
      <c r="TDR7" s="36"/>
      <c r="TDS7" s="36"/>
      <c r="TDT7" s="36"/>
      <c r="TDU7" s="36"/>
      <c r="TDV7" s="36"/>
      <c r="TDW7" s="36"/>
      <c r="TDX7" s="36"/>
      <c r="TDY7" s="36"/>
      <c r="TDZ7" s="36"/>
      <c r="TEA7" s="36"/>
      <c r="TEB7" s="36"/>
      <c r="TEC7" s="36"/>
      <c r="TED7" s="36"/>
      <c r="TEE7" s="36"/>
      <c r="TEF7" s="36"/>
      <c r="TEG7" s="36"/>
      <c r="TEH7" s="36"/>
      <c r="TEI7" s="36"/>
      <c r="TEJ7" s="36"/>
      <c r="TEK7" s="36"/>
      <c r="TEL7" s="36"/>
      <c r="TEM7" s="36"/>
      <c r="TEN7" s="36"/>
      <c r="TEO7" s="36"/>
      <c r="TEP7" s="36"/>
      <c r="TEQ7" s="36"/>
      <c r="TER7" s="36"/>
      <c r="TES7" s="36"/>
      <c r="TET7" s="36"/>
      <c r="TEU7" s="36"/>
      <c r="TEV7" s="36"/>
      <c r="TEW7" s="36"/>
      <c r="TEX7" s="36"/>
      <c r="TEY7" s="36"/>
      <c r="TEZ7" s="36"/>
      <c r="TFA7" s="36"/>
      <c r="TFB7" s="36"/>
      <c r="TFC7" s="36"/>
      <c r="TFD7" s="36"/>
      <c r="TFE7" s="36"/>
      <c r="TFF7" s="36"/>
      <c r="TFG7" s="36"/>
      <c r="TFH7" s="36"/>
      <c r="TFI7" s="36"/>
      <c r="TFJ7" s="36"/>
      <c r="TFK7" s="36"/>
      <c r="TFL7" s="36"/>
      <c r="TFM7" s="36"/>
      <c r="TFN7" s="36"/>
      <c r="TFO7" s="36"/>
      <c r="TFP7" s="36"/>
      <c r="TFQ7" s="36"/>
      <c r="TFR7" s="36"/>
      <c r="TFS7" s="36"/>
      <c r="TFT7" s="36"/>
      <c r="TFU7" s="36"/>
      <c r="TFV7" s="36"/>
      <c r="TFW7" s="36"/>
      <c r="TFX7" s="36"/>
      <c r="TFY7" s="36"/>
      <c r="TFZ7" s="36"/>
      <c r="TGA7" s="36"/>
      <c r="TGB7" s="36"/>
      <c r="TGC7" s="36"/>
      <c r="TGD7" s="36"/>
      <c r="TGE7" s="36"/>
      <c r="TGF7" s="36"/>
      <c r="TGG7" s="36"/>
      <c r="TGH7" s="36"/>
      <c r="TGI7" s="36"/>
      <c r="TGJ7" s="36"/>
      <c r="TGK7" s="36"/>
      <c r="TGL7" s="36"/>
      <c r="TGM7" s="36"/>
      <c r="TGN7" s="36"/>
      <c r="TGO7" s="36"/>
      <c r="TGP7" s="36"/>
      <c r="TGQ7" s="36"/>
      <c r="TGR7" s="36"/>
      <c r="TGS7" s="36"/>
      <c r="TGT7" s="36"/>
      <c r="TGU7" s="36"/>
      <c r="TGV7" s="36"/>
      <c r="TGW7" s="36"/>
      <c r="TGX7" s="36"/>
      <c r="TGY7" s="36"/>
      <c r="TGZ7" s="36"/>
      <c r="THA7" s="36"/>
      <c r="THB7" s="36"/>
      <c r="THC7" s="36"/>
      <c r="THD7" s="36"/>
      <c r="THE7" s="36"/>
      <c r="THF7" s="36"/>
      <c r="THG7" s="36"/>
      <c r="THH7" s="36"/>
      <c r="THI7" s="36"/>
      <c r="THJ7" s="36"/>
      <c r="THK7" s="36"/>
      <c r="THL7" s="36"/>
      <c r="THM7" s="36"/>
      <c r="THN7" s="36"/>
      <c r="THO7" s="36"/>
      <c r="THP7" s="36"/>
      <c r="THQ7" s="36"/>
      <c r="THR7" s="36"/>
      <c r="THS7" s="36"/>
      <c r="THT7" s="36"/>
      <c r="THU7" s="36"/>
      <c r="THV7" s="36"/>
      <c r="THW7" s="36"/>
      <c r="THX7" s="36"/>
      <c r="THY7" s="36"/>
      <c r="THZ7" s="36"/>
      <c r="TIA7" s="36"/>
      <c r="TIB7" s="36"/>
      <c r="TIC7" s="36"/>
      <c r="TID7" s="36"/>
      <c r="TIE7" s="36"/>
      <c r="TIF7" s="36"/>
      <c r="TIG7" s="36"/>
      <c r="TIH7" s="36"/>
      <c r="TII7" s="36"/>
      <c r="TIJ7" s="36"/>
      <c r="TIK7" s="36"/>
      <c r="TIL7" s="36"/>
      <c r="TIM7" s="36"/>
      <c r="TIN7" s="36"/>
      <c r="TIO7" s="36"/>
      <c r="TIP7" s="36"/>
      <c r="TIQ7" s="36"/>
      <c r="TIR7" s="36"/>
      <c r="TIS7" s="36"/>
      <c r="TIT7" s="36"/>
      <c r="TIU7" s="36"/>
      <c r="TIV7" s="36"/>
      <c r="TIW7" s="36"/>
      <c r="TIX7" s="36"/>
      <c r="TIY7" s="36"/>
      <c r="TIZ7" s="36"/>
      <c r="TJA7" s="36"/>
      <c r="TJB7" s="36"/>
      <c r="TJC7" s="36"/>
      <c r="TJD7" s="36"/>
      <c r="TJE7" s="36"/>
      <c r="TJF7" s="36"/>
      <c r="TJG7" s="36"/>
      <c r="TJH7" s="36"/>
      <c r="TJI7" s="36"/>
      <c r="TJJ7" s="36"/>
      <c r="TJK7" s="36"/>
      <c r="TJL7" s="36"/>
      <c r="TJM7" s="36"/>
      <c r="TJN7" s="36"/>
      <c r="TJO7" s="36"/>
      <c r="TJP7" s="36"/>
      <c r="TJQ7" s="36"/>
      <c r="TJR7" s="36"/>
      <c r="TJS7" s="36"/>
      <c r="TJT7" s="36"/>
      <c r="TJU7" s="36"/>
      <c r="TJV7" s="36"/>
      <c r="TJW7" s="36"/>
      <c r="TJX7" s="36"/>
      <c r="TJY7" s="36"/>
      <c r="TJZ7" s="36"/>
      <c r="TKA7" s="36"/>
      <c r="TKB7" s="36"/>
      <c r="TKC7" s="36"/>
      <c r="TKD7" s="36"/>
      <c r="TKE7" s="36"/>
      <c r="TKF7" s="36"/>
      <c r="TKG7" s="36"/>
      <c r="TKH7" s="36"/>
      <c r="TKI7" s="36"/>
      <c r="TKJ7" s="36"/>
      <c r="TKK7" s="36"/>
      <c r="TKL7" s="36"/>
      <c r="TKM7" s="36"/>
      <c r="TKN7" s="36"/>
      <c r="TKO7" s="36"/>
      <c r="TKP7" s="36"/>
      <c r="TKQ7" s="36"/>
      <c r="TKR7" s="36"/>
      <c r="TKS7" s="36"/>
      <c r="TKT7" s="36"/>
      <c r="TKU7" s="36"/>
      <c r="TKV7" s="36"/>
      <c r="TKW7" s="36"/>
      <c r="TKX7" s="36"/>
      <c r="TKY7" s="36"/>
      <c r="TKZ7" s="36"/>
      <c r="TLA7" s="36"/>
      <c r="TLB7" s="36"/>
      <c r="TLC7" s="36"/>
      <c r="TLD7" s="36"/>
      <c r="TLE7" s="36"/>
      <c r="TLF7" s="36"/>
      <c r="TLG7" s="36"/>
      <c r="TLH7" s="36"/>
      <c r="TLI7" s="36"/>
      <c r="TLJ7" s="36"/>
      <c r="TLK7" s="36"/>
      <c r="TLL7" s="36"/>
      <c r="TLM7" s="36"/>
      <c r="TLN7" s="36"/>
      <c r="TLO7" s="36"/>
      <c r="TLP7" s="36"/>
      <c r="TLQ7" s="36"/>
      <c r="TLR7" s="36"/>
      <c r="TLS7" s="36"/>
      <c r="TLT7" s="36"/>
      <c r="TLU7" s="36"/>
      <c r="TLV7" s="36"/>
      <c r="TLW7" s="36"/>
      <c r="TLX7" s="36"/>
      <c r="TLY7" s="36"/>
      <c r="TLZ7" s="36"/>
      <c r="TMA7" s="36"/>
      <c r="TMB7" s="36"/>
      <c r="TMC7" s="36"/>
      <c r="TMD7" s="36"/>
      <c r="TME7" s="36"/>
      <c r="TMF7" s="36"/>
      <c r="TMG7" s="36"/>
      <c r="TMH7" s="36"/>
      <c r="TMI7" s="36"/>
      <c r="TMJ7" s="36"/>
      <c r="TMK7" s="36"/>
      <c r="TML7" s="36"/>
      <c r="TMM7" s="36"/>
      <c r="TMN7" s="36"/>
      <c r="TMO7" s="36"/>
      <c r="TMP7" s="36"/>
      <c r="TMQ7" s="36"/>
      <c r="TMR7" s="36"/>
      <c r="TMS7" s="36"/>
      <c r="TMT7" s="36"/>
      <c r="TMU7" s="36"/>
      <c r="TMV7" s="36"/>
      <c r="TMW7" s="36"/>
      <c r="TMX7" s="36"/>
      <c r="TMY7" s="36"/>
      <c r="TMZ7" s="36"/>
      <c r="TNA7" s="36"/>
      <c r="TNB7" s="36"/>
      <c r="TNC7" s="36"/>
      <c r="TND7" s="36"/>
      <c r="TNE7" s="36"/>
      <c r="TNF7" s="36"/>
      <c r="TNG7" s="36"/>
      <c r="TNH7" s="36"/>
      <c r="TNI7" s="36"/>
      <c r="TNJ7" s="36"/>
      <c r="TNK7" s="36"/>
      <c r="TNL7" s="36"/>
      <c r="TNM7" s="36"/>
      <c r="TNN7" s="36"/>
      <c r="TNO7" s="36"/>
      <c r="TNP7" s="36"/>
      <c r="TNQ7" s="36"/>
      <c r="TNR7" s="36"/>
      <c r="TNS7" s="36"/>
      <c r="TNT7" s="36"/>
      <c r="TNU7" s="36"/>
      <c r="TNV7" s="36"/>
      <c r="TNW7" s="36"/>
      <c r="TNX7" s="36"/>
      <c r="TNY7" s="36"/>
      <c r="TNZ7" s="36"/>
      <c r="TOA7" s="36"/>
      <c r="TOB7" s="36"/>
      <c r="TOC7" s="36"/>
      <c r="TOD7" s="36"/>
      <c r="TOE7" s="36"/>
      <c r="TOF7" s="36"/>
      <c r="TOG7" s="36"/>
      <c r="TOH7" s="36"/>
      <c r="TOI7" s="36"/>
      <c r="TOJ7" s="36"/>
      <c r="TOK7" s="36"/>
      <c r="TOL7" s="36"/>
      <c r="TOM7" s="36"/>
      <c r="TON7" s="36"/>
      <c r="TOO7" s="36"/>
      <c r="TOP7" s="36"/>
      <c r="TOQ7" s="36"/>
      <c r="TOR7" s="36"/>
      <c r="TOS7" s="36"/>
      <c r="TOT7" s="36"/>
      <c r="TOU7" s="36"/>
      <c r="TOV7" s="36"/>
      <c r="TOW7" s="36"/>
      <c r="TOX7" s="36"/>
      <c r="TOY7" s="36"/>
      <c r="TOZ7" s="36"/>
      <c r="TPA7" s="36"/>
      <c r="TPB7" s="36"/>
      <c r="TPC7" s="36"/>
      <c r="TPD7" s="36"/>
      <c r="TPE7" s="36"/>
      <c r="TPF7" s="36"/>
      <c r="TPG7" s="36"/>
      <c r="TPH7" s="36"/>
      <c r="TPI7" s="36"/>
      <c r="TPJ7" s="36"/>
      <c r="TPK7" s="36"/>
      <c r="TPL7" s="36"/>
      <c r="TPM7" s="36"/>
      <c r="TPN7" s="36"/>
      <c r="TPO7" s="36"/>
      <c r="TPP7" s="36"/>
      <c r="TPQ7" s="36"/>
      <c r="TPR7" s="36"/>
      <c r="TPS7" s="36"/>
      <c r="TPT7" s="36"/>
      <c r="TPU7" s="36"/>
      <c r="TPV7" s="36"/>
      <c r="TPW7" s="36"/>
      <c r="TPX7" s="36"/>
      <c r="TPY7" s="36"/>
      <c r="TPZ7" s="36"/>
      <c r="TQA7" s="36"/>
      <c r="TQB7" s="36"/>
      <c r="TQC7" s="36"/>
      <c r="TQD7" s="36"/>
      <c r="TQE7" s="36"/>
      <c r="TQF7" s="36"/>
      <c r="TQG7" s="36"/>
      <c r="TQH7" s="36"/>
      <c r="TQI7" s="36"/>
      <c r="TQJ7" s="36"/>
      <c r="TQK7" s="36"/>
      <c r="TQL7" s="36"/>
      <c r="TQM7" s="36"/>
      <c r="TQN7" s="36"/>
      <c r="TQO7" s="36"/>
      <c r="TQP7" s="36"/>
      <c r="TQQ7" s="36"/>
      <c r="TQR7" s="36"/>
      <c r="TQS7" s="36"/>
      <c r="TQT7" s="36"/>
      <c r="TQU7" s="36"/>
      <c r="TQV7" s="36"/>
      <c r="TQW7" s="36"/>
      <c r="TQX7" s="36"/>
      <c r="TQY7" s="36"/>
      <c r="TQZ7" s="36"/>
      <c r="TRA7" s="36"/>
      <c r="TRB7" s="36"/>
      <c r="TRC7" s="36"/>
      <c r="TRD7" s="36"/>
      <c r="TRE7" s="36"/>
      <c r="TRF7" s="36"/>
      <c r="TRG7" s="36"/>
      <c r="TRH7" s="36"/>
      <c r="TRI7" s="36"/>
      <c r="TRJ7" s="36"/>
      <c r="TRK7" s="36"/>
      <c r="TRL7" s="36"/>
      <c r="TRM7" s="36"/>
      <c r="TRN7" s="36"/>
      <c r="TRO7" s="36"/>
      <c r="TRP7" s="36"/>
      <c r="TRQ7" s="36"/>
      <c r="TRR7" s="36"/>
      <c r="TRS7" s="36"/>
      <c r="TRT7" s="36"/>
      <c r="TRU7" s="36"/>
      <c r="TRV7" s="36"/>
      <c r="TRW7" s="36"/>
      <c r="TRX7" s="36"/>
      <c r="TRY7" s="36"/>
      <c r="TRZ7" s="36"/>
      <c r="TSA7" s="36"/>
      <c r="TSB7" s="36"/>
      <c r="TSC7" s="36"/>
      <c r="TSD7" s="36"/>
      <c r="TSE7" s="36"/>
      <c r="TSF7" s="36"/>
      <c r="TSG7" s="36"/>
      <c r="TSH7" s="36"/>
      <c r="TSI7" s="36"/>
      <c r="TSJ7" s="36"/>
      <c r="TSK7" s="36"/>
      <c r="TSL7" s="36"/>
      <c r="TSM7" s="36"/>
      <c r="TSN7" s="36"/>
      <c r="TSO7" s="36"/>
      <c r="TSP7" s="36"/>
      <c r="TSQ7" s="36"/>
      <c r="TSR7" s="36"/>
      <c r="TSS7" s="36"/>
      <c r="TST7" s="36"/>
      <c r="TSU7" s="36"/>
      <c r="TSV7" s="36"/>
      <c r="TSW7" s="36"/>
      <c r="TSX7" s="36"/>
      <c r="TSY7" s="36"/>
      <c r="TSZ7" s="36"/>
      <c r="TTA7" s="36"/>
      <c r="TTB7" s="36"/>
      <c r="TTC7" s="36"/>
      <c r="TTD7" s="36"/>
      <c r="TTE7" s="36"/>
      <c r="TTF7" s="36"/>
      <c r="TTG7" s="36"/>
      <c r="TTH7" s="36"/>
      <c r="TTI7" s="36"/>
      <c r="TTJ7" s="36"/>
      <c r="TTK7" s="36"/>
      <c r="TTL7" s="36"/>
      <c r="TTM7" s="36"/>
      <c r="TTN7" s="36"/>
      <c r="TTO7" s="36"/>
      <c r="TTP7" s="36"/>
      <c r="TTQ7" s="36"/>
      <c r="TTR7" s="36"/>
      <c r="TTS7" s="36"/>
      <c r="TTT7" s="36"/>
      <c r="TTU7" s="36"/>
      <c r="TTV7" s="36"/>
      <c r="TTW7" s="36"/>
      <c r="TTX7" s="36"/>
      <c r="TTY7" s="36"/>
      <c r="TTZ7" s="36"/>
      <c r="TUA7" s="36"/>
      <c r="TUB7" s="36"/>
      <c r="TUC7" s="36"/>
      <c r="TUD7" s="36"/>
      <c r="TUE7" s="36"/>
      <c r="TUF7" s="36"/>
      <c r="TUG7" s="36"/>
      <c r="TUH7" s="36"/>
      <c r="TUI7" s="36"/>
      <c r="TUJ7" s="36"/>
      <c r="TUK7" s="36"/>
      <c r="TUL7" s="36"/>
      <c r="TUM7" s="36"/>
      <c r="TUN7" s="36"/>
      <c r="TUO7" s="36"/>
      <c r="TUP7" s="36"/>
      <c r="TUQ7" s="36"/>
      <c r="TUR7" s="36"/>
      <c r="TUS7" s="36"/>
      <c r="TUT7" s="36"/>
      <c r="TUU7" s="36"/>
      <c r="TUV7" s="36"/>
      <c r="TUW7" s="36"/>
      <c r="TUX7" s="36"/>
      <c r="TUY7" s="36"/>
      <c r="TUZ7" s="36"/>
      <c r="TVA7" s="36"/>
      <c r="TVB7" s="36"/>
      <c r="TVC7" s="36"/>
      <c r="TVD7" s="36"/>
      <c r="TVE7" s="36"/>
      <c r="TVF7" s="36"/>
      <c r="TVG7" s="36"/>
      <c r="TVH7" s="36"/>
      <c r="TVI7" s="36"/>
      <c r="TVJ7" s="36"/>
      <c r="TVK7" s="36"/>
      <c r="TVL7" s="36"/>
      <c r="TVM7" s="36"/>
      <c r="TVN7" s="36"/>
      <c r="TVO7" s="36"/>
      <c r="TVP7" s="36"/>
      <c r="TVQ7" s="36"/>
      <c r="TVR7" s="36"/>
      <c r="TVS7" s="36"/>
      <c r="TVT7" s="36"/>
      <c r="TVU7" s="36"/>
      <c r="TVV7" s="36"/>
      <c r="TVW7" s="36"/>
      <c r="TVX7" s="36"/>
      <c r="TVY7" s="36"/>
      <c r="TVZ7" s="36"/>
      <c r="TWA7" s="36"/>
      <c r="TWB7" s="36"/>
      <c r="TWC7" s="36"/>
      <c r="TWD7" s="36"/>
      <c r="TWE7" s="36"/>
      <c r="TWF7" s="36"/>
      <c r="TWG7" s="36"/>
      <c r="TWH7" s="36"/>
      <c r="TWI7" s="36"/>
      <c r="TWJ7" s="36"/>
      <c r="TWK7" s="36"/>
      <c r="TWL7" s="36"/>
      <c r="TWM7" s="36"/>
      <c r="TWN7" s="36"/>
      <c r="TWO7" s="36"/>
      <c r="TWP7" s="36"/>
      <c r="TWQ7" s="36"/>
      <c r="TWR7" s="36"/>
      <c r="TWS7" s="36"/>
      <c r="TWT7" s="36"/>
      <c r="TWU7" s="36"/>
      <c r="TWV7" s="36"/>
      <c r="TWW7" s="36"/>
      <c r="TWX7" s="36"/>
      <c r="TWY7" s="36"/>
      <c r="TWZ7" s="36"/>
      <c r="TXA7" s="36"/>
      <c r="TXB7" s="36"/>
      <c r="TXC7" s="36"/>
      <c r="TXD7" s="36"/>
      <c r="TXE7" s="36"/>
      <c r="TXF7" s="36"/>
      <c r="TXG7" s="36"/>
      <c r="TXH7" s="36"/>
      <c r="TXI7" s="36"/>
      <c r="TXJ7" s="36"/>
      <c r="TXK7" s="36"/>
      <c r="TXL7" s="36"/>
      <c r="TXM7" s="36"/>
      <c r="TXN7" s="36"/>
      <c r="TXO7" s="36"/>
      <c r="TXP7" s="36"/>
      <c r="TXQ7" s="36"/>
      <c r="TXR7" s="36"/>
      <c r="TXS7" s="36"/>
      <c r="TXT7" s="36"/>
      <c r="TXU7" s="36"/>
      <c r="TXV7" s="36"/>
      <c r="TXW7" s="36"/>
      <c r="TXX7" s="36"/>
      <c r="TXY7" s="36"/>
      <c r="TXZ7" s="36"/>
      <c r="TYA7" s="36"/>
      <c r="TYB7" s="36"/>
      <c r="TYC7" s="36"/>
      <c r="TYD7" s="36"/>
      <c r="TYE7" s="36"/>
      <c r="TYF7" s="36"/>
      <c r="TYG7" s="36"/>
      <c r="TYH7" s="36"/>
      <c r="TYI7" s="36"/>
      <c r="TYJ7" s="36"/>
      <c r="TYK7" s="36"/>
      <c r="TYL7" s="36"/>
      <c r="TYM7" s="36"/>
      <c r="TYN7" s="36"/>
      <c r="TYO7" s="36"/>
      <c r="TYP7" s="36"/>
      <c r="TYQ7" s="36"/>
      <c r="TYR7" s="36"/>
      <c r="TYS7" s="36"/>
      <c r="TYT7" s="36"/>
      <c r="TYU7" s="36"/>
      <c r="TYV7" s="36"/>
      <c r="TYW7" s="36"/>
      <c r="TYX7" s="36"/>
      <c r="TYY7" s="36"/>
      <c r="TYZ7" s="36"/>
      <c r="TZA7" s="36"/>
      <c r="TZB7" s="36"/>
      <c r="TZC7" s="36"/>
      <c r="TZD7" s="36"/>
      <c r="TZE7" s="36"/>
      <c r="TZF7" s="36"/>
      <c r="TZG7" s="36"/>
      <c r="TZH7" s="36"/>
      <c r="TZI7" s="36"/>
      <c r="TZJ7" s="36"/>
      <c r="TZK7" s="36"/>
      <c r="TZL7" s="36"/>
      <c r="TZM7" s="36"/>
      <c r="TZN7" s="36"/>
      <c r="TZO7" s="36"/>
      <c r="TZP7" s="36"/>
      <c r="TZQ7" s="36"/>
      <c r="TZR7" s="36"/>
      <c r="TZS7" s="36"/>
      <c r="TZT7" s="36"/>
      <c r="TZU7" s="36"/>
      <c r="TZV7" s="36"/>
      <c r="TZW7" s="36"/>
      <c r="TZX7" s="36"/>
      <c r="TZY7" s="36"/>
      <c r="TZZ7" s="36"/>
      <c r="UAA7" s="36"/>
      <c r="UAB7" s="36"/>
      <c r="UAC7" s="36"/>
      <c r="UAD7" s="36"/>
      <c r="UAE7" s="36"/>
      <c r="UAF7" s="36"/>
      <c r="UAG7" s="36"/>
      <c r="UAH7" s="36"/>
      <c r="UAI7" s="36"/>
      <c r="UAJ7" s="36"/>
      <c r="UAK7" s="36"/>
      <c r="UAL7" s="36"/>
      <c r="UAM7" s="36"/>
      <c r="UAN7" s="36"/>
      <c r="UAO7" s="36"/>
      <c r="UAP7" s="36"/>
      <c r="UAQ7" s="36"/>
      <c r="UAR7" s="36"/>
      <c r="UAS7" s="36"/>
      <c r="UAT7" s="36"/>
      <c r="UAU7" s="36"/>
      <c r="UAV7" s="36"/>
      <c r="UAW7" s="36"/>
      <c r="UAX7" s="36"/>
      <c r="UAY7" s="36"/>
      <c r="UAZ7" s="36"/>
      <c r="UBA7" s="36"/>
      <c r="UBB7" s="36"/>
      <c r="UBC7" s="36"/>
      <c r="UBD7" s="36"/>
      <c r="UBE7" s="36"/>
      <c r="UBF7" s="36"/>
      <c r="UBG7" s="36"/>
      <c r="UBH7" s="36"/>
      <c r="UBI7" s="36"/>
      <c r="UBJ7" s="36"/>
      <c r="UBK7" s="36"/>
      <c r="UBL7" s="36"/>
      <c r="UBM7" s="36"/>
      <c r="UBN7" s="36"/>
      <c r="UBO7" s="36"/>
      <c r="UBP7" s="36"/>
      <c r="UBQ7" s="36"/>
      <c r="UBR7" s="36"/>
      <c r="UBS7" s="36"/>
      <c r="UBT7" s="36"/>
      <c r="UBU7" s="36"/>
      <c r="UBV7" s="36"/>
      <c r="UBW7" s="36"/>
      <c r="UBX7" s="36"/>
      <c r="UBY7" s="36"/>
      <c r="UBZ7" s="36"/>
      <c r="UCA7" s="36"/>
      <c r="UCB7" s="36"/>
      <c r="UCC7" s="36"/>
      <c r="UCD7" s="36"/>
      <c r="UCE7" s="36"/>
      <c r="UCF7" s="36"/>
      <c r="UCG7" s="36"/>
      <c r="UCH7" s="36"/>
      <c r="UCI7" s="36"/>
      <c r="UCJ7" s="36"/>
      <c r="UCK7" s="36"/>
      <c r="UCL7" s="36"/>
      <c r="UCM7" s="36"/>
      <c r="UCN7" s="36"/>
      <c r="UCO7" s="36"/>
      <c r="UCP7" s="36"/>
      <c r="UCQ7" s="36"/>
      <c r="UCR7" s="36"/>
      <c r="UCS7" s="36"/>
      <c r="UCT7" s="36"/>
      <c r="UCU7" s="36"/>
      <c r="UCV7" s="36"/>
      <c r="UCW7" s="36"/>
      <c r="UCX7" s="36"/>
      <c r="UCY7" s="36"/>
      <c r="UCZ7" s="36"/>
      <c r="UDA7" s="36"/>
      <c r="UDB7" s="36"/>
      <c r="UDC7" s="36"/>
      <c r="UDD7" s="36"/>
      <c r="UDE7" s="36"/>
      <c r="UDF7" s="36"/>
      <c r="UDG7" s="36"/>
      <c r="UDH7" s="36"/>
      <c r="UDI7" s="36"/>
      <c r="UDJ7" s="36"/>
      <c r="UDK7" s="36"/>
      <c r="UDL7" s="36"/>
      <c r="UDM7" s="36"/>
      <c r="UDN7" s="36"/>
      <c r="UDO7" s="36"/>
      <c r="UDP7" s="36"/>
      <c r="UDQ7" s="36"/>
      <c r="UDR7" s="36"/>
      <c r="UDS7" s="36"/>
      <c r="UDT7" s="36"/>
      <c r="UDU7" s="36"/>
      <c r="UDV7" s="36"/>
      <c r="UDW7" s="36"/>
      <c r="UDX7" s="36"/>
      <c r="UDY7" s="36"/>
      <c r="UDZ7" s="36"/>
      <c r="UEA7" s="36"/>
      <c r="UEB7" s="36"/>
      <c r="UEC7" s="36"/>
      <c r="UED7" s="36"/>
      <c r="UEE7" s="36"/>
      <c r="UEF7" s="36"/>
      <c r="UEG7" s="36"/>
      <c r="UEH7" s="36"/>
      <c r="UEI7" s="36"/>
      <c r="UEJ7" s="36"/>
      <c r="UEK7" s="36"/>
      <c r="UEL7" s="36"/>
      <c r="UEM7" s="36"/>
      <c r="UEN7" s="36"/>
      <c r="UEO7" s="36"/>
      <c r="UEP7" s="36"/>
      <c r="UEQ7" s="36"/>
      <c r="UER7" s="36"/>
      <c r="UES7" s="36"/>
      <c r="UET7" s="36"/>
      <c r="UEU7" s="36"/>
      <c r="UEV7" s="36"/>
      <c r="UEW7" s="36"/>
      <c r="UEX7" s="36"/>
      <c r="UEY7" s="36"/>
      <c r="UEZ7" s="36"/>
      <c r="UFA7" s="36"/>
      <c r="UFB7" s="36"/>
      <c r="UFC7" s="36"/>
      <c r="UFD7" s="36"/>
      <c r="UFE7" s="36"/>
      <c r="UFF7" s="36"/>
      <c r="UFG7" s="36"/>
      <c r="UFH7" s="36"/>
      <c r="UFI7" s="36"/>
      <c r="UFJ7" s="36"/>
      <c r="UFK7" s="36"/>
      <c r="UFL7" s="36"/>
      <c r="UFM7" s="36"/>
      <c r="UFN7" s="36"/>
      <c r="UFO7" s="36"/>
      <c r="UFP7" s="36"/>
      <c r="UFQ7" s="36"/>
      <c r="UFR7" s="36"/>
      <c r="UFS7" s="36"/>
      <c r="UFT7" s="36"/>
      <c r="UFU7" s="36"/>
      <c r="UFV7" s="36"/>
      <c r="UFW7" s="36"/>
      <c r="UFX7" s="36"/>
      <c r="UFY7" s="36"/>
      <c r="UFZ7" s="36"/>
      <c r="UGA7" s="36"/>
      <c r="UGB7" s="36"/>
      <c r="UGC7" s="36"/>
      <c r="UGD7" s="36"/>
      <c r="UGE7" s="36"/>
      <c r="UGF7" s="36"/>
      <c r="UGG7" s="36"/>
      <c r="UGH7" s="36"/>
      <c r="UGI7" s="36"/>
      <c r="UGJ7" s="36"/>
      <c r="UGK7" s="36"/>
      <c r="UGL7" s="36"/>
      <c r="UGM7" s="36"/>
      <c r="UGN7" s="36"/>
      <c r="UGO7" s="36"/>
      <c r="UGP7" s="36"/>
      <c r="UGQ7" s="36"/>
      <c r="UGR7" s="36"/>
      <c r="UGS7" s="36"/>
      <c r="UGT7" s="36"/>
      <c r="UGU7" s="36"/>
      <c r="UGV7" s="36"/>
      <c r="UGW7" s="36"/>
      <c r="UGX7" s="36"/>
      <c r="UGY7" s="36"/>
      <c r="UGZ7" s="36"/>
      <c r="UHA7" s="36"/>
      <c r="UHB7" s="36"/>
      <c r="UHC7" s="36"/>
      <c r="UHD7" s="36"/>
      <c r="UHE7" s="36"/>
      <c r="UHF7" s="36"/>
      <c r="UHG7" s="36"/>
      <c r="UHH7" s="36"/>
      <c r="UHI7" s="36"/>
      <c r="UHJ7" s="36"/>
      <c r="UHK7" s="36"/>
      <c r="UHL7" s="36"/>
      <c r="UHM7" s="36"/>
      <c r="UHN7" s="36"/>
      <c r="UHO7" s="36"/>
      <c r="UHP7" s="36"/>
      <c r="UHQ7" s="36"/>
      <c r="UHR7" s="36"/>
      <c r="UHS7" s="36"/>
      <c r="UHT7" s="36"/>
      <c r="UHU7" s="36"/>
      <c r="UHV7" s="36"/>
      <c r="UHW7" s="36"/>
      <c r="UHX7" s="36"/>
      <c r="UHY7" s="36"/>
      <c r="UHZ7" s="36"/>
      <c r="UIA7" s="36"/>
      <c r="UIB7" s="36"/>
      <c r="UIC7" s="36"/>
      <c r="UID7" s="36"/>
      <c r="UIE7" s="36"/>
      <c r="UIF7" s="36"/>
      <c r="UIG7" s="36"/>
      <c r="UIH7" s="36"/>
      <c r="UII7" s="36"/>
      <c r="UIJ7" s="36"/>
      <c r="UIK7" s="36"/>
      <c r="UIL7" s="36"/>
      <c r="UIM7" s="36"/>
      <c r="UIN7" s="36"/>
      <c r="UIO7" s="36"/>
      <c r="UIP7" s="36"/>
      <c r="UIQ7" s="36"/>
      <c r="UIR7" s="36"/>
      <c r="UIS7" s="36"/>
      <c r="UIT7" s="36"/>
      <c r="UIU7" s="36"/>
      <c r="UIV7" s="36"/>
      <c r="UIW7" s="36"/>
      <c r="UIX7" s="36"/>
      <c r="UIY7" s="36"/>
      <c r="UIZ7" s="36"/>
      <c r="UJA7" s="36"/>
      <c r="UJB7" s="36"/>
      <c r="UJC7" s="36"/>
      <c r="UJD7" s="36"/>
      <c r="UJE7" s="36"/>
      <c r="UJF7" s="36"/>
      <c r="UJG7" s="36"/>
      <c r="UJH7" s="36"/>
      <c r="UJI7" s="36"/>
      <c r="UJJ7" s="36"/>
      <c r="UJK7" s="36"/>
      <c r="UJL7" s="36"/>
      <c r="UJM7" s="36"/>
      <c r="UJN7" s="36"/>
      <c r="UJO7" s="36"/>
      <c r="UJP7" s="36"/>
      <c r="UJQ7" s="36"/>
      <c r="UJR7" s="36"/>
      <c r="UJS7" s="36"/>
      <c r="UJT7" s="36"/>
      <c r="UJU7" s="36"/>
      <c r="UJV7" s="36"/>
      <c r="UJW7" s="36"/>
      <c r="UJX7" s="36"/>
      <c r="UJY7" s="36"/>
      <c r="UJZ7" s="36"/>
      <c r="UKA7" s="36"/>
      <c r="UKB7" s="36"/>
      <c r="UKC7" s="36"/>
      <c r="UKD7" s="36"/>
      <c r="UKE7" s="36"/>
      <c r="UKF7" s="36"/>
      <c r="UKG7" s="36"/>
      <c r="UKH7" s="36"/>
      <c r="UKI7" s="36"/>
      <c r="UKJ7" s="36"/>
      <c r="UKK7" s="36"/>
      <c r="UKL7" s="36"/>
      <c r="UKM7" s="36"/>
      <c r="UKN7" s="36"/>
      <c r="UKO7" s="36"/>
      <c r="UKP7" s="36"/>
      <c r="UKQ7" s="36"/>
      <c r="UKR7" s="36"/>
      <c r="UKS7" s="36"/>
      <c r="UKT7" s="36"/>
      <c r="UKU7" s="36"/>
      <c r="UKV7" s="36"/>
      <c r="UKW7" s="36"/>
      <c r="UKX7" s="36"/>
      <c r="UKY7" s="36"/>
      <c r="UKZ7" s="36"/>
      <c r="ULA7" s="36"/>
      <c r="ULB7" s="36"/>
      <c r="ULC7" s="36"/>
      <c r="ULD7" s="36"/>
      <c r="ULE7" s="36"/>
      <c r="ULF7" s="36"/>
      <c r="ULG7" s="36"/>
      <c r="ULH7" s="36"/>
      <c r="ULI7" s="36"/>
      <c r="ULJ7" s="36"/>
      <c r="ULK7" s="36"/>
      <c r="ULL7" s="36"/>
      <c r="ULM7" s="36"/>
      <c r="ULN7" s="36"/>
      <c r="ULO7" s="36"/>
      <c r="ULP7" s="36"/>
      <c r="ULQ7" s="36"/>
      <c r="ULR7" s="36"/>
      <c r="ULS7" s="36"/>
      <c r="ULT7" s="36"/>
      <c r="ULU7" s="36"/>
      <c r="ULV7" s="36"/>
      <c r="ULW7" s="36"/>
      <c r="ULX7" s="36"/>
      <c r="ULY7" s="36"/>
      <c r="ULZ7" s="36"/>
      <c r="UMA7" s="36"/>
      <c r="UMB7" s="36"/>
      <c r="UMC7" s="36"/>
      <c r="UMD7" s="36"/>
      <c r="UME7" s="36"/>
      <c r="UMF7" s="36"/>
      <c r="UMG7" s="36"/>
      <c r="UMH7" s="36"/>
      <c r="UMI7" s="36"/>
      <c r="UMJ7" s="36"/>
      <c r="UMK7" s="36"/>
      <c r="UML7" s="36"/>
      <c r="UMM7" s="36"/>
      <c r="UMN7" s="36"/>
      <c r="UMO7" s="36"/>
      <c r="UMP7" s="36"/>
      <c r="UMQ7" s="36"/>
      <c r="UMR7" s="36"/>
      <c r="UMS7" s="36"/>
      <c r="UMT7" s="36"/>
      <c r="UMU7" s="36"/>
      <c r="UMV7" s="36"/>
      <c r="UMW7" s="36"/>
      <c r="UMX7" s="36"/>
      <c r="UMY7" s="36"/>
      <c r="UMZ7" s="36"/>
      <c r="UNA7" s="36"/>
      <c r="UNB7" s="36"/>
      <c r="UNC7" s="36"/>
      <c r="UND7" s="36"/>
      <c r="UNE7" s="36"/>
      <c r="UNF7" s="36"/>
      <c r="UNG7" s="36"/>
      <c r="UNH7" s="36"/>
      <c r="UNI7" s="36"/>
      <c r="UNJ7" s="36"/>
      <c r="UNK7" s="36"/>
      <c r="UNL7" s="36"/>
      <c r="UNM7" s="36"/>
      <c r="UNN7" s="36"/>
      <c r="UNO7" s="36"/>
      <c r="UNP7" s="36"/>
      <c r="UNQ7" s="36"/>
      <c r="UNR7" s="36"/>
      <c r="UNS7" s="36"/>
      <c r="UNT7" s="36"/>
      <c r="UNU7" s="36"/>
      <c r="UNV7" s="36"/>
      <c r="UNW7" s="36"/>
      <c r="UNX7" s="36"/>
      <c r="UNY7" s="36"/>
      <c r="UNZ7" s="36"/>
      <c r="UOA7" s="36"/>
      <c r="UOB7" s="36"/>
      <c r="UOC7" s="36"/>
      <c r="UOD7" s="36"/>
      <c r="UOE7" s="36"/>
      <c r="UOF7" s="36"/>
      <c r="UOG7" s="36"/>
      <c r="UOH7" s="36"/>
      <c r="UOI7" s="36"/>
      <c r="UOJ7" s="36"/>
      <c r="UOK7" s="36"/>
      <c r="UOL7" s="36"/>
      <c r="UOM7" s="36"/>
      <c r="UON7" s="36"/>
      <c r="UOO7" s="36"/>
      <c r="UOP7" s="36"/>
      <c r="UOQ7" s="36"/>
      <c r="UOR7" s="36"/>
      <c r="UOS7" s="36"/>
      <c r="UOT7" s="36"/>
      <c r="UOU7" s="36"/>
      <c r="UOV7" s="36"/>
      <c r="UOW7" s="36"/>
      <c r="UOX7" s="36"/>
      <c r="UOY7" s="36"/>
      <c r="UOZ7" s="36"/>
      <c r="UPA7" s="36"/>
      <c r="UPB7" s="36"/>
      <c r="UPC7" s="36"/>
      <c r="UPD7" s="36"/>
      <c r="UPE7" s="36"/>
      <c r="UPF7" s="36"/>
      <c r="UPG7" s="36"/>
      <c r="UPH7" s="36"/>
      <c r="UPI7" s="36"/>
      <c r="UPJ7" s="36"/>
      <c r="UPK7" s="36"/>
      <c r="UPL7" s="36"/>
      <c r="UPM7" s="36"/>
      <c r="UPN7" s="36"/>
      <c r="UPO7" s="36"/>
      <c r="UPP7" s="36"/>
      <c r="UPQ7" s="36"/>
      <c r="UPR7" s="36"/>
      <c r="UPS7" s="36"/>
      <c r="UPT7" s="36"/>
      <c r="UPU7" s="36"/>
      <c r="UPV7" s="36"/>
      <c r="UPW7" s="36"/>
      <c r="UPX7" s="36"/>
      <c r="UPY7" s="36"/>
      <c r="UPZ7" s="36"/>
      <c r="UQA7" s="36"/>
      <c r="UQB7" s="36"/>
      <c r="UQC7" s="36"/>
      <c r="UQD7" s="36"/>
      <c r="UQE7" s="36"/>
      <c r="UQF7" s="36"/>
      <c r="UQG7" s="36"/>
      <c r="UQH7" s="36"/>
      <c r="UQI7" s="36"/>
      <c r="UQJ7" s="36"/>
      <c r="UQK7" s="36"/>
      <c r="UQL7" s="36"/>
      <c r="UQM7" s="36"/>
      <c r="UQN7" s="36"/>
      <c r="UQO7" s="36"/>
      <c r="UQP7" s="36"/>
      <c r="UQQ7" s="36"/>
      <c r="UQR7" s="36"/>
      <c r="UQS7" s="36"/>
      <c r="UQT7" s="36"/>
      <c r="UQU7" s="36"/>
      <c r="UQV7" s="36"/>
      <c r="UQW7" s="36"/>
      <c r="UQX7" s="36"/>
      <c r="UQY7" s="36"/>
      <c r="UQZ7" s="36"/>
      <c r="URA7" s="36"/>
      <c r="URB7" s="36"/>
      <c r="URC7" s="36"/>
      <c r="URD7" s="36"/>
      <c r="URE7" s="36"/>
      <c r="URF7" s="36"/>
      <c r="URG7" s="36"/>
      <c r="URH7" s="36"/>
      <c r="URI7" s="36"/>
      <c r="URJ7" s="36"/>
      <c r="URK7" s="36"/>
      <c r="URL7" s="36"/>
      <c r="URM7" s="36"/>
      <c r="URN7" s="36"/>
      <c r="URO7" s="36"/>
      <c r="URP7" s="36"/>
      <c r="URQ7" s="36"/>
      <c r="URR7" s="36"/>
      <c r="URS7" s="36"/>
      <c r="URT7" s="36"/>
      <c r="URU7" s="36"/>
      <c r="URV7" s="36"/>
      <c r="URW7" s="36"/>
      <c r="URX7" s="36"/>
      <c r="URY7" s="36"/>
      <c r="URZ7" s="36"/>
      <c r="USA7" s="36"/>
      <c r="USB7" s="36"/>
      <c r="USC7" s="36"/>
      <c r="USD7" s="36"/>
      <c r="USE7" s="36"/>
      <c r="USF7" s="36"/>
      <c r="USG7" s="36"/>
      <c r="USH7" s="36"/>
      <c r="USI7" s="36"/>
      <c r="USJ7" s="36"/>
      <c r="USK7" s="36"/>
      <c r="USL7" s="36"/>
      <c r="USM7" s="36"/>
      <c r="USN7" s="36"/>
      <c r="USO7" s="36"/>
      <c r="USP7" s="36"/>
      <c r="USQ7" s="36"/>
      <c r="USR7" s="36"/>
      <c r="USS7" s="36"/>
      <c r="UST7" s="36"/>
      <c r="USU7" s="36"/>
      <c r="USV7" s="36"/>
      <c r="USW7" s="36"/>
      <c r="USX7" s="36"/>
      <c r="USY7" s="36"/>
      <c r="USZ7" s="36"/>
      <c r="UTA7" s="36"/>
      <c r="UTB7" s="36"/>
      <c r="UTC7" s="36"/>
      <c r="UTD7" s="36"/>
      <c r="UTE7" s="36"/>
      <c r="UTF7" s="36"/>
      <c r="UTG7" s="36"/>
      <c r="UTH7" s="36"/>
      <c r="UTI7" s="36"/>
      <c r="UTJ7" s="36"/>
      <c r="UTK7" s="36"/>
      <c r="UTL7" s="36"/>
      <c r="UTM7" s="36"/>
      <c r="UTN7" s="36"/>
      <c r="UTO7" s="36"/>
      <c r="UTP7" s="36"/>
      <c r="UTQ7" s="36"/>
      <c r="UTR7" s="36"/>
      <c r="UTS7" s="36"/>
      <c r="UTT7" s="36"/>
      <c r="UTU7" s="36"/>
      <c r="UTV7" s="36"/>
      <c r="UTW7" s="36"/>
      <c r="UTX7" s="36"/>
      <c r="UTY7" s="36"/>
      <c r="UTZ7" s="36"/>
      <c r="UUA7" s="36"/>
      <c r="UUB7" s="36"/>
      <c r="UUC7" s="36"/>
      <c r="UUD7" s="36"/>
      <c r="UUE7" s="36"/>
      <c r="UUF7" s="36"/>
      <c r="UUG7" s="36"/>
      <c r="UUH7" s="36"/>
      <c r="UUI7" s="36"/>
      <c r="UUJ7" s="36"/>
      <c r="UUK7" s="36"/>
      <c r="UUL7" s="36"/>
      <c r="UUM7" s="36"/>
      <c r="UUN7" s="36"/>
      <c r="UUO7" s="36"/>
      <c r="UUP7" s="36"/>
      <c r="UUQ7" s="36"/>
      <c r="UUR7" s="36"/>
      <c r="UUS7" s="36"/>
      <c r="UUT7" s="36"/>
      <c r="UUU7" s="36"/>
      <c r="UUV7" s="36"/>
      <c r="UUW7" s="36"/>
      <c r="UUX7" s="36"/>
      <c r="UUY7" s="36"/>
      <c r="UUZ7" s="36"/>
      <c r="UVA7" s="36"/>
      <c r="UVB7" s="36"/>
      <c r="UVC7" s="36"/>
      <c r="UVD7" s="36"/>
      <c r="UVE7" s="36"/>
      <c r="UVF7" s="36"/>
      <c r="UVG7" s="36"/>
      <c r="UVH7" s="36"/>
      <c r="UVI7" s="36"/>
      <c r="UVJ7" s="36"/>
      <c r="UVK7" s="36"/>
      <c r="UVL7" s="36"/>
      <c r="UVM7" s="36"/>
      <c r="UVN7" s="36"/>
      <c r="UVO7" s="36"/>
      <c r="UVP7" s="36"/>
      <c r="UVQ7" s="36"/>
      <c r="UVR7" s="36"/>
      <c r="UVS7" s="36"/>
      <c r="UVT7" s="36"/>
      <c r="UVU7" s="36"/>
      <c r="UVV7" s="36"/>
      <c r="UVW7" s="36"/>
      <c r="UVX7" s="36"/>
      <c r="UVY7" s="36"/>
      <c r="UVZ7" s="36"/>
      <c r="UWA7" s="36"/>
      <c r="UWB7" s="36"/>
      <c r="UWC7" s="36"/>
      <c r="UWD7" s="36"/>
      <c r="UWE7" s="36"/>
      <c r="UWF7" s="36"/>
      <c r="UWG7" s="36"/>
      <c r="UWH7" s="36"/>
      <c r="UWI7" s="36"/>
      <c r="UWJ7" s="36"/>
      <c r="UWK7" s="36"/>
      <c r="UWL7" s="36"/>
      <c r="UWM7" s="36"/>
      <c r="UWN7" s="36"/>
      <c r="UWO7" s="36"/>
      <c r="UWP7" s="36"/>
      <c r="UWQ7" s="36"/>
      <c r="UWR7" s="36"/>
      <c r="UWS7" s="36"/>
      <c r="UWT7" s="36"/>
      <c r="UWU7" s="36"/>
      <c r="UWV7" s="36"/>
      <c r="UWW7" s="36"/>
      <c r="UWX7" s="36"/>
      <c r="UWY7" s="36"/>
      <c r="UWZ7" s="36"/>
      <c r="UXA7" s="36"/>
      <c r="UXB7" s="36"/>
      <c r="UXC7" s="36"/>
      <c r="UXD7" s="36"/>
      <c r="UXE7" s="36"/>
      <c r="UXF7" s="36"/>
      <c r="UXG7" s="36"/>
      <c r="UXH7" s="36"/>
      <c r="UXI7" s="36"/>
      <c r="UXJ7" s="36"/>
      <c r="UXK7" s="36"/>
      <c r="UXL7" s="36"/>
      <c r="UXM7" s="36"/>
      <c r="UXN7" s="36"/>
      <c r="UXO7" s="36"/>
      <c r="UXP7" s="36"/>
      <c r="UXQ7" s="36"/>
      <c r="UXR7" s="36"/>
      <c r="UXS7" s="36"/>
      <c r="UXT7" s="36"/>
      <c r="UXU7" s="36"/>
      <c r="UXV7" s="36"/>
      <c r="UXW7" s="36"/>
      <c r="UXX7" s="36"/>
      <c r="UXY7" s="36"/>
      <c r="UXZ7" s="36"/>
      <c r="UYA7" s="36"/>
      <c r="UYB7" s="36"/>
      <c r="UYC7" s="36"/>
      <c r="UYD7" s="36"/>
      <c r="UYE7" s="36"/>
      <c r="UYF7" s="36"/>
      <c r="UYG7" s="36"/>
      <c r="UYH7" s="36"/>
      <c r="UYI7" s="36"/>
      <c r="UYJ7" s="36"/>
      <c r="UYK7" s="36"/>
      <c r="UYL7" s="36"/>
      <c r="UYM7" s="36"/>
      <c r="UYN7" s="36"/>
      <c r="UYO7" s="36"/>
      <c r="UYP7" s="36"/>
      <c r="UYQ7" s="36"/>
      <c r="UYR7" s="36"/>
      <c r="UYS7" s="36"/>
      <c r="UYT7" s="36"/>
      <c r="UYU7" s="36"/>
      <c r="UYV7" s="36"/>
      <c r="UYW7" s="36"/>
      <c r="UYX7" s="36"/>
      <c r="UYY7" s="36"/>
      <c r="UYZ7" s="36"/>
      <c r="UZA7" s="36"/>
      <c r="UZB7" s="36"/>
      <c r="UZC7" s="36"/>
      <c r="UZD7" s="36"/>
      <c r="UZE7" s="36"/>
      <c r="UZF7" s="36"/>
      <c r="UZG7" s="36"/>
      <c r="UZH7" s="36"/>
      <c r="UZI7" s="36"/>
      <c r="UZJ7" s="36"/>
      <c r="UZK7" s="36"/>
      <c r="UZL7" s="36"/>
      <c r="UZM7" s="36"/>
      <c r="UZN7" s="36"/>
      <c r="UZO7" s="36"/>
      <c r="UZP7" s="36"/>
      <c r="UZQ7" s="36"/>
      <c r="UZR7" s="36"/>
      <c r="UZS7" s="36"/>
      <c r="UZT7" s="36"/>
      <c r="UZU7" s="36"/>
      <c r="UZV7" s="36"/>
      <c r="UZW7" s="36"/>
      <c r="UZX7" s="36"/>
      <c r="UZY7" s="36"/>
      <c r="UZZ7" s="36"/>
      <c r="VAA7" s="36"/>
      <c r="VAB7" s="36"/>
      <c r="VAC7" s="36"/>
      <c r="VAD7" s="36"/>
      <c r="VAE7" s="36"/>
      <c r="VAF7" s="36"/>
      <c r="VAG7" s="36"/>
      <c r="VAH7" s="36"/>
      <c r="VAI7" s="36"/>
      <c r="VAJ7" s="36"/>
      <c r="VAK7" s="36"/>
      <c r="VAL7" s="36"/>
      <c r="VAM7" s="36"/>
      <c r="VAN7" s="36"/>
      <c r="VAO7" s="36"/>
      <c r="VAP7" s="36"/>
      <c r="VAQ7" s="36"/>
      <c r="VAR7" s="36"/>
      <c r="VAS7" s="36"/>
      <c r="VAT7" s="36"/>
      <c r="VAU7" s="36"/>
      <c r="VAV7" s="36"/>
      <c r="VAW7" s="36"/>
      <c r="VAX7" s="36"/>
      <c r="VAY7" s="36"/>
      <c r="VAZ7" s="36"/>
      <c r="VBA7" s="36"/>
      <c r="VBB7" s="36"/>
      <c r="VBC7" s="36"/>
      <c r="VBD7" s="36"/>
      <c r="VBE7" s="36"/>
      <c r="VBF7" s="36"/>
      <c r="VBG7" s="36"/>
      <c r="VBH7" s="36"/>
      <c r="VBI7" s="36"/>
      <c r="VBJ7" s="36"/>
      <c r="VBK7" s="36"/>
      <c r="VBL7" s="36"/>
      <c r="VBM7" s="36"/>
      <c r="VBN7" s="36"/>
      <c r="VBO7" s="36"/>
      <c r="VBP7" s="36"/>
      <c r="VBQ7" s="36"/>
      <c r="VBR7" s="36"/>
      <c r="VBS7" s="36"/>
      <c r="VBT7" s="36"/>
      <c r="VBU7" s="36"/>
      <c r="VBV7" s="36"/>
      <c r="VBW7" s="36"/>
      <c r="VBX7" s="36"/>
      <c r="VBY7" s="36"/>
      <c r="VBZ7" s="36"/>
      <c r="VCA7" s="36"/>
      <c r="VCB7" s="36"/>
      <c r="VCC7" s="36"/>
      <c r="VCD7" s="36"/>
      <c r="VCE7" s="36"/>
      <c r="VCF7" s="36"/>
      <c r="VCG7" s="36"/>
      <c r="VCH7" s="36"/>
      <c r="VCI7" s="36"/>
      <c r="VCJ7" s="36"/>
      <c r="VCK7" s="36"/>
      <c r="VCL7" s="36"/>
      <c r="VCM7" s="36"/>
      <c r="VCN7" s="36"/>
      <c r="VCO7" s="36"/>
      <c r="VCP7" s="36"/>
      <c r="VCQ7" s="36"/>
      <c r="VCR7" s="36"/>
      <c r="VCS7" s="36"/>
      <c r="VCT7" s="36"/>
      <c r="VCU7" s="36"/>
      <c r="VCV7" s="36"/>
      <c r="VCW7" s="36"/>
      <c r="VCX7" s="36"/>
      <c r="VCY7" s="36"/>
      <c r="VCZ7" s="36"/>
      <c r="VDA7" s="36"/>
      <c r="VDB7" s="36"/>
      <c r="VDC7" s="36"/>
      <c r="VDD7" s="36"/>
      <c r="VDE7" s="36"/>
      <c r="VDF7" s="36"/>
      <c r="VDG7" s="36"/>
      <c r="VDH7" s="36"/>
      <c r="VDI7" s="36"/>
      <c r="VDJ7" s="36"/>
      <c r="VDK7" s="36"/>
      <c r="VDL7" s="36"/>
      <c r="VDM7" s="36"/>
      <c r="VDN7" s="36"/>
      <c r="VDO7" s="36"/>
      <c r="VDP7" s="36"/>
      <c r="VDQ7" s="36"/>
      <c r="VDR7" s="36"/>
      <c r="VDS7" s="36"/>
      <c r="VDT7" s="36"/>
      <c r="VDU7" s="36"/>
      <c r="VDV7" s="36"/>
      <c r="VDW7" s="36"/>
      <c r="VDX7" s="36"/>
      <c r="VDY7" s="36"/>
      <c r="VDZ7" s="36"/>
      <c r="VEA7" s="36"/>
      <c r="VEB7" s="36"/>
      <c r="VEC7" s="36"/>
      <c r="VED7" s="36"/>
      <c r="VEE7" s="36"/>
      <c r="VEF7" s="36"/>
      <c r="VEG7" s="36"/>
      <c r="VEH7" s="36"/>
      <c r="VEI7" s="36"/>
      <c r="VEJ7" s="36"/>
      <c r="VEK7" s="36"/>
      <c r="VEL7" s="36"/>
      <c r="VEM7" s="36"/>
      <c r="VEN7" s="36"/>
      <c r="VEO7" s="36"/>
      <c r="VEP7" s="36"/>
      <c r="VEQ7" s="36"/>
      <c r="VER7" s="36"/>
      <c r="VES7" s="36"/>
      <c r="VET7" s="36"/>
      <c r="VEU7" s="36"/>
      <c r="VEV7" s="36"/>
      <c r="VEW7" s="36"/>
      <c r="VEX7" s="36"/>
      <c r="VEY7" s="36"/>
      <c r="VEZ7" s="36"/>
      <c r="VFA7" s="36"/>
      <c r="VFB7" s="36"/>
      <c r="VFC7" s="36"/>
      <c r="VFD7" s="36"/>
      <c r="VFE7" s="36"/>
      <c r="VFF7" s="36"/>
      <c r="VFG7" s="36"/>
      <c r="VFH7" s="36"/>
      <c r="VFI7" s="36"/>
      <c r="VFJ7" s="36"/>
      <c r="VFK7" s="36"/>
      <c r="VFL7" s="36"/>
      <c r="VFM7" s="36"/>
      <c r="VFN7" s="36"/>
      <c r="VFO7" s="36"/>
      <c r="VFP7" s="36"/>
      <c r="VFQ7" s="36"/>
      <c r="VFR7" s="36"/>
      <c r="VFS7" s="36"/>
      <c r="VFT7" s="36"/>
      <c r="VFU7" s="36"/>
      <c r="VFV7" s="36"/>
      <c r="VFW7" s="36"/>
      <c r="VFX7" s="36"/>
      <c r="VFY7" s="36"/>
      <c r="VFZ7" s="36"/>
      <c r="VGA7" s="36"/>
      <c r="VGB7" s="36"/>
      <c r="VGC7" s="36"/>
      <c r="VGD7" s="36"/>
      <c r="VGE7" s="36"/>
      <c r="VGF7" s="36"/>
      <c r="VGG7" s="36"/>
      <c r="VGH7" s="36"/>
      <c r="VGI7" s="36"/>
      <c r="VGJ7" s="36"/>
      <c r="VGK7" s="36"/>
      <c r="VGL7" s="36"/>
      <c r="VGM7" s="36"/>
      <c r="VGN7" s="36"/>
      <c r="VGO7" s="36"/>
      <c r="VGP7" s="36"/>
      <c r="VGQ7" s="36"/>
      <c r="VGR7" s="36"/>
      <c r="VGS7" s="36"/>
      <c r="VGT7" s="36"/>
      <c r="VGU7" s="36"/>
      <c r="VGV7" s="36"/>
      <c r="VGW7" s="36"/>
      <c r="VGX7" s="36"/>
      <c r="VGY7" s="36"/>
      <c r="VGZ7" s="36"/>
      <c r="VHA7" s="36"/>
      <c r="VHB7" s="36"/>
      <c r="VHC7" s="36"/>
      <c r="VHD7" s="36"/>
      <c r="VHE7" s="36"/>
      <c r="VHF7" s="36"/>
      <c r="VHG7" s="36"/>
      <c r="VHH7" s="36"/>
      <c r="VHI7" s="36"/>
      <c r="VHJ7" s="36"/>
      <c r="VHK7" s="36"/>
      <c r="VHL7" s="36"/>
      <c r="VHM7" s="36"/>
      <c r="VHN7" s="36"/>
      <c r="VHO7" s="36"/>
      <c r="VHP7" s="36"/>
      <c r="VHQ7" s="36"/>
      <c r="VHR7" s="36"/>
      <c r="VHS7" s="36"/>
      <c r="VHT7" s="36"/>
      <c r="VHU7" s="36"/>
      <c r="VHV7" s="36"/>
      <c r="VHW7" s="36"/>
      <c r="VHX7" s="36"/>
      <c r="VHY7" s="36"/>
      <c r="VHZ7" s="36"/>
      <c r="VIA7" s="36"/>
      <c r="VIB7" s="36"/>
      <c r="VIC7" s="36"/>
      <c r="VID7" s="36"/>
      <c r="VIE7" s="36"/>
      <c r="VIF7" s="36"/>
      <c r="VIG7" s="36"/>
      <c r="VIH7" s="36"/>
      <c r="VII7" s="36"/>
      <c r="VIJ7" s="36"/>
      <c r="VIK7" s="36"/>
      <c r="VIL7" s="36"/>
      <c r="VIM7" s="36"/>
      <c r="VIN7" s="36"/>
      <c r="VIO7" s="36"/>
      <c r="VIP7" s="36"/>
      <c r="VIQ7" s="36"/>
      <c r="VIR7" s="36"/>
      <c r="VIS7" s="36"/>
      <c r="VIT7" s="36"/>
      <c r="VIU7" s="36"/>
      <c r="VIV7" s="36"/>
      <c r="VIW7" s="36"/>
      <c r="VIX7" s="36"/>
      <c r="VIY7" s="36"/>
      <c r="VIZ7" s="36"/>
      <c r="VJA7" s="36"/>
      <c r="VJB7" s="36"/>
      <c r="VJC7" s="36"/>
      <c r="VJD7" s="36"/>
      <c r="VJE7" s="36"/>
      <c r="VJF7" s="36"/>
      <c r="VJG7" s="36"/>
      <c r="VJH7" s="36"/>
      <c r="VJI7" s="36"/>
      <c r="VJJ7" s="36"/>
      <c r="VJK7" s="36"/>
      <c r="VJL7" s="36"/>
      <c r="VJM7" s="36"/>
      <c r="VJN7" s="36"/>
      <c r="VJO7" s="36"/>
      <c r="VJP7" s="36"/>
      <c r="VJQ7" s="36"/>
      <c r="VJR7" s="36"/>
      <c r="VJS7" s="36"/>
      <c r="VJT7" s="36"/>
      <c r="VJU7" s="36"/>
      <c r="VJV7" s="36"/>
      <c r="VJW7" s="36"/>
      <c r="VJX7" s="36"/>
      <c r="VJY7" s="36"/>
      <c r="VJZ7" s="36"/>
      <c r="VKA7" s="36"/>
      <c r="VKB7" s="36"/>
      <c r="VKC7" s="36"/>
      <c r="VKD7" s="36"/>
      <c r="VKE7" s="36"/>
      <c r="VKF7" s="36"/>
      <c r="VKG7" s="36"/>
      <c r="VKH7" s="36"/>
      <c r="VKI7" s="36"/>
      <c r="VKJ7" s="36"/>
      <c r="VKK7" s="36"/>
      <c r="VKL7" s="36"/>
      <c r="VKM7" s="36"/>
      <c r="VKN7" s="36"/>
      <c r="VKO7" s="36"/>
      <c r="VKP7" s="36"/>
      <c r="VKQ7" s="36"/>
      <c r="VKR7" s="36"/>
      <c r="VKS7" s="36"/>
      <c r="VKT7" s="36"/>
      <c r="VKU7" s="36"/>
      <c r="VKV7" s="36"/>
      <c r="VKW7" s="36"/>
      <c r="VKX7" s="36"/>
      <c r="VKY7" s="36"/>
      <c r="VKZ7" s="36"/>
      <c r="VLA7" s="36"/>
      <c r="VLB7" s="36"/>
      <c r="VLC7" s="36"/>
      <c r="VLD7" s="36"/>
      <c r="VLE7" s="36"/>
      <c r="VLF7" s="36"/>
      <c r="VLG7" s="36"/>
      <c r="VLH7" s="36"/>
      <c r="VLI7" s="36"/>
      <c r="VLJ7" s="36"/>
      <c r="VLK7" s="36"/>
      <c r="VLL7" s="36"/>
      <c r="VLM7" s="36"/>
      <c r="VLN7" s="36"/>
      <c r="VLO7" s="36"/>
      <c r="VLP7" s="36"/>
      <c r="VLQ7" s="36"/>
      <c r="VLR7" s="36"/>
      <c r="VLS7" s="36"/>
      <c r="VLT7" s="36"/>
      <c r="VLU7" s="36"/>
      <c r="VLV7" s="36"/>
      <c r="VLW7" s="36"/>
      <c r="VLX7" s="36"/>
      <c r="VLY7" s="36"/>
      <c r="VLZ7" s="36"/>
      <c r="VMA7" s="36"/>
      <c r="VMB7" s="36"/>
      <c r="VMC7" s="36"/>
      <c r="VMD7" s="36"/>
      <c r="VME7" s="36"/>
      <c r="VMF7" s="36"/>
      <c r="VMG7" s="36"/>
      <c r="VMH7" s="36"/>
      <c r="VMI7" s="36"/>
      <c r="VMJ7" s="36"/>
      <c r="VMK7" s="36"/>
      <c r="VML7" s="36"/>
      <c r="VMM7" s="36"/>
      <c r="VMN7" s="36"/>
      <c r="VMO7" s="36"/>
      <c r="VMP7" s="36"/>
      <c r="VMQ7" s="36"/>
      <c r="VMR7" s="36"/>
      <c r="VMS7" s="36"/>
      <c r="VMT7" s="36"/>
      <c r="VMU7" s="36"/>
      <c r="VMV7" s="36"/>
      <c r="VMW7" s="36"/>
      <c r="VMX7" s="36"/>
      <c r="VMY7" s="36"/>
      <c r="VMZ7" s="36"/>
      <c r="VNA7" s="36"/>
      <c r="VNB7" s="36"/>
      <c r="VNC7" s="36"/>
      <c r="VND7" s="36"/>
      <c r="VNE7" s="36"/>
      <c r="VNF7" s="36"/>
      <c r="VNG7" s="36"/>
      <c r="VNH7" s="36"/>
      <c r="VNI7" s="36"/>
      <c r="VNJ7" s="36"/>
      <c r="VNK7" s="36"/>
      <c r="VNL7" s="36"/>
      <c r="VNM7" s="36"/>
      <c r="VNN7" s="36"/>
      <c r="VNO7" s="36"/>
      <c r="VNP7" s="36"/>
      <c r="VNQ7" s="36"/>
      <c r="VNR7" s="36"/>
      <c r="VNS7" s="36"/>
      <c r="VNT7" s="36"/>
      <c r="VNU7" s="36"/>
      <c r="VNV7" s="36"/>
      <c r="VNW7" s="36"/>
      <c r="VNX7" s="36"/>
      <c r="VNY7" s="36"/>
      <c r="VNZ7" s="36"/>
      <c r="VOA7" s="36"/>
      <c r="VOB7" s="36"/>
      <c r="VOC7" s="36"/>
      <c r="VOD7" s="36"/>
      <c r="VOE7" s="36"/>
      <c r="VOF7" s="36"/>
      <c r="VOG7" s="36"/>
      <c r="VOH7" s="36"/>
      <c r="VOI7" s="36"/>
      <c r="VOJ7" s="36"/>
      <c r="VOK7" s="36"/>
      <c r="VOL7" s="36"/>
      <c r="VOM7" s="36"/>
      <c r="VON7" s="36"/>
      <c r="VOO7" s="36"/>
      <c r="VOP7" s="36"/>
      <c r="VOQ7" s="36"/>
      <c r="VOR7" s="36"/>
      <c r="VOS7" s="36"/>
      <c r="VOT7" s="36"/>
      <c r="VOU7" s="36"/>
      <c r="VOV7" s="36"/>
      <c r="VOW7" s="36"/>
      <c r="VOX7" s="36"/>
      <c r="VOY7" s="36"/>
      <c r="VOZ7" s="36"/>
      <c r="VPA7" s="36"/>
      <c r="VPB7" s="36"/>
      <c r="VPC7" s="36"/>
      <c r="VPD7" s="36"/>
      <c r="VPE7" s="36"/>
      <c r="VPF7" s="36"/>
      <c r="VPG7" s="36"/>
      <c r="VPH7" s="36"/>
      <c r="VPI7" s="36"/>
      <c r="VPJ7" s="36"/>
      <c r="VPK7" s="36"/>
      <c r="VPL7" s="36"/>
      <c r="VPM7" s="36"/>
      <c r="VPN7" s="36"/>
      <c r="VPO7" s="36"/>
      <c r="VPP7" s="36"/>
      <c r="VPQ7" s="36"/>
      <c r="VPR7" s="36"/>
      <c r="VPS7" s="36"/>
      <c r="VPT7" s="36"/>
      <c r="VPU7" s="36"/>
      <c r="VPV7" s="36"/>
      <c r="VPW7" s="36"/>
      <c r="VPX7" s="36"/>
      <c r="VPY7" s="36"/>
      <c r="VPZ7" s="36"/>
      <c r="VQA7" s="36"/>
      <c r="VQB7" s="36"/>
      <c r="VQC7" s="36"/>
      <c r="VQD7" s="36"/>
      <c r="VQE7" s="36"/>
      <c r="VQF7" s="36"/>
      <c r="VQG7" s="36"/>
      <c r="VQH7" s="36"/>
      <c r="VQI7" s="36"/>
      <c r="VQJ7" s="36"/>
      <c r="VQK7" s="36"/>
      <c r="VQL7" s="36"/>
      <c r="VQM7" s="36"/>
      <c r="VQN7" s="36"/>
      <c r="VQO7" s="36"/>
      <c r="VQP7" s="36"/>
      <c r="VQQ7" s="36"/>
      <c r="VQR7" s="36"/>
      <c r="VQS7" s="36"/>
      <c r="VQT7" s="36"/>
      <c r="VQU7" s="36"/>
      <c r="VQV7" s="36"/>
      <c r="VQW7" s="36"/>
      <c r="VQX7" s="36"/>
      <c r="VQY7" s="36"/>
      <c r="VQZ7" s="36"/>
      <c r="VRA7" s="36"/>
      <c r="VRB7" s="36"/>
      <c r="VRC7" s="36"/>
      <c r="VRD7" s="36"/>
      <c r="VRE7" s="36"/>
      <c r="VRF7" s="36"/>
      <c r="VRG7" s="36"/>
      <c r="VRH7" s="36"/>
      <c r="VRI7" s="36"/>
      <c r="VRJ7" s="36"/>
      <c r="VRK7" s="36"/>
      <c r="VRL7" s="36"/>
      <c r="VRM7" s="36"/>
      <c r="VRN7" s="36"/>
      <c r="VRO7" s="36"/>
      <c r="VRP7" s="36"/>
      <c r="VRQ7" s="36"/>
      <c r="VRR7" s="36"/>
      <c r="VRS7" s="36"/>
      <c r="VRT7" s="36"/>
      <c r="VRU7" s="36"/>
      <c r="VRV7" s="36"/>
      <c r="VRW7" s="36"/>
      <c r="VRX7" s="36"/>
      <c r="VRY7" s="36"/>
      <c r="VRZ7" s="36"/>
      <c r="VSA7" s="36"/>
      <c r="VSB7" s="36"/>
      <c r="VSC7" s="36"/>
      <c r="VSD7" s="36"/>
      <c r="VSE7" s="36"/>
      <c r="VSF7" s="36"/>
      <c r="VSG7" s="36"/>
      <c r="VSH7" s="36"/>
      <c r="VSI7" s="36"/>
      <c r="VSJ7" s="36"/>
      <c r="VSK7" s="36"/>
      <c r="VSL7" s="36"/>
      <c r="VSM7" s="36"/>
      <c r="VSN7" s="36"/>
      <c r="VSO7" s="36"/>
      <c r="VSP7" s="36"/>
      <c r="VSQ7" s="36"/>
      <c r="VSR7" s="36"/>
      <c r="VSS7" s="36"/>
      <c r="VST7" s="36"/>
      <c r="VSU7" s="36"/>
      <c r="VSV7" s="36"/>
      <c r="VSW7" s="36"/>
      <c r="VSX7" s="36"/>
      <c r="VSY7" s="36"/>
      <c r="VSZ7" s="36"/>
      <c r="VTA7" s="36"/>
      <c r="VTB7" s="36"/>
      <c r="VTC7" s="36"/>
      <c r="VTD7" s="36"/>
      <c r="VTE7" s="36"/>
      <c r="VTF7" s="36"/>
      <c r="VTG7" s="36"/>
      <c r="VTH7" s="36"/>
      <c r="VTI7" s="36"/>
      <c r="VTJ7" s="36"/>
      <c r="VTK7" s="36"/>
      <c r="VTL7" s="36"/>
      <c r="VTM7" s="36"/>
      <c r="VTN7" s="36"/>
      <c r="VTO7" s="36"/>
      <c r="VTP7" s="36"/>
      <c r="VTQ7" s="36"/>
      <c r="VTR7" s="36"/>
      <c r="VTS7" s="36"/>
      <c r="VTT7" s="36"/>
      <c r="VTU7" s="36"/>
      <c r="VTV7" s="36"/>
      <c r="VTW7" s="36"/>
      <c r="VTX7" s="36"/>
      <c r="VTY7" s="36"/>
      <c r="VTZ7" s="36"/>
      <c r="VUA7" s="36"/>
      <c r="VUB7" s="36"/>
      <c r="VUC7" s="36"/>
      <c r="VUD7" s="36"/>
      <c r="VUE7" s="36"/>
      <c r="VUF7" s="36"/>
      <c r="VUG7" s="36"/>
      <c r="VUH7" s="36"/>
      <c r="VUI7" s="36"/>
      <c r="VUJ7" s="36"/>
      <c r="VUK7" s="36"/>
      <c r="VUL7" s="36"/>
      <c r="VUM7" s="36"/>
      <c r="VUN7" s="36"/>
      <c r="VUO7" s="36"/>
      <c r="VUP7" s="36"/>
      <c r="VUQ7" s="36"/>
      <c r="VUR7" s="36"/>
      <c r="VUS7" s="36"/>
      <c r="VUT7" s="36"/>
      <c r="VUU7" s="36"/>
      <c r="VUV7" s="36"/>
      <c r="VUW7" s="36"/>
      <c r="VUX7" s="36"/>
      <c r="VUY7" s="36"/>
      <c r="VUZ7" s="36"/>
      <c r="VVA7" s="36"/>
      <c r="VVB7" s="36"/>
      <c r="VVC7" s="36"/>
      <c r="VVD7" s="36"/>
      <c r="VVE7" s="36"/>
      <c r="VVF7" s="36"/>
      <c r="VVG7" s="36"/>
      <c r="VVH7" s="36"/>
      <c r="VVI7" s="36"/>
      <c r="VVJ7" s="36"/>
      <c r="VVK7" s="36"/>
      <c r="VVL7" s="36"/>
      <c r="VVM7" s="36"/>
      <c r="VVN7" s="36"/>
      <c r="VVO7" s="36"/>
      <c r="VVP7" s="36"/>
      <c r="VVQ7" s="36"/>
      <c r="VVR7" s="36"/>
      <c r="VVS7" s="36"/>
      <c r="VVT7" s="36"/>
      <c r="VVU7" s="36"/>
      <c r="VVV7" s="36"/>
      <c r="VVW7" s="36"/>
      <c r="VVX7" s="36"/>
      <c r="VVY7" s="36"/>
      <c r="VVZ7" s="36"/>
      <c r="VWA7" s="36"/>
      <c r="VWB7" s="36"/>
      <c r="VWC7" s="36"/>
      <c r="VWD7" s="36"/>
      <c r="VWE7" s="36"/>
      <c r="VWF7" s="36"/>
      <c r="VWG7" s="36"/>
      <c r="VWH7" s="36"/>
      <c r="VWI7" s="36"/>
      <c r="VWJ7" s="36"/>
      <c r="VWK7" s="36"/>
      <c r="VWL7" s="36"/>
      <c r="VWM7" s="36"/>
      <c r="VWN7" s="36"/>
      <c r="VWO7" s="36"/>
      <c r="VWP7" s="36"/>
      <c r="VWQ7" s="36"/>
      <c r="VWR7" s="36"/>
      <c r="VWS7" s="36"/>
      <c r="VWT7" s="36"/>
      <c r="VWU7" s="36"/>
      <c r="VWV7" s="36"/>
      <c r="VWW7" s="36"/>
      <c r="VWX7" s="36"/>
      <c r="VWY7" s="36"/>
      <c r="VWZ7" s="36"/>
      <c r="VXA7" s="36"/>
      <c r="VXB7" s="36"/>
      <c r="VXC7" s="36"/>
      <c r="VXD7" s="36"/>
      <c r="VXE7" s="36"/>
      <c r="VXF7" s="36"/>
      <c r="VXG7" s="36"/>
      <c r="VXH7" s="36"/>
      <c r="VXI7" s="36"/>
      <c r="VXJ7" s="36"/>
      <c r="VXK7" s="36"/>
      <c r="VXL7" s="36"/>
      <c r="VXM7" s="36"/>
      <c r="VXN7" s="36"/>
      <c r="VXO7" s="36"/>
      <c r="VXP7" s="36"/>
      <c r="VXQ7" s="36"/>
      <c r="VXR7" s="36"/>
      <c r="VXS7" s="36"/>
      <c r="VXT7" s="36"/>
      <c r="VXU7" s="36"/>
      <c r="VXV7" s="36"/>
      <c r="VXW7" s="36"/>
      <c r="VXX7" s="36"/>
      <c r="VXY7" s="36"/>
      <c r="VXZ7" s="36"/>
      <c r="VYA7" s="36"/>
      <c r="VYB7" s="36"/>
      <c r="VYC7" s="36"/>
      <c r="VYD7" s="36"/>
      <c r="VYE7" s="36"/>
      <c r="VYF7" s="36"/>
      <c r="VYG7" s="36"/>
      <c r="VYH7" s="36"/>
      <c r="VYI7" s="36"/>
      <c r="VYJ7" s="36"/>
      <c r="VYK7" s="36"/>
      <c r="VYL7" s="36"/>
      <c r="VYM7" s="36"/>
      <c r="VYN7" s="36"/>
      <c r="VYO7" s="36"/>
      <c r="VYP7" s="36"/>
      <c r="VYQ7" s="36"/>
      <c r="VYR7" s="36"/>
      <c r="VYS7" s="36"/>
      <c r="VYT7" s="36"/>
      <c r="VYU7" s="36"/>
      <c r="VYV7" s="36"/>
      <c r="VYW7" s="36"/>
      <c r="VYX7" s="36"/>
      <c r="VYY7" s="36"/>
      <c r="VYZ7" s="36"/>
      <c r="VZA7" s="36"/>
      <c r="VZB7" s="36"/>
      <c r="VZC7" s="36"/>
      <c r="VZD7" s="36"/>
      <c r="VZE7" s="36"/>
      <c r="VZF7" s="36"/>
      <c r="VZG7" s="36"/>
      <c r="VZH7" s="36"/>
      <c r="VZI7" s="36"/>
      <c r="VZJ7" s="36"/>
      <c r="VZK7" s="36"/>
      <c r="VZL7" s="36"/>
      <c r="VZM7" s="36"/>
      <c r="VZN7" s="36"/>
      <c r="VZO7" s="36"/>
      <c r="VZP7" s="36"/>
      <c r="VZQ7" s="36"/>
      <c r="VZR7" s="36"/>
      <c r="VZS7" s="36"/>
      <c r="VZT7" s="36"/>
      <c r="VZU7" s="36"/>
      <c r="VZV7" s="36"/>
      <c r="VZW7" s="36"/>
      <c r="VZX7" s="36"/>
      <c r="VZY7" s="36"/>
      <c r="VZZ7" s="36"/>
      <c r="WAA7" s="36"/>
      <c r="WAB7" s="36"/>
      <c r="WAC7" s="36"/>
      <c r="WAD7" s="36"/>
      <c r="WAE7" s="36"/>
      <c r="WAF7" s="36"/>
      <c r="WAG7" s="36"/>
      <c r="WAH7" s="36"/>
      <c r="WAI7" s="36"/>
      <c r="WAJ7" s="36"/>
      <c r="WAK7" s="36"/>
      <c r="WAL7" s="36"/>
      <c r="WAM7" s="36"/>
      <c r="WAN7" s="36"/>
      <c r="WAO7" s="36"/>
      <c r="WAP7" s="36"/>
      <c r="WAQ7" s="36"/>
      <c r="WAR7" s="36"/>
      <c r="WAS7" s="36"/>
      <c r="WAT7" s="36"/>
      <c r="WAU7" s="36"/>
      <c r="WAV7" s="36"/>
      <c r="WAW7" s="36"/>
      <c r="WAX7" s="36"/>
      <c r="WAY7" s="36"/>
      <c r="WAZ7" s="36"/>
      <c r="WBA7" s="36"/>
      <c r="WBB7" s="36"/>
      <c r="WBC7" s="36"/>
      <c r="WBD7" s="36"/>
      <c r="WBE7" s="36"/>
      <c r="WBF7" s="36"/>
      <c r="WBG7" s="36"/>
      <c r="WBH7" s="36"/>
      <c r="WBI7" s="36"/>
      <c r="WBJ7" s="36"/>
      <c r="WBK7" s="36"/>
      <c r="WBL7" s="36"/>
      <c r="WBM7" s="36"/>
      <c r="WBN7" s="36"/>
      <c r="WBO7" s="36"/>
      <c r="WBP7" s="36"/>
      <c r="WBQ7" s="36"/>
      <c r="WBR7" s="36"/>
      <c r="WBS7" s="36"/>
      <c r="WBT7" s="36"/>
      <c r="WBU7" s="36"/>
      <c r="WBV7" s="36"/>
      <c r="WBW7" s="36"/>
      <c r="WBX7" s="36"/>
      <c r="WBY7" s="36"/>
      <c r="WBZ7" s="36"/>
      <c r="WCA7" s="36"/>
      <c r="WCB7" s="36"/>
      <c r="WCC7" s="36"/>
      <c r="WCD7" s="36"/>
      <c r="WCE7" s="36"/>
      <c r="WCF7" s="36"/>
      <c r="WCG7" s="36"/>
      <c r="WCH7" s="36"/>
      <c r="WCI7" s="36"/>
      <c r="WCJ7" s="36"/>
      <c r="WCK7" s="36"/>
      <c r="WCL7" s="36"/>
      <c r="WCM7" s="36"/>
      <c r="WCN7" s="36"/>
      <c r="WCO7" s="36"/>
      <c r="WCP7" s="36"/>
      <c r="WCQ7" s="36"/>
      <c r="WCR7" s="36"/>
      <c r="WCS7" s="36"/>
      <c r="WCT7" s="36"/>
      <c r="WCU7" s="36"/>
      <c r="WCV7" s="36"/>
      <c r="WCW7" s="36"/>
      <c r="WCX7" s="36"/>
      <c r="WCY7" s="36"/>
      <c r="WCZ7" s="36"/>
      <c r="WDA7" s="36"/>
      <c r="WDB7" s="36"/>
      <c r="WDC7" s="36"/>
      <c r="WDD7" s="36"/>
      <c r="WDE7" s="36"/>
      <c r="WDF7" s="36"/>
      <c r="WDG7" s="36"/>
      <c r="WDH7" s="36"/>
      <c r="WDI7" s="36"/>
      <c r="WDJ7" s="36"/>
      <c r="WDK7" s="36"/>
      <c r="WDL7" s="36"/>
      <c r="WDM7" s="36"/>
      <c r="WDN7" s="36"/>
      <c r="WDO7" s="36"/>
      <c r="WDP7" s="36"/>
      <c r="WDQ7" s="36"/>
      <c r="WDR7" s="36"/>
      <c r="WDS7" s="36"/>
      <c r="WDT7" s="36"/>
      <c r="WDU7" s="36"/>
      <c r="WDV7" s="36"/>
      <c r="WDW7" s="36"/>
      <c r="WDX7" s="36"/>
      <c r="WDY7" s="36"/>
      <c r="WDZ7" s="36"/>
      <c r="WEA7" s="36"/>
      <c r="WEB7" s="36"/>
      <c r="WEC7" s="36"/>
      <c r="WED7" s="36"/>
      <c r="WEE7" s="36"/>
      <c r="WEF7" s="36"/>
      <c r="WEG7" s="36"/>
      <c r="WEH7" s="36"/>
      <c r="WEI7" s="36"/>
      <c r="WEJ7" s="36"/>
      <c r="WEK7" s="36"/>
      <c r="WEL7" s="36"/>
      <c r="WEM7" s="36"/>
      <c r="WEN7" s="36"/>
      <c r="WEO7" s="36"/>
      <c r="WEP7" s="36"/>
      <c r="WEQ7" s="36"/>
      <c r="WER7" s="36"/>
      <c r="WES7" s="36"/>
      <c r="WET7" s="36"/>
      <c r="WEU7" s="36"/>
      <c r="WEV7" s="36"/>
      <c r="WEW7" s="36"/>
      <c r="WEX7" s="36"/>
      <c r="WEY7" s="36"/>
      <c r="WEZ7" s="36"/>
      <c r="WFA7" s="36"/>
      <c r="WFB7" s="36"/>
      <c r="WFC7" s="36"/>
      <c r="WFD7" s="36"/>
      <c r="WFE7" s="36"/>
      <c r="WFF7" s="36"/>
      <c r="WFG7" s="36"/>
      <c r="WFH7" s="36"/>
      <c r="WFI7" s="36"/>
      <c r="WFJ7" s="36"/>
      <c r="WFK7" s="36"/>
      <c r="WFL7" s="36"/>
      <c r="WFM7" s="36"/>
      <c r="WFN7" s="36"/>
      <c r="WFO7" s="36"/>
      <c r="WFP7" s="36"/>
      <c r="WFQ7" s="36"/>
      <c r="WFR7" s="36"/>
      <c r="WFS7" s="36"/>
      <c r="WFT7" s="36"/>
      <c r="WFU7" s="36"/>
      <c r="WFV7" s="36"/>
      <c r="WFW7" s="36"/>
      <c r="WFX7" s="36"/>
      <c r="WFY7" s="36"/>
      <c r="WFZ7" s="36"/>
      <c r="WGA7" s="36"/>
      <c r="WGB7" s="36"/>
      <c r="WGC7" s="36"/>
      <c r="WGD7" s="36"/>
      <c r="WGE7" s="36"/>
      <c r="WGF7" s="36"/>
      <c r="WGG7" s="36"/>
      <c r="WGH7" s="36"/>
      <c r="WGI7" s="36"/>
      <c r="WGJ7" s="36"/>
      <c r="WGK7" s="36"/>
      <c r="WGL7" s="36"/>
      <c r="WGM7" s="36"/>
      <c r="WGN7" s="36"/>
      <c r="WGO7" s="36"/>
      <c r="WGP7" s="36"/>
      <c r="WGQ7" s="36"/>
      <c r="WGR7" s="36"/>
      <c r="WGS7" s="36"/>
      <c r="WGT7" s="36"/>
      <c r="WGU7" s="36"/>
      <c r="WGV7" s="36"/>
      <c r="WGW7" s="36"/>
      <c r="WGX7" s="36"/>
      <c r="WGY7" s="36"/>
      <c r="WGZ7" s="36"/>
      <c r="WHA7" s="36"/>
      <c r="WHB7" s="36"/>
      <c r="WHC7" s="36"/>
      <c r="WHD7" s="36"/>
      <c r="WHE7" s="36"/>
      <c r="WHF7" s="36"/>
      <c r="WHG7" s="36"/>
      <c r="WHH7" s="36"/>
      <c r="WHI7" s="36"/>
      <c r="WHJ7" s="36"/>
      <c r="WHK7" s="36"/>
      <c r="WHL7" s="36"/>
      <c r="WHM7" s="36"/>
      <c r="WHN7" s="36"/>
      <c r="WHO7" s="36"/>
      <c r="WHP7" s="36"/>
      <c r="WHQ7" s="36"/>
      <c r="WHR7" s="36"/>
      <c r="WHS7" s="36"/>
      <c r="WHT7" s="36"/>
      <c r="WHU7" s="36"/>
      <c r="WHV7" s="36"/>
      <c r="WHW7" s="36"/>
      <c r="WHX7" s="36"/>
      <c r="WHY7" s="36"/>
      <c r="WHZ7" s="36"/>
      <c r="WIA7" s="36"/>
      <c r="WIB7" s="36"/>
      <c r="WIC7" s="36"/>
      <c r="WID7" s="36"/>
      <c r="WIE7" s="36"/>
      <c r="WIF7" s="36"/>
      <c r="WIG7" s="36"/>
      <c r="WIH7" s="36"/>
      <c r="WII7" s="36"/>
      <c r="WIJ7" s="36"/>
      <c r="WIK7" s="36"/>
      <c r="WIL7" s="36"/>
      <c r="WIM7" s="36"/>
      <c r="WIN7" s="36"/>
      <c r="WIO7" s="36"/>
      <c r="WIP7" s="36"/>
      <c r="WIQ7" s="36"/>
      <c r="WIR7" s="36"/>
      <c r="WIS7" s="36"/>
      <c r="WIT7" s="36"/>
      <c r="WIU7" s="36"/>
      <c r="WIV7" s="36"/>
      <c r="WIW7" s="36"/>
      <c r="WIX7" s="36"/>
      <c r="WIY7" s="36"/>
      <c r="WIZ7" s="36"/>
      <c r="WJA7" s="36"/>
      <c r="WJB7" s="36"/>
      <c r="WJC7" s="36"/>
      <c r="WJD7" s="36"/>
      <c r="WJE7" s="36"/>
      <c r="WJF7" s="36"/>
      <c r="WJG7" s="36"/>
      <c r="WJH7" s="36"/>
      <c r="WJI7" s="36"/>
      <c r="WJJ7" s="36"/>
      <c r="WJK7" s="36"/>
      <c r="WJL7" s="36"/>
      <c r="WJM7" s="36"/>
      <c r="WJN7" s="36"/>
      <c r="WJO7" s="36"/>
      <c r="WJP7" s="36"/>
      <c r="WJQ7" s="36"/>
      <c r="WJR7" s="36"/>
      <c r="WJS7" s="36"/>
      <c r="WJT7" s="36"/>
      <c r="WJU7" s="36"/>
      <c r="WJV7" s="36"/>
      <c r="WJW7" s="36"/>
      <c r="WJX7" s="36"/>
      <c r="WJY7" s="36"/>
      <c r="WJZ7" s="36"/>
      <c r="WKA7" s="36"/>
      <c r="WKB7" s="36"/>
      <c r="WKC7" s="36"/>
      <c r="WKD7" s="36"/>
      <c r="WKE7" s="36"/>
      <c r="WKF7" s="36"/>
      <c r="WKG7" s="36"/>
      <c r="WKH7" s="36"/>
      <c r="WKI7" s="36"/>
      <c r="WKJ7" s="36"/>
      <c r="WKK7" s="36"/>
      <c r="WKL7" s="36"/>
      <c r="WKM7" s="36"/>
      <c r="WKN7" s="36"/>
      <c r="WKO7" s="36"/>
      <c r="WKP7" s="36"/>
      <c r="WKQ7" s="36"/>
      <c r="WKR7" s="36"/>
      <c r="WKS7" s="36"/>
      <c r="WKT7" s="36"/>
      <c r="WKU7" s="36"/>
      <c r="WKV7" s="36"/>
      <c r="WKW7" s="36"/>
      <c r="WKX7" s="36"/>
      <c r="WKY7" s="36"/>
      <c r="WKZ7" s="36"/>
      <c r="WLA7" s="36"/>
      <c r="WLB7" s="36"/>
      <c r="WLC7" s="36"/>
      <c r="WLD7" s="36"/>
      <c r="WLE7" s="36"/>
      <c r="WLF7" s="36"/>
      <c r="WLG7" s="36"/>
      <c r="WLH7" s="36"/>
      <c r="WLI7" s="36"/>
      <c r="WLJ7" s="36"/>
      <c r="WLK7" s="36"/>
      <c r="WLL7" s="36"/>
      <c r="WLM7" s="36"/>
      <c r="WLN7" s="36"/>
      <c r="WLO7" s="36"/>
      <c r="WLP7" s="36"/>
      <c r="WLQ7" s="36"/>
      <c r="WLR7" s="36"/>
      <c r="WLS7" s="36"/>
      <c r="WLT7" s="36"/>
      <c r="WLU7" s="36"/>
      <c r="WLV7" s="36"/>
      <c r="WLW7" s="36"/>
      <c r="WLX7" s="36"/>
      <c r="WLY7" s="36"/>
      <c r="WLZ7" s="36"/>
      <c r="WMA7" s="36"/>
      <c r="WMB7" s="36"/>
      <c r="WMC7" s="36"/>
      <c r="WMD7" s="36"/>
      <c r="WME7" s="36"/>
      <c r="WMF7" s="36"/>
      <c r="WMG7" s="36"/>
      <c r="WMH7" s="36"/>
      <c r="WMI7" s="36"/>
      <c r="WMJ7" s="36"/>
      <c r="WMK7" s="36"/>
      <c r="WML7" s="36"/>
      <c r="WMM7" s="36"/>
      <c r="WMN7" s="36"/>
      <c r="WMO7" s="36"/>
      <c r="WMP7" s="36"/>
      <c r="WMQ7" s="36"/>
      <c r="WMR7" s="36"/>
      <c r="WMS7" s="36"/>
      <c r="WMT7" s="36"/>
      <c r="WMU7" s="36"/>
      <c r="WMV7" s="36"/>
      <c r="WMW7" s="36"/>
      <c r="WMX7" s="36"/>
      <c r="WMY7" s="36"/>
      <c r="WMZ7" s="36"/>
      <c r="WNA7" s="36"/>
      <c r="WNB7" s="36"/>
      <c r="WNC7" s="36"/>
      <c r="WND7" s="36"/>
      <c r="WNE7" s="36"/>
      <c r="WNF7" s="36"/>
      <c r="WNG7" s="36"/>
      <c r="WNH7" s="36"/>
      <c r="WNI7" s="36"/>
      <c r="WNJ7" s="36"/>
      <c r="WNK7" s="36"/>
      <c r="WNL7" s="36"/>
      <c r="WNM7" s="36"/>
      <c r="WNN7" s="36"/>
      <c r="WNO7" s="36"/>
      <c r="WNP7" s="36"/>
      <c r="WNQ7" s="36"/>
      <c r="WNR7" s="36"/>
      <c r="WNS7" s="36"/>
      <c r="WNT7" s="36"/>
      <c r="WNU7" s="36"/>
      <c r="WNV7" s="36"/>
      <c r="WNW7" s="36"/>
      <c r="WNX7" s="36"/>
      <c r="WNY7" s="36"/>
      <c r="WNZ7" s="36"/>
      <c r="WOA7" s="36"/>
      <c r="WOB7" s="36"/>
      <c r="WOC7" s="36"/>
      <c r="WOD7" s="36"/>
      <c r="WOE7" s="36"/>
      <c r="WOF7" s="36"/>
      <c r="WOG7" s="36"/>
      <c r="WOH7" s="36"/>
      <c r="WOI7" s="36"/>
      <c r="WOJ7" s="36"/>
      <c r="WOK7" s="36"/>
      <c r="WOL7" s="36"/>
      <c r="WOM7" s="36"/>
      <c r="WON7" s="36"/>
      <c r="WOO7" s="36"/>
      <c r="WOP7" s="36"/>
      <c r="WOQ7" s="36"/>
      <c r="WOR7" s="36"/>
      <c r="WOS7" s="36"/>
      <c r="WOT7" s="36"/>
      <c r="WOU7" s="36"/>
      <c r="WOV7" s="36"/>
      <c r="WOW7" s="36"/>
      <c r="WOX7" s="36"/>
      <c r="WOY7" s="36"/>
      <c r="WOZ7" s="36"/>
      <c r="WPA7" s="36"/>
      <c r="WPB7" s="36"/>
      <c r="WPC7" s="36"/>
      <c r="WPD7" s="36"/>
      <c r="WPE7" s="36"/>
      <c r="WPF7" s="36"/>
      <c r="WPG7" s="36"/>
      <c r="WPH7" s="36"/>
      <c r="WPI7" s="36"/>
      <c r="WPJ7" s="36"/>
      <c r="WPK7" s="36"/>
      <c r="WPL7" s="36"/>
      <c r="WPM7" s="36"/>
      <c r="WPN7" s="36"/>
      <c r="WPO7" s="36"/>
      <c r="WPP7" s="36"/>
      <c r="WPQ7" s="36"/>
      <c r="WPR7" s="36"/>
      <c r="WPS7" s="36"/>
      <c r="WPT7" s="36"/>
      <c r="WPU7" s="36"/>
      <c r="WPV7" s="36"/>
      <c r="WPW7" s="36"/>
      <c r="WPX7" s="36"/>
      <c r="WPY7" s="36"/>
      <c r="WPZ7" s="36"/>
      <c r="WQA7" s="36"/>
      <c r="WQB7" s="36"/>
      <c r="WQC7" s="36"/>
      <c r="WQD7" s="36"/>
      <c r="WQE7" s="36"/>
      <c r="WQF7" s="36"/>
      <c r="WQG7" s="36"/>
      <c r="WQH7" s="36"/>
      <c r="WQI7" s="36"/>
      <c r="WQJ7" s="36"/>
      <c r="WQK7" s="36"/>
      <c r="WQL7" s="36"/>
      <c r="WQM7" s="36"/>
      <c r="WQN7" s="36"/>
      <c r="WQO7" s="36"/>
      <c r="WQP7" s="36"/>
      <c r="WQQ7" s="36"/>
      <c r="WQR7" s="36"/>
      <c r="WQS7" s="36"/>
      <c r="WQT7" s="36"/>
      <c r="WQU7" s="36"/>
      <c r="WQV7" s="36"/>
      <c r="WQW7" s="36"/>
      <c r="WQX7" s="36"/>
      <c r="WQY7" s="36"/>
      <c r="WQZ7" s="36"/>
      <c r="WRA7" s="36"/>
      <c r="WRB7" s="36"/>
      <c r="WRC7" s="36"/>
      <c r="WRD7" s="36"/>
      <c r="WRE7" s="36"/>
      <c r="WRF7" s="36"/>
      <c r="WRG7" s="36"/>
      <c r="WRH7" s="36"/>
      <c r="WRI7" s="36"/>
      <c r="WRJ7" s="36"/>
      <c r="WRK7" s="36"/>
      <c r="WRL7" s="36"/>
      <c r="WRM7" s="36"/>
      <c r="WRN7" s="36"/>
      <c r="WRO7" s="36"/>
      <c r="WRP7" s="36"/>
      <c r="WRQ7" s="36"/>
      <c r="WRR7" s="36"/>
      <c r="WRS7" s="36"/>
      <c r="WRT7" s="36"/>
      <c r="WRU7" s="36"/>
      <c r="WRV7" s="36"/>
      <c r="WRW7" s="36"/>
      <c r="WRX7" s="36"/>
      <c r="WRY7" s="36"/>
      <c r="WRZ7" s="36"/>
      <c r="WSA7" s="36"/>
      <c r="WSB7" s="36"/>
      <c r="WSC7" s="36"/>
      <c r="WSD7" s="36"/>
      <c r="WSE7" s="36"/>
      <c r="WSF7" s="36"/>
      <c r="WSG7" s="36"/>
      <c r="WSH7" s="36"/>
      <c r="WSI7" s="36"/>
      <c r="WSJ7" s="36"/>
      <c r="WSK7" s="36"/>
      <c r="WSL7" s="36"/>
      <c r="WSM7" s="36"/>
      <c r="WSN7" s="36"/>
      <c r="WSO7" s="36"/>
      <c r="WSP7" s="36"/>
      <c r="WSQ7" s="36"/>
      <c r="WSR7" s="36"/>
      <c r="WSS7" s="36"/>
      <c r="WST7" s="36"/>
      <c r="WSU7" s="36"/>
      <c r="WSV7" s="36"/>
      <c r="WSW7" s="36"/>
      <c r="WSX7" s="36"/>
      <c r="WSY7" s="36"/>
      <c r="WSZ7" s="36"/>
      <c r="WTA7" s="36"/>
      <c r="WTB7" s="36"/>
      <c r="WTC7" s="36"/>
      <c r="WTD7" s="36"/>
      <c r="WTE7" s="36"/>
      <c r="WTF7" s="36"/>
      <c r="WTG7" s="36"/>
      <c r="WTH7" s="36"/>
      <c r="WTI7" s="36"/>
      <c r="WTJ7" s="36"/>
      <c r="WTK7" s="36"/>
      <c r="WTL7" s="36"/>
      <c r="WTM7" s="36"/>
      <c r="WTN7" s="36"/>
      <c r="WTO7" s="36"/>
      <c r="WTP7" s="36"/>
      <c r="WTQ7" s="36"/>
      <c r="WTR7" s="36"/>
      <c r="WTS7" s="36"/>
      <c r="WTT7" s="36"/>
      <c r="WTU7" s="36"/>
      <c r="WTV7" s="36"/>
      <c r="WTW7" s="36"/>
      <c r="WTX7" s="36"/>
      <c r="WTY7" s="36"/>
      <c r="WTZ7" s="36"/>
      <c r="WUA7" s="36"/>
      <c r="WUB7" s="36"/>
      <c r="WUC7" s="36"/>
      <c r="WUD7" s="36"/>
      <c r="WUE7" s="36"/>
      <c r="WUF7" s="36"/>
      <c r="WUG7" s="36"/>
      <c r="WUH7" s="36"/>
      <c r="WUI7" s="36"/>
      <c r="WUJ7" s="36"/>
      <c r="WUK7" s="36"/>
      <c r="WUL7" s="36"/>
      <c r="WUM7" s="36"/>
      <c r="WUN7" s="36"/>
      <c r="WUO7" s="36"/>
      <c r="WUP7" s="36"/>
      <c r="WUQ7" s="36"/>
      <c r="WUR7" s="36"/>
      <c r="WUS7" s="36"/>
      <c r="WUT7" s="36"/>
      <c r="WUU7" s="36"/>
      <c r="WUV7" s="36"/>
      <c r="WUW7" s="36"/>
      <c r="WUX7" s="36"/>
      <c r="WUY7" s="36"/>
      <c r="WUZ7" s="36"/>
      <c r="WVA7" s="36"/>
      <c r="WVB7" s="36"/>
      <c r="WVC7" s="36"/>
      <c r="WVD7" s="36"/>
      <c r="WVE7" s="36"/>
      <c r="WVF7" s="36"/>
      <c r="WVG7" s="36"/>
      <c r="WVH7" s="36"/>
      <c r="WVI7" s="36"/>
      <c r="WVJ7" s="36"/>
      <c r="WVK7" s="36"/>
      <c r="WVL7" s="36"/>
      <c r="WVM7" s="36"/>
      <c r="WVN7" s="36"/>
      <c r="WVO7" s="36"/>
      <c r="WVP7" s="36"/>
      <c r="WVQ7" s="36"/>
      <c r="WVR7" s="36"/>
      <c r="WVS7" s="36"/>
      <c r="WVT7" s="36"/>
      <c r="WVU7" s="36"/>
      <c r="WVV7" s="36"/>
      <c r="WVW7" s="36"/>
      <c r="WVX7" s="36"/>
      <c r="WVY7" s="36"/>
      <c r="WVZ7" s="36"/>
      <c r="WWA7" s="36"/>
      <c r="WWB7" s="36"/>
      <c r="WWC7" s="36"/>
      <c r="WWD7" s="36"/>
      <c r="WWE7" s="36"/>
      <c r="WWF7" s="36"/>
      <c r="WWG7" s="36"/>
      <c r="WWH7" s="36"/>
      <c r="WWI7" s="36"/>
      <c r="WWJ7" s="36"/>
      <c r="WWK7" s="36"/>
      <c r="WWL7" s="36"/>
      <c r="WWM7" s="36"/>
      <c r="WWN7" s="36"/>
      <c r="WWO7" s="36"/>
      <c r="WWP7" s="36"/>
      <c r="WWQ7" s="36"/>
      <c r="WWR7" s="36"/>
      <c r="WWS7" s="36"/>
      <c r="WWT7" s="36"/>
      <c r="WWU7" s="36"/>
      <c r="WWV7" s="36"/>
      <c r="WWW7" s="36"/>
      <c r="WWX7" s="36"/>
      <c r="WWY7" s="36"/>
      <c r="WWZ7" s="36"/>
      <c r="WXA7" s="36"/>
      <c r="WXB7" s="36"/>
      <c r="WXC7" s="36"/>
      <c r="WXD7" s="36"/>
      <c r="WXE7" s="36"/>
      <c r="WXF7" s="36"/>
      <c r="WXG7" s="36"/>
      <c r="WXH7" s="36"/>
      <c r="WXI7" s="36"/>
      <c r="WXJ7" s="36"/>
      <c r="WXK7" s="36"/>
      <c r="WXL7" s="36"/>
      <c r="WXM7" s="36"/>
      <c r="WXN7" s="36"/>
      <c r="WXO7" s="36"/>
      <c r="WXP7" s="36"/>
      <c r="WXQ7" s="36"/>
      <c r="WXR7" s="36"/>
      <c r="WXS7" s="36"/>
      <c r="WXT7" s="36"/>
      <c r="WXU7" s="36"/>
      <c r="WXV7" s="36"/>
      <c r="WXW7" s="36"/>
      <c r="WXX7" s="36"/>
      <c r="WXY7" s="36"/>
      <c r="WXZ7" s="36"/>
      <c r="WYA7" s="36"/>
      <c r="WYB7" s="36"/>
      <c r="WYC7" s="36"/>
      <c r="WYD7" s="36"/>
      <c r="WYE7" s="36"/>
      <c r="WYF7" s="36"/>
      <c r="WYG7" s="36"/>
      <c r="WYH7" s="36"/>
      <c r="WYI7" s="36"/>
      <c r="WYJ7" s="36"/>
      <c r="WYK7" s="36"/>
      <c r="WYL7" s="36"/>
      <c r="WYM7" s="36"/>
      <c r="WYN7" s="36"/>
      <c r="WYO7" s="36"/>
      <c r="WYP7" s="36"/>
      <c r="WYQ7" s="36"/>
      <c r="WYR7" s="36"/>
      <c r="WYS7" s="36"/>
      <c r="WYT7" s="36"/>
      <c r="WYU7" s="36"/>
      <c r="WYV7" s="36"/>
      <c r="WYW7" s="36"/>
      <c r="WYX7" s="36"/>
      <c r="WYY7" s="36"/>
      <c r="WYZ7" s="36"/>
      <c r="WZA7" s="36"/>
      <c r="WZB7" s="36"/>
      <c r="WZC7" s="36"/>
      <c r="WZD7" s="36"/>
      <c r="WZE7" s="36"/>
      <c r="WZF7" s="36"/>
      <c r="WZG7" s="36"/>
      <c r="WZH7" s="36"/>
      <c r="WZI7" s="36"/>
      <c r="WZJ7" s="36"/>
      <c r="WZK7" s="36"/>
      <c r="WZL7" s="36"/>
      <c r="WZM7" s="36"/>
      <c r="WZN7" s="36"/>
      <c r="WZO7" s="36"/>
      <c r="WZP7" s="36"/>
      <c r="WZQ7" s="36"/>
      <c r="WZR7" s="36"/>
      <c r="WZS7" s="36"/>
      <c r="WZT7" s="36"/>
      <c r="WZU7" s="36"/>
      <c r="WZV7" s="36"/>
      <c r="WZW7" s="36"/>
      <c r="WZX7" s="36"/>
      <c r="WZY7" s="36"/>
      <c r="WZZ7" s="36"/>
      <c r="XAA7" s="36"/>
      <c r="XAB7" s="36"/>
      <c r="XAC7" s="36"/>
      <c r="XAD7" s="36"/>
      <c r="XAE7" s="36"/>
      <c r="XAF7" s="36"/>
      <c r="XAG7" s="36"/>
      <c r="XAH7" s="36"/>
      <c r="XAI7" s="36"/>
      <c r="XAJ7" s="36"/>
      <c r="XAK7" s="36"/>
      <c r="XAL7" s="36"/>
      <c r="XAM7" s="36"/>
      <c r="XAN7" s="36"/>
      <c r="XAO7" s="36"/>
      <c r="XAP7" s="36"/>
      <c r="XAQ7" s="36"/>
      <c r="XAR7" s="36"/>
      <c r="XAS7" s="36"/>
      <c r="XAT7" s="36"/>
      <c r="XAU7" s="36"/>
      <c r="XAV7" s="36"/>
      <c r="XAW7" s="36"/>
      <c r="XAX7" s="36"/>
      <c r="XAY7" s="36"/>
      <c r="XAZ7" s="36"/>
      <c r="XBA7" s="36"/>
      <c r="XBB7" s="36"/>
      <c r="XBC7" s="36"/>
      <c r="XBD7" s="36"/>
      <c r="XBE7" s="36"/>
      <c r="XBF7" s="36"/>
      <c r="XBG7" s="36"/>
      <c r="XBH7" s="36"/>
      <c r="XBI7" s="36"/>
      <c r="XBJ7" s="36"/>
      <c r="XBK7" s="36"/>
      <c r="XBL7" s="36"/>
      <c r="XBM7" s="36"/>
      <c r="XBN7" s="36"/>
      <c r="XBO7" s="36"/>
      <c r="XBP7" s="36"/>
      <c r="XBQ7" s="36"/>
      <c r="XBR7" s="36"/>
      <c r="XBS7" s="36"/>
      <c r="XBT7" s="36"/>
      <c r="XBU7" s="36"/>
      <c r="XBV7" s="36"/>
      <c r="XBW7" s="36"/>
      <c r="XBX7" s="36"/>
      <c r="XBY7" s="36"/>
      <c r="XBZ7" s="36"/>
      <c r="XCA7" s="36"/>
      <c r="XCB7" s="36"/>
      <c r="XCC7" s="36"/>
      <c r="XCD7" s="36"/>
      <c r="XCE7" s="36"/>
      <c r="XCF7" s="36"/>
      <c r="XCG7" s="36"/>
      <c r="XCH7" s="36"/>
      <c r="XCI7" s="36"/>
      <c r="XCJ7" s="36"/>
      <c r="XCK7" s="36"/>
      <c r="XCL7" s="36"/>
      <c r="XCM7" s="36"/>
      <c r="XCN7" s="36"/>
      <c r="XCO7" s="36"/>
      <c r="XCP7" s="36"/>
      <c r="XCQ7" s="36"/>
      <c r="XCR7" s="36"/>
      <c r="XCS7" s="36"/>
      <c r="XCT7" s="36"/>
      <c r="XCU7" s="36"/>
      <c r="XCV7" s="36"/>
      <c r="XCW7" s="36"/>
      <c r="XCX7" s="36"/>
      <c r="XCY7" s="36"/>
      <c r="XCZ7" s="36"/>
      <c r="XDA7" s="36"/>
      <c r="XDB7" s="36"/>
      <c r="XDC7" s="36"/>
      <c r="XDD7" s="36"/>
      <c r="XDE7" s="36"/>
      <c r="XDF7" s="36"/>
      <c r="XDG7" s="36"/>
      <c r="XDH7" s="36"/>
      <c r="XDI7" s="36"/>
      <c r="XDJ7" s="36"/>
      <c r="XDK7" s="36"/>
      <c r="XDL7" s="36"/>
      <c r="XDM7" s="36"/>
      <c r="XDN7" s="36"/>
      <c r="XDO7" s="36"/>
      <c r="XDP7" s="36"/>
      <c r="XDQ7" s="36"/>
      <c r="XDR7" s="36"/>
      <c r="XDS7" s="36"/>
      <c r="XDT7" s="36"/>
      <c r="XDU7" s="36"/>
      <c r="XDV7" s="36"/>
      <c r="XDW7" s="36"/>
      <c r="XDX7" s="36"/>
      <c r="XDY7" s="36"/>
      <c r="XDZ7" s="36"/>
      <c r="XEA7" s="36"/>
      <c r="XEB7" s="36"/>
      <c r="XEC7" s="36"/>
      <c r="XED7" s="36"/>
      <c r="XEE7" s="36"/>
      <c r="XEF7" s="36"/>
      <c r="XEG7" s="36"/>
      <c r="XEH7" s="36"/>
      <c r="XEI7" s="36"/>
      <c r="XEJ7" s="36"/>
      <c r="XEK7" s="36"/>
      <c r="XEL7" s="36"/>
      <c r="XEM7" s="36"/>
      <c r="XEN7" s="36"/>
      <c r="XEO7" s="36"/>
    </row>
    <row r="8" spans="1:16369" hidden="1">
      <c r="A8" s="6" t="s">
        <v>1786</v>
      </c>
      <c r="B8" s="6" t="s">
        <v>1787</v>
      </c>
      <c r="C8" s="6" t="s">
        <v>88</v>
      </c>
      <c r="D8" s="6" t="s">
        <v>1788</v>
      </c>
      <c r="F8" s="6" t="s">
        <v>1789</v>
      </c>
      <c r="G8" s="6" t="s">
        <v>1790</v>
      </c>
      <c r="H8" s="6" t="s">
        <v>1789</v>
      </c>
      <c r="I8" s="6">
        <v>2</v>
      </c>
      <c r="J8" s="6">
        <v>0</v>
      </c>
      <c r="K8" s="6">
        <v>0</v>
      </c>
      <c r="L8" s="6">
        <v>0</v>
      </c>
      <c r="M8" s="6">
        <v>0</v>
      </c>
      <c r="N8" s="6">
        <v>0</v>
      </c>
      <c r="O8" s="6">
        <v>0</v>
      </c>
    </row>
    <row r="9" spans="1:16369" hidden="1">
      <c r="A9" s="6" t="s">
        <v>1786</v>
      </c>
      <c r="B9" s="6" t="s">
        <v>1787</v>
      </c>
      <c r="C9" s="6" t="s">
        <v>88</v>
      </c>
      <c r="D9" s="6" t="s">
        <v>1788</v>
      </c>
      <c r="E9" s="6" t="s">
        <v>1791</v>
      </c>
      <c r="F9" s="6" t="s">
        <v>1792</v>
      </c>
      <c r="G9" s="6" t="s">
        <v>1790</v>
      </c>
      <c r="H9" s="6" t="s">
        <v>1792</v>
      </c>
      <c r="I9" s="6">
        <v>2</v>
      </c>
      <c r="J9" s="6">
        <v>0</v>
      </c>
      <c r="K9" s="6">
        <v>0</v>
      </c>
      <c r="L9" s="6">
        <v>0</v>
      </c>
      <c r="M9" s="6">
        <v>0</v>
      </c>
      <c r="N9" s="6">
        <v>1</v>
      </c>
      <c r="O9" s="6">
        <v>1</v>
      </c>
    </row>
    <row r="10" spans="1:16369" hidden="1">
      <c r="A10" s="6" t="s">
        <v>1786</v>
      </c>
      <c r="B10" s="6" t="s">
        <v>1787</v>
      </c>
      <c r="C10" s="6" t="s">
        <v>88</v>
      </c>
      <c r="D10" s="6" t="s">
        <v>1788</v>
      </c>
      <c r="E10" s="6" t="s">
        <v>1791</v>
      </c>
      <c r="F10" s="6" t="s">
        <v>1793</v>
      </c>
      <c r="G10" s="6" t="s">
        <v>1790</v>
      </c>
      <c r="H10" s="6" t="s">
        <v>1794</v>
      </c>
      <c r="I10" s="6">
        <v>1</v>
      </c>
      <c r="J10" s="6">
        <v>0</v>
      </c>
      <c r="K10" s="6">
        <v>0</v>
      </c>
      <c r="L10" s="6">
        <v>0</v>
      </c>
      <c r="M10" s="6">
        <v>0</v>
      </c>
      <c r="N10" s="6">
        <v>0</v>
      </c>
      <c r="O10" s="6">
        <v>0</v>
      </c>
    </row>
    <row r="11" spans="1:16369" hidden="1">
      <c r="A11" s="6" t="s">
        <v>1786</v>
      </c>
      <c r="B11" s="6" t="s">
        <v>1787</v>
      </c>
      <c r="C11" s="6" t="s">
        <v>88</v>
      </c>
      <c r="D11" s="6" t="s">
        <v>1788</v>
      </c>
      <c r="E11" s="6" t="s">
        <v>1791</v>
      </c>
      <c r="F11" s="6" t="s">
        <v>1795</v>
      </c>
      <c r="G11" s="6" t="s">
        <v>1790</v>
      </c>
      <c r="H11" s="6" t="s">
        <v>1796</v>
      </c>
      <c r="I11" s="6">
        <v>2</v>
      </c>
      <c r="J11" s="6">
        <v>0</v>
      </c>
      <c r="K11" s="6">
        <v>0</v>
      </c>
      <c r="L11" s="6">
        <v>0</v>
      </c>
      <c r="M11" s="6">
        <v>0</v>
      </c>
      <c r="N11" s="6">
        <v>1</v>
      </c>
      <c r="O11" s="6">
        <v>1</v>
      </c>
    </row>
    <row r="12" spans="1:16369" hidden="1">
      <c r="A12" s="6" t="s">
        <v>1786</v>
      </c>
      <c r="B12" s="6" t="s">
        <v>1787</v>
      </c>
      <c r="C12" s="6" t="s">
        <v>88</v>
      </c>
      <c r="D12" s="6" t="s">
        <v>1788</v>
      </c>
      <c r="E12" s="6" t="s">
        <v>1797</v>
      </c>
      <c r="G12" s="6" t="s">
        <v>1790</v>
      </c>
      <c r="H12" s="6" t="s">
        <v>1798</v>
      </c>
      <c r="I12" s="6">
        <v>3</v>
      </c>
      <c r="J12" s="6">
        <v>1</v>
      </c>
      <c r="K12" s="6">
        <v>0.33329999999999999</v>
      </c>
      <c r="L12" s="6">
        <v>1.29</v>
      </c>
      <c r="M12" s="6">
        <v>1.29</v>
      </c>
      <c r="N12" s="6">
        <v>0.5</v>
      </c>
      <c r="O12" s="6">
        <v>0.5</v>
      </c>
    </row>
    <row r="13" spans="1:16369" hidden="1">
      <c r="A13" s="6" t="s">
        <v>1786</v>
      </c>
      <c r="B13" s="6" t="s">
        <v>1787</v>
      </c>
      <c r="C13" s="6" t="s">
        <v>88</v>
      </c>
      <c r="D13" s="6" t="s">
        <v>1788</v>
      </c>
      <c r="E13" s="6" t="s">
        <v>1797</v>
      </c>
      <c r="F13" s="6" t="s">
        <v>1799</v>
      </c>
      <c r="G13" s="6" t="s">
        <v>1790</v>
      </c>
      <c r="H13" s="6" t="s">
        <v>1800</v>
      </c>
      <c r="I13" s="6">
        <v>1</v>
      </c>
      <c r="J13" s="6">
        <v>1</v>
      </c>
      <c r="K13" s="6">
        <v>1</v>
      </c>
      <c r="L13" s="6">
        <v>0.1</v>
      </c>
      <c r="M13" s="6">
        <v>0.1</v>
      </c>
      <c r="N13" s="6">
        <v>1</v>
      </c>
      <c r="O13" s="6">
        <v>1</v>
      </c>
    </row>
    <row r="14" spans="1:16369" hidden="1">
      <c r="A14" s="6" t="s">
        <v>1786</v>
      </c>
      <c r="B14" s="6" t="s">
        <v>1787</v>
      </c>
      <c r="C14" s="6" t="s">
        <v>88</v>
      </c>
      <c r="D14" s="6" t="s">
        <v>1788</v>
      </c>
      <c r="E14" s="6" t="s">
        <v>1797</v>
      </c>
      <c r="F14" s="6" t="s">
        <v>1801</v>
      </c>
      <c r="G14" s="6" t="s">
        <v>1790</v>
      </c>
      <c r="H14" s="6" t="s">
        <v>1802</v>
      </c>
      <c r="I14" s="6">
        <v>2</v>
      </c>
      <c r="J14" s="6">
        <v>0</v>
      </c>
      <c r="K14" s="6">
        <v>0</v>
      </c>
      <c r="L14" s="6">
        <v>0</v>
      </c>
      <c r="M14" s="6">
        <v>0</v>
      </c>
      <c r="N14" s="6">
        <v>1</v>
      </c>
      <c r="O14" s="6">
        <v>1</v>
      </c>
    </row>
    <row r="15" spans="1:16369" hidden="1">
      <c r="A15" s="6" t="s">
        <v>1786</v>
      </c>
      <c r="B15" s="6" t="s">
        <v>1787</v>
      </c>
      <c r="C15" s="6" t="s">
        <v>88</v>
      </c>
      <c r="D15" s="6" t="s">
        <v>1788</v>
      </c>
      <c r="E15" s="6" t="s">
        <v>1797</v>
      </c>
      <c r="F15" s="6" t="s">
        <v>1803</v>
      </c>
      <c r="G15" s="6" t="s">
        <v>1790</v>
      </c>
      <c r="H15" s="6" t="s">
        <v>1803</v>
      </c>
      <c r="I15" s="6">
        <v>6</v>
      </c>
      <c r="J15" s="6">
        <v>0</v>
      </c>
      <c r="K15" s="6">
        <v>0</v>
      </c>
      <c r="L15" s="6">
        <v>0</v>
      </c>
      <c r="M15" s="6">
        <v>0</v>
      </c>
      <c r="N15" s="6">
        <v>1</v>
      </c>
      <c r="O15" s="6">
        <v>1</v>
      </c>
    </row>
    <row r="16" spans="1:16369" hidden="1">
      <c r="A16" s="6" t="s">
        <v>1786</v>
      </c>
      <c r="B16" s="6" t="s">
        <v>1787</v>
      </c>
      <c r="C16" s="6" t="s">
        <v>88</v>
      </c>
      <c r="D16" s="6" t="s">
        <v>1788</v>
      </c>
      <c r="E16" s="6" t="s">
        <v>1797</v>
      </c>
      <c r="F16" s="6" t="s">
        <v>1804</v>
      </c>
      <c r="G16" s="6" t="s">
        <v>1790</v>
      </c>
      <c r="H16" s="6" t="s">
        <v>1805</v>
      </c>
      <c r="I16" s="6">
        <v>1</v>
      </c>
      <c r="J16" s="6">
        <v>0</v>
      </c>
      <c r="K16" s="6">
        <v>0</v>
      </c>
      <c r="L16" s="6">
        <v>0</v>
      </c>
      <c r="M16" s="6">
        <v>0</v>
      </c>
      <c r="N16" s="6">
        <v>0</v>
      </c>
      <c r="O16" s="6">
        <v>0</v>
      </c>
    </row>
    <row r="17" spans="1:15" hidden="1">
      <c r="A17" s="6" t="s">
        <v>1786</v>
      </c>
      <c r="B17" s="6" t="s">
        <v>1787</v>
      </c>
      <c r="C17" s="6" t="s">
        <v>88</v>
      </c>
      <c r="D17" s="6" t="s">
        <v>1788</v>
      </c>
      <c r="E17" s="6" t="s">
        <v>1797</v>
      </c>
      <c r="F17" s="6" t="s">
        <v>1806</v>
      </c>
      <c r="G17" s="6" t="s">
        <v>1790</v>
      </c>
      <c r="H17" s="6" t="s">
        <v>1807</v>
      </c>
      <c r="I17" s="6">
        <v>1</v>
      </c>
      <c r="J17" s="6">
        <v>0</v>
      </c>
      <c r="K17" s="6">
        <v>0</v>
      </c>
      <c r="L17" s="6">
        <v>0</v>
      </c>
      <c r="M17" s="6">
        <v>0</v>
      </c>
      <c r="N17" s="6">
        <v>1</v>
      </c>
      <c r="O17" s="6">
        <v>0</v>
      </c>
    </row>
    <row r="18" spans="1:15" hidden="1">
      <c r="A18" s="6" t="s">
        <v>1786</v>
      </c>
      <c r="B18" s="6" t="s">
        <v>1787</v>
      </c>
      <c r="C18" s="6" t="s">
        <v>88</v>
      </c>
      <c r="D18" s="6" t="s">
        <v>1788</v>
      </c>
      <c r="E18" s="6" t="s">
        <v>1797</v>
      </c>
      <c r="F18" s="6" t="s">
        <v>1806</v>
      </c>
      <c r="G18" s="6" t="s">
        <v>1790</v>
      </c>
      <c r="H18" s="6" t="s">
        <v>1808</v>
      </c>
      <c r="I18" s="6">
        <v>1</v>
      </c>
      <c r="J18" s="6">
        <v>0</v>
      </c>
      <c r="K18" s="6">
        <v>0</v>
      </c>
      <c r="L18" s="6">
        <v>0</v>
      </c>
      <c r="M18" s="6">
        <v>0</v>
      </c>
      <c r="N18" s="6">
        <v>0</v>
      </c>
      <c r="O18" s="6">
        <v>0</v>
      </c>
    </row>
    <row r="19" spans="1:15" hidden="1">
      <c r="A19" s="6" t="s">
        <v>1786</v>
      </c>
      <c r="B19" s="6" t="s">
        <v>1787</v>
      </c>
      <c r="C19" s="6" t="s">
        <v>88</v>
      </c>
      <c r="D19" s="6" t="s">
        <v>1788</v>
      </c>
      <c r="E19" s="6" t="s">
        <v>1797</v>
      </c>
      <c r="F19" s="6" t="s">
        <v>1809</v>
      </c>
      <c r="G19" s="6" t="s">
        <v>1790</v>
      </c>
      <c r="H19" s="6" t="s">
        <v>1810</v>
      </c>
      <c r="I19" s="6">
        <v>1</v>
      </c>
      <c r="J19" s="6">
        <v>0</v>
      </c>
      <c r="K19" s="6">
        <v>0</v>
      </c>
      <c r="L19" s="6">
        <v>0</v>
      </c>
      <c r="M19" s="6">
        <v>0</v>
      </c>
      <c r="N19" s="6">
        <v>1</v>
      </c>
      <c r="O19" s="6">
        <v>1</v>
      </c>
    </row>
    <row r="20" spans="1:15" hidden="1">
      <c r="A20" s="6" t="s">
        <v>1786</v>
      </c>
      <c r="B20" s="6" t="s">
        <v>1787</v>
      </c>
      <c r="C20" s="6" t="s">
        <v>88</v>
      </c>
      <c r="D20" s="6" t="s">
        <v>1788</v>
      </c>
      <c r="E20" s="6" t="s">
        <v>1797</v>
      </c>
      <c r="F20" s="6" t="s">
        <v>1811</v>
      </c>
      <c r="G20" s="6" t="s">
        <v>1790</v>
      </c>
      <c r="H20" s="6" t="s">
        <v>1811</v>
      </c>
      <c r="I20" s="6">
        <v>6</v>
      </c>
      <c r="J20" s="6">
        <v>0</v>
      </c>
      <c r="K20" s="6">
        <v>0</v>
      </c>
      <c r="L20" s="6">
        <v>0</v>
      </c>
      <c r="M20" s="6">
        <v>0</v>
      </c>
      <c r="N20" s="6">
        <v>0.25</v>
      </c>
      <c r="O20" s="6">
        <v>0.25</v>
      </c>
    </row>
    <row r="21" spans="1:15" hidden="1">
      <c r="A21" s="6" t="s">
        <v>1786</v>
      </c>
      <c r="B21" s="6" t="s">
        <v>1787</v>
      </c>
      <c r="C21" s="6" t="s">
        <v>88</v>
      </c>
      <c r="D21" s="6" t="s">
        <v>1788</v>
      </c>
      <c r="E21" s="6" t="s">
        <v>1797</v>
      </c>
      <c r="F21" s="6" t="s">
        <v>1812</v>
      </c>
      <c r="G21" s="6" t="s">
        <v>1790</v>
      </c>
      <c r="H21" s="6" t="s">
        <v>1813</v>
      </c>
      <c r="I21" s="6">
        <v>5</v>
      </c>
      <c r="J21" s="6">
        <v>1</v>
      </c>
      <c r="K21" s="6">
        <v>0.2</v>
      </c>
      <c r="L21" s="6">
        <v>1.41</v>
      </c>
      <c r="M21" s="6">
        <v>1.41</v>
      </c>
      <c r="N21" s="6">
        <v>0.66670000000000007</v>
      </c>
      <c r="O21" s="6">
        <v>0.66670000000000007</v>
      </c>
    </row>
    <row r="22" spans="1:15" hidden="1">
      <c r="A22" s="6" t="s">
        <v>1786</v>
      </c>
      <c r="B22" s="6" t="s">
        <v>1787</v>
      </c>
      <c r="C22" s="6" t="s">
        <v>88</v>
      </c>
      <c r="D22" s="6" t="s">
        <v>1788</v>
      </c>
      <c r="E22" s="6" t="s">
        <v>1797</v>
      </c>
      <c r="F22" s="6" t="s">
        <v>1814</v>
      </c>
      <c r="G22" s="6" t="s">
        <v>1790</v>
      </c>
      <c r="H22" s="6" t="s">
        <v>1814</v>
      </c>
      <c r="I22" s="6">
        <v>2</v>
      </c>
      <c r="J22" s="6">
        <v>0</v>
      </c>
      <c r="K22" s="6">
        <v>0</v>
      </c>
      <c r="L22" s="6">
        <v>0</v>
      </c>
      <c r="M22" s="6">
        <v>0</v>
      </c>
      <c r="N22" s="6">
        <v>1</v>
      </c>
      <c r="O22" s="6">
        <v>0</v>
      </c>
    </row>
    <row r="23" spans="1:15" hidden="1">
      <c r="A23" s="6" t="s">
        <v>1786</v>
      </c>
      <c r="B23" s="6" t="s">
        <v>1787</v>
      </c>
      <c r="C23" s="6" t="s">
        <v>88</v>
      </c>
      <c r="D23" s="6" t="s">
        <v>1788</v>
      </c>
      <c r="E23" s="6" t="s">
        <v>1797</v>
      </c>
      <c r="F23" s="6" t="s">
        <v>1815</v>
      </c>
      <c r="G23" s="6" t="s">
        <v>1790</v>
      </c>
      <c r="H23" s="6" t="s">
        <v>1816</v>
      </c>
      <c r="I23" s="6">
        <v>2</v>
      </c>
      <c r="J23" s="6">
        <v>0</v>
      </c>
      <c r="K23" s="6">
        <v>0</v>
      </c>
      <c r="L23" s="6">
        <v>0</v>
      </c>
      <c r="M23" s="6">
        <v>0</v>
      </c>
      <c r="N23" s="6">
        <v>1</v>
      </c>
      <c r="O23" s="6">
        <v>0</v>
      </c>
    </row>
    <row r="24" spans="1:15" hidden="1">
      <c r="A24" s="6" t="s">
        <v>1786</v>
      </c>
      <c r="B24" s="6" t="s">
        <v>1787</v>
      </c>
      <c r="C24" s="6" t="s">
        <v>88</v>
      </c>
      <c r="D24" s="6" t="s">
        <v>1788</v>
      </c>
      <c r="E24" s="6" t="s">
        <v>1797</v>
      </c>
      <c r="F24" s="6" t="s">
        <v>1817</v>
      </c>
      <c r="G24" s="6" t="s">
        <v>1790</v>
      </c>
      <c r="H24" s="6" t="s">
        <v>1818</v>
      </c>
      <c r="I24" s="6">
        <v>1</v>
      </c>
      <c r="J24" s="6">
        <v>0</v>
      </c>
      <c r="K24" s="6">
        <v>0</v>
      </c>
      <c r="L24" s="6">
        <v>0</v>
      </c>
      <c r="M24" s="6">
        <v>0</v>
      </c>
      <c r="N24" s="6">
        <v>1</v>
      </c>
      <c r="O24" s="6">
        <v>1</v>
      </c>
    </row>
    <row r="25" spans="1:15" hidden="1">
      <c r="A25" s="6" t="s">
        <v>1786</v>
      </c>
      <c r="B25" s="6" t="s">
        <v>1787</v>
      </c>
      <c r="C25" s="6" t="s">
        <v>88</v>
      </c>
      <c r="D25" s="6" t="s">
        <v>1788</v>
      </c>
      <c r="E25" s="6" t="s">
        <v>1797</v>
      </c>
      <c r="F25" s="6" t="s">
        <v>1817</v>
      </c>
      <c r="G25" s="6" t="s">
        <v>1790</v>
      </c>
      <c r="H25" s="6" t="s">
        <v>1819</v>
      </c>
      <c r="I25" s="6">
        <v>1</v>
      </c>
      <c r="J25" s="6">
        <v>0</v>
      </c>
      <c r="K25" s="6">
        <v>0</v>
      </c>
      <c r="L25" s="6">
        <v>0</v>
      </c>
      <c r="M25" s="6">
        <v>0</v>
      </c>
      <c r="N25" s="6">
        <v>0</v>
      </c>
      <c r="O25" s="6">
        <v>0</v>
      </c>
    </row>
    <row r="26" spans="1:15" hidden="1">
      <c r="A26" s="6" t="s">
        <v>1786</v>
      </c>
      <c r="B26" s="6" t="s">
        <v>1787</v>
      </c>
      <c r="C26" s="6" t="s">
        <v>88</v>
      </c>
      <c r="D26" s="6" t="s">
        <v>1788</v>
      </c>
      <c r="E26" s="6" t="s">
        <v>1797</v>
      </c>
      <c r="F26" s="6" t="s">
        <v>1817</v>
      </c>
      <c r="G26" s="6" t="s">
        <v>1790</v>
      </c>
      <c r="H26" s="6" t="s">
        <v>1820</v>
      </c>
      <c r="I26" s="6">
        <v>1</v>
      </c>
      <c r="J26" s="6">
        <v>0</v>
      </c>
      <c r="K26" s="6">
        <v>0</v>
      </c>
      <c r="L26" s="6">
        <v>0</v>
      </c>
      <c r="M26" s="6">
        <v>0</v>
      </c>
      <c r="N26" s="6">
        <v>0</v>
      </c>
      <c r="O26" s="6">
        <v>0</v>
      </c>
    </row>
    <row r="27" spans="1:15" hidden="1">
      <c r="A27" s="6" t="s">
        <v>1786</v>
      </c>
      <c r="B27" s="6" t="s">
        <v>1787</v>
      </c>
      <c r="C27" s="6" t="s">
        <v>88</v>
      </c>
      <c r="D27" s="6" t="s">
        <v>1788</v>
      </c>
      <c r="E27" s="6" t="s">
        <v>1797</v>
      </c>
      <c r="F27" s="6" t="s">
        <v>1817</v>
      </c>
      <c r="G27" s="6" t="s">
        <v>1790</v>
      </c>
      <c r="H27" s="6" t="s">
        <v>1821</v>
      </c>
      <c r="I27" s="6">
        <v>7</v>
      </c>
      <c r="J27" s="6">
        <v>1</v>
      </c>
      <c r="K27" s="6">
        <v>0.1429</v>
      </c>
      <c r="L27" s="6">
        <v>0.04</v>
      </c>
      <c r="M27" s="6">
        <v>0.04</v>
      </c>
      <c r="N27" s="6">
        <v>1</v>
      </c>
      <c r="O27" s="6">
        <v>1</v>
      </c>
    </row>
    <row r="28" spans="1:15" hidden="1">
      <c r="A28" s="6" t="s">
        <v>1786</v>
      </c>
      <c r="B28" s="6" t="s">
        <v>1787</v>
      </c>
      <c r="C28" s="6" t="s">
        <v>88</v>
      </c>
      <c r="D28" s="6" t="s">
        <v>1788</v>
      </c>
      <c r="E28" s="6" t="s">
        <v>1797</v>
      </c>
      <c r="F28" s="6" t="s">
        <v>1817</v>
      </c>
      <c r="G28" s="6" t="s">
        <v>1790</v>
      </c>
      <c r="H28" s="6" t="s">
        <v>1822</v>
      </c>
      <c r="I28" s="6">
        <v>1</v>
      </c>
      <c r="J28" s="6">
        <v>0</v>
      </c>
      <c r="K28" s="6">
        <v>0</v>
      </c>
      <c r="L28" s="6">
        <v>0</v>
      </c>
      <c r="M28" s="6">
        <v>0</v>
      </c>
      <c r="N28" s="6">
        <v>1</v>
      </c>
      <c r="O28" s="6">
        <v>1</v>
      </c>
    </row>
    <row r="29" spans="1:15" hidden="1">
      <c r="A29" s="6" t="s">
        <v>1786</v>
      </c>
      <c r="B29" s="6" t="s">
        <v>1787</v>
      </c>
      <c r="C29" s="6" t="s">
        <v>88</v>
      </c>
      <c r="D29" s="6" t="s">
        <v>1788</v>
      </c>
      <c r="E29" s="6" t="s">
        <v>1797</v>
      </c>
      <c r="F29" s="6" t="s">
        <v>1817</v>
      </c>
      <c r="G29" s="6" t="s">
        <v>1790</v>
      </c>
      <c r="H29" s="6" t="s">
        <v>1823</v>
      </c>
      <c r="I29" s="6">
        <v>1</v>
      </c>
      <c r="J29" s="6">
        <v>0</v>
      </c>
      <c r="K29" s="6">
        <v>0</v>
      </c>
      <c r="L29" s="6">
        <v>0</v>
      </c>
      <c r="M29" s="6">
        <v>0</v>
      </c>
      <c r="N29" s="6">
        <v>0</v>
      </c>
      <c r="O29" s="6">
        <v>0</v>
      </c>
    </row>
    <row r="30" spans="1:15" hidden="1">
      <c r="A30" s="6" t="s">
        <v>1786</v>
      </c>
      <c r="B30" s="6" t="s">
        <v>1787</v>
      </c>
      <c r="C30" s="6" t="s">
        <v>88</v>
      </c>
      <c r="D30" s="6" t="s">
        <v>1788</v>
      </c>
      <c r="E30" s="6" t="s">
        <v>1797</v>
      </c>
      <c r="F30" s="6" t="s">
        <v>1817</v>
      </c>
      <c r="G30" s="6" t="s">
        <v>1790</v>
      </c>
      <c r="H30" s="6" t="s">
        <v>1824</v>
      </c>
      <c r="I30" s="6">
        <v>1</v>
      </c>
      <c r="J30" s="6">
        <v>0</v>
      </c>
      <c r="K30" s="6">
        <v>0</v>
      </c>
      <c r="L30" s="6">
        <v>0</v>
      </c>
      <c r="M30" s="6">
        <v>0</v>
      </c>
      <c r="N30" s="6">
        <v>1</v>
      </c>
      <c r="O30" s="6">
        <v>1</v>
      </c>
    </row>
    <row r="31" spans="1:15" hidden="1">
      <c r="A31" s="6" t="s">
        <v>1786</v>
      </c>
      <c r="B31" s="6" t="s">
        <v>1787</v>
      </c>
      <c r="C31" s="6" t="s">
        <v>88</v>
      </c>
      <c r="D31" s="6" t="s">
        <v>1788</v>
      </c>
      <c r="E31" s="6" t="s">
        <v>1797</v>
      </c>
      <c r="F31" s="6" t="s">
        <v>1817</v>
      </c>
      <c r="G31" s="6" t="s">
        <v>1790</v>
      </c>
      <c r="H31" s="6" t="s">
        <v>1825</v>
      </c>
      <c r="I31" s="6">
        <v>2</v>
      </c>
      <c r="J31" s="6">
        <v>0</v>
      </c>
      <c r="K31" s="6">
        <v>0</v>
      </c>
      <c r="L31" s="6">
        <v>0</v>
      </c>
      <c r="M31" s="6">
        <v>0</v>
      </c>
      <c r="N31" s="6">
        <v>1</v>
      </c>
      <c r="O31" s="6">
        <v>1</v>
      </c>
    </row>
    <row r="32" spans="1:15" hidden="1">
      <c r="A32" s="6" t="s">
        <v>1786</v>
      </c>
      <c r="B32" s="6" t="s">
        <v>1787</v>
      </c>
      <c r="C32" s="6" t="s">
        <v>88</v>
      </c>
      <c r="D32" s="6" t="s">
        <v>1788</v>
      </c>
      <c r="E32" s="6" t="s">
        <v>1797</v>
      </c>
      <c r="F32" s="6" t="s">
        <v>1817</v>
      </c>
      <c r="G32" s="6" t="s">
        <v>1790</v>
      </c>
      <c r="H32" s="6" t="s">
        <v>1826</v>
      </c>
      <c r="I32" s="6">
        <v>5</v>
      </c>
      <c r="J32" s="6">
        <v>0</v>
      </c>
      <c r="K32" s="6">
        <v>0</v>
      </c>
      <c r="L32" s="6">
        <v>0</v>
      </c>
      <c r="M32" s="6">
        <v>0</v>
      </c>
      <c r="N32" s="6">
        <v>0.33329999999999999</v>
      </c>
      <c r="O32" s="6">
        <v>0.33329999999999999</v>
      </c>
    </row>
    <row r="33" spans="1:15" hidden="1">
      <c r="A33" s="6" t="s">
        <v>1786</v>
      </c>
      <c r="B33" s="6" t="s">
        <v>1787</v>
      </c>
      <c r="C33" s="6" t="s">
        <v>88</v>
      </c>
      <c r="D33" s="6" t="s">
        <v>1788</v>
      </c>
      <c r="E33" s="6" t="s">
        <v>1797</v>
      </c>
      <c r="F33" s="6" t="s">
        <v>1817</v>
      </c>
      <c r="G33" s="6" t="s">
        <v>1790</v>
      </c>
      <c r="H33" s="6" t="s">
        <v>1827</v>
      </c>
      <c r="I33" s="6">
        <v>1</v>
      </c>
      <c r="J33" s="6">
        <v>0</v>
      </c>
      <c r="K33" s="6">
        <v>0</v>
      </c>
      <c r="L33" s="6">
        <v>0</v>
      </c>
      <c r="M33" s="6">
        <v>0</v>
      </c>
      <c r="N33" s="6">
        <v>0</v>
      </c>
      <c r="O33" s="6">
        <v>0</v>
      </c>
    </row>
    <row r="34" spans="1:15" hidden="1">
      <c r="A34" s="6" t="s">
        <v>1786</v>
      </c>
      <c r="B34" s="6" t="s">
        <v>1787</v>
      </c>
      <c r="C34" s="6" t="s">
        <v>88</v>
      </c>
      <c r="D34" s="6" t="s">
        <v>1788</v>
      </c>
      <c r="E34" s="6" t="s">
        <v>1797</v>
      </c>
      <c r="F34" s="6" t="s">
        <v>1817</v>
      </c>
      <c r="G34" s="6" t="s">
        <v>1790</v>
      </c>
      <c r="H34" s="6" t="s">
        <v>1828</v>
      </c>
      <c r="I34" s="6">
        <v>13</v>
      </c>
      <c r="J34" s="6">
        <v>2</v>
      </c>
      <c r="K34" s="6">
        <v>0.15380000000000002</v>
      </c>
      <c r="L34" s="6">
        <v>0.04</v>
      </c>
      <c r="M34" s="6">
        <v>0.09</v>
      </c>
      <c r="N34" s="6">
        <v>1</v>
      </c>
      <c r="O34" s="6">
        <v>1</v>
      </c>
    </row>
    <row r="35" spans="1:15" hidden="1">
      <c r="A35" s="6" t="s">
        <v>1786</v>
      </c>
      <c r="B35" s="6" t="s">
        <v>1787</v>
      </c>
      <c r="C35" s="6" t="s">
        <v>88</v>
      </c>
      <c r="D35" s="6" t="s">
        <v>1788</v>
      </c>
      <c r="E35" s="6" t="s">
        <v>1797</v>
      </c>
      <c r="F35" s="6" t="s">
        <v>1817</v>
      </c>
      <c r="G35" s="6" t="s">
        <v>1790</v>
      </c>
      <c r="H35" s="6" t="s">
        <v>1817</v>
      </c>
      <c r="I35" s="6">
        <v>4</v>
      </c>
      <c r="J35" s="6">
        <v>0</v>
      </c>
      <c r="K35" s="6">
        <v>0</v>
      </c>
      <c r="L35" s="6">
        <v>0</v>
      </c>
      <c r="M35" s="6">
        <v>0</v>
      </c>
      <c r="N35" s="6">
        <v>1</v>
      </c>
      <c r="O35" s="6">
        <v>1</v>
      </c>
    </row>
    <row r="36" spans="1:15" hidden="1">
      <c r="A36" s="6" t="s">
        <v>1786</v>
      </c>
      <c r="B36" s="6" t="s">
        <v>1787</v>
      </c>
      <c r="C36" s="6" t="s">
        <v>88</v>
      </c>
      <c r="D36" s="6" t="s">
        <v>1788</v>
      </c>
      <c r="E36" s="6" t="s">
        <v>1797</v>
      </c>
      <c r="F36" s="6" t="s">
        <v>1829</v>
      </c>
      <c r="G36" s="6" t="s">
        <v>1790</v>
      </c>
      <c r="H36" s="6" t="s">
        <v>1830</v>
      </c>
      <c r="I36" s="6">
        <v>2</v>
      </c>
      <c r="J36" s="6">
        <v>0</v>
      </c>
      <c r="K36" s="6">
        <v>0</v>
      </c>
      <c r="L36" s="6">
        <v>0</v>
      </c>
      <c r="M36" s="6">
        <v>0</v>
      </c>
      <c r="N36" s="6">
        <v>0</v>
      </c>
      <c r="O36" s="6">
        <v>0</v>
      </c>
    </row>
    <row r="37" spans="1:15" hidden="1">
      <c r="A37" s="6" t="s">
        <v>1786</v>
      </c>
      <c r="B37" s="6" t="s">
        <v>1787</v>
      </c>
      <c r="C37" s="6" t="s">
        <v>88</v>
      </c>
      <c r="D37" s="6" t="s">
        <v>1788</v>
      </c>
      <c r="E37" s="6" t="s">
        <v>1797</v>
      </c>
      <c r="F37" s="6" t="s">
        <v>1831</v>
      </c>
      <c r="G37" s="6" t="s">
        <v>1790</v>
      </c>
      <c r="H37" s="6" t="s">
        <v>1831</v>
      </c>
      <c r="I37" s="6">
        <v>2</v>
      </c>
      <c r="J37" s="6">
        <v>0</v>
      </c>
      <c r="K37" s="6">
        <v>0</v>
      </c>
      <c r="L37" s="6">
        <v>0</v>
      </c>
      <c r="M37" s="6">
        <v>0</v>
      </c>
      <c r="N37" s="6">
        <v>0</v>
      </c>
      <c r="O37" s="6">
        <v>0</v>
      </c>
    </row>
    <row r="38" spans="1:15" hidden="1">
      <c r="A38" s="6" t="s">
        <v>1786</v>
      </c>
      <c r="B38" s="6" t="s">
        <v>1787</v>
      </c>
      <c r="C38" s="6" t="s">
        <v>88</v>
      </c>
      <c r="D38" s="6" t="s">
        <v>1788</v>
      </c>
      <c r="E38" s="6" t="s">
        <v>1797</v>
      </c>
      <c r="F38" s="6" t="s">
        <v>1832</v>
      </c>
      <c r="G38" s="6" t="s">
        <v>1790</v>
      </c>
      <c r="H38" s="6" t="s">
        <v>1833</v>
      </c>
      <c r="I38" s="6">
        <v>1</v>
      </c>
      <c r="J38" s="6">
        <v>0</v>
      </c>
      <c r="K38" s="6">
        <v>0</v>
      </c>
      <c r="L38" s="6">
        <v>0</v>
      </c>
      <c r="M38" s="6">
        <v>0</v>
      </c>
      <c r="N38" s="6">
        <v>0</v>
      </c>
      <c r="O38" s="6">
        <v>0</v>
      </c>
    </row>
    <row r="39" spans="1:15" hidden="1">
      <c r="A39" s="6" t="s">
        <v>1786</v>
      </c>
      <c r="B39" s="6" t="s">
        <v>1787</v>
      </c>
      <c r="C39" s="6" t="s">
        <v>88</v>
      </c>
      <c r="D39" s="6" t="s">
        <v>1788</v>
      </c>
      <c r="E39" s="6" t="s">
        <v>1797</v>
      </c>
      <c r="F39" s="6" t="s">
        <v>1832</v>
      </c>
      <c r="G39" s="6" t="s">
        <v>1790</v>
      </c>
      <c r="H39" s="6" t="s">
        <v>1834</v>
      </c>
      <c r="I39" s="6">
        <v>1</v>
      </c>
      <c r="J39" s="6">
        <v>0</v>
      </c>
      <c r="K39" s="6">
        <v>0</v>
      </c>
      <c r="L39" s="6">
        <v>0</v>
      </c>
      <c r="M39" s="6">
        <v>0</v>
      </c>
      <c r="N39" s="6">
        <v>0</v>
      </c>
      <c r="O39" s="6">
        <v>0</v>
      </c>
    </row>
    <row r="40" spans="1:15" hidden="1">
      <c r="A40" s="6" t="s">
        <v>1786</v>
      </c>
      <c r="B40" s="6" t="s">
        <v>1787</v>
      </c>
      <c r="C40" s="6" t="s">
        <v>88</v>
      </c>
      <c r="D40" s="6" t="s">
        <v>1788</v>
      </c>
      <c r="E40" s="6" t="s">
        <v>1797</v>
      </c>
      <c r="F40" s="6" t="s">
        <v>1835</v>
      </c>
      <c r="G40" s="6" t="s">
        <v>1790</v>
      </c>
      <c r="H40" s="6" t="s">
        <v>1836</v>
      </c>
      <c r="I40" s="6">
        <v>2</v>
      </c>
      <c r="J40" s="6">
        <v>0</v>
      </c>
      <c r="K40" s="6">
        <v>0</v>
      </c>
      <c r="L40" s="6">
        <v>0</v>
      </c>
      <c r="M40" s="6">
        <v>0</v>
      </c>
      <c r="N40" s="6">
        <v>1</v>
      </c>
      <c r="O40" s="6">
        <v>1</v>
      </c>
    </row>
    <row r="41" spans="1:15" hidden="1">
      <c r="A41" s="6" t="s">
        <v>1786</v>
      </c>
      <c r="B41" s="6" t="s">
        <v>1787</v>
      </c>
      <c r="C41" s="6" t="s">
        <v>88</v>
      </c>
      <c r="D41" s="6" t="s">
        <v>1788</v>
      </c>
      <c r="E41" s="6" t="s">
        <v>1797</v>
      </c>
      <c r="F41" s="6" t="s">
        <v>1837</v>
      </c>
      <c r="G41" s="6" t="s">
        <v>1790</v>
      </c>
      <c r="H41" s="6" t="s">
        <v>1838</v>
      </c>
      <c r="I41" s="6">
        <v>2</v>
      </c>
      <c r="J41" s="6">
        <v>0</v>
      </c>
      <c r="K41" s="6">
        <v>0</v>
      </c>
      <c r="L41" s="6">
        <v>0</v>
      </c>
      <c r="M41" s="6">
        <v>0</v>
      </c>
      <c r="N41" s="6">
        <v>1</v>
      </c>
      <c r="O41" s="6">
        <v>1</v>
      </c>
    </row>
    <row r="42" spans="1:15" hidden="1">
      <c r="A42" s="6" t="s">
        <v>1786</v>
      </c>
      <c r="B42" s="6" t="s">
        <v>1787</v>
      </c>
      <c r="C42" s="6" t="s">
        <v>88</v>
      </c>
      <c r="D42" s="6" t="s">
        <v>1788</v>
      </c>
      <c r="E42" s="6" t="s">
        <v>1839</v>
      </c>
      <c r="F42" s="6" t="s">
        <v>1840</v>
      </c>
      <c r="G42" s="6" t="s">
        <v>1790</v>
      </c>
      <c r="H42" s="6" t="s">
        <v>1840</v>
      </c>
      <c r="I42" s="6">
        <v>2</v>
      </c>
      <c r="J42" s="6">
        <v>0</v>
      </c>
      <c r="K42" s="6">
        <v>0</v>
      </c>
      <c r="L42" s="6">
        <v>0</v>
      </c>
      <c r="M42" s="6">
        <v>0</v>
      </c>
      <c r="N42" s="6">
        <v>1</v>
      </c>
      <c r="O42" s="6">
        <v>1</v>
      </c>
    </row>
    <row r="43" spans="1:15" hidden="1">
      <c r="A43" s="6" t="s">
        <v>1786</v>
      </c>
      <c r="B43" s="6" t="s">
        <v>1787</v>
      </c>
      <c r="C43" s="6" t="s">
        <v>88</v>
      </c>
      <c r="D43" s="6" t="s">
        <v>1788</v>
      </c>
      <c r="E43" s="6" t="s">
        <v>1841</v>
      </c>
      <c r="F43" s="6" t="s">
        <v>1842</v>
      </c>
      <c r="G43" s="6" t="s">
        <v>1790</v>
      </c>
      <c r="H43" s="6" t="s">
        <v>1843</v>
      </c>
      <c r="I43" s="6">
        <v>3</v>
      </c>
      <c r="J43" s="6">
        <v>0</v>
      </c>
      <c r="K43" s="6">
        <v>0</v>
      </c>
      <c r="L43" s="6">
        <v>0</v>
      </c>
      <c r="M43" s="6">
        <v>0</v>
      </c>
      <c r="N43" s="6">
        <v>0</v>
      </c>
      <c r="O43" s="6">
        <v>0</v>
      </c>
    </row>
    <row r="44" spans="1:15" hidden="1">
      <c r="A44" s="6" t="s">
        <v>1786</v>
      </c>
      <c r="B44" s="6" t="s">
        <v>1787</v>
      </c>
      <c r="C44" s="6" t="s">
        <v>88</v>
      </c>
      <c r="D44" s="6" t="s">
        <v>1788</v>
      </c>
      <c r="E44" s="6" t="s">
        <v>1844</v>
      </c>
      <c r="F44" s="6" t="s">
        <v>1845</v>
      </c>
      <c r="G44" s="6" t="s">
        <v>1790</v>
      </c>
      <c r="H44" s="6" t="s">
        <v>1846</v>
      </c>
      <c r="I44" s="6">
        <v>1</v>
      </c>
      <c r="J44" s="6">
        <v>0</v>
      </c>
      <c r="K44" s="6">
        <v>0</v>
      </c>
      <c r="L44" s="6">
        <v>0</v>
      </c>
      <c r="M44" s="6">
        <v>0</v>
      </c>
      <c r="N44" s="6">
        <v>1</v>
      </c>
      <c r="O44" s="6">
        <v>0</v>
      </c>
    </row>
    <row r="45" spans="1:15" hidden="1">
      <c r="A45" s="6" t="s">
        <v>1786</v>
      </c>
      <c r="B45" s="6" t="s">
        <v>1787</v>
      </c>
      <c r="C45" s="6" t="s">
        <v>88</v>
      </c>
      <c r="D45" s="6" t="s">
        <v>1788</v>
      </c>
      <c r="E45" s="6" t="s">
        <v>1847</v>
      </c>
      <c r="F45" s="6" t="s">
        <v>1848</v>
      </c>
      <c r="G45" s="6" t="s">
        <v>1790</v>
      </c>
      <c r="H45" s="6" t="s">
        <v>1848</v>
      </c>
      <c r="I45" s="6">
        <v>2</v>
      </c>
      <c r="J45" s="6">
        <v>0</v>
      </c>
      <c r="K45" s="6">
        <v>0</v>
      </c>
      <c r="L45" s="6">
        <v>0</v>
      </c>
      <c r="M45" s="6">
        <v>0</v>
      </c>
      <c r="N45" s="6">
        <v>1</v>
      </c>
      <c r="O45" s="6">
        <v>1</v>
      </c>
    </row>
    <row r="46" spans="1:15" hidden="1">
      <c r="A46" s="6" t="s">
        <v>1786</v>
      </c>
      <c r="B46" s="6" t="s">
        <v>1787</v>
      </c>
      <c r="C46" s="6" t="s">
        <v>88</v>
      </c>
      <c r="D46" s="6" t="s">
        <v>1788</v>
      </c>
      <c r="E46" s="6" t="s">
        <v>1847</v>
      </c>
      <c r="F46" s="6" t="s">
        <v>1849</v>
      </c>
      <c r="G46" s="6" t="s">
        <v>1790</v>
      </c>
      <c r="H46" s="6" t="s">
        <v>1850</v>
      </c>
      <c r="I46" s="6">
        <v>1</v>
      </c>
      <c r="J46" s="6">
        <v>0</v>
      </c>
      <c r="K46" s="6">
        <v>0</v>
      </c>
      <c r="L46" s="6">
        <v>0</v>
      </c>
      <c r="M46" s="6">
        <v>0</v>
      </c>
      <c r="N46" s="6">
        <v>1</v>
      </c>
      <c r="O46" s="6">
        <v>1</v>
      </c>
    </row>
    <row r="47" spans="1:15" hidden="1">
      <c r="A47" s="6" t="s">
        <v>1786</v>
      </c>
      <c r="B47" s="6" t="s">
        <v>1787</v>
      </c>
      <c r="C47" s="6" t="s">
        <v>88</v>
      </c>
      <c r="D47" s="6" t="s">
        <v>1788</v>
      </c>
      <c r="E47" s="6" t="s">
        <v>1847</v>
      </c>
      <c r="F47" s="6" t="s">
        <v>1851</v>
      </c>
      <c r="G47" s="6" t="s">
        <v>1790</v>
      </c>
      <c r="H47" s="6" t="s">
        <v>1852</v>
      </c>
      <c r="I47" s="6">
        <v>3</v>
      </c>
      <c r="J47" s="6">
        <v>0</v>
      </c>
      <c r="K47" s="6">
        <v>0</v>
      </c>
      <c r="L47" s="6">
        <v>0</v>
      </c>
      <c r="M47" s="6">
        <v>0</v>
      </c>
      <c r="N47" s="6">
        <v>0.5</v>
      </c>
      <c r="O47" s="6">
        <v>0</v>
      </c>
    </row>
    <row r="48" spans="1:15" hidden="1">
      <c r="A48" s="6" t="s">
        <v>1786</v>
      </c>
      <c r="B48" s="6" t="s">
        <v>1787</v>
      </c>
      <c r="C48" s="6" t="s">
        <v>88</v>
      </c>
      <c r="D48" s="6" t="s">
        <v>1788</v>
      </c>
      <c r="E48" s="6" t="s">
        <v>1847</v>
      </c>
      <c r="F48" s="6" t="s">
        <v>1853</v>
      </c>
      <c r="G48" s="6" t="s">
        <v>1790</v>
      </c>
      <c r="H48" s="6" t="s">
        <v>1853</v>
      </c>
      <c r="I48" s="6">
        <v>2</v>
      </c>
      <c r="J48" s="6">
        <v>0</v>
      </c>
      <c r="K48" s="6">
        <v>0</v>
      </c>
      <c r="L48" s="6">
        <v>0</v>
      </c>
      <c r="M48" s="6">
        <v>0</v>
      </c>
      <c r="N48" s="6">
        <v>1</v>
      </c>
      <c r="O48" s="6">
        <v>1</v>
      </c>
    </row>
    <row r="49" spans="1:15" hidden="1">
      <c r="A49" s="6" t="s">
        <v>1786</v>
      </c>
      <c r="B49" s="6" t="s">
        <v>1787</v>
      </c>
      <c r="C49" s="6" t="s">
        <v>88</v>
      </c>
      <c r="D49" s="6" t="s">
        <v>1788</v>
      </c>
      <c r="E49" s="6" t="s">
        <v>1847</v>
      </c>
      <c r="F49" s="6" t="s">
        <v>1854</v>
      </c>
      <c r="G49" s="6" t="s">
        <v>1790</v>
      </c>
      <c r="H49" s="6" t="s">
        <v>1855</v>
      </c>
      <c r="I49" s="6">
        <v>1</v>
      </c>
      <c r="J49" s="6">
        <v>0</v>
      </c>
      <c r="K49" s="6">
        <v>0</v>
      </c>
      <c r="L49" s="6">
        <v>0</v>
      </c>
      <c r="M49" s="6">
        <v>0</v>
      </c>
      <c r="N49" s="6">
        <v>1</v>
      </c>
      <c r="O49" s="6">
        <v>1</v>
      </c>
    </row>
    <row r="50" spans="1:15" hidden="1">
      <c r="A50" s="6" t="s">
        <v>1786</v>
      </c>
      <c r="B50" s="6" t="s">
        <v>1787</v>
      </c>
      <c r="C50" s="6" t="s">
        <v>88</v>
      </c>
      <c r="D50" s="6" t="s">
        <v>1788</v>
      </c>
      <c r="E50" s="6" t="s">
        <v>1847</v>
      </c>
      <c r="F50" s="6" t="s">
        <v>1854</v>
      </c>
      <c r="G50" s="6" t="s">
        <v>1790</v>
      </c>
      <c r="H50" s="6" t="s">
        <v>1856</v>
      </c>
      <c r="I50" s="6">
        <v>1</v>
      </c>
      <c r="J50" s="6">
        <v>0</v>
      </c>
      <c r="K50" s="6">
        <v>0</v>
      </c>
      <c r="L50" s="6">
        <v>0</v>
      </c>
      <c r="M50" s="6">
        <v>0</v>
      </c>
      <c r="N50" s="6">
        <v>0</v>
      </c>
      <c r="O50" s="6">
        <v>0</v>
      </c>
    </row>
    <row r="51" spans="1:15" hidden="1">
      <c r="A51" s="6" t="s">
        <v>1786</v>
      </c>
      <c r="B51" s="6" t="s">
        <v>1787</v>
      </c>
      <c r="C51" s="6" t="s">
        <v>88</v>
      </c>
      <c r="D51" s="6" t="s">
        <v>1788</v>
      </c>
      <c r="E51" s="6" t="s">
        <v>1847</v>
      </c>
      <c r="F51" s="6" t="s">
        <v>1854</v>
      </c>
      <c r="G51" s="6" t="s">
        <v>1790</v>
      </c>
      <c r="H51" s="6" t="s">
        <v>1857</v>
      </c>
      <c r="I51" s="6">
        <v>1</v>
      </c>
      <c r="J51" s="6">
        <v>0</v>
      </c>
      <c r="K51" s="6">
        <v>0</v>
      </c>
      <c r="L51" s="6">
        <v>0</v>
      </c>
      <c r="M51" s="6">
        <v>0</v>
      </c>
      <c r="N51" s="6">
        <v>1</v>
      </c>
      <c r="O51" s="6">
        <v>1</v>
      </c>
    </row>
    <row r="52" spans="1:15" hidden="1">
      <c r="A52" s="6" t="s">
        <v>1786</v>
      </c>
      <c r="B52" s="6" t="s">
        <v>1787</v>
      </c>
      <c r="C52" s="6" t="s">
        <v>88</v>
      </c>
      <c r="D52" s="6" t="s">
        <v>1788</v>
      </c>
      <c r="E52" s="6" t="s">
        <v>1847</v>
      </c>
      <c r="F52" s="6" t="s">
        <v>1854</v>
      </c>
      <c r="G52" s="6" t="s">
        <v>1790</v>
      </c>
      <c r="H52" s="6" t="s">
        <v>1858</v>
      </c>
      <c r="I52" s="6">
        <v>1</v>
      </c>
      <c r="J52" s="6">
        <v>0</v>
      </c>
      <c r="K52" s="6">
        <v>0</v>
      </c>
      <c r="L52" s="6">
        <v>0</v>
      </c>
      <c r="M52" s="6">
        <v>0</v>
      </c>
      <c r="N52" s="6">
        <v>0</v>
      </c>
      <c r="O52" s="6">
        <v>0</v>
      </c>
    </row>
    <row r="53" spans="1:15" hidden="1">
      <c r="A53" s="6" t="s">
        <v>1786</v>
      </c>
      <c r="B53" s="6" t="s">
        <v>1787</v>
      </c>
      <c r="C53" s="6" t="s">
        <v>88</v>
      </c>
      <c r="D53" s="6" t="s">
        <v>1788</v>
      </c>
      <c r="E53" s="6" t="s">
        <v>1847</v>
      </c>
      <c r="F53" s="6" t="s">
        <v>1854</v>
      </c>
      <c r="G53" s="6" t="s">
        <v>1790</v>
      </c>
      <c r="H53" s="6" t="s">
        <v>1854</v>
      </c>
      <c r="I53" s="6">
        <v>2</v>
      </c>
      <c r="J53" s="6">
        <v>0</v>
      </c>
      <c r="K53" s="6">
        <v>0</v>
      </c>
      <c r="L53" s="6">
        <v>0</v>
      </c>
      <c r="M53" s="6">
        <v>0</v>
      </c>
      <c r="N53" s="6">
        <v>1</v>
      </c>
      <c r="O53" s="6">
        <v>1</v>
      </c>
    </row>
    <row r="54" spans="1:15" hidden="1">
      <c r="A54" s="6" t="s">
        <v>1786</v>
      </c>
      <c r="B54" s="6" t="s">
        <v>1787</v>
      </c>
      <c r="C54" s="6" t="s">
        <v>88</v>
      </c>
      <c r="D54" s="6" t="s">
        <v>1788</v>
      </c>
      <c r="E54" s="6" t="s">
        <v>1859</v>
      </c>
      <c r="F54" s="6" t="s">
        <v>1860</v>
      </c>
      <c r="G54" s="6" t="s">
        <v>1790</v>
      </c>
      <c r="H54" s="6" t="s">
        <v>1861</v>
      </c>
      <c r="I54" s="6">
        <v>1</v>
      </c>
      <c r="J54" s="6">
        <v>0</v>
      </c>
      <c r="K54" s="6">
        <v>0</v>
      </c>
      <c r="L54" s="6">
        <v>0</v>
      </c>
      <c r="M54" s="6">
        <v>0</v>
      </c>
      <c r="N54" s="6">
        <v>1</v>
      </c>
      <c r="O54" s="6">
        <v>1</v>
      </c>
    </row>
    <row r="55" spans="1:15" hidden="1">
      <c r="A55" s="6" t="s">
        <v>1786</v>
      </c>
      <c r="B55" s="6" t="s">
        <v>1787</v>
      </c>
      <c r="C55" s="6" t="s">
        <v>88</v>
      </c>
      <c r="D55" s="6" t="s">
        <v>1788</v>
      </c>
      <c r="E55" s="6" t="s">
        <v>1859</v>
      </c>
      <c r="F55" s="6" t="s">
        <v>1862</v>
      </c>
      <c r="G55" s="6" t="s">
        <v>1790</v>
      </c>
      <c r="H55" s="6" t="s">
        <v>1863</v>
      </c>
      <c r="I55" s="6">
        <v>3</v>
      </c>
      <c r="J55" s="6">
        <v>0</v>
      </c>
      <c r="K55" s="6">
        <v>0</v>
      </c>
      <c r="L55" s="6">
        <v>0</v>
      </c>
      <c r="M55" s="6">
        <v>0</v>
      </c>
      <c r="N55" s="6">
        <v>0.5</v>
      </c>
      <c r="O55" s="6">
        <v>0.5</v>
      </c>
    </row>
    <row r="56" spans="1:15" hidden="1">
      <c r="A56" s="6" t="s">
        <v>1786</v>
      </c>
      <c r="B56" s="6" t="s">
        <v>1787</v>
      </c>
      <c r="C56" s="6" t="s">
        <v>88</v>
      </c>
      <c r="D56" s="6" t="s">
        <v>1788</v>
      </c>
      <c r="E56" s="6" t="s">
        <v>1859</v>
      </c>
      <c r="F56" s="6" t="s">
        <v>1864</v>
      </c>
      <c r="G56" s="6" t="s">
        <v>1790</v>
      </c>
      <c r="H56" s="6" t="s">
        <v>1865</v>
      </c>
      <c r="I56" s="6">
        <v>2</v>
      </c>
      <c r="J56" s="6">
        <v>1</v>
      </c>
      <c r="K56" s="6">
        <v>0.5</v>
      </c>
      <c r="L56" s="6">
        <v>0.4</v>
      </c>
      <c r="M56" s="6">
        <v>0.4</v>
      </c>
      <c r="N56" s="6">
        <v>1</v>
      </c>
      <c r="O56" s="6">
        <v>1</v>
      </c>
    </row>
    <row r="57" spans="1:15" hidden="1">
      <c r="A57" s="6" t="s">
        <v>1786</v>
      </c>
      <c r="B57" s="6" t="s">
        <v>1787</v>
      </c>
      <c r="C57" s="6" t="s">
        <v>88</v>
      </c>
      <c r="D57" s="6" t="s">
        <v>1788</v>
      </c>
      <c r="E57" s="6" t="s">
        <v>1859</v>
      </c>
      <c r="F57" s="6" t="s">
        <v>1864</v>
      </c>
      <c r="G57" s="6" t="s">
        <v>1790</v>
      </c>
      <c r="H57" s="6" t="s">
        <v>1866</v>
      </c>
      <c r="I57" s="6">
        <v>1</v>
      </c>
      <c r="J57" s="6">
        <v>0</v>
      </c>
      <c r="K57" s="6">
        <v>0</v>
      </c>
      <c r="L57" s="6">
        <v>0</v>
      </c>
      <c r="M57" s="6">
        <v>0</v>
      </c>
      <c r="N57" s="6">
        <v>1</v>
      </c>
      <c r="O57" s="6">
        <v>1</v>
      </c>
    </row>
    <row r="58" spans="1:15" hidden="1">
      <c r="A58" s="6" t="s">
        <v>1786</v>
      </c>
      <c r="B58" s="6" t="s">
        <v>1787</v>
      </c>
      <c r="C58" s="6" t="s">
        <v>88</v>
      </c>
      <c r="D58" s="6" t="s">
        <v>1788</v>
      </c>
      <c r="E58" s="6" t="s">
        <v>1859</v>
      </c>
      <c r="F58" s="6" t="s">
        <v>1867</v>
      </c>
      <c r="G58" s="6" t="s">
        <v>1790</v>
      </c>
      <c r="H58" s="6" t="s">
        <v>1868</v>
      </c>
      <c r="I58" s="6">
        <v>1</v>
      </c>
      <c r="J58" s="6">
        <v>0</v>
      </c>
      <c r="K58" s="6">
        <v>0</v>
      </c>
      <c r="L58" s="6">
        <v>0</v>
      </c>
      <c r="M58" s="6">
        <v>0</v>
      </c>
      <c r="N58" s="6">
        <v>0</v>
      </c>
      <c r="O58" s="6">
        <v>0</v>
      </c>
    </row>
    <row r="59" spans="1:15" hidden="1">
      <c r="A59" s="6" t="s">
        <v>1786</v>
      </c>
      <c r="B59" s="6" t="s">
        <v>1787</v>
      </c>
      <c r="C59" s="6" t="s">
        <v>88</v>
      </c>
      <c r="D59" s="6" t="s">
        <v>1788</v>
      </c>
      <c r="E59" s="6" t="s">
        <v>1859</v>
      </c>
      <c r="F59" s="6" t="s">
        <v>1869</v>
      </c>
      <c r="G59" s="6" t="s">
        <v>1790</v>
      </c>
      <c r="H59" s="6" t="s">
        <v>1870</v>
      </c>
      <c r="I59" s="6">
        <v>2</v>
      </c>
      <c r="J59" s="6">
        <v>0</v>
      </c>
      <c r="K59" s="6">
        <v>0</v>
      </c>
      <c r="L59" s="6">
        <v>0</v>
      </c>
      <c r="M59" s="6">
        <v>0</v>
      </c>
      <c r="N59" s="6">
        <v>1</v>
      </c>
      <c r="O59" s="6">
        <v>0</v>
      </c>
    </row>
    <row r="60" spans="1:15" hidden="1">
      <c r="A60" s="6" t="s">
        <v>1786</v>
      </c>
      <c r="B60" s="6" t="s">
        <v>1787</v>
      </c>
      <c r="C60" s="6" t="s">
        <v>88</v>
      </c>
      <c r="D60" s="6" t="s">
        <v>1788</v>
      </c>
      <c r="E60" s="6" t="s">
        <v>1859</v>
      </c>
      <c r="F60" s="6" t="s">
        <v>1871</v>
      </c>
      <c r="G60" s="6" t="s">
        <v>1790</v>
      </c>
      <c r="H60" s="6" t="s">
        <v>1871</v>
      </c>
      <c r="I60" s="6">
        <v>2</v>
      </c>
      <c r="J60" s="6">
        <v>0</v>
      </c>
      <c r="K60" s="6">
        <v>0</v>
      </c>
      <c r="L60" s="6">
        <v>0</v>
      </c>
      <c r="M60" s="6">
        <v>0</v>
      </c>
      <c r="N60" s="6">
        <v>1</v>
      </c>
      <c r="O60" s="6">
        <v>0</v>
      </c>
    </row>
    <row r="61" spans="1:15" hidden="1">
      <c r="A61" s="6" t="s">
        <v>1786</v>
      </c>
      <c r="B61" s="6" t="s">
        <v>1787</v>
      </c>
      <c r="C61" s="6" t="s">
        <v>88</v>
      </c>
      <c r="D61" s="6" t="s">
        <v>1788</v>
      </c>
      <c r="E61" s="6" t="s">
        <v>1859</v>
      </c>
      <c r="F61" s="6" t="s">
        <v>1872</v>
      </c>
      <c r="G61" s="6" t="s">
        <v>1790</v>
      </c>
      <c r="H61" s="6" t="s">
        <v>1873</v>
      </c>
      <c r="I61" s="6">
        <v>1</v>
      </c>
      <c r="J61" s="6">
        <v>0</v>
      </c>
      <c r="K61" s="6">
        <v>0</v>
      </c>
      <c r="L61" s="6">
        <v>0</v>
      </c>
      <c r="M61" s="6">
        <v>0</v>
      </c>
      <c r="N61" s="6">
        <v>0</v>
      </c>
      <c r="O61" s="6">
        <v>0</v>
      </c>
    </row>
    <row r="62" spans="1:15" hidden="1">
      <c r="A62" s="6" t="s">
        <v>1786</v>
      </c>
      <c r="B62" s="6" t="s">
        <v>1787</v>
      </c>
      <c r="C62" s="6" t="s">
        <v>88</v>
      </c>
      <c r="D62" s="6" t="s">
        <v>1788</v>
      </c>
      <c r="E62" s="6" t="s">
        <v>1859</v>
      </c>
      <c r="F62" s="6" t="s">
        <v>1874</v>
      </c>
      <c r="G62" s="6" t="s">
        <v>1790</v>
      </c>
      <c r="H62" s="6" t="s">
        <v>1874</v>
      </c>
      <c r="I62" s="6">
        <v>2</v>
      </c>
      <c r="J62" s="6">
        <v>0</v>
      </c>
      <c r="K62" s="6">
        <v>0</v>
      </c>
      <c r="L62" s="6">
        <v>0</v>
      </c>
      <c r="M62" s="6">
        <v>0</v>
      </c>
      <c r="N62" s="6">
        <v>1</v>
      </c>
      <c r="O62" s="6">
        <v>1</v>
      </c>
    </row>
    <row r="63" spans="1:15" hidden="1">
      <c r="A63" s="6" t="s">
        <v>1786</v>
      </c>
      <c r="B63" s="6" t="s">
        <v>1787</v>
      </c>
      <c r="C63" s="6" t="s">
        <v>88</v>
      </c>
      <c r="D63" s="6" t="s">
        <v>1788</v>
      </c>
      <c r="E63" s="6" t="s">
        <v>1859</v>
      </c>
      <c r="F63" s="6" t="s">
        <v>1875</v>
      </c>
      <c r="G63" s="6" t="s">
        <v>1790</v>
      </c>
      <c r="H63" s="6" t="s">
        <v>1876</v>
      </c>
      <c r="I63" s="6">
        <v>1</v>
      </c>
      <c r="J63" s="6">
        <v>0</v>
      </c>
      <c r="K63" s="6">
        <v>0</v>
      </c>
      <c r="L63" s="6">
        <v>0</v>
      </c>
      <c r="M63" s="6">
        <v>0</v>
      </c>
      <c r="N63" s="6">
        <v>0</v>
      </c>
      <c r="O63" s="6">
        <v>0</v>
      </c>
    </row>
    <row r="64" spans="1:15" hidden="1">
      <c r="A64" s="6" t="s">
        <v>1786</v>
      </c>
      <c r="B64" s="6" t="s">
        <v>1787</v>
      </c>
      <c r="C64" s="6" t="s">
        <v>88</v>
      </c>
      <c r="D64" s="6" t="s">
        <v>1788</v>
      </c>
      <c r="E64" s="6" t="s">
        <v>1859</v>
      </c>
      <c r="F64" s="6" t="s">
        <v>1875</v>
      </c>
      <c r="G64" s="6" t="s">
        <v>1790</v>
      </c>
      <c r="H64" s="6" t="s">
        <v>1875</v>
      </c>
      <c r="I64" s="6">
        <v>1</v>
      </c>
      <c r="J64" s="6">
        <v>0</v>
      </c>
      <c r="K64" s="6">
        <v>0</v>
      </c>
      <c r="L64" s="6">
        <v>0</v>
      </c>
      <c r="M64" s="6">
        <v>0</v>
      </c>
      <c r="N64" s="6">
        <v>0</v>
      </c>
      <c r="O64" s="6">
        <v>0</v>
      </c>
    </row>
    <row r="65" spans="1:15" hidden="1">
      <c r="A65" s="6" t="s">
        <v>1786</v>
      </c>
      <c r="B65" s="6" t="s">
        <v>1787</v>
      </c>
      <c r="C65" s="6" t="s">
        <v>88</v>
      </c>
      <c r="D65" s="6" t="s">
        <v>1788</v>
      </c>
      <c r="E65" s="6" t="s">
        <v>1859</v>
      </c>
      <c r="F65" s="6" t="s">
        <v>1877</v>
      </c>
      <c r="G65" s="6" t="s">
        <v>1790</v>
      </c>
      <c r="H65" s="6" t="s">
        <v>1878</v>
      </c>
      <c r="I65" s="6">
        <v>1</v>
      </c>
      <c r="J65" s="6">
        <v>0</v>
      </c>
      <c r="K65" s="6">
        <v>0</v>
      </c>
      <c r="L65" s="6">
        <v>0</v>
      </c>
      <c r="M65" s="6">
        <v>0</v>
      </c>
      <c r="N65" s="6">
        <v>0</v>
      </c>
      <c r="O65" s="6">
        <v>0</v>
      </c>
    </row>
    <row r="66" spans="1:15" hidden="1">
      <c r="A66" s="6" t="s">
        <v>1786</v>
      </c>
      <c r="B66" s="6" t="s">
        <v>1787</v>
      </c>
      <c r="C66" s="6" t="s">
        <v>88</v>
      </c>
      <c r="D66" s="6" t="s">
        <v>1788</v>
      </c>
      <c r="E66" s="6" t="s">
        <v>1859</v>
      </c>
      <c r="F66" s="6" t="s">
        <v>1877</v>
      </c>
      <c r="G66" s="6" t="s">
        <v>1790</v>
      </c>
      <c r="H66" s="6" t="s">
        <v>1879</v>
      </c>
      <c r="I66" s="6">
        <v>1</v>
      </c>
      <c r="J66" s="6">
        <v>0</v>
      </c>
      <c r="K66" s="6">
        <v>0</v>
      </c>
      <c r="L66" s="6">
        <v>0</v>
      </c>
      <c r="M66" s="6">
        <v>0</v>
      </c>
      <c r="N66" s="6">
        <v>0</v>
      </c>
      <c r="O66" s="6">
        <v>0</v>
      </c>
    </row>
    <row r="67" spans="1:15" hidden="1">
      <c r="A67" s="6" t="s">
        <v>1786</v>
      </c>
      <c r="B67" s="6" t="s">
        <v>1787</v>
      </c>
      <c r="C67" s="6" t="s">
        <v>88</v>
      </c>
      <c r="D67" s="6" t="s">
        <v>1788</v>
      </c>
      <c r="E67" s="6" t="s">
        <v>1859</v>
      </c>
      <c r="F67" s="6" t="s">
        <v>1880</v>
      </c>
      <c r="G67" s="6" t="s">
        <v>1790</v>
      </c>
      <c r="H67" s="6" t="s">
        <v>1881</v>
      </c>
      <c r="I67" s="6">
        <v>1</v>
      </c>
      <c r="J67" s="6">
        <v>0</v>
      </c>
      <c r="K67" s="6">
        <v>0</v>
      </c>
      <c r="L67" s="6">
        <v>0</v>
      </c>
      <c r="M67" s="6">
        <v>0</v>
      </c>
      <c r="N67" s="6">
        <v>1</v>
      </c>
      <c r="O67" s="6">
        <v>1</v>
      </c>
    </row>
    <row r="68" spans="1:15" hidden="1">
      <c r="A68" s="6" t="s">
        <v>1786</v>
      </c>
      <c r="B68" s="6" t="s">
        <v>1787</v>
      </c>
      <c r="C68" s="6" t="s">
        <v>88</v>
      </c>
      <c r="D68" s="6" t="s">
        <v>1788</v>
      </c>
      <c r="E68" s="6" t="s">
        <v>1859</v>
      </c>
      <c r="F68" s="6" t="s">
        <v>1882</v>
      </c>
      <c r="G68" s="6" t="s">
        <v>1790</v>
      </c>
      <c r="H68" s="6" t="s">
        <v>1882</v>
      </c>
      <c r="I68" s="6">
        <v>2</v>
      </c>
      <c r="J68" s="6">
        <v>0</v>
      </c>
      <c r="K68" s="6">
        <v>0</v>
      </c>
      <c r="L68" s="6">
        <v>0</v>
      </c>
      <c r="M68" s="6">
        <v>0</v>
      </c>
      <c r="N68" s="6">
        <v>1</v>
      </c>
      <c r="O68" s="6">
        <v>1</v>
      </c>
    </row>
    <row r="69" spans="1:15" hidden="1">
      <c r="A69" s="6" t="s">
        <v>1786</v>
      </c>
      <c r="B69" s="6" t="s">
        <v>1787</v>
      </c>
      <c r="C69" s="6" t="s">
        <v>88</v>
      </c>
      <c r="D69" s="6" t="s">
        <v>1788</v>
      </c>
      <c r="E69" s="6" t="s">
        <v>1859</v>
      </c>
      <c r="F69" s="6" t="s">
        <v>1883</v>
      </c>
      <c r="G69" s="6" t="s">
        <v>1790</v>
      </c>
      <c r="H69" s="6" t="s">
        <v>1884</v>
      </c>
      <c r="I69" s="6">
        <v>3</v>
      </c>
      <c r="J69" s="6">
        <v>0</v>
      </c>
      <c r="K69" s="6">
        <v>0</v>
      </c>
      <c r="L69" s="6">
        <v>0</v>
      </c>
      <c r="M69" s="6">
        <v>0</v>
      </c>
      <c r="N69" s="6">
        <v>1</v>
      </c>
      <c r="O69" s="6">
        <v>1</v>
      </c>
    </row>
    <row r="70" spans="1:15" hidden="1">
      <c r="A70" s="6" t="s">
        <v>1786</v>
      </c>
      <c r="B70" s="6" t="s">
        <v>1787</v>
      </c>
      <c r="C70" s="6" t="s">
        <v>88</v>
      </c>
      <c r="D70" s="6" t="s">
        <v>1788</v>
      </c>
      <c r="E70" s="6" t="s">
        <v>1859</v>
      </c>
      <c r="F70" s="6" t="s">
        <v>1885</v>
      </c>
      <c r="G70" s="6" t="s">
        <v>1790</v>
      </c>
      <c r="H70" s="6" t="s">
        <v>1886</v>
      </c>
      <c r="I70" s="6">
        <v>1</v>
      </c>
      <c r="J70" s="6">
        <v>0</v>
      </c>
      <c r="K70" s="6">
        <v>0</v>
      </c>
      <c r="L70" s="6">
        <v>0</v>
      </c>
      <c r="M70" s="6">
        <v>0</v>
      </c>
      <c r="N70" s="6">
        <v>1</v>
      </c>
      <c r="O70" s="6">
        <v>1</v>
      </c>
    </row>
    <row r="71" spans="1:15" hidden="1">
      <c r="A71" s="6" t="s">
        <v>1786</v>
      </c>
      <c r="B71" s="6" t="s">
        <v>1787</v>
      </c>
      <c r="C71" s="6" t="s">
        <v>88</v>
      </c>
      <c r="D71" s="6" t="s">
        <v>1788</v>
      </c>
      <c r="E71" s="6" t="s">
        <v>1859</v>
      </c>
      <c r="F71" s="6" t="s">
        <v>1885</v>
      </c>
      <c r="G71" s="6" t="s">
        <v>1790</v>
      </c>
      <c r="H71" s="6" t="s">
        <v>1887</v>
      </c>
      <c r="I71" s="6">
        <v>1</v>
      </c>
      <c r="J71" s="6">
        <v>0</v>
      </c>
      <c r="K71" s="6">
        <v>0</v>
      </c>
      <c r="L71" s="6">
        <v>0</v>
      </c>
      <c r="M71" s="6">
        <v>0</v>
      </c>
      <c r="N71" s="6">
        <v>1</v>
      </c>
      <c r="O71" s="6">
        <v>1</v>
      </c>
    </row>
    <row r="72" spans="1:15" hidden="1">
      <c r="A72" s="6" t="s">
        <v>1786</v>
      </c>
      <c r="B72" s="6" t="s">
        <v>1787</v>
      </c>
      <c r="C72" s="6" t="s">
        <v>88</v>
      </c>
      <c r="D72" s="6" t="s">
        <v>1788</v>
      </c>
      <c r="E72" s="6" t="s">
        <v>1859</v>
      </c>
      <c r="F72" s="6" t="s">
        <v>1885</v>
      </c>
      <c r="G72" s="6" t="s">
        <v>1790</v>
      </c>
      <c r="H72" s="6" t="s">
        <v>1885</v>
      </c>
      <c r="I72" s="6">
        <v>1</v>
      </c>
      <c r="J72" s="6">
        <v>0</v>
      </c>
      <c r="K72" s="6">
        <v>0</v>
      </c>
      <c r="L72" s="6">
        <v>0</v>
      </c>
      <c r="M72" s="6">
        <v>0</v>
      </c>
      <c r="N72" s="6">
        <v>0</v>
      </c>
      <c r="O72" s="6">
        <v>0</v>
      </c>
    </row>
    <row r="73" spans="1:15" hidden="1">
      <c r="A73" s="6" t="s">
        <v>1786</v>
      </c>
      <c r="B73" s="6" t="s">
        <v>1787</v>
      </c>
      <c r="C73" s="6" t="s">
        <v>88</v>
      </c>
      <c r="D73" s="6" t="s">
        <v>1788</v>
      </c>
      <c r="E73" s="6" t="s">
        <v>1859</v>
      </c>
      <c r="F73" s="6" t="s">
        <v>1888</v>
      </c>
      <c r="G73" s="6" t="s">
        <v>1790</v>
      </c>
      <c r="H73" s="6" t="s">
        <v>1889</v>
      </c>
      <c r="I73" s="6">
        <v>1</v>
      </c>
      <c r="J73" s="6">
        <v>0</v>
      </c>
      <c r="K73" s="6">
        <v>0</v>
      </c>
      <c r="L73" s="6">
        <v>0</v>
      </c>
      <c r="M73" s="6">
        <v>0</v>
      </c>
      <c r="N73" s="6">
        <v>1</v>
      </c>
      <c r="O73" s="6">
        <v>1</v>
      </c>
    </row>
    <row r="74" spans="1:15" hidden="1">
      <c r="A74" s="6" t="s">
        <v>1786</v>
      </c>
      <c r="B74" s="6" t="s">
        <v>1787</v>
      </c>
      <c r="C74" s="6" t="s">
        <v>88</v>
      </c>
      <c r="D74" s="6" t="s">
        <v>1788</v>
      </c>
      <c r="E74" s="6" t="s">
        <v>1859</v>
      </c>
      <c r="F74" s="6" t="s">
        <v>1890</v>
      </c>
      <c r="G74" s="6" t="s">
        <v>1790</v>
      </c>
      <c r="H74" s="6" t="s">
        <v>1891</v>
      </c>
      <c r="I74" s="6">
        <v>1</v>
      </c>
      <c r="J74" s="6">
        <v>0</v>
      </c>
      <c r="K74" s="6">
        <v>0</v>
      </c>
      <c r="L74" s="6">
        <v>0</v>
      </c>
      <c r="M74" s="6">
        <v>0</v>
      </c>
      <c r="N74" s="6">
        <v>1</v>
      </c>
      <c r="O74" s="6">
        <v>1</v>
      </c>
    </row>
    <row r="75" spans="1:15" hidden="1">
      <c r="A75" s="6" t="s">
        <v>1786</v>
      </c>
      <c r="B75" s="6" t="s">
        <v>1787</v>
      </c>
      <c r="C75" s="6" t="s">
        <v>88</v>
      </c>
      <c r="D75" s="6" t="s">
        <v>1788</v>
      </c>
      <c r="E75" s="6" t="s">
        <v>1859</v>
      </c>
      <c r="F75" s="6" t="s">
        <v>1892</v>
      </c>
      <c r="G75" s="6" t="s">
        <v>1790</v>
      </c>
      <c r="H75" s="6" t="s">
        <v>1893</v>
      </c>
      <c r="I75" s="6">
        <v>1</v>
      </c>
      <c r="J75" s="6">
        <v>0</v>
      </c>
      <c r="K75" s="6">
        <v>0</v>
      </c>
      <c r="L75" s="6">
        <v>0</v>
      </c>
      <c r="M75" s="6">
        <v>0</v>
      </c>
      <c r="N75" s="6">
        <v>1</v>
      </c>
      <c r="O75" s="6">
        <v>1</v>
      </c>
    </row>
    <row r="76" spans="1:15" hidden="1">
      <c r="A76" s="6" t="s">
        <v>1786</v>
      </c>
      <c r="B76" s="6" t="s">
        <v>1787</v>
      </c>
      <c r="C76" s="6" t="s">
        <v>88</v>
      </c>
      <c r="D76" s="6" t="s">
        <v>1788</v>
      </c>
      <c r="E76" s="6" t="s">
        <v>1859</v>
      </c>
      <c r="F76" s="6" t="s">
        <v>1892</v>
      </c>
      <c r="G76" s="6" t="s">
        <v>1790</v>
      </c>
      <c r="H76" s="6" t="s">
        <v>1892</v>
      </c>
      <c r="I76" s="6">
        <v>2</v>
      </c>
      <c r="J76" s="6">
        <v>0</v>
      </c>
      <c r="K76" s="6">
        <v>0</v>
      </c>
      <c r="L76" s="6">
        <v>0</v>
      </c>
      <c r="M76" s="6">
        <v>0</v>
      </c>
      <c r="N76" s="6">
        <v>1</v>
      </c>
      <c r="O76" s="6">
        <v>0</v>
      </c>
    </row>
    <row r="77" spans="1:15" hidden="1">
      <c r="A77" s="6" t="s">
        <v>1786</v>
      </c>
      <c r="B77" s="6" t="s">
        <v>1787</v>
      </c>
      <c r="C77" s="6" t="s">
        <v>88</v>
      </c>
      <c r="D77" s="6" t="s">
        <v>1788</v>
      </c>
      <c r="E77" s="6" t="s">
        <v>1859</v>
      </c>
      <c r="F77" s="6" t="s">
        <v>1894</v>
      </c>
      <c r="G77" s="6" t="s">
        <v>1790</v>
      </c>
      <c r="H77" s="6" t="s">
        <v>1895</v>
      </c>
      <c r="I77" s="6">
        <v>2</v>
      </c>
      <c r="J77" s="6">
        <v>0</v>
      </c>
      <c r="K77" s="6">
        <v>0</v>
      </c>
      <c r="L77" s="6">
        <v>0</v>
      </c>
      <c r="M77" s="6">
        <v>0</v>
      </c>
      <c r="N77" s="6">
        <v>1</v>
      </c>
      <c r="O77" s="6">
        <v>1</v>
      </c>
    </row>
    <row r="78" spans="1:15" hidden="1">
      <c r="A78" s="6" t="s">
        <v>1786</v>
      </c>
      <c r="B78" s="6" t="s">
        <v>1787</v>
      </c>
      <c r="C78" s="6" t="s">
        <v>88</v>
      </c>
      <c r="D78" s="6" t="s">
        <v>1788</v>
      </c>
      <c r="E78" s="6" t="s">
        <v>1859</v>
      </c>
      <c r="F78" s="6" t="s">
        <v>1896</v>
      </c>
      <c r="G78" s="6" t="s">
        <v>1790</v>
      </c>
      <c r="H78" s="6" t="s">
        <v>1897</v>
      </c>
      <c r="I78" s="6">
        <v>1</v>
      </c>
      <c r="J78" s="6">
        <v>0</v>
      </c>
      <c r="K78" s="6">
        <v>0</v>
      </c>
      <c r="L78" s="6">
        <v>0</v>
      </c>
      <c r="M78" s="6">
        <v>0</v>
      </c>
      <c r="N78" s="6">
        <v>0</v>
      </c>
      <c r="O78" s="6">
        <v>0</v>
      </c>
    </row>
    <row r="79" spans="1:15" hidden="1">
      <c r="A79" s="6" t="s">
        <v>1786</v>
      </c>
      <c r="B79" s="6" t="s">
        <v>1787</v>
      </c>
      <c r="C79" s="6" t="s">
        <v>88</v>
      </c>
      <c r="D79" s="6" t="s">
        <v>1788</v>
      </c>
      <c r="E79" s="6" t="s">
        <v>1898</v>
      </c>
      <c r="F79" s="6" t="s">
        <v>1899</v>
      </c>
      <c r="G79" s="6" t="s">
        <v>1790</v>
      </c>
      <c r="H79" s="6" t="s">
        <v>1900</v>
      </c>
      <c r="I79" s="6">
        <v>1</v>
      </c>
      <c r="J79" s="6">
        <v>0</v>
      </c>
      <c r="K79" s="6">
        <v>0</v>
      </c>
      <c r="L79" s="6">
        <v>0</v>
      </c>
      <c r="M79" s="6">
        <v>0</v>
      </c>
      <c r="N79" s="6">
        <v>0</v>
      </c>
      <c r="O79" s="6">
        <v>0</v>
      </c>
    </row>
    <row r="80" spans="1:15" hidden="1">
      <c r="A80" s="6" t="s">
        <v>1786</v>
      </c>
      <c r="B80" s="6" t="s">
        <v>1787</v>
      </c>
      <c r="C80" s="6" t="s">
        <v>88</v>
      </c>
      <c r="D80" s="6" t="s">
        <v>1788</v>
      </c>
      <c r="E80" s="6" t="s">
        <v>1898</v>
      </c>
      <c r="F80" s="6" t="s">
        <v>1901</v>
      </c>
      <c r="G80" s="6" t="s">
        <v>1790</v>
      </c>
      <c r="H80" s="6" t="s">
        <v>1902</v>
      </c>
      <c r="I80" s="6">
        <v>1</v>
      </c>
      <c r="J80" s="6">
        <v>0</v>
      </c>
      <c r="K80" s="6">
        <v>0</v>
      </c>
      <c r="L80" s="6">
        <v>0</v>
      </c>
      <c r="M80" s="6">
        <v>0</v>
      </c>
      <c r="N80" s="6">
        <v>0</v>
      </c>
      <c r="O80" s="6">
        <v>0</v>
      </c>
    </row>
    <row r="81" spans="1:15" hidden="1">
      <c r="A81" s="6" t="s">
        <v>1786</v>
      </c>
      <c r="B81" s="6" t="s">
        <v>1787</v>
      </c>
      <c r="C81" s="6" t="s">
        <v>88</v>
      </c>
      <c r="D81" s="6" t="s">
        <v>1788</v>
      </c>
      <c r="E81" s="6" t="s">
        <v>1898</v>
      </c>
      <c r="F81" s="6" t="s">
        <v>1903</v>
      </c>
      <c r="G81" s="6" t="s">
        <v>1790</v>
      </c>
      <c r="H81" s="6" t="s">
        <v>1904</v>
      </c>
      <c r="I81" s="6">
        <v>1</v>
      </c>
      <c r="J81" s="6">
        <v>0</v>
      </c>
      <c r="K81" s="6">
        <v>0</v>
      </c>
      <c r="L81" s="6">
        <v>0</v>
      </c>
      <c r="M81" s="6">
        <v>0</v>
      </c>
      <c r="N81" s="6">
        <v>1</v>
      </c>
      <c r="O81" s="6">
        <v>1</v>
      </c>
    </row>
    <row r="82" spans="1:15" hidden="1">
      <c r="A82" s="6" t="s">
        <v>1786</v>
      </c>
      <c r="B82" s="6" t="s">
        <v>1787</v>
      </c>
      <c r="C82" s="6" t="s">
        <v>88</v>
      </c>
      <c r="D82" s="6" t="s">
        <v>1905</v>
      </c>
      <c r="E82" s="6" t="s">
        <v>1906</v>
      </c>
      <c r="F82" s="6" t="s">
        <v>1907</v>
      </c>
      <c r="G82" s="6" t="s">
        <v>1790</v>
      </c>
      <c r="H82" s="6" t="s">
        <v>1908</v>
      </c>
      <c r="I82" s="6">
        <v>2</v>
      </c>
      <c r="J82" s="6">
        <v>0</v>
      </c>
      <c r="K82" s="6">
        <v>0</v>
      </c>
      <c r="L82" s="6">
        <v>0</v>
      </c>
      <c r="M82" s="6">
        <v>0</v>
      </c>
      <c r="N82" s="6">
        <v>1</v>
      </c>
      <c r="O82" s="6">
        <v>1</v>
      </c>
    </row>
    <row r="83" spans="1:15" hidden="1">
      <c r="A83" s="6" t="s">
        <v>1786</v>
      </c>
      <c r="B83" s="6" t="s">
        <v>1787</v>
      </c>
      <c r="C83" s="6" t="s">
        <v>88</v>
      </c>
      <c r="D83" s="6" t="s">
        <v>1905</v>
      </c>
      <c r="E83" s="6" t="s">
        <v>1906</v>
      </c>
      <c r="F83" s="6" t="s">
        <v>1909</v>
      </c>
      <c r="G83" s="6" t="s">
        <v>1790</v>
      </c>
      <c r="H83" s="6" t="s">
        <v>1910</v>
      </c>
      <c r="I83" s="6">
        <v>1</v>
      </c>
      <c r="J83" s="6">
        <v>0</v>
      </c>
      <c r="K83" s="6">
        <v>0</v>
      </c>
      <c r="L83" s="6">
        <v>0</v>
      </c>
      <c r="M83" s="6">
        <v>0</v>
      </c>
      <c r="N83" s="6">
        <v>1</v>
      </c>
      <c r="O83" s="6">
        <v>1</v>
      </c>
    </row>
    <row r="84" spans="1:15" hidden="1">
      <c r="A84" s="6" t="s">
        <v>1786</v>
      </c>
      <c r="B84" s="6" t="s">
        <v>1787</v>
      </c>
      <c r="C84" s="6" t="s">
        <v>88</v>
      </c>
      <c r="D84" s="6" t="s">
        <v>1905</v>
      </c>
      <c r="E84" s="6" t="s">
        <v>1906</v>
      </c>
      <c r="F84" s="6" t="s">
        <v>1911</v>
      </c>
      <c r="G84" s="6" t="s">
        <v>1790</v>
      </c>
      <c r="H84" s="6" t="s">
        <v>1912</v>
      </c>
      <c r="I84" s="6">
        <v>4</v>
      </c>
      <c r="J84" s="6">
        <v>0</v>
      </c>
      <c r="K84" s="6">
        <v>0</v>
      </c>
      <c r="L84" s="6">
        <v>0</v>
      </c>
      <c r="M84" s="6">
        <v>0</v>
      </c>
      <c r="N84" s="6">
        <v>1</v>
      </c>
      <c r="O84" s="6">
        <v>1</v>
      </c>
    </row>
    <row r="85" spans="1:15" hidden="1">
      <c r="A85" s="6" t="s">
        <v>1786</v>
      </c>
      <c r="B85" s="6" t="s">
        <v>1787</v>
      </c>
      <c r="C85" s="6" t="s">
        <v>88</v>
      </c>
      <c r="D85" s="6" t="s">
        <v>1905</v>
      </c>
      <c r="E85" s="6" t="s">
        <v>1906</v>
      </c>
      <c r="F85" s="6" t="s">
        <v>1913</v>
      </c>
      <c r="G85" s="6" t="s">
        <v>1790</v>
      </c>
      <c r="H85" s="6" t="s">
        <v>1914</v>
      </c>
      <c r="I85" s="6">
        <v>2</v>
      </c>
      <c r="J85" s="6">
        <v>0</v>
      </c>
      <c r="K85" s="6">
        <v>0</v>
      </c>
      <c r="L85" s="6">
        <v>0</v>
      </c>
      <c r="M85" s="6">
        <v>0</v>
      </c>
      <c r="N85" s="6">
        <v>1</v>
      </c>
      <c r="O85" s="6">
        <v>1</v>
      </c>
    </row>
    <row r="86" spans="1:15" hidden="1">
      <c r="A86" s="6" t="s">
        <v>1786</v>
      </c>
      <c r="B86" s="6" t="s">
        <v>1787</v>
      </c>
      <c r="C86" s="6" t="s">
        <v>88</v>
      </c>
      <c r="D86" s="6" t="s">
        <v>1905</v>
      </c>
      <c r="E86" s="6" t="s">
        <v>1906</v>
      </c>
      <c r="F86" s="6" t="s">
        <v>1915</v>
      </c>
      <c r="G86" s="6" t="s">
        <v>1790</v>
      </c>
      <c r="H86" s="6" t="s">
        <v>1915</v>
      </c>
      <c r="I86" s="6">
        <v>2</v>
      </c>
      <c r="J86" s="6">
        <v>1</v>
      </c>
      <c r="K86" s="6">
        <v>0.5</v>
      </c>
      <c r="L86" s="6">
        <v>0.75</v>
      </c>
      <c r="M86" s="6">
        <v>0.75</v>
      </c>
      <c r="N86" s="6">
        <v>1</v>
      </c>
      <c r="O86" s="6">
        <v>1</v>
      </c>
    </row>
    <row r="87" spans="1:15" hidden="1">
      <c r="A87" s="6" t="s">
        <v>1786</v>
      </c>
      <c r="B87" s="6" t="s">
        <v>1787</v>
      </c>
      <c r="C87" s="6" t="s">
        <v>88</v>
      </c>
      <c r="D87" s="6" t="s">
        <v>1905</v>
      </c>
      <c r="E87" s="6" t="s">
        <v>1906</v>
      </c>
      <c r="F87" s="6" t="s">
        <v>1916</v>
      </c>
      <c r="G87" s="6" t="s">
        <v>1790</v>
      </c>
      <c r="H87" s="6" t="s">
        <v>1917</v>
      </c>
      <c r="I87" s="6">
        <v>2</v>
      </c>
      <c r="J87" s="6">
        <v>0</v>
      </c>
      <c r="K87" s="6">
        <v>0</v>
      </c>
      <c r="L87" s="6">
        <v>0</v>
      </c>
      <c r="M87" s="6">
        <v>0</v>
      </c>
      <c r="N87" s="6">
        <v>1</v>
      </c>
      <c r="O87" s="6">
        <v>1</v>
      </c>
    </row>
    <row r="88" spans="1:15" hidden="1">
      <c r="A88" s="6" t="s">
        <v>1786</v>
      </c>
      <c r="B88" s="6" t="s">
        <v>1787</v>
      </c>
      <c r="C88" s="6" t="s">
        <v>88</v>
      </c>
      <c r="D88" s="6" t="s">
        <v>1905</v>
      </c>
      <c r="E88" s="6" t="s">
        <v>1918</v>
      </c>
      <c r="F88" s="6" t="s">
        <v>1919</v>
      </c>
      <c r="G88" s="6" t="s">
        <v>1790</v>
      </c>
      <c r="H88" s="6" t="s">
        <v>1920</v>
      </c>
      <c r="I88" s="6">
        <v>2</v>
      </c>
      <c r="J88" s="6">
        <v>0</v>
      </c>
      <c r="K88" s="6">
        <v>0</v>
      </c>
      <c r="L88" s="6">
        <v>0</v>
      </c>
      <c r="M88" s="6">
        <v>0</v>
      </c>
      <c r="N88" s="6">
        <v>1</v>
      </c>
      <c r="O88" s="6">
        <v>1</v>
      </c>
    </row>
    <row r="89" spans="1:15" hidden="1">
      <c r="A89" s="6" t="s">
        <v>1786</v>
      </c>
      <c r="B89" s="6" t="s">
        <v>1787</v>
      </c>
      <c r="C89" s="6" t="s">
        <v>88</v>
      </c>
      <c r="D89" s="6" t="s">
        <v>1905</v>
      </c>
      <c r="E89" s="6" t="s">
        <v>1918</v>
      </c>
      <c r="F89" s="6" t="s">
        <v>1921</v>
      </c>
      <c r="G89" s="6" t="s">
        <v>1790</v>
      </c>
      <c r="H89" s="6" t="s">
        <v>1921</v>
      </c>
      <c r="I89" s="6">
        <v>5</v>
      </c>
      <c r="J89" s="6">
        <v>1</v>
      </c>
      <c r="K89" s="6">
        <v>0.2</v>
      </c>
      <c r="L89" s="6">
        <v>0.75</v>
      </c>
      <c r="M89" s="6">
        <v>0.75</v>
      </c>
      <c r="N89" s="6">
        <v>0.66670000000000007</v>
      </c>
      <c r="O89" s="6">
        <v>0.66670000000000007</v>
      </c>
    </row>
    <row r="90" spans="1:15" hidden="1">
      <c r="A90" s="6" t="s">
        <v>1786</v>
      </c>
      <c r="B90" s="6" t="s">
        <v>1787</v>
      </c>
      <c r="C90" s="6" t="s">
        <v>88</v>
      </c>
      <c r="D90" s="6" t="s">
        <v>1905</v>
      </c>
      <c r="E90" s="6" t="s">
        <v>1918</v>
      </c>
      <c r="F90" s="6" t="s">
        <v>1922</v>
      </c>
      <c r="G90" s="6" t="s">
        <v>1790</v>
      </c>
      <c r="H90" s="6" t="s">
        <v>1923</v>
      </c>
      <c r="I90" s="6">
        <v>9</v>
      </c>
      <c r="J90" s="6">
        <v>1</v>
      </c>
      <c r="K90" s="6">
        <v>0.11109999999999999</v>
      </c>
      <c r="L90" s="6">
        <v>2.76</v>
      </c>
      <c r="M90" s="6">
        <v>2.76</v>
      </c>
      <c r="N90" s="6">
        <v>0.8</v>
      </c>
      <c r="O90" s="6">
        <v>0.8</v>
      </c>
    </row>
    <row r="91" spans="1:15" hidden="1">
      <c r="A91" s="6" t="s">
        <v>1786</v>
      </c>
      <c r="B91" s="6" t="s">
        <v>1787</v>
      </c>
      <c r="C91" s="6" t="s">
        <v>88</v>
      </c>
      <c r="D91" s="6" t="s">
        <v>1924</v>
      </c>
      <c r="E91" s="6" t="s">
        <v>1925</v>
      </c>
      <c r="F91" s="6" t="s">
        <v>1926</v>
      </c>
      <c r="G91" s="6" t="s">
        <v>1790</v>
      </c>
      <c r="H91" s="6" t="s">
        <v>1927</v>
      </c>
      <c r="I91" s="6">
        <v>4</v>
      </c>
      <c r="J91" s="6">
        <v>1</v>
      </c>
      <c r="K91" s="6">
        <v>0.25</v>
      </c>
      <c r="L91" s="6">
        <v>1.6</v>
      </c>
      <c r="M91" s="6">
        <v>1.6</v>
      </c>
      <c r="N91" s="6">
        <v>1</v>
      </c>
      <c r="O91" s="6">
        <v>1</v>
      </c>
    </row>
    <row r="92" spans="1:15" hidden="1">
      <c r="A92" s="6" t="s">
        <v>1786</v>
      </c>
      <c r="B92" s="6" t="s">
        <v>1787</v>
      </c>
      <c r="C92" s="6" t="s">
        <v>88</v>
      </c>
      <c r="D92" s="6" t="s">
        <v>1924</v>
      </c>
      <c r="E92" s="6" t="s">
        <v>1925</v>
      </c>
      <c r="F92" s="6" t="s">
        <v>1926</v>
      </c>
      <c r="G92" s="6" t="s">
        <v>1790</v>
      </c>
      <c r="H92" s="6" t="s">
        <v>1928</v>
      </c>
      <c r="I92" s="6">
        <v>7</v>
      </c>
      <c r="J92" s="6">
        <v>1</v>
      </c>
      <c r="K92" s="6">
        <v>0.1429</v>
      </c>
      <c r="L92" s="6">
        <v>0.78</v>
      </c>
      <c r="M92" s="6">
        <v>0.78</v>
      </c>
      <c r="N92" s="6">
        <v>0.75</v>
      </c>
      <c r="O92" s="6">
        <v>0.75</v>
      </c>
    </row>
    <row r="93" spans="1:15" hidden="1">
      <c r="A93" s="6" t="s">
        <v>1786</v>
      </c>
      <c r="B93" s="6" t="s">
        <v>1787</v>
      </c>
      <c r="C93" s="6" t="s">
        <v>88</v>
      </c>
      <c r="D93" s="6" t="s">
        <v>1924</v>
      </c>
      <c r="E93" s="6" t="s">
        <v>1925</v>
      </c>
      <c r="F93" s="6" t="s">
        <v>1926</v>
      </c>
      <c r="G93" s="6" t="s">
        <v>1790</v>
      </c>
      <c r="H93" s="6" t="s">
        <v>1929</v>
      </c>
      <c r="I93" s="6">
        <v>1</v>
      </c>
      <c r="J93" s="6">
        <v>0</v>
      </c>
      <c r="K93" s="6">
        <v>0</v>
      </c>
      <c r="L93" s="6">
        <v>0</v>
      </c>
      <c r="M93" s="6">
        <v>0</v>
      </c>
      <c r="N93" s="6">
        <v>0</v>
      </c>
      <c r="O93" s="6">
        <v>0</v>
      </c>
    </row>
    <row r="94" spans="1:15" hidden="1">
      <c r="A94" s="6" t="s">
        <v>1786</v>
      </c>
      <c r="B94" s="6" t="s">
        <v>1787</v>
      </c>
      <c r="C94" s="6" t="s">
        <v>88</v>
      </c>
      <c r="D94" s="6" t="s">
        <v>1924</v>
      </c>
      <c r="E94" s="6" t="s">
        <v>1925</v>
      </c>
      <c r="F94" s="6" t="s">
        <v>1926</v>
      </c>
      <c r="G94" s="6" t="s">
        <v>1790</v>
      </c>
      <c r="H94" s="6" t="s">
        <v>1930</v>
      </c>
      <c r="I94" s="6">
        <v>5</v>
      </c>
      <c r="J94" s="6">
        <v>1</v>
      </c>
      <c r="K94" s="6">
        <v>0.2</v>
      </c>
      <c r="L94" s="6">
        <v>3.08</v>
      </c>
      <c r="M94" s="6">
        <v>3.08</v>
      </c>
      <c r="N94" s="6">
        <v>0.66670000000000007</v>
      </c>
      <c r="O94" s="6">
        <v>0.66670000000000007</v>
      </c>
    </row>
    <row r="95" spans="1:15" hidden="1">
      <c r="A95" s="6" t="s">
        <v>1786</v>
      </c>
      <c r="B95" s="6" t="s">
        <v>1787</v>
      </c>
      <c r="C95" s="6" t="s">
        <v>88</v>
      </c>
      <c r="D95" s="6" t="s">
        <v>1924</v>
      </c>
      <c r="E95" s="6" t="s">
        <v>1925</v>
      </c>
      <c r="F95" s="6" t="s">
        <v>1926</v>
      </c>
      <c r="G95" s="6" t="s">
        <v>1790</v>
      </c>
      <c r="H95" s="6" t="s">
        <v>1931</v>
      </c>
      <c r="I95" s="6">
        <v>1</v>
      </c>
      <c r="J95" s="6">
        <v>0</v>
      </c>
      <c r="K95" s="6">
        <v>0</v>
      </c>
      <c r="L95" s="6">
        <v>0</v>
      </c>
      <c r="M95" s="6">
        <v>0</v>
      </c>
      <c r="N95" s="6">
        <v>1</v>
      </c>
      <c r="O95" s="6">
        <v>1</v>
      </c>
    </row>
    <row r="96" spans="1:15" hidden="1">
      <c r="A96" s="6" t="s">
        <v>1786</v>
      </c>
      <c r="B96" s="6" t="s">
        <v>1787</v>
      </c>
      <c r="C96" s="6" t="s">
        <v>88</v>
      </c>
      <c r="D96" s="6" t="s">
        <v>1924</v>
      </c>
      <c r="E96" s="6" t="s">
        <v>1925</v>
      </c>
      <c r="F96" s="6" t="s">
        <v>1926</v>
      </c>
      <c r="G96" s="6" t="s">
        <v>1790</v>
      </c>
      <c r="H96" s="6" t="s">
        <v>1932</v>
      </c>
      <c r="I96" s="6">
        <v>2</v>
      </c>
      <c r="J96" s="6">
        <v>0</v>
      </c>
      <c r="K96" s="6">
        <v>0</v>
      </c>
      <c r="L96" s="6">
        <v>0</v>
      </c>
      <c r="M96" s="6">
        <v>0</v>
      </c>
      <c r="N96" s="6">
        <v>0</v>
      </c>
      <c r="O96" s="6">
        <v>0</v>
      </c>
    </row>
    <row r="97" spans="1:15" hidden="1">
      <c r="A97" s="6" t="s">
        <v>1786</v>
      </c>
      <c r="B97" s="6" t="s">
        <v>1787</v>
      </c>
      <c r="C97" s="6" t="s">
        <v>88</v>
      </c>
      <c r="D97" s="6" t="s">
        <v>1924</v>
      </c>
      <c r="E97" s="6" t="s">
        <v>1925</v>
      </c>
      <c r="F97" s="6" t="s">
        <v>1926</v>
      </c>
      <c r="G97" s="6" t="s">
        <v>1790</v>
      </c>
      <c r="H97" s="6" t="s">
        <v>1933</v>
      </c>
      <c r="I97" s="6">
        <v>1</v>
      </c>
      <c r="J97" s="6">
        <v>0</v>
      </c>
      <c r="K97" s="6">
        <v>0</v>
      </c>
      <c r="L97" s="6">
        <v>0</v>
      </c>
      <c r="M97" s="6">
        <v>0</v>
      </c>
      <c r="N97" s="6">
        <v>0</v>
      </c>
      <c r="O97" s="6">
        <v>0</v>
      </c>
    </row>
    <row r="98" spans="1:15" hidden="1">
      <c r="A98" s="6" t="s">
        <v>1786</v>
      </c>
      <c r="B98" s="6" t="s">
        <v>1787</v>
      </c>
      <c r="C98" s="6" t="s">
        <v>88</v>
      </c>
      <c r="D98" s="6" t="s">
        <v>1924</v>
      </c>
      <c r="E98" s="6" t="s">
        <v>1925</v>
      </c>
      <c r="F98" s="6" t="s">
        <v>1926</v>
      </c>
      <c r="G98" s="6" t="s">
        <v>1790</v>
      </c>
      <c r="H98" s="6" t="s">
        <v>1934</v>
      </c>
      <c r="I98" s="6">
        <v>5</v>
      </c>
      <c r="J98" s="6">
        <v>1</v>
      </c>
      <c r="K98" s="6">
        <v>0.2</v>
      </c>
      <c r="L98" s="6">
        <v>1.29</v>
      </c>
      <c r="M98" s="6">
        <v>1.29</v>
      </c>
      <c r="N98" s="6">
        <v>0.25</v>
      </c>
      <c r="O98" s="6">
        <v>0.25</v>
      </c>
    </row>
    <row r="99" spans="1:15" hidden="1">
      <c r="A99" s="6" t="s">
        <v>1786</v>
      </c>
      <c r="B99" s="6" t="s">
        <v>1787</v>
      </c>
      <c r="C99" s="6" t="s">
        <v>88</v>
      </c>
      <c r="D99" s="6" t="s">
        <v>1924</v>
      </c>
      <c r="E99" s="6" t="s">
        <v>1925</v>
      </c>
      <c r="F99" s="6" t="s">
        <v>1926</v>
      </c>
      <c r="G99" s="6" t="s">
        <v>1790</v>
      </c>
      <c r="H99" s="6" t="s">
        <v>1935</v>
      </c>
      <c r="I99" s="6">
        <v>1</v>
      </c>
      <c r="J99" s="6">
        <v>0</v>
      </c>
      <c r="K99" s="6">
        <v>0</v>
      </c>
      <c r="L99" s="6">
        <v>0</v>
      </c>
      <c r="M99" s="6">
        <v>0</v>
      </c>
      <c r="N99" s="6">
        <v>0</v>
      </c>
      <c r="O99" s="6">
        <v>0</v>
      </c>
    </row>
    <row r="100" spans="1:15" hidden="1">
      <c r="A100" s="6" t="s">
        <v>1786</v>
      </c>
      <c r="B100" s="6" t="s">
        <v>1787</v>
      </c>
      <c r="C100" s="6" t="s">
        <v>88</v>
      </c>
      <c r="D100" s="6" t="s">
        <v>1924</v>
      </c>
      <c r="E100" s="6" t="s">
        <v>1925</v>
      </c>
      <c r="F100" s="6" t="s">
        <v>1926</v>
      </c>
      <c r="G100" s="6" t="s">
        <v>1790</v>
      </c>
      <c r="H100" s="6" t="s">
        <v>1926</v>
      </c>
      <c r="I100" s="6">
        <v>1</v>
      </c>
      <c r="J100" s="6">
        <v>0</v>
      </c>
      <c r="K100" s="6">
        <v>0</v>
      </c>
      <c r="L100" s="6">
        <v>0</v>
      </c>
      <c r="M100" s="6">
        <v>0</v>
      </c>
      <c r="N100" s="6">
        <v>0</v>
      </c>
      <c r="O100" s="6">
        <v>0</v>
      </c>
    </row>
    <row r="101" spans="1:15" hidden="1">
      <c r="A101" s="6" t="s">
        <v>1786</v>
      </c>
      <c r="B101" s="6" t="s">
        <v>1787</v>
      </c>
      <c r="C101" s="6" t="s">
        <v>88</v>
      </c>
      <c r="D101" s="6" t="s">
        <v>1936</v>
      </c>
      <c r="G101" s="6" t="s">
        <v>1790</v>
      </c>
      <c r="H101" s="6" t="s">
        <v>1937</v>
      </c>
      <c r="I101" s="6">
        <v>1</v>
      </c>
      <c r="J101" s="6">
        <v>0</v>
      </c>
      <c r="K101" s="6">
        <v>0</v>
      </c>
      <c r="L101" s="6">
        <v>0</v>
      </c>
      <c r="M101" s="6">
        <v>0</v>
      </c>
      <c r="N101" s="6">
        <v>0</v>
      </c>
      <c r="O101" s="6">
        <v>0</v>
      </c>
    </row>
    <row r="102" spans="1:15" hidden="1">
      <c r="A102" s="6" t="s">
        <v>1786</v>
      </c>
      <c r="B102" s="6" t="s">
        <v>1787</v>
      </c>
      <c r="C102" s="6" t="s">
        <v>88</v>
      </c>
      <c r="D102" s="6" t="s">
        <v>1936</v>
      </c>
      <c r="E102" s="6" t="s">
        <v>1938</v>
      </c>
      <c r="F102" s="6" t="s">
        <v>1939</v>
      </c>
      <c r="G102" s="6" t="s">
        <v>1790</v>
      </c>
      <c r="H102" s="6" t="s">
        <v>1940</v>
      </c>
      <c r="I102" s="6">
        <v>1</v>
      </c>
      <c r="J102" s="6">
        <v>0</v>
      </c>
      <c r="K102" s="6">
        <v>0</v>
      </c>
      <c r="L102" s="6">
        <v>0</v>
      </c>
      <c r="M102" s="6">
        <v>0</v>
      </c>
      <c r="N102" s="6">
        <v>0</v>
      </c>
      <c r="O102" s="6">
        <v>0</v>
      </c>
    </row>
    <row r="103" spans="1:15" hidden="1">
      <c r="A103" s="6" t="s">
        <v>1786</v>
      </c>
      <c r="B103" s="6" t="s">
        <v>1787</v>
      </c>
      <c r="C103" s="6" t="s">
        <v>88</v>
      </c>
      <c r="D103" s="6" t="s">
        <v>1936</v>
      </c>
      <c r="E103" s="6" t="s">
        <v>1938</v>
      </c>
      <c r="F103" s="6" t="s">
        <v>1941</v>
      </c>
      <c r="G103" s="6" t="s">
        <v>1790</v>
      </c>
      <c r="H103" s="6" t="s">
        <v>1942</v>
      </c>
      <c r="I103" s="6">
        <v>1</v>
      </c>
      <c r="J103" s="6">
        <v>0</v>
      </c>
      <c r="K103" s="6">
        <v>0</v>
      </c>
      <c r="L103" s="6">
        <v>0</v>
      </c>
      <c r="M103" s="6">
        <v>0</v>
      </c>
      <c r="N103" s="6">
        <v>0</v>
      </c>
      <c r="O103" s="6">
        <v>0</v>
      </c>
    </row>
    <row r="104" spans="1:15" hidden="1">
      <c r="A104" s="6" t="s">
        <v>1786</v>
      </c>
      <c r="B104" s="6" t="s">
        <v>1787</v>
      </c>
      <c r="C104" s="6" t="s">
        <v>88</v>
      </c>
      <c r="D104" s="6" t="s">
        <v>1936</v>
      </c>
      <c r="E104" s="6" t="s">
        <v>1938</v>
      </c>
      <c r="F104" s="6" t="s">
        <v>1941</v>
      </c>
      <c r="G104" s="6" t="s">
        <v>1790</v>
      </c>
      <c r="H104" s="6" t="s">
        <v>1943</v>
      </c>
      <c r="I104" s="6">
        <v>1</v>
      </c>
      <c r="J104" s="6">
        <v>0</v>
      </c>
      <c r="K104" s="6">
        <v>0</v>
      </c>
      <c r="L104" s="6">
        <v>0</v>
      </c>
      <c r="M104" s="6">
        <v>0</v>
      </c>
      <c r="N104" s="6">
        <v>0</v>
      </c>
      <c r="O104" s="6">
        <v>0</v>
      </c>
    </row>
    <row r="105" spans="1:15" hidden="1">
      <c r="A105" s="6" t="s">
        <v>1786</v>
      </c>
      <c r="B105" s="6" t="s">
        <v>1787</v>
      </c>
      <c r="C105" s="6" t="s">
        <v>88</v>
      </c>
      <c r="D105" s="6" t="s">
        <v>1936</v>
      </c>
      <c r="E105" s="6" t="s">
        <v>1944</v>
      </c>
      <c r="F105" s="6" t="s">
        <v>1945</v>
      </c>
      <c r="G105" s="6" t="s">
        <v>1790</v>
      </c>
      <c r="H105" s="6" t="s">
        <v>1946</v>
      </c>
      <c r="I105" s="6">
        <v>1</v>
      </c>
      <c r="J105" s="6">
        <v>0</v>
      </c>
      <c r="K105" s="6">
        <v>0</v>
      </c>
      <c r="L105" s="6">
        <v>0</v>
      </c>
      <c r="M105" s="6">
        <v>0</v>
      </c>
      <c r="N105" s="6">
        <v>0</v>
      </c>
      <c r="O105" s="6">
        <v>0</v>
      </c>
    </row>
    <row r="106" spans="1:15" hidden="1">
      <c r="A106" s="6" t="s">
        <v>1786</v>
      </c>
      <c r="B106" s="6" t="s">
        <v>1787</v>
      </c>
      <c r="C106" s="6" t="s">
        <v>88</v>
      </c>
      <c r="D106" s="6" t="s">
        <v>1936</v>
      </c>
      <c r="E106" s="6" t="s">
        <v>1944</v>
      </c>
      <c r="F106" s="6" t="s">
        <v>1945</v>
      </c>
      <c r="G106" s="6" t="s">
        <v>1790</v>
      </c>
      <c r="H106" s="6" t="s">
        <v>1947</v>
      </c>
      <c r="I106" s="6">
        <v>2</v>
      </c>
      <c r="J106" s="6">
        <v>0</v>
      </c>
      <c r="K106" s="6">
        <v>0</v>
      </c>
      <c r="L106" s="6">
        <v>0</v>
      </c>
      <c r="M106" s="6">
        <v>0</v>
      </c>
      <c r="N106" s="6">
        <v>0</v>
      </c>
      <c r="O106" s="6">
        <v>0</v>
      </c>
    </row>
    <row r="107" spans="1:15" hidden="1">
      <c r="A107" s="6" t="s">
        <v>1786</v>
      </c>
      <c r="B107" s="6" t="s">
        <v>1787</v>
      </c>
      <c r="C107" s="6" t="s">
        <v>88</v>
      </c>
      <c r="D107" s="6" t="s">
        <v>1936</v>
      </c>
      <c r="E107" s="6" t="s">
        <v>1944</v>
      </c>
      <c r="F107" s="6" t="s">
        <v>1945</v>
      </c>
      <c r="G107" s="6" t="s">
        <v>1790</v>
      </c>
      <c r="H107" s="6" t="s">
        <v>1948</v>
      </c>
      <c r="I107" s="6">
        <v>2</v>
      </c>
      <c r="J107" s="6">
        <v>1</v>
      </c>
      <c r="K107" s="6">
        <v>0.5</v>
      </c>
      <c r="L107" s="6">
        <v>3.26</v>
      </c>
      <c r="M107" s="6">
        <v>3.26</v>
      </c>
      <c r="N107" s="6">
        <v>1</v>
      </c>
      <c r="O107" s="6">
        <v>1</v>
      </c>
    </row>
    <row r="108" spans="1:15" hidden="1">
      <c r="A108" s="6" t="s">
        <v>1786</v>
      </c>
      <c r="B108" s="6" t="s">
        <v>1787</v>
      </c>
      <c r="C108" s="6" t="s">
        <v>88</v>
      </c>
      <c r="D108" s="6" t="s">
        <v>1936</v>
      </c>
      <c r="E108" s="6" t="s">
        <v>1944</v>
      </c>
      <c r="F108" s="6" t="s">
        <v>1949</v>
      </c>
      <c r="G108" s="6" t="s">
        <v>1790</v>
      </c>
      <c r="H108" s="6" t="s">
        <v>1950</v>
      </c>
      <c r="I108" s="6">
        <v>2</v>
      </c>
      <c r="J108" s="6">
        <v>1</v>
      </c>
      <c r="K108" s="6">
        <v>0.5</v>
      </c>
      <c r="L108" s="6">
        <v>1.7</v>
      </c>
      <c r="M108" s="6">
        <v>1.7</v>
      </c>
      <c r="N108" s="6">
        <v>1</v>
      </c>
      <c r="O108" s="6">
        <v>1</v>
      </c>
    </row>
    <row r="109" spans="1:15" hidden="1">
      <c r="A109" s="6" t="s">
        <v>1786</v>
      </c>
      <c r="B109" s="6" t="s">
        <v>1787</v>
      </c>
      <c r="C109" s="6" t="s">
        <v>88</v>
      </c>
      <c r="D109" s="6" t="s">
        <v>1936</v>
      </c>
      <c r="E109" s="6" t="s">
        <v>1951</v>
      </c>
      <c r="F109" s="6" t="s">
        <v>1952</v>
      </c>
      <c r="G109" s="6" t="s">
        <v>1790</v>
      </c>
      <c r="H109" s="6" t="s">
        <v>1953</v>
      </c>
      <c r="I109" s="6">
        <v>2</v>
      </c>
      <c r="J109" s="6">
        <v>1</v>
      </c>
      <c r="K109" s="6">
        <v>0.5</v>
      </c>
      <c r="L109" s="6">
        <v>2.13</v>
      </c>
      <c r="M109" s="6">
        <v>2.13</v>
      </c>
      <c r="N109" s="6">
        <v>1</v>
      </c>
      <c r="O109" s="6">
        <v>1</v>
      </c>
    </row>
    <row r="110" spans="1:15" hidden="1">
      <c r="A110" s="6" t="s">
        <v>1786</v>
      </c>
      <c r="B110" s="6" t="s">
        <v>1787</v>
      </c>
      <c r="C110" s="6" t="s">
        <v>88</v>
      </c>
      <c r="D110" s="6" t="s">
        <v>1936</v>
      </c>
      <c r="E110" s="6" t="s">
        <v>1951</v>
      </c>
      <c r="F110" s="6" t="s">
        <v>1954</v>
      </c>
      <c r="G110" s="6" t="s">
        <v>1790</v>
      </c>
      <c r="H110" s="6" t="s">
        <v>1955</v>
      </c>
      <c r="I110" s="6">
        <v>1</v>
      </c>
      <c r="J110" s="6">
        <v>0</v>
      </c>
      <c r="K110" s="6">
        <v>0</v>
      </c>
      <c r="L110" s="6">
        <v>0</v>
      </c>
      <c r="M110" s="6">
        <v>0</v>
      </c>
      <c r="N110" s="6">
        <v>0</v>
      </c>
      <c r="O110" s="6">
        <v>0</v>
      </c>
    </row>
    <row r="111" spans="1:15" hidden="1">
      <c r="A111" s="6" t="s">
        <v>1786</v>
      </c>
      <c r="B111" s="6" t="s">
        <v>1787</v>
      </c>
      <c r="C111" s="6" t="s">
        <v>88</v>
      </c>
      <c r="D111" s="6" t="s">
        <v>1936</v>
      </c>
      <c r="E111" s="6" t="s">
        <v>1951</v>
      </c>
      <c r="F111" s="6" t="s">
        <v>1954</v>
      </c>
      <c r="G111" s="6" t="s">
        <v>1790</v>
      </c>
      <c r="H111" s="6" t="s">
        <v>1956</v>
      </c>
      <c r="I111" s="6">
        <v>2</v>
      </c>
      <c r="J111" s="6">
        <v>0</v>
      </c>
      <c r="K111" s="6">
        <v>0</v>
      </c>
      <c r="L111" s="6">
        <v>0</v>
      </c>
      <c r="M111" s="6">
        <v>0</v>
      </c>
      <c r="N111" s="6">
        <v>1</v>
      </c>
      <c r="O111" s="6">
        <v>1</v>
      </c>
    </row>
    <row r="112" spans="1:15" hidden="1">
      <c r="A112" s="6" t="s">
        <v>1786</v>
      </c>
      <c r="B112" s="6" t="s">
        <v>1787</v>
      </c>
      <c r="C112" s="6" t="s">
        <v>88</v>
      </c>
      <c r="D112" s="6" t="s">
        <v>1936</v>
      </c>
      <c r="E112" s="6" t="s">
        <v>1951</v>
      </c>
      <c r="F112" s="6" t="s">
        <v>1954</v>
      </c>
      <c r="G112" s="6" t="s">
        <v>1790</v>
      </c>
      <c r="H112" s="6" t="s">
        <v>1957</v>
      </c>
      <c r="I112" s="6">
        <v>1</v>
      </c>
      <c r="J112" s="6">
        <v>0</v>
      </c>
      <c r="K112" s="6">
        <v>0</v>
      </c>
      <c r="L112" s="6">
        <v>0</v>
      </c>
      <c r="M112" s="6">
        <v>0</v>
      </c>
      <c r="N112" s="6">
        <v>1</v>
      </c>
      <c r="O112" s="6">
        <v>1</v>
      </c>
    </row>
    <row r="113" spans="1:15" hidden="1">
      <c r="A113" s="6" t="s">
        <v>1786</v>
      </c>
      <c r="B113" s="6" t="s">
        <v>1787</v>
      </c>
      <c r="C113" s="6" t="s">
        <v>88</v>
      </c>
      <c r="D113" s="6" t="s">
        <v>1936</v>
      </c>
      <c r="E113" s="6" t="s">
        <v>1951</v>
      </c>
      <c r="F113" s="6" t="s">
        <v>1954</v>
      </c>
      <c r="G113" s="6" t="s">
        <v>1790</v>
      </c>
      <c r="H113" s="6" t="s">
        <v>1958</v>
      </c>
      <c r="I113" s="6">
        <v>1</v>
      </c>
      <c r="J113" s="6">
        <v>0</v>
      </c>
      <c r="K113" s="6">
        <v>0</v>
      </c>
      <c r="L113" s="6">
        <v>0</v>
      </c>
      <c r="M113" s="6">
        <v>0</v>
      </c>
      <c r="N113" s="6">
        <v>0</v>
      </c>
      <c r="O113" s="6">
        <v>0</v>
      </c>
    </row>
    <row r="114" spans="1:15" hidden="1">
      <c r="A114" s="6" t="s">
        <v>1786</v>
      </c>
      <c r="B114" s="6" t="s">
        <v>1787</v>
      </c>
      <c r="C114" s="6" t="s">
        <v>88</v>
      </c>
      <c r="D114" s="6" t="s">
        <v>1936</v>
      </c>
      <c r="E114" s="6" t="s">
        <v>1951</v>
      </c>
      <c r="F114" s="6" t="s">
        <v>1954</v>
      </c>
      <c r="G114" s="6" t="s">
        <v>1790</v>
      </c>
      <c r="H114" s="6" t="s">
        <v>1959</v>
      </c>
      <c r="I114" s="6">
        <v>2</v>
      </c>
      <c r="J114" s="6">
        <v>0</v>
      </c>
      <c r="K114" s="6">
        <v>0</v>
      </c>
      <c r="L114" s="6">
        <v>0</v>
      </c>
      <c r="M114" s="6">
        <v>0</v>
      </c>
      <c r="N114" s="6">
        <v>1</v>
      </c>
      <c r="O114" s="6">
        <v>1</v>
      </c>
    </row>
    <row r="115" spans="1:15" hidden="1">
      <c r="A115" s="6" t="s">
        <v>1786</v>
      </c>
      <c r="B115" s="6" t="s">
        <v>1787</v>
      </c>
      <c r="C115" s="6" t="s">
        <v>88</v>
      </c>
      <c r="D115" s="6" t="s">
        <v>1936</v>
      </c>
      <c r="E115" s="6" t="s">
        <v>1951</v>
      </c>
      <c r="F115" s="6" t="s">
        <v>1960</v>
      </c>
      <c r="G115" s="6" t="s">
        <v>1790</v>
      </c>
      <c r="H115" s="6" t="s">
        <v>1961</v>
      </c>
      <c r="I115" s="6">
        <v>1</v>
      </c>
      <c r="J115" s="6">
        <v>0</v>
      </c>
      <c r="K115" s="6">
        <v>0</v>
      </c>
      <c r="L115" s="6">
        <v>0</v>
      </c>
      <c r="M115" s="6">
        <v>0</v>
      </c>
      <c r="N115" s="6">
        <v>0</v>
      </c>
      <c r="O115" s="6">
        <v>0</v>
      </c>
    </row>
    <row r="116" spans="1:15" hidden="1">
      <c r="A116" s="6" t="s">
        <v>1786</v>
      </c>
      <c r="B116" s="6" t="s">
        <v>1787</v>
      </c>
      <c r="C116" s="6" t="s">
        <v>88</v>
      </c>
      <c r="D116" s="6" t="s">
        <v>1936</v>
      </c>
      <c r="E116" s="6" t="s">
        <v>1951</v>
      </c>
      <c r="F116" s="6" t="s">
        <v>1962</v>
      </c>
      <c r="G116" s="6" t="s">
        <v>1790</v>
      </c>
      <c r="H116" s="6" t="s">
        <v>1963</v>
      </c>
      <c r="I116" s="6">
        <v>1</v>
      </c>
      <c r="J116" s="6">
        <v>0</v>
      </c>
      <c r="K116" s="6">
        <v>0</v>
      </c>
      <c r="L116" s="6">
        <v>0</v>
      </c>
      <c r="M116" s="6">
        <v>0</v>
      </c>
      <c r="N116" s="6">
        <v>0</v>
      </c>
      <c r="O116" s="6">
        <v>0</v>
      </c>
    </row>
    <row r="117" spans="1:15" hidden="1">
      <c r="A117" s="6" t="s">
        <v>1786</v>
      </c>
      <c r="B117" s="6" t="s">
        <v>1787</v>
      </c>
      <c r="C117" s="6" t="s">
        <v>88</v>
      </c>
      <c r="D117" s="6" t="s">
        <v>1936</v>
      </c>
      <c r="E117" s="6" t="s">
        <v>1951</v>
      </c>
      <c r="F117" s="6" t="s">
        <v>1964</v>
      </c>
      <c r="G117" s="6" t="s">
        <v>1790</v>
      </c>
      <c r="H117" s="6" t="s">
        <v>1965</v>
      </c>
      <c r="I117" s="6">
        <v>2</v>
      </c>
      <c r="J117" s="6">
        <v>0</v>
      </c>
      <c r="K117" s="6">
        <v>0</v>
      </c>
      <c r="L117" s="6">
        <v>0</v>
      </c>
      <c r="M117" s="6">
        <v>0</v>
      </c>
      <c r="N117" s="6">
        <v>1</v>
      </c>
      <c r="O117" s="6">
        <v>1</v>
      </c>
    </row>
    <row r="118" spans="1:15" hidden="1">
      <c r="A118" s="6" t="s">
        <v>1786</v>
      </c>
      <c r="B118" s="6" t="s">
        <v>1787</v>
      </c>
      <c r="C118" s="6" t="s">
        <v>88</v>
      </c>
      <c r="D118" s="6" t="s">
        <v>1936</v>
      </c>
      <c r="E118" s="6" t="s">
        <v>1951</v>
      </c>
      <c r="F118" s="6" t="s">
        <v>1964</v>
      </c>
      <c r="G118" s="6" t="s">
        <v>1790</v>
      </c>
      <c r="H118" s="6" t="s">
        <v>1966</v>
      </c>
      <c r="I118" s="6">
        <v>3</v>
      </c>
      <c r="J118" s="6">
        <v>1</v>
      </c>
      <c r="K118" s="6">
        <v>0.33329999999999999</v>
      </c>
      <c r="L118" s="6">
        <v>0.74</v>
      </c>
      <c r="M118" s="6">
        <v>0.74</v>
      </c>
      <c r="N118" s="6">
        <v>1</v>
      </c>
      <c r="O118" s="6">
        <v>0</v>
      </c>
    </row>
    <row r="119" spans="1:15" hidden="1">
      <c r="A119" s="6" t="s">
        <v>1786</v>
      </c>
      <c r="B119" s="6" t="s">
        <v>1787</v>
      </c>
      <c r="C119" s="6" t="s">
        <v>88</v>
      </c>
      <c r="D119" s="6" t="s">
        <v>1936</v>
      </c>
      <c r="E119" s="6" t="s">
        <v>1951</v>
      </c>
      <c r="F119" s="6" t="s">
        <v>1964</v>
      </c>
      <c r="G119" s="6" t="s">
        <v>1790</v>
      </c>
      <c r="H119" s="6" t="s">
        <v>1964</v>
      </c>
      <c r="I119" s="6">
        <v>1</v>
      </c>
      <c r="J119" s="6">
        <v>0</v>
      </c>
      <c r="K119" s="6">
        <v>0</v>
      </c>
      <c r="L119" s="6">
        <v>0</v>
      </c>
      <c r="M119" s="6">
        <v>0</v>
      </c>
      <c r="N119" s="6">
        <v>1</v>
      </c>
      <c r="O119" s="6">
        <v>0</v>
      </c>
    </row>
    <row r="120" spans="1:15" hidden="1">
      <c r="A120" s="6" t="s">
        <v>1786</v>
      </c>
      <c r="B120" s="6" t="s">
        <v>1787</v>
      </c>
      <c r="C120" s="6" t="s">
        <v>88</v>
      </c>
      <c r="D120" s="6" t="s">
        <v>1936</v>
      </c>
      <c r="E120" s="6" t="s">
        <v>1967</v>
      </c>
      <c r="F120" s="6" t="s">
        <v>1968</v>
      </c>
      <c r="G120" s="6" t="s">
        <v>1790</v>
      </c>
      <c r="H120" s="6" t="s">
        <v>1969</v>
      </c>
      <c r="I120" s="6">
        <v>1</v>
      </c>
      <c r="J120" s="6">
        <v>0</v>
      </c>
      <c r="K120" s="6">
        <v>0</v>
      </c>
      <c r="L120" s="6">
        <v>0</v>
      </c>
      <c r="M120" s="6">
        <v>0</v>
      </c>
      <c r="N120" s="6">
        <v>0</v>
      </c>
      <c r="O120" s="6">
        <v>0</v>
      </c>
    </row>
    <row r="121" spans="1:15" hidden="1">
      <c r="A121" s="6" t="s">
        <v>1786</v>
      </c>
      <c r="B121" s="6" t="s">
        <v>1787</v>
      </c>
      <c r="C121" s="6" t="s">
        <v>88</v>
      </c>
      <c r="D121" s="6" t="s">
        <v>1936</v>
      </c>
      <c r="E121" s="6" t="s">
        <v>1967</v>
      </c>
      <c r="F121" s="6" t="s">
        <v>1970</v>
      </c>
      <c r="G121" s="6" t="s">
        <v>1790</v>
      </c>
      <c r="H121" s="6" t="s">
        <v>1971</v>
      </c>
      <c r="I121" s="6">
        <v>1</v>
      </c>
      <c r="J121" s="6">
        <v>0</v>
      </c>
      <c r="K121" s="6">
        <v>0</v>
      </c>
      <c r="L121" s="6">
        <v>0</v>
      </c>
      <c r="M121" s="6">
        <v>0</v>
      </c>
      <c r="N121" s="6">
        <v>0</v>
      </c>
      <c r="O121" s="6">
        <v>0</v>
      </c>
    </row>
    <row r="122" spans="1:15" hidden="1">
      <c r="A122" s="6" t="s">
        <v>1786</v>
      </c>
      <c r="B122" s="6" t="s">
        <v>1787</v>
      </c>
      <c r="C122" s="6" t="s">
        <v>88</v>
      </c>
      <c r="D122" s="6" t="s">
        <v>1936</v>
      </c>
      <c r="E122" s="6" t="s">
        <v>1967</v>
      </c>
      <c r="F122" s="6" t="s">
        <v>1972</v>
      </c>
      <c r="G122" s="6" t="s">
        <v>1790</v>
      </c>
      <c r="H122" s="6" t="s">
        <v>1973</v>
      </c>
      <c r="I122" s="6">
        <v>1</v>
      </c>
      <c r="J122" s="6">
        <v>0</v>
      </c>
      <c r="K122" s="6">
        <v>0</v>
      </c>
      <c r="L122" s="6">
        <v>0</v>
      </c>
      <c r="M122" s="6">
        <v>0</v>
      </c>
      <c r="N122" s="6">
        <v>1</v>
      </c>
      <c r="O122" s="6">
        <v>1</v>
      </c>
    </row>
    <row r="123" spans="1:15" hidden="1">
      <c r="A123" s="6" t="s">
        <v>1786</v>
      </c>
      <c r="B123" s="6" t="s">
        <v>1787</v>
      </c>
      <c r="C123" s="6" t="s">
        <v>88</v>
      </c>
      <c r="D123" s="6" t="s">
        <v>1936</v>
      </c>
      <c r="E123" s="6" t="s">
        <v>1967</v>
      </c>
      <c r="F123" s="6" t="s">
        <v>1974</v>
      </c>
      <c r="G123" s="6" t="s">
        <v>1790</v>
      </c>
      <c r="H123" s="6" t="s">
        <v>1975</v>
      </c>
      <c r="I123" s="6">
        <v>1</v>
      </c>
      <c r="J123" s="6">
        <v>0</v>
      </c>
      <c r="K123" s="6">
        <v>0</v>
      </c>
      <c r="L123" s="6">
        <v>0</v>
      </c>
      <c r="M123" s="6">
        <v>0</v>
      </c>
      <c r="N123" s="6">
        <v>1</v>
      </c>
      <c r="O123" s="6">
        <v>1</v>
      </c>
    </row>
    <row r="124" spans="1:15" hidden="1">
      <c r="A124" s="6" t="s">
        <v>1786</v>
      </c>
      <c r="B124" s="6" t="s">
        <v>1787</v>
      </c>
      <c r="C124" s="6" t="s">
        <v>88</v>
      </c>
      <c r="D124" s="6" t="s">
        <v>1936</v>
      </c>
      <c r="E124" s="6" t="s">
        <v>1967</v>
      </c>
      <c r="F124" s="6" t="s">
        <v>1974</v>
      </c>
      <c r="G124" s="6" t="s">
        <v>1790</v>
      </c>
      <c r="H124" s="6" t="s">
        <v>1976</v>
      </c>
      <c r="I124" s="6">
        <v>2</v>
      </c>
      <c r="J124" s="6">
        <v>0</v>
      </c>
      <c r="K124" s="6">
        <v>0</v>
      </c>
      <c r="L124" s="6">
        <v>0</v>
      </c>
      <c r="M124" s="6">
        <v>0</v>
      </c>
      <c r="N124" s="6">
        <v>1</v>
      </c>
      <c r="O124" s="6">
        <v>1</v>
      </c>
    </row>
    <row r="125" spans="1:15" hidden="1">
      <c r="A125" s="6" t="s">
        <v>1786</v>
      </c>
      <c r="B125" s="6" t="s">
        <v>1787</v>
      </c>
      <c r="C125" s="6" t="s">
        <v>88</v>
      </c>
      <c r="D125" s="6" t="s">
        <v>1936</v>
      </c>
      <c r="E125" s="6" t="s">
        <v>1967</v>
      </c>
      <c r="F125" s="6" t="s">
        <v>1974</v>
      </c>
      <c r="G125" s="6" t="s">
        <v>1790</v>
      </c>
      <c r="H125" s="6" t="s">
        <v>1977</v>
      </c>
      <c r="I125" s="6">
        <v>4</v>
      </c>
      <c r="J125" s="6">
        <v>1</v>
      </c>
      <c r="K125" s="6">
        <v>0.25</v>
      </c>
      <c r="L125" s="6">
        <v>1.83</v>
      </c>
      <c r="M125" s="6">
        <v>1.83</v>
      </c>
      <c r="N125" s="6">
        <v>1</v>
      </c>
      <c r="O125" s="6">
        <v>1</v>
      </c>
    </row>
    <row r="126" spans="1:15" hidden="1">
      <c r="A126" s="6" t="s">
        <v>1786</v>
      </c>
      <c r="B126" s="6" t="s">
        <v>1787</v>
      </c>
      <c r="C126" s="6" t="s">
        <v>88</v>
      </c>
      <c r="D126" s="6" t="s">
        <v>1936</v>
      </c>
      <c r="E126" s="6" t="s">
        <v>1967</v>
      </c>
      <c r="F126" s="6" t="s">
        <v>1978</v>
      </c>
      <c r="G126" s="6" t="s">
        <v>1790</v>
      </c>
      <c r="H126" s="6" t="s">
        <v>1979</v>
      </c>
      <c r="I126" s="6">
        <v>1</v>
      </c>
      <c r="J126" s="6">
        <v>1</v>
      </c>
      <c r="K126" s="6">
        <v>1</v>
      </c>
      <c r="L126" s="6">
        <v>0.12</v>
      </c>
      <c r="M126" s="6">
        <v>0.12</v>
      </c>
      <c r="N126" s="6">
        <v>1</v>
      </c>
      <c r="O126" s="6">
        <v>1</v>
      </c>
    </row>
    <row r="127" spans="1:15" hidden="1">
      <c r="A127" s="6" t="s">
        <v>1786</v>
      </c>
      <c r="B127" s="6" t="s">
        <v>1787</v>
      </c>
      <c r="C127" s="6" t="s">
        <v>88</v>
      </c>
      <c r="D127" s="6" t="s">
        <v>1936</v>
      </c>
      <c r="E127" s="6" t="s">
        <v>1967</v>
      </c>
      <c r="F127" s="6" t="s">
        <v>1978</v>
      </c>
      <c r="G127" s="6" t="s">
        <v>1790</v>
      </c>
      <c r="H127" s="6" t="s">
        <v>1980</v>
      </c>
      <c r="I127" s="6">
        <v>1</v>
      </c>
      <c r="J127" s="6">
        <v>0</v>
      </c>
      <c r="K127" s="6">
        <v>0</v>
      </c>
      <c r="L127" s="6">
        <v>0</v>
      </c>
      <c r="M127" s="6">
        <v>0</v>
      </c>
      <c r="N127" s="6">
        <v>1</v>
      </c>
      <c r="O127" s="6">
        <v>1</v>
      </c>
    </row>
    <row r="128" spans="1:15" hidden="1">
      <c r="A128" s="6" t="s">
        <v>1786</v>
      </c>
      <c r="B128" s="6" t="s">
        <v>1787</v>
      </c>
      <c r="C128" s="6" t="s">
        <v>88</v>
      </c>
      <c r="D128" s="6" t="s">
        <v>1936</v>
      </c>
      <c r="E128" s="6" t="s">
        <v>1967</v>
      </c>
      <c r="F128" s="6" t="s">
        <v>1978</v>
      </c>
      <c r="G128" s="6" t="s">
        <v>1790</v>
      </c>
      <c r="H128" s="6" t="s">
        <v>1981</v>
      </c>
      <c r="I128" s="6">
        <v>1</v>
      </c>
      <c r="J128" s="6">
        <v>0</v>
      </c>
      <c r="K128" s="6">
        <v>0</v>
      </c>
      <c r="L128" s="6">
        <v>0</v>
      </c>
      <c r="M128" s="6">
        <v>0</v>
      </c>
      <c r="N128" s="6">
        <v>0</v>
      </c>
      <c r="O128" s="6">
        <v>0</v>
      </c>
    </row>
    <row r="129" spans="1:15" hidden="1">
      <c r="A129" s="6" t="s">
        <v>1786</v>
      </c>
      <c r="B129" s="6" t="s">
        <v>1787</v>
      </c>
      <c r="C129" s="6" t="s">
        <v>88</v>
      </c>
      <c r="D129" s="6" t="s">
        <v>1936</v>
      </c>
      <c r="E129" s="6" t="s">
        <v>1967</v>
      </c>
      <c r="F129" s="6" t="s">
        <v>1978</v>
      </c>
      <c r="G129" s="6" t="s">
        <v>1790</v>
      </c>
      <c r="H129" s="6" t="s">
        <v>1982</v>
      </c>
      <c r="I129" s="6">
        <v>1</v>
      </c>
      <c r="J129" s="6">
        <v>0</v>
      </c>
      <c r="K129" s="6">
        <v>0</v>
      </c>
      <c r="L129" s="6">
        <v>0</v>
      </c>
      <c r="M129" s="6">
        <v>0</v>
      </c>
      <c r="N129" s="6">
        <v>0</v>
      </c>
      <c r="O129" s="6">
        <v>0</v>
      </c>
    </row>
    <row r="130" spans="1:15" hidden="1">
      <c r="A130" s="6" t="s">
        <v>1786</v>
      </c>
      <c r="B130" s="6" t="s">
        <v>1787</v>
      </c>
      <c r="C130" s="6" t="s">
        <v>88</v>
      </c>
      <c r="D130" s="6" t="s">
        <v>1936</v>
      </c>
      <c r="E130" s="6" t="s">
        <v>1967</v>
      </c>
      <c r="F130" s="6" t="s">
        <v>1983</v>
      </c>
      <c r="G130" s="6" t="s">
        <v>1790</v>
      </c>
      <c r="H130" s="6" t="s">
        <v>1984</v>
      </c>
      <c r="I130" s="6">
        <v>1</v>
      </c>
      <c r="J130" s="6">
        <v>0</v>
      </c>
      <c r="K130" s="6">
        <v>0</v>
      </c>
      <c r="L130" s="6">
        <v>0</v>
      </c>
      <c r="M130" s="6">
        <v>0</v>
      </c>
      <c r="N130" s="6">
        <v>0</v>
      </c>
      <c r="O130" s="6">
        <v>0</v>
      </c>
    </row>
    <row r="131" spans="1:15" hidden="1">
      <c r="A131" s="6" t="s">
        <v>1786</v>
      </c>
      <c r="B131" s="6" t="s">
        <v>1787</v>
      </c>
      <c r="C131" s="6" t="s">
        <v>88</v>
      </c>
      <c r="D131" s="6" t="s">
        <v>1936</v>
      </c>
      <c r="E131" s="6" t="s">
        <v>1967</v>
      </c>
      <c r="F131" s="6" t="s">
        <v>1985</v>
      </c>
      <c r="G131" s="6" t="s">
        <v>1790</v>
      </c>
      <c r="H131" s="6" t="s">
        <v>1986</v>
      </c>
      <c r="I131" s="6">
        <v>4</v>
      </c>
      <c r="J131" s="6">
        <v>1</v>
      </c>
      <c r="K131" s="6">
        <v>0.25</v>
      </c>
      <c r="L131" s="6">
        <v>1.18</v>
      </c>
      <c r="M131" s="6">
        <v>1.18</v>
      </c>
      <c r="N131" s="6">
        <v>1</v>
      </c>
      <c r="O131" s="6">
        <v>1</v>
      </c>
    </row>
    <row r="132" spans="1:15" hidden="1">
      <c r="A132" s="6" t="s">
        <v>1786</v>
      </c>
      <c r="B132" s="6" t="s">
        <v>1787</v>
      </c>
      <c r="C132" s="6" t="s">
        <v>88</v>
      </c>
      <c r="D132" s="6" t="s">
        <v>1936</v>
      </c>
      <c r="E132" s="6" t="s">
        <v>1987</v>
      </c>
      <c r="F132" s="6" t="s">
        <v>1988</v>
      </c>
      <c r="G132" s="6" t="s">
        <v>1790</v>
      </c>
      <c r="H132" s="6" t="s">
        <v>1989</v>
      </c>
      <c r="I132" s="6">
        <v>1</v>
      </c>
      <c r="J132" s="6">
        <v>0</v>
      </c>
      <c r="K132" s="6">
        <v>0</v>
      </c>
      <c r="L132" s="6">
        <v>0</v>
      </c>
      <c r="M132" s="6">
        <v>0</v>
      </c>
      <c r="N132" s="6">
        <v>0</v>
      </c>
      <c r="O132" s="6">
        <v>0</v>
      </c>
    </row>
    <row r="133" spans="1:15" hidden="1">
      <c r="A133" s="6" t="s">
        <v>1786</v>
      </c>
      <c r="B133" s="6" t="s">
        <v>1787</v>
      </c>
      <c r="C133" s="6" t="s">
        <v>88</v>
      </c>
      <c r="D133" s="6" t="s">
        <v>1936</v>
      </c>
      <c r="E133" s="6" t="s">
        <v>1990</v>
      </c>
      <c r="F133" s="6" t="s">
        <v>1991</v>
      </c>
      <c r="G133" s="6" t="s">
        <v>1790</v>
      </c>
      <c r="H133" s="6" t="s">
        <v>1992</v>
      </c>
      <c r="I133" s="6">
        <v>2</v>
      </c>
      <c r="J133" s="6">
        <v>0</v>
      </c>
      <c r="K133" s="6">
        <v>0</v>
      </c>
      <c r="L133" s="6">
        <v>0</v>
      </c>
      <c r="M133" s="6">
        <v>0</v>
      </c>
      <c r="N133" s="6">
        <v>1</v>
      </c>
      <c r="O133" s="6">
        <v>1</v>
      </c>
    </row>
    <row r="134" spans="1:15" hidden="1">
      <c r="A134" s="6" t="s">
        <v>1786</v>
      </c>
      <c r="B134" s="6" t="s">
        <v>1787</v>
      </c>
      <c r="C134" s="6" t="s">
        <v>88</v>
      </c>
      <c r="D134" s="6" t="s">
        <v>1936</v>
      </c>
      <c r="E134" s="6" t="s">
        <v>1990</v>
      </c>
      <c r="F134" s="6" t="s">
        <v>1993</v>
      </c>
      <c r="G134" s="6" t="s">
        <v>1790</v>
      </c>
      <c r="H134" s="6" t="s">
        <v>1994</v>
      </c>
      <c r="I134" s="6">
        <v>2</v>
      </c>
      <c r="J134" s="6">
        <v>1</v>
      </c>
      <c r="K134" s="6">
        <v>0.5</v>
      </c>
      <c r="L134" s="6">
        <v>1.38</v>
      </c>
      <c r="M134" s="6">
        <v>1.38</v>
      </c>
      <c r="N134" s="6">
        <v>1</v>
      </c>
      <c r="O134" s="6">
        <v>1</v>
      </c>
    </row>
    <row r="135" spans="1:15" hidden="1">
      <c r="A135" s="6" t="s">
        <v>1786</v>
      </c>
      <c r="B135" s="6" t="s">
        <v>1787</v>
      </c>
      <c r="C135" s="6" t="s">
        <v>88</v>
      </c>
      <c r="D135" s="6" t="s">
        <v>1936</v>
      </c>
      <c r="E135" s="6" t="s">
        <v>1990</v>
      </c>
      <c r="F135" s="6" t="s">
        <v>1995</v>
      </c>
      <c r="G135" s="6" t="s">
        <v>1790</v>
      </c>
      <c r="H135" s="6" t="s">
        <v>1995</v>
      </c>
      <c r="I135" s="6">
        <v>1</v>
      </c>
      <c r="J135" s="6">
        <v>0</v>
      </c>
      <c r="K135" s="6">
        <v>0</v>
      </c>
      <c r="L135" s="6">
        <v>0</v>
      </c>
      <c r="M135" s="6">
        <v>0</v>
      </c>
      <c r="N135" s="6">
        <v>0</v>
      </c>
      <c r="O135" s="6">
        <v>0</v>
      </c>
    </row>
    <row r="136" spans="1:15" hidden="1">
      <c r="A136" s="6" t="s">
        <v>1786</v>
      </c>
      <c r="B136" s="6" t="s">
        <v>1787</v>
      </c>
      <c r="C136" s="6" t="s">
        <v>88</v>
      </c>
      <c r="D136" s="6" t="s">
        <v>1936</v>
      </c>
      <c r="E136" s="6" t="s">
        <v>1990</v>
      </c>
      <c r="F136" s="6" t="s">
        <v>1996</v>
      </c>
      <c r="G136" s="6" t="s">
        <v>1790</v>
      </c>
      <c r="H136" s="6" t="s">
        <v>1997</v>
      </c>
      <c r="I136" s="6">
        <v>1</v>
      </c>
      <c r="J136" s="6">
        <v>0</v>
      </c>
      <c r="K136" s="6">
        <v>0</v>
      </c>
      <c r="L136" s="6">
        <v>0</v>
      </c>
      <c r="M136" s="6">
        <v>0</v>
      </c>
      <c r="N136" s="6">
        <v>0</v>
      </c>
      <c r="O136" s="6">
        <v>0</v>
      </c>
    </row>
    <row r="137" spans="1:15" hidden="1">
      <c r="A137" s="6" t="s">
        <v>1786</v>
      </c>
      <c r="B137" s="6" t="s">
        <v>1787</v>
      </c>
      <c r="C137" s="6" t="s">
        <v>88</v>
      </c>
      <c r="D137" s="6" t="s">
        <v>1936</v>
      </c>
      <c r="E137" s="6" t="s">
        <v>1990</v>
      </c>
      <c r="F137" s="6" t="s">
        <v>1998</v>
      </c>
      <c r="G137" s="6" t="s">
        <v>1790</v>
      </c>
      <c r="H137" s="6" t="s">
        <v>1999</v>
      </c>
      <c r="I137" s="6">
        <v>1</v>
      </c>
      <c r="J137" s="6">
        <v>1</v>
      </c>
      <c r="K137" s="6">
        <v>1</v>
      </c>
      <c r="L137" s="6">
        <v>1.05</v>
      </c>
      <c r="M137" s="6">
        <v>1.05</v>
      </c>
      <c r="N137" s="6">
        <v>0</v>
      </c>
      <c r="O137" s="6">
        <v>0</v>
      </c>
    </row>
    <row r="138" spans="1:15" hidden="1">
      <c r="A138" s="6" t="s">
        <v>1786</v>
      </c>
      <c r="B138" s="6" t="s">
        <v>1787</v>
      </c>
      <c r="C138" s="6" t="s">
        <v>88</v>
      </c>
      <c r="D138" s="6" t="s">
        <v>1936</v>
      </c>
      <c r="E138" s="6" t="s">
        <v>1990</v>
      </c>
      <c r="F138" s="6" t="s">
        <v>2000</v>
      </c>
      <c r="G138" s="6" t="s">
        <v>1790</v>
      </c>
      <c r="H138" s="6" t="s">
        <v>2001</v>
      </c>
      <c r="I138" s="6">
        <v>2</v>
      </c>
      <c r="J138" s="6">
        <v>0</v>
      </c>
      <c r="K138" s="6">
        <v>0</v>
      </c>
      <c r="L138" s="6">
        <v>0</v>
      </c>
      <c r="M138" s="6">
        <v>0</v>
      </c>
      <c r="N138" s="6">
        <v>1</v>
      </c>
      <c r="O138" s="6">
        <v>1</v>
      </c>
    </row>
    <row r="139" spans="1:15" hidden="1">
      <c r="A139" s="6" t="s">
        <v>1786</v>
      </c>
      <c r="B139" s="6" t="s">
        <v>1787</v>
      </c>
      <c r="C139" s="6" t="s">
        <v>88</v>
      </c>
      <c r="D139" s="6" t="s">
        <v>1936</v>
      </c>
      <c r="E139" s="6" t="s">
        <v>1990</v>
      </c>
      <c r="F139" s="6" t="s">
        <v>2002</v>
      </c>
      <c r="G139" s="6" t="s">
        <v>1790</v>
      </c>
      <c r="H139" s="6" t="s">
        <v>2003</v>
      </c>
      <c r="I139" s="6">
        <v>1</v>
      </c>
      <c r="J139" s="6">
        <v>0</v>
      </c>
      <c r="K139" s="6">
        <v>0</v>
      </c>
      <c r="L139" s="6">
        <v>0</v>
      </c>
      <c r="M139" s="6">
        <v>0</v>
      </c>
      <c r="N139" s="6">
        <v>1</v>
      </c>
      <c r="O139" s="6">
        <v>1</v>
      </c>
    </row>
    <row r="140" spans="1:15" hidden="1">
      <c r="A140" s="6" t="s">
        <v>1786</v>
      </c>
      <c r="B140" s="6" t="s">
        <v>1787</v>
      </c>
      <c r="C140" s="6" t="s">
        <v>88</v>
      </c>
      <c r="D140" s="6" t="s">
        <v>1936</v>
      </c>
      <c r="E140" s="6" t="s">
        <v>1990</v>
      </c>
      <c r="F140" s="6" t="s">
        <v>2004</v>
      </c>
      <c r="G140" s="6" t="s">
        <v>1790</v>
      </c>
      <c r="H140" s="6" t="s">
        <v>2005</v>
      </c>
      <c r="I140" s="6">
        <v>3</v>
      </c>
      <c r="J140" s="6">
        <v>0</v>
      </c>
      <c r="K140" s="6">
        <v>0</v>
      </c>
      <c r="L140" s="6">
        <v>0</v>
      </c>
      <c r="M140" s="6">
        <v>0</v>
      </c>
      <c r="N140" s="6">
        <v>1</v>
      </c>
      <c r="O140" s="6">
        <v>1</v>
      </c>
    </row>
    <row r="141" spans="1:15" hidden="1">
      <c r="A141" s="6" t="s">
        <v>1786</v>
      </c>
      <c r="B141" s="6" t="s">
        <v>1787</v>
      </c>
      <c r="C141" s="6" t="s">
        <v>88</v>
      </c>
      <c r="D141" s="6" t="s">
        <v>1936</v>
      </c>
      <c r="E141" s="6" t="s">
        <v>1990</v>
      </c>
      <c r="F141" s="6" t="s">
        <v>2004</v>
      </c>
      <c r="G141" s="6" t="s">
        <v>1790</v>
      </c>
      <c r="H141" s="6" t="s">
        <v>2006</v>
      </c>
      <c r="I141" s="6">
        <v>1</v>
      </c>
      <c r="J141" s="6">
        <v>0</v>
      </c>
      <c r="K141" s="6">
        <v>0</v>
      </c>
      <c r="L141" s="6">
        <v>0</v>
      </c>
      <c r="M141" s="6">
        <v>0</v>
      </c>
      <c r="N141" s="6">
        <v>1</v>
      </c>
      <c r="O141" s="6">
        <v>1</v>
      </c>
    </row>
    <row r="142" spans="1:15" hidden="1">
      <c r="A142" s="6" t="s">
        <v>1786</v>
      </c>
      <c r="B142" s="6" t="s">
        <v>1787</v>
      </c>
      <c r="C142" s="6" t="s">
        <v>88</v>
      </c>
      <c r="D142" s="6" t="s">
        <v>1936</v>
      </c>
      <c r="E142" s="6" t="s">
        <v>1990</v>
      </c>
      <c r="F142" s="6" t="s">
        <v>2007</v>
      </c>
      <c r="G142" s="6" t="s">
        <v>1790</v>
      </c>
      <c r="H142" s="6" t="s">
        <v>2008</v>
      </c>
      <c r="I142" s="6">
        <v>2</v>
      </c>
      <c r="J142" s="6">
        <v>0</v>
      </c>
      <c r="K142" s="6">
        <v>0</v>
      </c>
      <c r="L142" s="6">
        <v>0</v>
      </c>
      <c r="M142" s="6">
        <v>0</v>
      </c>
      <c r="N142" s="6">
        <v>1</v>
      </c>
      <c r="O142" s="6">
        <v>1</v>
      </c>
    </row>
    <row r="143" spans="1:15" hidden="1">
      <c r="A143" s="6" t="s">
        <v>1786</v>
      </c>
      <c r="B143" s="6" t="s">
        <v>1787</v>
      </c>
      <c r="C143" s="6" t="s">
        <v>88</v>
      </c>
      <c r="D143" s="6" t="s">
        <v>1936</v>
      </c>
      <c r="E143" s="6" t="s">
        <v>2009</v>
      </c>
      <c r="F143" s="6" t="s">
        <v>2010</v>
      </c>
      <c r="G143" s="6" t="s">
        <v>1790</v>
      </c>
      <c r="H143" s="6" t="s">
        <v>2011</v>
      </c>
      <c r="I143" s="6">
        <v>1</v>
      </c>
      <c r="J143" s="6">
        <v>0</v>
      </c>
      <c r="K143" s="6">
        <v>0</v>
      </c>
      <c r="L143" s="6">
        <v>0</v>
      </c>
      <c r="M143" s="6">
        <v>0</v>
      </c>
      <c r="N143" s="6">
        <v>0</v>
      </c>
      <c r="O143" s="6">
        <v>0</v>
      </c>
    </row>
    <row r="144" spans="1:15" hidden="1">
      <c r="A144" s="6" t="s">
        <v>1786</v>
      </c>
      <c r="B144" s="6" t="s">
        <v>1787</v>
      </c>
      <c r="C144" s="6" t="s">
        <v>88</v>
      </c>
      <c r="D144" s="6" t="s">
        <v>1936</v>
      </c>
      <c r="E144" s="6" t="s">
        <v>2009</v>
      </c>
      <c r="F144" s="6" t="s">
        <v>2010</v>
      </c>
      <c r="G144" s="6" t="s">
        <v>1790</v>
      </c>
      <c r="H144" s="6" t="s">
        <v>2010</v>
      </c>
      <c r="I144" s="6">
        <v>4</v>
      </c>
      <c r="J144" s="6">
        <v>0</v>
      </c>
      <c r="K144" s="6">
        <v>0</v>
      </c>
      <c r="L144" s="6">
        <v>0</v>
      </c>
      <c r="M144" s="6">
        <v>0</v>
      </c>
      <c r="N144" s="6">
        <v>1</v>
      </c>
      <c r="O144" s="6">
        <v>1</v>
      </c>
    </row>
    <row r="145" spans="1:15" hidden="1">
      <c r="A145" s="6" t="s">
        <v>1786</v>
      </c>
      <c r="B145" s="6" t="s">
        <v>1787</v>
      </c>
      <c r="C145" s="6" t="s">
        <v>88</v>
      </c>
      <c r="D145" s="6" t="s">
        <v>2012</v>
      </c>
      <c r="E145" s="6" t="s">
        <v>2013</v>
      </c>
      <c r="F145" s="6" t="s">
        <v>2014</v>
      </c>
      <c r="G145" s="6" t="s">
        <v>1790</v>
      </c>
      <c r="H145" s="6" t="s">
        <v>2015</v>
      </c>
      <c r="I145" s="6">
        <v>1</v>
      </c>
      <c r="J145" s="6">
        <v>0</v>
      </c>
      <c r="K145" s="6">
        <v>0</v>
      </c>
      <c r="L145" s="6">
        <v>0</v>
      </c>
      <c r="M145" s="6">
        <v>0</v>
      </c>
      <c r="N145" s="6">
        <v>0</v>
      </c>
      <c r="O145" s="6">
        <v>0</v>
      </c>
    </row>
    <row r="146" spans="1:15" hidden="1">
      <c r="A146" s="6" t="s">
        <v>1786</v>
      </c>
      <c r="B146" s="6" t="s">
        <v>1787</v>
      </c>
      <c r="C146" s="6" t="s">
        <v>88</v>
      </c>
      <c r="D146" s="6" t="s">
        <v>2012</v>
      </c>
      <c r="E146" s="6" t="s">
        <v>2016</v>
      </c>
      <c r="F146" s="6" t="s">
        <v>1860</v>
      </c>
      <c r="G146" s="6" t="s">
        <v>1790</v>
      </c>
      <c r="H146" s="6" t="s">
        <v>2017</v>
      </c>
      <c r="I146" s="6">
        <v>1</v>
      </c>
      <c r="J146" s="6">
        <v>0</v>
      </c>
      <c r="K146" s="6">
        <v>0</v>
      </c>
      <c r="L146" s="6">
        <v>0</v>
      </c>
      <c r="M146" s="6">
        <v>0</v>
      </c>
      <c r="N146" s="6">
        <v>0</v>
      </c>
      <c r="O146" s="6">
        <v>0</v>
      </c>
    </row>
    <row r="147" spans="1:15" hidden="1">
      <c r="A147" s="6" t="s">
        <v>1786</v>
      </c>
      <c r="B147" s="6" t="s">
        <v>1787</v>
      </c>
      <c r="C147" s="6" t="s">
        <v>88</v>
      </c>
      <c r="D147" s="6" t="s">
        <v>2012</v>
      </c>
      <c r="E147" s="6" t="s">
        <v>2016</v>
      </c>
      <c r="F147" s="6" t="s">
        <v>2018</v>
      </c>
      <c r="G147" s="6" t="s">
        <v>1790</v>
      </c>
      <c r="H147" s="6" t="s">
        <v>2019</v>
      </c>
      <c r="I147" s="6">
        <v>1</v>
      </c>
      <c r="J147" s="6">
        <v>1</v>
      </c>
      <c r="K147" s="6">
        <v>1</v>
      </c>
      <c r="L147" s="6">
        <v>1.57</v>
      </c>
      <c r="M147" s="6">
        <v>1.57</v>
      </c>
      <c r="N147" s="6">
        <v>0</v>
      </c>
      <c r="O147" s="6">
        <v>0</v>
      </c>
    </row>
    <row r="148" spans="1:15" hidden="1">
      <c r="A148" s="6" t="s">
        <v>1786</v>
      </c>
      <c r="B148" s="6" t="s">
        <v>1787</v>
      </c>
      <c r="C148" s="6" t="s">
        <v>88</v>
      </c>
      <c r="D148" s="6" t="s">
        <v>2012</v>
      </c>
      <c r="E148" s="6" t="s">
        <v>2016</v>
      </c>
      <c r="F148" s="6" t="s">
        <v>2020</v>
      </c>
      <c r="G148" s="6" t="s">
        <v>1790</v>
      </c>
      <c r="H148" s="6" t="s">
        <v>2020</v>
      </c>
      <c r="I148" s="6">
        <v>4</v>
      </c>
      <c r="J148" s="6">
        <v>0</v>
      </c>
      <c r="K148" s="6">
        <v>0</v>
      </c>
      <c r="L148" s="6">
        <v>0</v>
      </c>
      <c r="M148" s="6">
        <v>0</v>
      </c>
      <c r="N148" s="6">
        <v>1</v>
      </c>
      <c r="O148" s="6">
        <v>1</v>
      </c>
    </row>
    <row r="149" spans="1:15" hidden="1">
      <c r="A149" s="6" t="s">
        <v>1786</v>
      </c>
      <c r="B149" s="6" t="s">
        <v>1787</v>
      </c>
      <c r="C149" s="6" t="s">
        <v>88</v>
      </c>
      <c r="D149" s="6" t="s">
        <v>2012</v>
      </c>
      <c r="E149" s="6" t="s">
        <v>2016</v>
      </c>
      <c r="F149" s="6" t="s">
        <v>2021</v>
      </c>
      <c r="G149" s="6" t="s">
        <v>1790</v>
      </c>
      <c r="H149" s="6" t="s">
        <v>2022</v>
      </c>
      <c r="I149" s="6">
        <v>1</v>
      </c>
      <c r="J149" s="6">
        <v>0</v>
      </c>
      <c r="K149" s="6">
        <v>0</v>
      </c>
      <c r="L149" s="6">
        <v>0</v>
      </c>
      <c r="M149" s="6">
        <v>0</v>
      </c>
      <c r="N149" s="6">
        <v>0</v>
      </c>
      <c r="O149" s="6">
        <v>0</v>
      </c>
    </row>
    <row r="150" spans="1:15" hidden="1">
      <c r="A150" s="6" t="s">
        <v>1786</v>
      </c>
      <c r="B150" s="6" t="s">
        <v>1787</v>
      </c>
      <c r="C150" s="6" t="s">
        <v>88</v>
      </c>
      <c r="D150" s="6" t="s">
        <v>2012</v>
      </c>
      <c r="E150" s="6" t="s">
        <v>2016</v>
      </c>
      <c r="F150" s="6" t="s">
        <v>2023</v>
      </c>
      <c r="G150" s="6" t="s">
        <v>1790</v>
      </c>
      <c r="H150" s="6" t="s">
        <v>2024</v>
      </c>
      <c r="I150" s="6">
        <v>12</v>
      </c>
      <c r="J150" s="6">
        <v>2</v>
      </c>
      <c r="K150" s="6">
        <v>0.16670000000000001</v>
      </c>
      <c r="L150" s="6">
        <v>1.02</v>
      </c>
      <c r="M150" s="6">
        <v>2.04</v>
      </c>
      <c r="N150" s="6">
        <v>0.75</v>
      </c>
      <c r="O150" s="6">
        <v>0.75</v>
      </c>
    </row>
    <row r="151" spans="1:15" hidden="1">
      <c r="A151" s="6" t="s">
        <v>1786</v>
      </c>
      <c r="B151" s="6" t="s">
        <v>1787</v>
      </c>
      <c r="C151" s="6" t="s">
        <v>88</v>
      </c>
      <c r="D151" s="6" t="s">
        <v>2012</v>
      </c>
      <c r="E151" s="6" t="s">
        <v>2016</v>
      </c>
      <c r="F151" s="6" t="s">
        <v>2023</v>
      </c>
      <c r="G151" s="6" t="s">
        <v>1790</v>
      </c>
      <c r="H151" s="6" t="s">
        <v>2025</v>
      </c>
      <c r="I151" s="6">
        <v>1</v>
      </c>
      <c r="J151" s="6">
        <v>0</v>
      </c>
      <c r="K151" s="6">
        <v>0</v>
      </c>
      <c r="L151" s="6">
        <v>0</v>
      </c>
      <c r="M151" s="6">
        <v>0</v>
      </c>
      <c r="N151" s="6">
        <v>0</v>
      </c>
      <c r="O151" s="6">
        <v>0</v>
      </c>
    </row>
    <row r="152" spans="1:15" hidden="1">
      <c r="A152" s="6" t="s">
        <v>1786</v>
      </c>
      <c r="B152" s="6" t="s">
        <v>1787</v>
      </c>
      <c r="C152" s="6" t="s">
        <v>88</v>
      </c>
      <c r="D152" s="6" t="s">
        <v>2012</v>
      </c>
      <c r="E152" s="6" t="s">
        <v>2016</v>
      </c>
      <c r="F152" s="6" t="s">
        <v>2023</v>
      </c>
      <c r="G152" s="6" t="s">
        <v>1790</v>
      </c>
      <c r="H152" s="6" t="s">
        <v>2026</v>
      </c>
      <c r="I152" s="6">
        <v>3</v>
      </c>
      <c r="J152" s="6">
        <v>0</v>
      </c>
      <c r="K152" s="6">
        <v>0</v>
      </c>
      <c r="L152" s="6">
        <v>0</v>
      </c>
      <c r="M152" s="6">
        <v>0</v>
      </c>
      <c r="N152" s="6">
        <v>0.33329999999999999</v>
      </c>
      <c r="O152" s="6">
        <v>0.33329999999999999</v>
      </c>
    </row>
    <row r="153" spans="1:15" hidden="1">
      <c r="A153" s="6" t="s">
        <v>1786</v>
      </c>
      <c r="B153" s="6" t="s">
        <v>1787</v>
      </c>
      <c r="C153" s="6" t="s">
        <v>88</v>
      </c>
      <c r="D153" s="6" t="s">
        <v>2012</v>
      </c>
      <c r="E153" s="6" t="s">
        <v>2016</v>
      </c>
      <c r="F153" s="6" t="s">
        <v>2023</v>
      </c>
      <c r="G153" s="6" t="s">
        <v>1790</v>
      </c>
      <c r="H153" s="6" t="s">
        <v>2027</v>
      </c>
      <c r="I153" s="6">
        <v>14</v>
      </c>
      <c r="J153" s="6">
        <v>1</v>
      </c>
      <c r="K153" s="6">
        <v>7.1399999999999991E-2</v>
      </c>
      <c r="L153" s="6">
        <v>1.78</v>
      </c>
      <c r="M153" s="6">
        <v>1.78</v>
      </c>
      <c r="N153" s="6">
        <v>0.875</v>
      </c>
      <c r="O153" s="6">
        <v>0.875</v>
      </c>
    </row>
    <row r="154" spans="1:15" hidden="1">
      <c r="A154" s="6" t="s">
        <v>1786</v>
      </c>
      <c r="B154" s="6" t="s">
        <v>1787</v>
      </c>
      <c r="C154" s="6" t="s">
        <v>88</v>
      </c>
      <c r="D154" s="6" t="s">
        <v>2012</v>
      </c>
      <c r="E154" s="6" t="s">
        <v>2016</v>
      </c>
      <c r="F154" s="6" t="s">
        <v>2023</v>
      </c>
      <c r="G154" s="6" t="s">
        <v>1790</v>
      </c>
      <c r="H154" s="6" t="s">
        <v>2028</v>
      </c>
      <c r="I154" s="6">
        <v>1</v>
      </c>
      <c r="J154" s="6">
        <v>0</v>
      </c>
      <c r="K154" s="6">
        <v>0</v>
      </c>
      <c r="L154" s="6">
        <v>0</v>
      </c>
      <c r="M154" s="6">
        <v>0</v>
      </c>
      <c r="N154" s="6">
        <v>0</v>
      </c>
      <c r="O154" s="6">
        <v>0</v>
      </c>
    </row>
    <row r="155" spans="1:15" hidden="1">
      <c r="A155" s="6" t="s">
        <v>1786</v>
      </c>
      <c r="B155" s="6" t="s">
        <v>1787</v>
      </c>
      <c r="C155" s="6" t="s">
        <v>88</v>
      </c>
      <c r="D155" s="6" t="s">
        <v>2012</v>
      </c>
      <c r="E155" s="6" t="s">
        <v>2016</v>
      </c>
      <c r="F155" s="6" t="s">
        <v>2023</v>
      </c>
      <c r="G155" s="6" t="s">
        <v>1790</v>
      </c>
      <c r="H155" s="6" t="s">
        <v>2029</v>
      </c>
      <c r="I155" s="6">
        <v>1</v>
      </c>
      <c r="J155" s="6">
        <v>0</v>
      </c>
      <c r="K155" s="6">
        <v>0</v>
      </c>
      <c r="L155" s="6">
        <v>0</v>
      </c>
      <c r="M155" s="6">
        <v>0</v>
      </c>
      <c r="N155" s="6">
        <v>0</v>
      </c>
      <c r="O155" s="6">
        <v>0</v>
      </c>
    </row>
    <row r="156" spans="1:15" hidden="1">
      <c r="A156" s="6" t="s">
        <v>1786</v>
      </c>
      <c r="B156" s="6" t="s">
        <v>1787</v>
      </c>
      <c r="C156" s="6" t="s">
        <v>88</v>
      </c>
      <c r="D156" s="6" t="s">
        <v>2012</v>
      </c>
      <c r="E156" s="6" t="s">
        <v>2016</v>
      </c>
      <c r="F156" s="6" t="s">
        <v>2023</v>
      </c>
      <c r="G156" s="6" t="s">
        <v>1790</v>
      </c>
      <c r="H156" s="6" t="s">
        <v>2030</v>
      </c>
      <c r="I156" s="6">
        <v>2</v>
      </c>
      <c r="J156" s="6">
        <v>0</v>
      </c>
      <c r="K156" s="6">
        <v>0</v>
      </c>
      <c r="L156" s="6">
        <v>0</v>
      </c>
      <c r="M156" s="6">
        <v>0</v>
      </c>
      <c r="N156" s="6">
        <v>1</v>
      </c>
      <c r="O156" s="6">
        <v>1</v>
      </c>
    </row>
    <row r="157" spans="1:15" hidden="1">
      <c r="A157" s="6" t="s">
        <v>1786</v>
      </c>
      <c r="B157" s="6" t="s">
        <v>1787</v>
      </c>
      <c r="C157" s="6" t="s">
        <v>88</v>
      </c>
      <c r="D157" s="6" t="s">
        <v>2012</v>
      </c>
      <c r="E157" s="6" t="s">
        <v>2016</v>
      </c>
      <c r="F157" s="6" t="s">
        <v>2023</v>
      </c>
      <c r="G157" s="6" t="s">
        <v>1790</v>
      </c>
      <c r="H157" s="6" t="s">
        <v>2031</v>
      </c>
      <c r="I157" s="6">
        <v>2</v>
      </c>
      <c r="J157" s="6">
        <v>0</v>
      </c>
      <c r="K157" s="6">
        <v>0</v>
      </c>
      <c r="L157" s="6">
        <v>0</v>
      </c>
      <c r="M157" s="6">
        <v>0</v>
      </c>
      <c r="N157" s="6">
        <v>1</v>
      </c>
      <c r="O157" s="6">
        <v>1</v>
      </c>
    </row>
    <row r="158" spans="1:15" hidden="1">
      <c r="A158" s="6" t="s">
        <v>1786</v>
      </c>
      <c r="B158" s="6" t="s">
        <v>1787</v>
      </c>
      <c r="C158" s="6" t="s">
        <v>88</v>
      </c>
      <c r="D158" s="6" t="s">
        <v>2012</v>
      </c>
      <c r="E158" s="6" t="s">
        <v>2016</v>
      </c>
      <c r="F158" s="6" t="s">
        <v>2023</v>
      </c>
      <c r="G158" s="6" t="s">
        <v>1790</v>
      </c>
      <c r="H158" s="6" t="s">
        <v>2032</v>
      </c>
      <c r="I158" s="6">
        <v>1</v>
      </c>
      <c r="J158" s="6">
        <v>0</v>
      </c>
      <c r="K158" s="6">
        <v>0</v>
      </c>
      <c r="L158" s="6">
        <v>0</v>
      </c>
      <c r="M158" s="6">
        <v>0</v>
      </c>
      <c r="N158" s="6">
        <v>0</v>
      </c>
      <c r="O158" s="6">
        <v>0</v>
      </c>
    </row>
    <row r="159" spans="1:15" hidden="1">
      <c r="A159" s="6" t="s">
        <v>1786</v>
      </c>
      <c r="B159" s="6" t="s">
        <v>1787</v>
      </c>
      <c r="C159" s="6" t="s">
        <v>88</v>
      </c>
      <c r="D159" s="6" t="s">
        <v>2012</v>
      </c>
      <c r="E159" s="6" t="s">
        <v>2016</v>
      </c>
      <c r="F159" s="6" t="s">
        <v>2023</v>
      </c>
      <c r="G159" s="6" t="s">
        <v>1790</v>
      </c>
      <c r="H159" s="6" t="s">
        <v>2033</v>
      </c>
      <c r="I159" s="6">
        <v>2</v>
      </c>
      <c r="J159" s="6">
        <v>0</v>
      </c>
      <c r="K159" s="6">
        <v>0</v>
      </c>
      <c r="L159" s="6">
        <v>0</v>
      </c>
      <c r="M159" s="6">
        <v>0</v>
      </c>
      <c r="N159" s="6">
        <v>1</v>
      </c>
      <c r="O159" s="6">
        <v>1</v>
      </c>
    </row>
    <row r="160" spans="1:15" hidden="1">
      <c r="A160" s="6" t="s">
        <v>1786</v>
      </c>
      <c r="B160" s="6" t="s">
        <v>1787</v>
      </c>
      <c r="C160" s="6" t="s">
        <v>88</v>
      </c>
      <c r="D160" s="6" t="s">
        <v>2012</v>
      </c>
      <c r="E160" s="6" t="s">
        <v>2016</v>
      </c>
      <c r="F160" s="6" t="s">
        <v>2023</v>
      </c>
      <c r="G160" s="6" t="s">
        <v>1790</v>
      </c>
      <c r="H160" s="6" t="s">
        <v>2034</v>
      </c>
      <c r="I160" s="6">
        <v>1</v>
      </c>
      <c r="J160" s="6">
        <v>0</v>
      </c>
      <c r="K160" s="6">
        <v>0</v>
      </c>
      <c r="L160" s="6">
        <v>0</v>
      </c>
      <c r="M160" s="6">
        <v>0</v>
      </c>
      <c r="N160" s="6">
        <v>1</v>
      </c>
      <c r="O160" s="6">
        <v>1</v>
      </c>
    </row>
    <row r="161" spans="1:15" hidden="1">
      <c r="A161" s="6" t="s">
        <v>1786</v>
      </c>
      <c r="B161" s="6" t="s">
        <v>1787</v>
      </c>
      <c r="C161" s="6" t="s">
        <v>88</v>
      </c>
      <c r="D161" s="6" t="s">
        <v>2012</v>
      </c>
      <c r="E161" s="6" t="s">
        <v>2016</v>
      </c>
      <c r="F161" s="6" t="s">
        <v>2023</v>
      </c>
      <c r="G161" s="6" t="s">
        <v>1790</v>
      </c>
      <c r="H161" s="6" t="s">
        <v>2035</v>
      </c>
      <c r="I161" s="6">
        <v>4</v>
      </c>
      <c r="J161" s="6">
        <v>1</v>
      </c>
      <c r="K161" s="6">
        <v>0.25</v>
      </c>
      <c r="L161" s="6">
        <v>0.04</v>
      </c>
      <c r="M161" s="6">
        <v>0.04</v>
      </c>
      <c r="N161" s="6">
        <v>1</v>
      </c>
      <c r="O161" s="6">
        <v>1</v>
      </c>
    </row>
    <row r="162" spans="1:15" hidden="1">
      <c r="A162" s="6" t="s">
        <v>1786</v>
      </c>
      <c r="B162" s="6" t="s">
        <v>1787</v>
      </c>
      <c r="C162" s="6" t="s">
        <v>88</v>
      </c>
      <c r="D162" s="6" t="s">
        <v>2012</v>
      </c>
      <c r="E162" s="6" t="s">
        <v>2016</v>
      </c>
      <c r="F162" s="6" t="s">
        <v>2023</v>
      </c>
      <c r="G162" s="6" t="s">
        <v>1790</v>
      </c>
      <c r="H162" s="6" t="s">
        <v>2036</v>
      </c>
      <c r="I162" s="6">
        <v>1</v>
      </c>
      <c r="J162" s="6">
        <v>1</v>
      </c>
      <c r="K162" s="6">
        <v>1</v>
      </c>
      <c r="L162" s="6">
        <v>1.08</v>
      </c>
      <c r="M162" s="6">
        <v>1.08</v>
      </c>
      <c r="N162" s="6">
        <v>0</v>
      </c>
      <c r="O162" s="6">
        <v>0</v>
      </c>
    </row>
    <row r="163" spans="1:15" hidden="1">
      <c r="A163" s="6" t="s">
        <v>1786</v>
      </c>
      <c r="B163" s="6" t="s">
        <v>1787</v>
      </c>
      <c r="C163" s="6" t="s">
        <v>88</v>
      </c>
      <c r="D163" s="6" t="s">
        <v>2012</v>
      </c>
      <c r="E163" s="6" t="s">
        <v>2016</v>
      </c>
      <c r="F163" s="6" t="s">
        <v>2023</v>
      </c>
      <c r="G163" s="6" t="s">
        <v>1790</v>
      </c>
      <c r="H163" s="6" t="s">
        <v>2037</v>
      </c>
      <c r="I163" s="6">
        <v>1</v>
      </c>
      <c r="J163" s="6">
        <v>1</v>
      </c>
      <c r="K163" s="6">
        <v>1</v>
      </c>
      <c r="L163" s="6">
        <v>0.04</v>
      </c>
      <c r="M163" s="6">
        <v>0.04</v>
      </c>
      <c r="N163" s="6">
        <v>1</v>
      </c>
      <c r="O163" s="6">
        <v>1</v>
      </c>
    </row>
    <row r="164" spans="1:15" hidden="1">
      <c r="A164" s="6" t="s">
        <v>1786</v>
      </c>
      <c r="B164" s="6" t="s">
        <v>1787</v>
      </c>
      <c r="C164" s="6" t="s">
        <v>88</v>
      </c>
      <c r="D164" s="6" t="s">
        <v>2012</v>
      </c>
      <c r="E164" s="6" t="s">
        <v>2016</v>
      </c>
      <c r="F164" s="6" t="s">
        <v>2023</v>
      </c>
      <c r="G164" s="6" t="s">
        <v>1790</v>
      </c>
      <c r="H164" s="6" t="s">
        <v>2038</v>
      </c>
      <c r="I164" s="6">
        <v>1</v>
      </c>
      <c r="J164" s="6">
        <v>0</v>
      </c>
      <c r="K164" s="6">
        <v>0</v>
      </c>
      <c r="L164" s="6">
        <v>0</v>
      </c>
      <c r="M164" s="6">
        <v>0</v>
      </c>
      <c r="N164" s="6">
        <v>1</v>
      </c>
      <c r="O164" s="6">
        <v>1</v>
      </c>
    </row>
    <row r="165" spans="1:15" hidden="1">
      <c r="A165" s="6" t="s">
        <v>1786</v>
      </c>
      <c r="B165" s="6" t="s">
        <v>1787</v>
      </c>
      <c r="C165" s="6" t="s">
        <v>88</v>
      </c>
      <c r="D165" s="6" t="s">
        <v>2012</v>
      </c>
      <c r="E165" s="6" t="s">
        <v>2016</v>
      </c>
      <c r="F165" s="6" t="s">
        <v>2023</v>
      </c>
      <c r="G165" s="6" t="s">
        <v>1790</v>
      </c>
      <c r="H165" s="6" t="s">
        <v>2039</v>
      </c>
      <c r="I165" s="6">
        <v>2</v>
      </c>
      <c r="J165" s="6">
        <v>0</v>
      </c>
      <c r="K165" s="6">
        <v>0</v>
      </c>
      <c r="L165" s="6">
        <v>0</v>
      </c>
      <c r="M165" s="6">
        <v>0</v>
      </c>
      <c r="N165" s="6">
        <v>0.5</v>
      </c>
      <c r="O165" s="6">
        <v>0.5</v>
      </c>
    </row>
    <row r="166" spans="1:15" hidden="1">
      <c r="A166" s="6" t="s">
        <v>1786</v>
      </c>
      <c r="B166" s="6" t="s">
        <v>1787</v>
      </c>
      <c r="C166" s="6" t="s">
        <v>88</v>
      </c>
      <c r="D166" s="6" t="s">
        <v>2012</v>
      </c>
      <c r="E166" s="6" t="s">
        <v>2016</v>
      </c>
      <c r="F166" s="6" t="s">
        <v>2023</v>
      </c>
      <c r="G166" s="6" t="s">
        <v>1790</v>
      </c>
      <c r="H166" s="6" t="s">
        <v>2040</v>
      </c>
      <c r="I166" s="6">
        <v>4</v>
      </c>
      <c r="J166" s="6">
        <v>1</v>
      </c>
      <c r="K166" s="6">
        <v>0.25</v>
      </c>
      <c r="L166" s="6">
        <v>0.4</v>
      </c>
      <c r="M166" s="6">
        <v>0.4</v>
      </c>
      <c r="N166" s="6">
        <v>1</v>
      </c>
      <c r="O166" s="6">
        <v>1</v>
      </c>
    </row>
    <row r="167" spans="1:15" hidden="1">
      <c r="A167" s="6" t="s">
        <v>1786</v>
      </c>
      <c r="B167" s="6" t="s">
        <v>1787</v>
      </c>
      <c r="C167" s="6" t="s">
        <v>88</v>
      </c>
      <c r="D167" s="6" t="s">
        <v>2012</v>
      </c>
      <c r="E167" s="6" t="s">
        <v>2016</v>
      </c>
      <c r="F167" s="6" t="s">
        <v>2023</v>
      </c>
      <c r="G167" s="6" t="s">
        <v>1790</v>
      </c>
      <c r="H167" s="6" t="s">
        <v>2041</v>
      </c>
      <c r="I167" s="6">
        <v>1</v>
      </c>
      <c r="J167" s="6">
        <v>0</v>
      </c>
      <c r="K167" s="6">
        <v>0</v>
      </c>
      <c r="L167" s="6">
        <v>0</v>
      </c>
      <c r="M167" s="6">
        <v>0</v>
      </c>
      <c r="N167" s="6">
        <v>1</v>
      </c>
      <c r="O167" s="6">
        <v>1</v>
      </c>
    </row>
    <row r="168" spans="1:15" hidden="1">
      <c r="A168" s="6" t="s">
        <v>1786</v>
      </c>
      <c r="B168" s="6" t="s">
        <v>1787</v>
      </c>
      <c r="C168" s="6" t="s">
        <v>88</v>
      </c>
      <c r="D168" s="6" t="s">
        <v>2012</v>
      </c>
      <c r="E168" s="6" t="s">
        <v>2016</v>
      </c>
      <c r="F168" s="6" t="s">
        <v>2023</v>
      </c>
      <c r="G168" s="6" t="s">
        <v>1790</v>
      </c>
      <c r="H168" s="6" t="s">
        <v>2042</v>
      </c>
      <c r="I168" s="6">
        <v>2</v>
      </c>
      <c r="J168" s="6">
        <v>0</v>
      </c>
      <c r="K168" s="6">
        <v>0</v>
      </c>
      <c r="L168" s="6">
        <v>0</v>
      </c>
      <c r="M168" s="6">
        <v>0</v>
      </c>
      <c r="N168" s="6">
        <v>0</v>
      </c>
      <c r="O168" s="6">
        <v>0</v>
      </c>
    </row>
    <row r="169" spans="1:15" hidden="1">
      <c r="A169" s="6" t="s">
        <v>1786</v>
      </c>
      <c r="B169" s="6" t="s">
        <v>1787</v>
      </c>
      <c r="C169" s="6" t="s">
        <v>88</v>
      </c>
      <c r="D169" s="6" t="s">
        <v>2012</v>
      </c>
      <c r="E169" s="6" t="s">
        <v>2016</v>
      </c>
      <c r="F169" s="6" t="s">
        <v>2023</v>
      </c>
      <c r="G169" s="6" t="s">
        <v>1790</v>
      </c>
      <c r="H169" s="6" t="s">
        <v>2043</v>
      </c>
      <c r="I169" s="6">
        <v>2</v>
      </c>
      <c r="J169" s="6">
        <v>0</v>
      </c>
      <c r="K169" s="6">
        <v>0</v>
      </c>
      <c r="L169" s="6">
        <v>0</v>
      </c>
      <c r="M169" s="6">
        <v>0</v>
      </c>
      <c r="N169" s="6">
        <v>1</v>
      </c>
      <c r="O169" s="6">
        <v>1</v>
      </c>
    </row>
    <row r="170" spans="1:15" hidden="1">
      <c r="A170" s="6" t="s">
        <v>1786</v>
      </c>
      <c r="B170" s="6" t="s">
        <v>1787</v>
      </c>
      <c r="C170" s="6" t="s">
        <v>88</v>
      </c>
      <c r="D170" s="6" t="s">
        <v>2012</v>
      </c>
      <c r="E170" s="6" t="s">
        <v>2016</v>
      </c>
      <c r="F170" s="6" t="s">
        <v>2023</v>
      </c>
      <c r="G170" s="6" t="s">
        <v>1790</v>
      </c>
      <c r="H170" s="6" t="s">
        <v>2023</v>
      </c>
      <c r="I170" s="6">
        <v>4</v>
      </c>
      <c r="J170" s="6">
        <v>0</v>
      </c>
      <c r="K170" s="6">
        <v>0</v>
      </c>
      <c r="L170" s="6">
        <v>0</v>
      </c>
      <c r="M170" s="6">
        <v>0</v>
      </c>
      <c r="N170" s="6">
        <v>1</v>
      </c>
      <c r="O170" s="6">
        <v>1</v>
      </c>
    </row>
    <row r="171" spans="1:15" hidden="1">
      <c r="A171" s="6" t="s">
        <v>1786</v>
      </c>
      <c r="B171" s="6" t="s">
        <v>1787</v>
      </c>
      <c r="C171" s="6" t="s">
        <v>88</v>
      </c>
      <c r="D171" s="6" t="s">
        <v>2012</v>
      </c>
      <c r="E171" s="6" t="s">
        <v>2016</v>
      </c>
      <c r="F171" s="6" t="s">
        <v>2044</v>
      </c>
      <c r="G171" s="6" t="s">
        <v>1790</v>
      </c>
      <c r="H171" s="6" t="s">
        <v>2044</v>
      </c>
      <c r="I171" s="6">
        <v>1</v>
      </c>
      <c r="J171" s="6">
        <v>0</v>
      </c>
      <c r="K171" s="6">
        <v>0</v>
      </c>
      <c r="L171" s="6">
        <v>0</v>
      </c>
      <c r="M171" s="6">
        <v>0</v>
      </c>
      <c r="N171" s="6">
        <v>0</v>
      </c>
      <c r="O171" s="6">
        <v>0</v>
      </c>
    </row>
    <row r="172" spans="1:15" hidden="1">
      <c r="A172" s="6" t="s">
        <v>1786</v>
      </c>
      <c r="B172" s="6" t="s">
        <v>1787</v>
      </c>
      <c r="C172" s="6" t="s">
        <v>88</v>
      </c>
      <c r="D172" s="6" t="s">
        <v>2012</v>
      </c>
      <c r="E172" s="6" t="s">
        <v>2016</v>
      </c>
      <c r="F172" s="6" t="s">
        <v>2045</v>
      </c>
      <c r="G172" s="6" t="s">
        <v>1790</v>
      </c>
      <c r="H172" s="6" t="s">
        <v>2046</v>
      </c>
      <c r="I172" s="6">
        <v>1</v>
      </c>
      <c r="J172" s="6">
        <v>1</v>
      </c>
      <c r="K172" s="6">
        <v>1</v>
      </c>
      <c r="L172" s="6">
        <v>0.1</v>
      </c>
      <c r="M172" s="6">
        <v>0.1</v>
      </c>
      <c r="N172" s="6">
        <v>1</v>
      </c>
      <c r="O172" s="6">
        <v>1</v>
      </c>
    </row>
    <row r="173" spans="1:15" hidden="1">
      <c r="A173" s="6" t="s">
        <v>1786</v>
      </c>
      <c r="B173" s="6" t="s">
        <v>1787</v>
      </c>
      <c r="C173" s="6" t="s">
        <v>88</v>
      </c>
      <c r="D173" s="6" t="s">
        <v>2012</v>
      </c>
      <c r="E173" s="6" t="s">
        <v>2016</v>
      </c>
      <c r="F173" s="6" t="s">
        <v>2047</v>
      </c>
      <c r="G173" s="6" t="s">
        <v>1790</v>
      </c>
      <c r="H173" s="6" t="s">
        <v>2047</v>
      </c>
      <c r="I173" s="6">
        <v>5</v>
      </c>
      <c r="J173" s="6">
        <v>0</v>
      </c>
      <c r="K173" s="6">
        <v>0</v>
      </c>
      <c r="L173" s="6">
        <v>0</v>
      </c>
      <c r="M173" s="6">
        <v>0</v>
      </c>
      <c r="N173" s="6">
        <v>1</v>
      </c>
      <c r="O173" s="6">
        <v>1</v>
      </c>
    </row>
    <row r="174" spans="1:15" hidden="1">
      <c r="A174" s="6" t="s">
        <v>1786</v>
      </c>
      <c r="B174" s="6" t="s">
        <v>1787</v>
      </c>
      <c r="C174" s="6" t="s">
        <v>88</v>
      </c>
      <c r="D174" s="6" t="s">
        <v>2012</v>
      </c>
      <c r="E174" s="6" t="s">
        <v>2016</v>
      </c>
      <c r="F174" s="6" t="s">
        <v>2048</v>
      </c>
      <c r="G174" s="6" t="s">
        <v>1790</v>
      </c>
      <c r="H174" s="6" t="s">
        <v>2049</v>
      </c>
      <c r="I174" s="6">
        <v>4</v>
      </c>
      <c r="J174" s="6">
        <v>0</v>
      </c>
      <c r="K174" s="6">
        <v>0</v>
      </c>
      <c r="L174" s="6">
        <v>0</v>
      </c>
      <c r="M174" s="6">
        <v>0</v>
      </c>
      <c r="N174" s="6">
        <v>0.33329999999999999</v>
      </c>
      <c r="O174" s="6">
        <v>0.33329999999999999</v>
      </c>
    </row>
    <row r="175" spans="1:15" hidden="1">
      <c r="A175" s="6" t="s">
        <v>1786</v>
      </c>
      <c r="B175" s="6" t="s">
        <v>1787</v>
      </c>
      <c r="C175" s="6" t="s">
        <v>88</v>
      </c>
      <c r="D175" s="6" t="s">
        <v>2012</v>
      </c>
      <c r="E175" s="6" t="s">
        <v>2016</v>
      </c>
      <c r="F175" s="6" t="s">
        <v>2048</v>
      </c>
      <c r="G175" s="6" t="s">
        <v>1790</v>
      </c>
      <c r="H175" s="6" t="s">
        <v>2048</v>
      </c>
      <c r="I175" s="6">
        <v>2</v>
      </c>
      <c r="J175" s="6">
        <v>0</v>
      </c>
      <c r="K175" s="6">
        <v>0</v>
      </c>
      <c r="L175" s="6">
        <v>0</v>
      </c>
      <c r="M175" s="6">
        <v>0</v>
      </c>
      <c r="N175" s="6">
        <v>1</v>
      </c>
      <c r="O175" s="6">
        <v>1</v>
      </c>
    </row>
    <row r="176" spans="1:15" hidden="1">
      <c r="A176" s="6" t="s">
        <v>1786</v>
      </c>
      <c r="B176" s="6" t="s">
        <v>1787</v>
      </c>
      <c r="C176" s="6" t="s">
        <v>88</v>
      </c>
      <c r="D176" s="6" t="s">
        <v>2012</v>
      </c>
      <c r="E176" s="6" t="s">
        <v>2016</v>
      </c>
      <c r="F176" s="6" t="s">
        <v>2050</v>
      </c>
      <c r="G176" s="6" t="s">
        <v>1790</v>
      </c>
      <c r="H176" s="6" t="s">
        <v>2050</v>
      </c>
      <c r="I176" s="6">
        <v>1</v>
      </c>
      <c r="J176" s="6">
        <v>0</v>
      </c>
      <c r="K176" s="6">
        <v>0</v>
      </c>
      <c r="L176" s="6">
        <v>0</v>
      </c>
      <c r="M176" s="6">
        <v>0</v>
      </c>
      <c r="N176" s="6">
        <v>0</v>
      </c>
      <c r="O176" s="6">
        <v>0</v>
      </c>
    </row>
    <row r="177" spans="1:15" hidden="1">
      <c r="A177" s="6" t="s">
        <v>1786</v>
      </c>
      <c r="B177" s="6" t="s">
        <v>1787</v>
      </c>
      <c r="C177" s="6" t="s">
        <v>88</v>
      </c>
      <c r="D177" s="6" t="s">
        <v>2012</v>
      </c>
      <c r="E177" s="6" t="s">
        <v>2016</v>
      </c>
      <c r="F177" s="6" t="s">
        <v>2051</v>
      </c>
      <c r="G177" s="6" t="s">
        <v>1790</v>
      </c>
      <c r="H177" s="6" t="s">
        <v>2052</v>
      </c>
      <c r="I177" s="6">
        <v>1</v>
      </c>
      <c r="J177" s="6">
        <v>0</v>
      </c>
      <c r="K177" s="6">
        <v>0</v>
      </c>
      <c r="L177" s="6">
        <v>0</v>
      </c>
      <c r="M177" s="6">
        <v>0</v>
      </c>
      <c r="N177" s="6">
        <v>1</v>
      </c>
      <c r="O177" s="6">
        <v>0</v>
      </c>
    </row>
    <row r="178" spans="1:15" hidden="1">
      <c r="A178" s="6" t="s">
        <v>1786</v>
      </c>
      <c r="B178" s="6" t="s">
        <v>1787</v>
      </c>
      <c r="C178" s="6" t="s">
        <v>88</v>
      </c>
      <c r="D178" s="6" t="s">
        <v>2012</v>
      </c>
      <c r="E178" s="6" t="s">
        <v>2016</v>
      </c>
      <c r="F178" s="6" t="s">
        <v>2053</v>
      </c>
      <c r="G178" s="6" t="s">
        <v>1790</v>
      </c>
      <c r="H178" s="6" t="s">
        <v>2054</v>
      </c>
      <c r="I178" s="6">
        <v>2</v>
      </c>
      <c r="J178" s="6">
        <v>0</v>
      </c>
      <c r="K178" s="6">
        <v>0</v>
      </c>
      <c r="L178" s="6">
        <v>0</v>
      </c>
      <c r="M178" s="6">
        <v>0</v>
      </c>
      <c r="N178" s="6">
        <v>1</v>
      </c>
      <c r="O178" s="6">
        <v>1</v>
      </c>
    </row>
    <row r="179" spans="1:15" hidden="1">
      <c r="A179" s="6" t="s">
        <v>1786</v>
      </c>
      <c r="B179" s="6" t="s">
        <v>1787</v>
      </c>
      <c r="C179" s="6" t="s">
        <v>88</v>
      </c>
      <c r="D179" s="6" t="s">
        <v>2012</v>
      </c>
      <c r="E179" s="6" t="s">
        <v>2016</v>
      </c>
      <c r="F179" s="6" t="s">
        <v>2055</v>
      </c>
      <c r="G179" s="6" t="s">
        <v>1790</v>
      </c>
      <c r="H179" s="6" t="s">
        <v>2055</v>
      </c>
      <c r="I179" s="6">
        <v>2</v>
      </c>
      <c r="J179" s="6">
        <v>0</v>
      </c>
      <c r="K179" s="6">
        <v>0</v>
      </c>
      <c r="L179" s="6">
        <v>0</v>
      </c>
      <c r="M179" s="6">
        <v>0</v>
      </c>
      <c r="N179" s="6">
        <v>1</v>
      </c>
      <c r="O179" s="6">
        <v>1</v>
      </c>
    </row>
    <row r="180" spans="1:15" hidden="1">
      <c r="A180" s="6" t="s">
        <v>1786</v>
      </c>
      <c r="B180" s="6" t="s">
        <v>1787</v>
      </c>
      <c r="C180" s="6" t="s">
        <v>88</v>
      </c>
      <c r="D180" s="6" t="s">
        <v>2012</v>
      </c>
      <c r="E180" s="6" t="s">
        <v>2016</v>
      </c>
      <c r="F180" s="6" t="s">
        <v>2056</v>
      </c>
      <c r="G180" s="6" t="s">
        <v>1790</v>
      </c>
      <c r="H180" s="6" t="s">
        <v>2057</v>
      </c>
      <c r="I180" s="6">
        <v>7</v>
      </c>
      <c r="J180" s="6">
        <v>0</v>
      </c>
      <c r="K180" s="6">
        <v>0</v>
      </c>
      <c r="L180" s="6">
        <v>0</v>
      </c>
      <c r="M180" s="6">
        <v>0</v>
      </c>
      <c r="N180" s="6">
        <v>1</v>
      </c>
      <c r="O180" s="6">
        <v>1</v>
      </c>
    </row>
    <row r="181" spans="1:15" hidden="1">
      <c r="A181" s="6" t="s">
        <v>1786</v>
      </c>
      <c r="B181" s="6" t="s">
        <v>1787</v>
      </c>
      <c r="C181" s="6" t="s">
        <v>88</v>
      </c>
      <c r="D181" s="6" t="s">
        <v>2012</v>
      </c>
      <c r="E181" s="6" t="s">
        <v>2016</v>
      </c>
      <c r="F181" s="6" t="s">
        <v>2058</v>
      </c>
      <c r="G181" s="6" t="s">
        <v>1790</v>
      </c>
      <c r="H181" s="6" t="s">
        <v>2058</v>
      </c>
      <c r="I181" s="6">
        <v>4</v>
      </c>
      <c r="J181" s="6">
        <v>0</v>
      </c>
      <c r="K181" s="6">
        <v>0</v>
      </c>
      <c r="L181" s="6">
        <v>0</v>
      </c>
      <c r="M181" s="6">
        <v>0</v>
      </c>
      <c r="N181" s="6">
        <v>1</v>
      </c>
      <c r="O181" s="6">
        <v>1</v>
      </c>
    </row>
    <row r="182" spans="1:15" hidden="1">
      <c r="A182" s="6" t="s">
        <v>1786</v>
      </c>
      <c r="B182" s="6" t="s">
        <v>1787</v>
      </c>
      <c r="C182" s="6" t="s">
        <v>88</v>
      </c>
      <c r="D182" s="6" t="s">
        <v>2012</v>
      </c>
      <c r="E182" s="6" t="s">
        <v>2016</v>
      </c>
      <c r="F182" s="6" t="s">
        <v>2059</v>
      </c>
      <c r="G182" s="6" t="s">
        <v>1790</v>
      </c>
      <c r="H182" s="6" t="s">
        <v>2060</v>
      </c>
      <c r="I182" s="6">
        <v>1</v>
      </c>
      <c r="J182" s="6">
        <v>0</v>
      </c>
      <c r="K182" s="6">
        <v>0</v>
      </c>
      <c r="L182" s="6">
        <v>0</v>
      </c>
      <c r="M182" s="6">
        <v>0</v>
      </c>
      <c r="N182" s="6">
        <v>0</v>
      </c>
      <c r="O182" s="6">
        <v>0</v>
      </c>
    </row>
    <row r="183" spans="1:15" hidden="1">
      <c r="A183" s="6" t="s">
        <v>1786</v>
      </c>
      <c r="B183" s="6" t="s">
        <v>1787</v>
      </c>
      <c r="C183" s="6" t="s">
        <v>88</v>
      </c>
      <c r="D183" s="6" t="s">
        <v>2012</v>
      </c>
      <c r="E183" s="6" t="s">
        <v>2016</v>
      </c>
      <c r="F183" s="6" t="s">
        <v>2061</v>
      </c>
      <c r="G183" s="6" t="s">
        <v>1790</v>
      </c>
      <c r="H183" s="6" t="s">
        <v>2062</v>
      </c>
      <c r="I183" s="6">
        <v>2</v>
      </c>
      <c r="J183" s="6">
        <v>0</v>
      </c>
      <c r="K183" s="6">
        <v>0</v>
      </c>
      <c r="L183" s="6">
        <v>0</v>
      </c>
      <c r="M183" s="6">
        <v>0</v>
      </c>
      <c r="N183" s="6">
        <v>1</v>
      </c>
      <c r="O183" s="6">
        <v>1</v>
      </c>
    </row>
    <row r="184" spans="1:15" hidden="1">
      <c r="A184" s="6" t="s">
        <v>1786</v>
      </c>
      <c r="B184" s="6" t="s">
        <v>1787</v>
      </c>
      <c r="C184" s="6" t="s">
        <v>88</v>
      </c>
      <c r="D184" s="6" t="s">
        <v>2012</v>
      </c>
      <c r="E184" s="6" t="s">
        <v>2016</v>
      </c>
      <c r="F184" s="6" t="s">
        <v>2063</v>
      </c>
      <c r="G184" s="6" t="s">
        <v>1790</v>
      </c>
      <c r="H184" s="6" t="s">
        <v>2064</v>
      </c>
      <c r="I184" s="6">
        <v>1</v>
      </c>
      <c r="J184" s="6">
        <v>0</v>
      </c>
      <c r="K184" s="6">
        <v>0</v>
      </c>
      <c r="L184" s="6">
        <v>0</v>
      </c>
      <c r="M184" s="6">
        <v>0</v>
      </c>
      <c r="N184" s="6">
        <v>0</v>
      </c>
      <c r="O184" s="6">
        <v>0</v>
      </c>
    </row>
    <row r="185" spans="1:15" hidden="1">
      <c r="A185" s="6" t="s">
        <v>1786</v>
      </c>
      <c r="B185" s="6" t="s">
        <v>1787</v>
      </c>
      <c r="C185" s="6" t="s">
        <v>88</v>
      </c>
      <c r="D185" s="6" t="s">
        <v>2012</v>
      </c>
      <c r="E185" s="6" t="s">
        <v>2016</v>
      </c>
      <c r="F185" s="6" t="s">
        <v>2065</v>
      </c>
      <c r="G185" s="6" t="s">
        <v>1790</v>
      </c>
      <c r="H185" s="6" t="s">
        <v>2066</v>
      </c>
      <c r="I185" s="6">
        <v>1</v>
      </c>
      <c r="J185" s="6">
        <v>0</v>
      </c>
      <c r="K185" s="6">
        <v>0</v>
      </c>
      <c r="L185" s="6">
        <v>0</v>
      </c>
      <c r="M185" s="6">
        <v>0</v>
      </c>
      <c r="N185" s="6">
        <v>1</v>
      </c>
      <c r="O185" s="6">
        <v>1</v>
      </c>
    </row>
    <row r="186" spans="1:15" hidden="1">
      <c r="A186" s="6" t="s">
        <v>1786</v>
      </c>
      <c r="B186" s="6" t="s">
        <v>1787</v>
      </c>
      <c r="C186" s="6" t="s">
        <v>88</v>
      </c>
      <c r="D186" s="6" t="s">
        <v>2012</v>
      </c>
      <c r="E186" s="6" t="s">
        <v>2016</v>
      </c>
      <c r="F186" s="6" t="s">
        <v>2067</v>
      </c>
      <c r="G186" s="6" t="s">
        <v>1790</v>
      </c>
      <c r="H186" s="6" t="s">
        <v>2068</v>
      </c>
      <c r="I186" s="6">
        <v>1</v>
      </c>
      <c r="J186" s="6">
        <v>0</v>
      </c>
      <c r="K186" s="6">
        <v>0</v>
      </c>
      <c r="L186" s="6">
        <v>0</v>
      </c>
      <c r="M186" s="6">
        <v>0</v>
      </c>
      <c r="N186" s="6">
        <v>0</v>
      </c>
      <c r="O186" s="6">
        <v>0</v>
      </c>
    </row>
    <row r="187" spans="1:15" hidden="1">
      <c r="A187" s="6" t="s">
        <v>1786</v>
      </c>
      <c r="B187" s="6" t="s">
        <v>1787</v>
      </c>
      <c r="C187" s="6" t="s">
        <v>88</v>
      </c>
      <c r="D187" s="6" t="s">
        <v>2012</v>
      </c>
      <c r="E187" s="6" t="s">
        <v>2016</v>
      </c>
      <c r="F187" s="6" t="s">
        <v>2069</v>
      </c>
      <c r="G187" s="6" t="s">
        <v>1790</v>
      </c>
      <c r="H187" s="6" t="s">
        <v>2070</v>
      </c>
      <c r="I187" s="6">
        <v>2</v>
      </c>
      <c r="J187" s="6">
        <v>0</v>
      </c>
      <c r="K187" s="6">
        <v>0</v>
      </c>
      <c r="L187" s="6">
        <v>0</v>
      </c>
      <c r="M187" s="6">
        <v>0</v>
      </c>
      <c r="N187" s="6">
        <v>1</v>
      </c>
      <c r="O187" s="6">
        <v>1</v>
      </c>
    </row>
    <row r="188" spans="1:15" hidden="1">
      <c r="A188" s="6" t="s">
        <v>1786</v>
      </c>
      <c r="B188" s="6" t="s">
        <v>1787</v>
      </c>
      <c r="C188" s="6" t="s">
        <v>88</v>
      </c>
      <c r="D188" s="6" t="s">
        <v>2012</v>
      </c>
      <c r="E188" s="6" t="s">
        <v>2071</v>
      </c>
      <c r="F188" s="6" t="s">
        <v>1926</v>
      </c>
      <c r="G188" s="6" t="s">
        <v>1790</v>
      </c>
      <c r="H188" s="6" t="s">
        <v>1926</v>
      </c>
      <c r="I188" s="6">
        <v>2</v>
      </c>
      <c r="J188" s="6">
        <v>0</v>
      </c>
      <c r="K188" s="6">
        <v>0</v>
      </c>
      <c r="L188" s="6">
        <v>0</v>
      </c>
      <c r="M188" s="6">
        <v>0</v>
      </c>
      <c r="N188" s="6">
        <v>1</v>
      </c>
      <c r="O188" s="6">
        <v>1</v>
      </c>
    </row>
    <row r="189" spans="1:15" hidden="1">
      <c r="A189" s="6" t="s">
        <v>1786</v>
      </c>
      <c r="B189" s="6" t="s">
        <v>1787</v>
      </c>
      <c r="C189" s="6" t="s">
        <v>88</v>
      </c>
      <c r="D189" s="6" t="s">
        <v>2012</v>
      </c>
      <c r="E189" s="6" t="s">
        <v>2072</v>
      </c>
      <c r="F189" s="6" t="s">
        <v>2073</v>
      </c>
      <c r="G189" s="6" t="s">
        <v>1790</v>
      </c>
      <c r="H189" s="6" t="s">
        <v>2074</v>
      </c>
      <c r="I189" s="6">
        <v>2</v>
      </c>
      <c r="J189" s="6">
        <v>0</v>
      </c>
      <c r="K189" s="6">
        <v>0</v>
      </c>
      <c r="L189" s="6">
        <v>0</v>
      </c>
      <c r="M189" s="6">
        <v>0</v>
      </c>
      <c r="N189" s="6">
        <v>0</v>
      </c>
      <c r="O189" s="6">
        <v>0</v>
      </c>
    </row>
    <row r="190" spans="1:15" hidden="1">
      <c r="A190" s="6" t="s">
        <v>1786</v>
      </c>
      <c r="B190" s="6" t="s">
        <v>1787</v>
      </c>
      <c r="C190" s="6" t="s">
        <v>88</v>
      </c>
      <c r="D190" s="6" t="s">
        <v>2012</v>
      </c>
      <c r="E190" s="6" t="s">
        <v>2072</v>
      </c>
      <c r="F190" s="6" t="s">
        <v>2075</v>
      </c>
      <c r="G190" s="6" t="s">
        <v>1790</v>
      </c>
      <c r="H190" s="6" t="s">
        <v>2076</v>
      </c>
      <c r="I190" s="6">
        <v>1</v>
      </c>
      <c r="J190" s="6">
        <v>1</v>
      </c>
      <c r="K190" s="6">
        <v>1</v>
      </c>
      <c r="L190" s="6">
        <v>0.62</v>
      </c>
      <c r="M190" s="6">
        <v>0.62</v>
      </c>
      <c r="N190" s="6">
        <v>1</v>
      </c>
      <c r="O190" s="6">
        <v>1</v>
      </c>
    </row>
    <row r="191" spans="1:15" hidden="1">
      <c r="A191" s="6" t="s">
        <v>1786</v>
      </c>
      <c r="B191" s="6" t="s">
        <v>1787</v>
      </c>
      <c r="C191" s="6" t="s">
        <v>88</v>
      </c>
      <c r="D191" s="6" t="s">
        <v>2012</v>
      </c>
      <c r="E191" s="6" t="s">
        <v>2077</v>
      </c>
      <c r="F191" s="6" t="s">
        <v>2078</v>
      </c>
      <c r="G191" s="6" t="s">
        <v>1790</v>
      </c>
      <c r="H191" s="6" t="s">
        <v>2079</v>
      </c>
      <c r="I191" s="6">
        <v>1</v>
      </c>
      <c r="J191" s="6">
        <v>0</v>
      </c>
      <c r="K191" s="6">
        <v>0</v>
      </c>
      <c r="L191" s="6">
        <v>0</v>
      </c>
      <c r="M191" s="6">
        <v>0</v>
      </c>
      <c r="N191" s="6">
        <v>0</v>
      </c>
      <c r="O191" s="6">
        <v>0</v>
      </c>
    </row>
    <row r="192" spans="1:15" hidden="1">
      <c r="A192" s="6" t="s">
        <v>1786</v>
      </c>
      <c r="B192" s="6" t="s">
        <v>1787</v>
      </c>
      <c r="C192" s="6" t="s">
        <v>88</v>
      </c>
      <c r="D192" s="6" t="s">
        <v>2080</v>
      </c>
      <c r="E192" s="6" t="s">
        <v>2016</v>
      </c>
      <c r="G192" s="6" t="s">
        <v>1790</v>
      </c>
      <c r="H192" s="6" t="s">
        <v>2081</v>
      </c>
      <c r="I192" s="6">
        <v>2</v>
      </c>
      <c r="J192" s="6">
        <v>0</v>
      </c>
      <c r="K192" s="6">
        <v>0</v>
      </c>
      <c r="L192" s="6">
        <v>0</v>
      </c>
      <c r="M192" s="6">
        <v>0</v>
      </c>
      <c r="N192" s="6">
        <v>1</v>
      </c>
      <c r="O192" s="6">
        <v>1</v>
      </c>
    </row>
    <row r="193" spans="1:15" hidden="1">
      <c r="A193" s="6" t="s">
        <v>1786</v>
      </c>
      <c r="B193" s="6" t="s">
        <v>1787</v>
      </c>
      <c r="C193" s="6" t="s">
        <v>88</v>
      </c>
      <c r="D193" s="6" t="s">
        <v>2080</v>
      </c>
      <c r="E193" s="6" t="s">
        <v>2016</v>
      </c>
      <c r="F193" s="6" t="s">
        <v>2082</v>
      </c>
      <c r="G193" s="6" t="s">
        <v>1790</v>
      </c>
      <c r="H193" s="6" t="s">
        <v>2083</v>
      </c>
      <c r="I193" s="6">
        <v>1</v>
      </c>
      <c r="J193" s="6">
        <v>0</v>
      </c>
      <c r="K193" s="6">
        <v>0</v>
      </c>
      <c r="L193" s="6">
        <v>0</v>
      </c>
      <c r="M193" s="6">
        <v>0</v>
      </c>
      <c r="N193" s="6">
        <v>0</v>
      </c>
      <c r="O193" s="6">
        <v>0</v>
      </c>
    </row>
    <row r="194" spans="1:15" hidden="1">
      <c r="A194" s="6" t="s">
        <v>1786</v>
      </c>
      <c r="B194" s="6" t="s">
        <v>1787</v>
      </c>
      <c r="C194" s="6" t="s">
        <v>88</v>
      </c>
      <c r="D194" s="6" t="s">
        <v>2080</v>
      </c>
      <c r="E194" s="6" t="s">
        <v>2016</v>
      </c>
      <c r="F194" s="6" t="s">
        <v>2084</v>
      </c>
      <c r="G194" s="6" t="s">
        <v>1790</v>
      </c>
      <c r="H194" s="6" t="s">
        <v>2085</v>
      </c>
      <c r="I194" s="6">
        <v>2</v>
      </c>
      <c r="J194" s="6">
        <v>0</v>
      </c>
      <c r="K194" s="6">
        <v>0</v>
      </c>
      <c r="L194" s="6">
        <v>0</v>
      </c>
      <c r="M194" s="6">
        <v>0</v>
      </c>
      <c r="N194" s="6">
        <v>1</v>
      </c>
      <c r="O194" s="6">
        <v>1</v>
      </c>
    </row>
    <row r="195" spans="1:15" hidden="1">
      <c r="A195" s="6" t="s">
        <v>1786</v>
      </c>
      <c r="B195" s="6" t="s">
        <v>1787</v>
      </c>
      <c r="C195" s="6" t="s">
        <v>88</v>
      </c>
      <c r="D195" s="6" t="s">
        <v>2080</v>
      </c>
      <c r="E195" s="6" t="s">
        <v>2086</v>
      </c>
      <c r="F195" s="6" t="s">
        <v>2087</v>
      </c>
      <c r="G195" s="6" t="s">
        <v>1790</v>
      </c>
      <c r="H195" s="6" t="s">
        <v>2088</v>
      </c>
      <c r="I195" s="6">
        <v>1</v>
      </c>
      <c r="J195" s="6">
        <v>0</v>
      </c>
      <c r="K195" s="6">
        <v>0</v>
      </c>
      <c r="L195" s="6">
        <v>0</v>
      </c>
      <c r="M195" s="6">
        <v>0</v>
      </c>
      <c r="N195" s="6">
        <v>0</v>
      </c>
      <c r="O195" s="6">
        <v>0</v>
      </c>
    </row>
    <row r="196" spans="1:15" hidden="1">
      <c r="A196" s="6" t="s">
        <v>1786</v>
      </c>
      <c r="B196" s="6" t="s">
        <v>1787</v>
      </c>
      <c r="C196" s="6" t="s">
        <v>88</v>
      </c>
      <c r="D196" s="6" t="s">
        <v>2080</v>
      </c>
      <c r="E196" s="6" t="s">
        <v>2086</v>
      </c>
      <c r="F196" s="6" t="s">
        <v>2089</v>
      </c>
      <c r="G196" s="6" t="s">
        <v>1790</v>
      </c>
      <c r="H196" s="6" t="s">
        <v>2090</v>
      </c>
      <c r="I196" s="6">
        <v>3</v>
      </c>
      <c r="J196" s="6">
        <v>1</v>
      </c>
      <c r="K196" s="6">
        <v>0.33329999999999999</v>
      </c>
      <c r="L196" s="6">
        <v>1.99</v>
      </c>
      <c r="M196" s="6">
        <v>1.99</v>
      </c>
      <c r="N196" s="6">
        <v>0</v>
      </c>
      <c r="O196" s="6">
        <v>0</v>
      </c>
    </row>
    <row r="197" spans="1:15" hidden="1">
      <c r="A197" s="6" t="s">
        <v>1786</v>
      </c>
      <c r="B197" s="6" t="s">
        <v>1787</v>
      </c>
      <c r="C197" s="6" t="s">
        <v>88</v>
      </c>
      <c r="D197" s="6" t="s">
        <v>2080</v>
      </c>
      <c r="E197" s="6" t="s">
        <v>2091</v>
      </c>
      <c r="F197" s="6" t="s">
        <v>2092</v>
      </c>
      <c r="G197" s="6" t="s">
        <v>1790</v>
      </c>
      <c r="H197" s="6" t="s">
        <v>2093</v>
      </c>
      <c r="I197" s="6">
        <v>1</v>
      </c>
      <c r="J197" s="6">
        <v>0</v>
      </c>
      <c r="K197" s="6">
        <v>0</v>
      </c>
      <c r="L197" s="6">
        <v>0</v>
      </c>
      <c r="M197" s="6">
        <v>0</v>
      </c>
      <c r="N197" s="6">
        <v>0</v>
      </c>
      <c r="O197" s="6">
        <v>0</v>
      </c>
    </row>
    <row r="198" spans="1:15" hidden="1">
      <c r="A198" s="6" t="s">
        <v>1786</v>
      </c>
      <c r="B198" s="6" t="s">
        <v>1787</v>
      </c>
      <c r="C198" s="6" t="s">
        <v>88</v>
      </c>
      <c r="D198" s="6" t="s">
        <v>2080</v>
      </c>
      <c r="E198" s="6" t="s">
        <v>2091</v>
      </c>
      <c r="F198" s="6" t="s">
        <v>2094</v>
      </c>
      <c r="G198" s="6" t="s">
        <v>1790</v>
      </c>
      <c r="H198" s="6" t="s">
        <v>2095</v>
      </c>
      <c r="I198" s="6">
        <v>2</v>
      </c>
      <c r="J198" s="6">
        <v>1</v>
      </c>
      <c r="K198" s="6">
        <v>0.5</v>
      </c>
      <c r="L198" s="6">
        <v>0.26</v>
      </c>
      <c r="M198" s="6">
        <v>0.26</v>
      </c>
      <c r="N198" s="6">
        <v>1</v>
      </c>
      <c r="O198" s="6">
        <v>1</v>
      </c>
    </row>
    <row r="199" spans="1:15" hidden="1">
      <c r="A199" s="6" t="s">
        <v>1786</v>
      </c>
      <c r="B199" s="6" t="s">
        <v>1787</v>
      </c>
      <c r="C199" s="6" t="s">
        <v>88</v>
      </c>
      <c r="D199" s="6" t="s">
        <v>2080</v>
      </c>
      <c r="E199" s="6" t="s">
        <v>2091</v>
      </c>
      <c r="F199" s="6" t="s">
        <v>2094</v>
      </c>
      <c r="G199" s="6" t="s">
        <v>1790</v>
      </c>
      <c r="H199" s="6" t="s">
        <v>2096</v>
      </c>
      <c r="I199" s="6">
        <v>1</v>
      </c>
      <c r="J199" s="6">
        <v>0</v>
      </c>
      <c r="K199" s="6">
        <v>0</v>
      </c>
      <c r="L199" s="6">
        <v>0</v>
      </c>
      <c r="M199" s="6">
        <v>0</v>
      </c>
      <c r="N199" s="6">
        <v>0</v>
      </c>
      <c r="O199" s="6">
        <v>0</v>
      </c>
    </row>
    <row r="200" spans="1:15" hidden="1">
      <c r="A200" s="6" t="s">
        <v>1786</v>
      </c>
      <c r="B200" s="6" t="s">
        <v>1787</v>
      </c>
      <c r="C200" s="6" t="s">
        <v>88</v>
      </c>
      <c r="D200" s="6" t="s">
        <v>2080</v>
      </c>
      <c r="E200" s="6" t="s">
        <v>2091</v>
      </c>
      <c r="F200" s="6" t="s">
        <v>2097</v>
      </c>
      <c r="G200" s="6" t="s">
        <v>1790</v>
      </c>
      <c r="H200" s="6" t="s">
        <v>2098</v>
      </c>
      <c r="I200" s="6">
        <v>2</v>
      </c>
      <c r="J200" s="6">
        <v>1</v>
      </c>
      <c r="K200" s="6">
        <v>0.5</v>
      </c>
      <c r="L200" s="6">
        <v>0.57999999999999996</v>
      </c>
      <c r="M200" s="6">
        <v>0.57999999999999996</v>
      </c>
      <c r="N200" s="6">
        <v>1</v>
      </c>
      <c r="O200" s="6">
        <v>1</v>
      </c>
    </row>
    <row r="201" spans="1:15" hidden="1">
      <c r="A201" s="6" t="s">
        <v>1786</v>
      </c>
      <c r="B201" s="6" t="s">
        <v>1787</v>
      </c>
      <c r="C201" s="6" t="s">
        <v>88</v>
      </c>
      <c r="D201" s="6" t="s">
        <v>2080</v>
      </c>
      <c r="E201" s="6" t="s">
        <v>2099</v>
      </c>
      <c r="G201" s="6" t="s">
        <v>1790</v>
      </c>
      <c r="H201" s="6" t="s">
        <v>2100</v>
      </c>
      <c r="I201" s="6">
        <v>1</v>
      </c>
      <c r="J201" s="6">
        <v>0</v>
      </c>
      <c r="K201" s="6">
        <v>0</v>
      </c>
      <c r="L201" s="6">
        <v>0</v>
      </c>
      <c r="M201" s="6">
        <v>0</v>
      </c>
      <c r="N201" s="6">
        <v>1</v>
      </c>
      <c r="O201" s="6">
        <v>1</v>
      </c>
    </row>
    <row r="202" spans="1:15" hidden="1">
      <c r="A202" s="6" t="s">
        <v>1786</v>
      </c>
      <c r="B202" s="6" t="s">
        <v>1787</v>
      </c>
      <c r="C202" s="6" t="s">
        <v>88</v>
      </c>
      <c r="D202" s="6" t="s">
        <v>2080</v>
      </c>
      <c r="E202" s="6" t="s">
        <v>2101</v>
      </c>
      <c r="F202" s="6" t="s">
        <v>2102</v>
      </c>
      <c r="G202" s="6" t="s">
        <v>1790</v>
      </c>
      <c r="H202" s="6" t="s">
        <v>2103</v>
      </c>
      <c r="I202" s="6">
        <v>1</v>
      </c>
      <c r="J202" s="6">
        <v>0</v>
      </c>
      <c r="K202" s="6">
        <v>0</v>
      </c>
      <c r="L202" s="6">
        <v>0</v>
      </c>
      <c r="M202" s="6">
        <v>0</v>
      </c>
      <c r="N202" s="6">
        <v>1</v>
      </c>
      <c r="O202" s="6">
        <v>1</v>
      </c>
    </row>
    <row r="203" spans="1:15" hidden="1">
      <c r="A203" s="6" t="s">
        <v>1786</v>
      </c>
      <c r="B203" s="6" t="s">
        <v>1787</v>
      </c>
      <c r="C203" s="6" t="s">
        <v>88</v>
      </c>
      <c r="D203" s="6" t="s">
        <v>2080</v>
      </c>
      <c r="E203" s="6" t="s">
        <v>2101</v>
      </c>
      <c r="F203" s="6" t="s">
        <v>2104</v>
      </c>
      <c r="G203" s="6" t="s">
        <v>1790</v>
      </c>
      <c r="H203" s="6" t="s">
        <v>2105</v>
      </c>
      <c r="I203" s="6">
        <v>2</v>
      </c>
      <c r="J203" s="6">
        <v>0</v>
      </c>
      <c r="K203" s="6">
        <v>0</v>
      </c>
      <c r="L203" s="6">
        <v>0</v>
      </c>
      <c r="M203" s="6">
        <v>0</v>
      </c>
      <c r="N203" s="6">
        <v>1</v>
      </c>
      <c r="O203" s="6">
        <v>1</v>
      </c>
    </row>
    <row r="204" spans="1:15" hidden="1">
      <c r="A204" s="6" t="s">
        <v>1786</v>
      </c>
      <c r="B204" s="6" t="s">
        <v>1787</v>
      </c>
      <c r="C204" s="6" t="s">
        <v>88</v>
      </c>
      <c r="D204" s="6" t="s">
        <v>2106</v>
      </c>
      <c r="E204" s="6" t="s">
        <v>2107</v>
      </c>
      <c r="F204" s="6" t="s">
        <v>2108</v>
      </c>
      <c r="G204" s="6" t="s">
        <v>1790</v>
      </c>
      <c r="H204" s="6" t="s">
        <v>2109</v>
      </c>
      <c r="I204" s="6">
        <v>1</v>
      </c>
      <c r="J204" s="6">
        <v>0</v>
      </c>
      <c r="K204" s="6">
        <v>0</v>
      </c>
      <c r="L204" s="6">
        <v>0</v>
      </c>
      <c r="M204" s="6">
        <v>0</v>
      </c>
      <c r="N204" s="6">
        <v>0</v>
      </c>
      <c r="O204" s="6">
        <v>0</v>
      </c>
    </row>
    <row r="205" spans="1:15" hidden="1">
      <c r="A205" s="6" t="s">
        <v>1786</v>
      </c>
      <c r="B205" s="6" t="s">
        <v>1787</v>
      </c>
      <c r="C205" s="6" t="s">
        <v>88</v>
      </c>
      <c r="D205" s="6" t="s">
        <v>2106</v>
      </c>
      <c r="E205" s="6" t="s">
        <v>2110</v>
      </c>
      <c r="F205" s="6" t="s">
        <v>2111</v>
      </c>
      <c r="G205" s="6" t="s">
        <v>1790</v>
      </c>
      <c r="H205" s="6" t="s">
        <v>2112</v>
      </c>
      <c r="I205" s="6">
        <v>1</v>
      </c>
      <c r="J205" s="6">
        <v>0</v>
      </c>
      <c r="K205" s="6">
        <v>0</v>
      </c>
      <c r="L205" s="6">
        <v>0</v>
      </c>
      <c r="M205" s="6">
        <v>0</v>
      </c>
      <c r="N205" s="6">
        <v>0</v>
      </c>
      <c r="O205" s="6">
        <v>0</v>
      </c>
    </row>
    <row r="206" spans="1:15" hidden="1">
      <c r="A206" s="6" t="s">
        <v>1786</v>
      </c>
      <c r="B206" s="6" t="s">
        <v>1787</v>
      </c>
      <c r="C206" s="6" t="s">
        <v>88</v>
      </c>
      <c r="D206" s="6" t="s">
        <v>2106</v>
      </c>
      <c r="E206" s="6" t="s">
        <v>2113</v>
      </c>
      <c r="F206" s="6" t="s">
        <v>2114</v>
      </c>
      <c r="G206" s="6" t="s">
        <v>1790</v>
      </c>
      <c r="H206" s="6" t="s">
        <v>2115</v>
      </c>
      <c r="I206" s="6">
        <v>1</v>
      </c>
      <c r="J206" s="6">
        <v>0</v>
      </c>
      <c r="K206" s="6">
        <v>0</v>
      </c>
      <c r="L206" s="6">
        <v>0</v>
      </c>
      <c r="M206" s="6">
        <v>0</v>
      </c>
      <c r="N206" s="6">
        <v>0</v>
      </c>
      <c r="O206" s="6">
        <v>0</v>
      </c>
    </row>
    <row r="207" spans="1:15" hidden="1">
      <c r="A207" s="6" t="s">
        <v>1786</v>
      </c>
      <c r="B207" s="6" t="s">
        <v>1787</v>
      </c>
      <c r="C207" s="6" t="s">
        <v>88</v>
      </c>
      <c r="D207" s="6" t="s">
        <v>2106</v>
      </c>
      <c r="E207" s="6" t="s">
        <v>2113</v>
      </c>
      <c r="F207" s="6" t="s">
        <v>2114</v>
      </c>
      <c r="G207" s="6" t="s">
        <v>1790</v>
      </c>
      <c r="H207" s="6" t="s">
        <v>2116</v>
      </c>
      <c r="I207" s="6">
        <v>2</v>
      </c>
      <c r="J207" s="6">
        <v>0</v>
      </c>
      <c r="K207" s="6">
        <v>0</v>
      </c>
      <c r="L207" s="6">
        <v>0</v>
      </c>
      <c r="M207" s="6">
        <v>0</v>
      </c>
      <c r="N207" s="6">
        <v>0</v>
      </c>
      <c r="O207" s="6">
        <v>0</v>
      </c>
    </row>
    <row r="208" spans="1:15" hidden="1">
      <c r="A208" s="6" t="s">
        <v>1786</v>
      </c>
      <c r="B208" s="6" t="s">
        <v>1787</v>
      </c>
      <c r="C208" s="6" t="s">
        <v>88</v>
      </c>
      <c r="D208" s="6" t="s">
        <v>2106</v>
      </c>
      <c r="E208" s="6" t="s">
        <v>2117</v>
      </c>
      <c r="F208" s="6" t="s">
        <v>2118</v>
      </c>
      <c r="G208" s="6" t="s">
        <v>1790</v>
      </c>
      <c r="H208" s="6" t="s">
        <v>2119</v>
      </c>
      <c r="I208" s="6">
        <v>1</v>
      </c>
      <c r="J208" s="6">
        <v>0</v>
      </c>
      <c r="K208" s="6">
        <v>0</v>
      </c>
      <c r="L208" s="6">
        <v>0</v>
      </c>
      <c r="M208" s="6">
        <v>0</v>
      </c>
      <c r="N208" s="6">
        <v>0</v>
      </c>
      <c r="O208" s="6">
        <v>0</v>
      </c>
    </row>
    <row r="209" spans="1:15" hidden="1">
      <c r="A209" s="6" t="s">
        <v>1786</v>
      </c>
      <c r="B209" s="6" t="s">
        <v>1787</v>
      </c>
      <c r="C209" s="6" t="s">
        <v>88</v>
      </c>
      <c r="D209" s="6" t="s">
        <v>2120</v>
      </c>
      <c r="G209" s="6" t="s">
        <v>1790</v>
      </c>
      <c r="H209" s="6" t="s">
        <v>2121</v>
      </c>
      <c r="I209" s="6">
        <v>2</v>
      </c>
      <c r="J209" s="6">
        <v>0</v>
      </c>
      <c r="K209" s="6">
        <v>0</v>
      </c>
      <c r="L209" s="6">
        <v>0</v>
      </c>
      <c r="M209" s="6">
        <v>0</v>
      </c>
      <c r="N209" s="6">
        <v>0</v>
      </c>
      <c r="O209" s="6">
        <v>0</v>
      </c>
    </row>
    <row r="210" spans="1:15" hidden="1">
      <c r="A210" s="6" t="s">
        <v>1786</v>
      </c>
      <c r="B210" s="6" t="s">
        <v>1787</v>
      </c>
      <c r="C210" s="6" t="s">
        <v>88</v>
      </c>
      <c r="D210" s="6" t="s">
        <v>2120</v>
      </c>
      <c r="E210" s="6" t="s">
        <v>2122</v>
      </c>
      <c r="F210" s="6" t="s">
        <v>2123</v>
      </c>
      <c r="G210" s="6" t="s">
        <v>1790</v>
      </c>
      <c r="H210" s="6" t="s">
        <v>2123</v>
      </c>
      <c r="I210" s="6">
        <v>3</v>
      </c>
      <c r="J210" s="6">
        <v>0</v>
      </c>
      <c r="K210" s="6">
        <v>0</v>
      </c>
      <c r="L210" s="6">
        <v>0</v>
      </c>
      <c r="M210" s="6">
        <v>0</v>
      </c>
      <c r="N210" s="6">
        <v>0.5</v>
      </c>
      <c r="O210" s="6">
        <v>0</v>
      </c>
    </row>
    <row r="211" spans="1:15" hidden="1">
      <c r="A211" s="6" t="s">
        <v>1786</v>
      </c>
      <c r="B211" s="6" t="s">
        <v>1787</v>
      </c>
      <c r="C211" s="6" t="s">
        <v>88</v>
      </c>
      <c r="D211" s="6" t="s">
        <v>2120</v>
      </c>
      <c r="E211" s="6" t="s">
        <v>2122</v>
      </c>
      <c r="F211" s="6" t="s">
        <v>2124</v>
      </c>
      <c r="G211" s="6" t="s">
        <v>1790</v>
      </c>
      <c r="H211" s="6" t="s">
        <v>2125</v>
      </c>
      <c r="I211" s="6">
        <v>1</v>
      </c>
      <c r="J211" s="6">
        <v>0</v>
      </c>
      <c r="K211" s="6">
        <v>0</v>
      </c>
      <c r="L211" s="6">
        <v>0</v>
      </c>
      <c r="M211" s="6">
        <v>0</v>
      </c>
      <c r="N211" s="6">
        <v>0</v>
      </c>
      <c r="O211" s="6">
        <v>0</v>
      </c>
    </row>
    <row r="212" spans="1:15" hidden="1">
      <c r="A212" s="6" t="s">
        <v>1786</v>
      </c>
      <c r="B212" s="6" t="s">
        <v>1787</v>
      </c>
      <c r="C212" s="6" t="s">
        <v>88</v>
      </c>
      <c r="D212" s="6" t="s">
        <v>2120</v>
      </c>
      <c r="E212" s="6" t="s">
        <v>2126</v>
      </c>
      <c r="F212" s="6" t="s">
        <v>2127</v>
      </c>
      <c r="G212" s="6" t="s">
        <v>1790</v>
      </c>
      <c r="H212" s="6" t="s">
        <v>2128</v>
      </c>
      <c r="I212" s="6">
        <v>1</v>
      </c>
      <c r="J212" s="6">
        <v>0</v>
      </c>
      <c r="K212" s="6">
        <v>0</v>
      </c>
      <c r="L212" s="6">
        <v>0</v>
      </c>
      <c r="M212" s="6">
        <v>0</v>
      </c>
      <c r="N212" s="6">
        <v>0</v>
      </c>
      <c r="O212" s="6">
        <v>0</v>
      </c>
    </row>
    <row r="213" spans="1:15" hidden="1">
      <c r="A213" s="6" t="s">
        <v>1786</v>
      </c>
      <c r="B213" s="6" t="s">
        <v>1787</v>
      </c>
      <c r="C213" s="6" t="s">
        <v>88</v>
      </c>
      <c r="D213" s="6" t="s">
        <v>2120</v>
      </c>
      <c r="E213" s="6" t="s">
        <v>2129</v>
      </c>
      <c r="F213" s="6" t="s">
        <v>2130</v>
      </c>
      <c r="G213" s="6" t="s">
        <v>1790</v>
      </c>
      <c r="H213" s="6" t="s">
        <v>2131</v>
      </c>
      <c r="I213" s="6">
        <v>5</v>
      </c>
      <c r="J213" s="6">
        <v>0</v>
      </c>
      <c r="K213" s="6">
        <v>0</v>
      </c>
      <c r="L213" s="6">
        <v>0</v>
      </c>
      <c r="M213" s="6">
        <v>0</v>
      </c>
      <c r="N213" s="6">
        <v>0.75</v>
      </c>
      <c r="O213" s="6">
        <v>0.75</v>
      </c>
    </row>
    <row r="214" spans="1:15" hidden="1">
      <c r="A214" s="6" t="s">
        <v>1786</v>
      </c>
      <c r="B214" s="6" t="s">
        <v>1787</v>
      </c>
      <c r="C214" s="6" t="s">
        <v>88</v>
      </c>
      <c r="D214" s="6" t="s">
        <v>2132</v>
      </c>
      <c r="E214" s="6" t="s">
        <v>2133</v>
      </c>
      <c r="F214" s="6" t="s">
        <v>2134</v>
      </c>
      <c r="G214" s="6" t="s">
        <v>1790</v>
      </c>
      <c r="H214" s="6" t="s">
        <v>2135</v>
      </c>
      <c r="I214" s="6">
        <v>1</v>
      </c>
      <c r="J214" s="6">
        <v>0</v>
      </c>
      <c r="K214" s="6">
        <v>0</v>
      </c>
      <c r="L214" s="6">
        <v>0</v>
      </c>
      <c r="M214" s="6">
        <v>0</v>
      </c>
      <c r="N214" s="6">
        <v>0</v>
      </c>
      <c r="O214" s="6">
        <v>0</v>
      </c>
    </row>
    <row r="215" spans="1:15" hidden="1">
      <c r="A215" s="6" t="s">
        <v>1786</v>
      </c>
      <c r="B215" s="6" t="s">
        <v>1787</v>
      </c>
      <c r="C215" s="6" t="s">
        <v>88</v>
      </c>
      <c r="D215" s="6" t="s">
        <v>2132</v>
      </c>
      <c r="E215" s="6" t="s">
        <v>2136</v>
      </c>
      <c r="F215" s="6" t="s">
        <v>1758</v>
      </c>
      <c r="G215" s="6" t="s">
        <v>1790</v>
      </c>
      <c r="H215" s="6" t="s">
        <v>2137</v>
      </c>
      <c r="I215" s="6">
        <v>1</v>
      </c>
      <c r="J215" s="6">
        <v>0</v>
      </c>
      <c r="K215" s="6">
        <v>0</v>
      </c>
      <c r="L215" s="6">
        <v>0</v>
      </c>
      <c r="M215" s="6">
        <v>0</v>
      </c>
      <c r="N215" s="6">
        <v>1</v>
      </c>
      <c r="O215" s="6">
        <v>1</v>
      </c>
    </row>
    <row r="216" spans="1:15" hidden="1">
      <c r="A216" s="6" t="s">
        <v>1786</v>
      </c>
      <c r="B216" s="6" t="s">
        <v>1787</v>
      </c>
      <c r="C216" s="6" t="s">
        <v>88</v>
      </c>
      <c r="D216" s="6" t="s">
        <v>2132</v>
      </c>
      <c r="E216" s="6" t="s">
        <v>2136</v>
      </c>
      <c r="F216" s="6" t="s">
        <v>2138</v>
      </c>
      <c r="G216" s="6" t="s">
        <v>1790</v>
      </c>
      <c r="H216" s="6" t="s">
        <v>2138</v>
      </c>
      <c r="I216" s="6">
        <v>2</v>
      </c>
      <c r="J216" s="6">
        <v>0</v>
      </c>
      <c r="K216" s="6">
        <v>0</v>
      </c>
      <c r="L216" s="6">
        <v>0</v>
      </c>
      <c r="M216" s="6">
        <v>0</v>
      </c>
      <c r="N216" s="6">
        <v>1</v>
      </c>
      <c r="O216" s="6">
        <v>0</v>
      </c>
    </row>
    <row r="217" spans="1:15" hidden="1">
      <c r="A217" s="6" t="s">
        <v>1786</v>
      </c>
      <c r="B217" s="6" t="s">
        <v>1787</v>
      </c>
      <c r="C217" s="6" t="s">
        <v>88</v>
      </c>
      <c r="D217" s="6" t="s">
        <v>2132</v>
      </c>
      <c r="E217" s="6" t="s">
        <v>2136</v>
      </c>
      <c r="F217" s="6" t="s">
        <v>2139</v>
      </c>
      <c r="G217" s="6" t="s">
        <v>1790</v>
      </c>
      <c r="H217" s="6" t="s">
        <v>2139</v>
      </c>
      <c r="I217" s="6">
        <v>4</v>
      </c>
      <c r="J217" s="6">
        <v>0</v>
      </c>
      <c r="K217" s="6">
        <v>0</v>
      </c>
      <c r="L217" s="6">
        <v>0</v>
      </c>
      <c r="M217" s="6">
        <v>0</v>
      </c>
      <c r="N217" s="6">
        <v>1</v>
      </c>
      <c r="O217" s="6">
        <v>1</v>
      </c>
    </row>
    <row r="218" spans="1:15" hidden="1">
      <c r="A218" s="6" t="s">
        <v>1786</v>
      </c>
      <c r="B218" s="6" t="s">
        <v>1787</v>
      </c>
      <c r="C218" s="6" t="s">
        <v>88</v>
      </c>
      <c r="D218" s="6" t="s">
        <v>2132</v>
      </c>
      <c r="E218" s="6" t="s">
        <v>2136</v>
      </c>
      <c r="F218" s="6" t="s">
        <v>2140</v>
      </c>
      <c r="G218" s="6" t="s">
        <v>1790</v>
      </c>
      <c r="H218" s="6" t="s">
        <v>2141</v>
      </c>
      <c r="I218" s="6">
        <v>2</v>
      </c>
      <c r="J218" s="6">
        <v>0</v>
      </c>
      <c r="K218" s="6">
        <v>0</v>
      </c>
      <c r="L218" s="6">
        <v>0</v>
      </c>
      <c r="M218" s="6">
        <v>0</v>
      </c>
      <c r="N218" s="6">
        <v>0</v>
      </c>
      <c r="O218" s="6">
        <v>0</v>
      </c>
    </row>
    <row r="219" spans="1:15" hidden="1">
      <c r="A219" s="6" t="s">
        <v>1786</v>
      </c>
      <c r="B219" s="6" t="s">
        <v>1787</v>
      </c>
      <c r="C219" s="6" t="s">
        <v>88</v>
      </c>
      <c r="D219" s="6" t="s">
        <v>2132</v>
      </c>
      <c r="E219" s="6" t="s">
        <v>2136</v>
      </c>
      <c r="F219" s="6" t="s">
        <v>2142</v>
      </c>
      <c r="G219" s="6" t="s">
        <v>1790</v>
      </c>
      <c r="H219" s="6" t="s">
        <v>2143</v>
      </c>
      <c r="I219" s="6">
        <v>1</v>
      </c>
      <c r="J219" s="6">
        <v>1</v>
      </c>
      <c r="K219" s="6">
        <v>1</v>
      </c>
      <c r="L219" s="6">
        <v>0.09</v>
      </c>
      <c r="M219" s="6">
        <v>0.09</v>
      </c>
      <c r="N219" s="6">
        <v>1</v>
      </c>
      <c r="O219" s="6">
        <v>1</v>
      </c>
    </row>
    <row r="220" spans="1:15" hidden="1">
      <c r="A220" s="6" t="s">
        <v>1786</v>
      </c>
      <c r="B220" s="6" t="s">
        <v>1787</v>
      </c>
      <c r="C220" s="6" t="s">
        <v>88</v>
      </c>
      <c r="D220" s="6" t="s">
        <v>2144</v>
      </c>
      <c r="E220" s="6" t="s">
        <v>2145</v>
      </c>
      <c r="F220" s="6" t="s">
        <v>2146</v>
      </c>
      <c r="G220" s="6" t="s">
        <v>1790</v>
      </c>
      <c r="H220" s="6" t="s">
        <v>2147</v>
      </c>
      <c r="I220" s="6">
        <v>1</v>
      </c>
      <c r="J220" s="6">
        <v>0</v>
      </c>
      <c r="K220" s="6">
        <v>0</v>
      </c>
      <c r="L220" s="6">
        <v>0</v>
      </c>
      <c r="M220" s="6">
        <v>0</v>
      </c>
      <c r="N220" s="6">
        <v>0</v>
      </c>
      <c r="O220" s="6">
        <v>0</v>
      </c>
    </row>
    <row r="221" spans="1:15" hidden="1">
      <c r="A221" s="6" t="s">
        <v>1786</v>
      </c>
      <c r="B221" s="6" t="s">
        <v>1787</v>
      </c>
      <c r="C221" s="6" t="s">
        <v>88</v>
      </c>
      <c r="D221" s="6" t="s">
        <v>2144</v>
      </c>
      <c r="E221" s="6" t="s">
        <v>2145</v>
      </c>
      <c r="F221" s="6" t="s">
        <v>2146</v>
      </c>
      <c r="G221" s="6" t="s">
        <v>1790</v>
      </c>
      <c r="H221" s="6" t="s">
        <v>2148</v>
      </c>
      <c r="I221" s="6">
        <v>8</v>
      </c>
      <c r="J221" s="6">
        <v>1</v>
      </c>
      <c r="K221" s="6">
        <v>0.125</v>
      </c>
      <c r="L221" s="6">
        <v>2.31</v>
      </c>
      <c r="M221" s="6">
        <v>2.31</v>
      </c>
      <c r="N221" s="6">
        <v>0.8</v>
      </c>
      <c r="O221" s="6">
        <v>0.8</v>
      </c>
    </row>
    <row r="222" spans="1:15" hidden="1">
      <c r="A222" s="6" t="s">
        <v>1786</v>
      </c>
      <c r="B222" s="6" t="s">
        <v>1787</v>
      </c>
      <c r="C222" s="6" t="s">
        <v>88</v>
      </c>
      <c r="D222" s="6" t="s">
        <v>2144</v>
      </c>
      <c r="E222" s="6" t="s">
        <v>2145</v>
      </c>
      <c r="F222" s="6" t="s">
        <v>2149</v>
      </c>
      <c r="G222" s="6" t="s">
        <v>1790</v>
      </c>
      <c r="H222" s="6" t="s">
        <v>2150</v>
      </c>
      <c r="I222" s="6">
        <v>1</v>
      </c>
      <c r="J222" s="6">
        <v>0</v>
      </c>
      <c r="K222" s="6">
        <v>0</v>
      </c>
      <c r="L222" s="6">
        <v>0</v>
      </c>
      <c r="M222" s="6">
        <v>0</v>
      </c>
      <c r="N222" s="6">
        <v>0</v>
      </c>
      <c r="O222" s="6">
        <v>0</v>
      </c>
    </row>
    <row r="223" spans="1:15" hidden="1">
      <c r="A223" s="6" t="s">
        <v>1786</v>
      </c>
      <c r="B223" s="6" t="s">
        <v>1787</v>
      </c>
      <c r="C223" s="6" t="s">
        <v>88</v>
      </c>
      <c r="D223" s="6" t="s">
        <v>2144</v>
      </c>
      <c r="E223" s="6" t="s">
        <v>2145</v>
      </c>
      <c r="F223" s="6" t="s">
        <v>2151</v>
      </c>
      <c r="G223" s="6" t="s">
        <v>1790</v>
      </c>
      <c r="H223" s="6" t="s">
        <v>2152</v>
      </c>
      <c r="I223" s="6">
        <v>1</v>
      </c>
      <c r="J223" s="6">
        <v>0</v>
      </c>
      <c r="K223" s="6">
        <v>0</v>
      </c>
      <c r="L223" s="6">
        <v>0</v>
      </c>
      <c r="M223" s="6">
        <v>0</v>
      </c>
      <c r="N223" s="6">
        <v>0</v>
      </c>
      <c r="O223" s="6">
        <v>0</v>
      </c>
    </row>
    <row r="224" spans="1:15" hidden="1">
      <c r="A224" s="6" t="s">
        <v>1786</v>
      </c>
      <c r="B224" s="6" t="s">
        <v>1787</v>
      </c>
      <c r="C224" s="6" t="s">
        <v>88</v>
      </c>
      <c r="D224" s="6" t="s">
        <v>2144</v>
      </c>
      <c r="E224" s="6" t="s">
        <v>2145</v>
      </c>
      <c r="F224" s="6" t="s">
        <v>2153</v>
      </c>
      <c r="G224" s="6" t="s">
        <v>1790</v>
      </c>
      <c r="H224" s="6" t="s">
        <v>2154</v>
      </c>
      <c r="I224" s="6">
        <v>1</v>
      </c>
      <c r="J224" s="6">
        <v>0</v>
      </c>
      <c r="K224" s="6">
        <v>0</v>
      </c>
      <c r="L224" s="6">
        <v>0</v>
      </c>
      <c r="M224" s="6">
        <v>0</v>
      </c>
      <c r="N224" s="6">
        <v>0</v>
      </c>
      <c r="O224" s="6">
        <v>0</v>
      </c>
    </row>
    <row r="225" spans="1:15" hidden="1">
      <c r="A225" s="6" t="s">
        <v>1786</v>
      </c>
      <c r="B225" s="6" t="s">
        <v>1787</v>
      </c>
      <c r="C225" s="6" t="s">
        <v>88</v>
      </c>
      <c r="D225" s="6" t="s">
        <v>2144</v>
      </c>
      <c r="E225" s="6" t="s">
        <v>2145</v>
      </c>
      <c r="F225" s="6" t="s">
        <v>2155</v>
      </c>
      <c r="G225" s="6" t="s">
        <v>1790</v>
      </c>
      <c r="H225" s="6" t="s">
        <v>2156</v>
      </c>
      <c r="I225" s="6">
        <v>1</v>
      </c>
      <c r="J225" s="6">
        <v>0</v>
      </c>
      <c r="K225" s="6">
        <v>0</v>
      </c>
      <c r="L225" s="6">
        <v>0</v>
      </c>
      <c r="M225" s="6">
        <v>0</v>
      </c>
      <c r="N225" s="6">
        <v>0</v>
      </c>
      <c r="O225" s="6">
        <v>0</v>
      </c>
    </row>
    <row r="226" spans="1:15" hidden="1">
      <c r="A226" s="6" t="s">
        <v>1786</v>
      </c>
      <c r="B226" s="6" t="s">
        <v>1787</v>
      </c>
      <c r="C226" s="6" t="s">
        <v>88</v>
      </c>
      <c r="D226" s="6" t="s">
        <v>2144</v>
      </c>
      <c r="E226" s="6" t="s">
        <v>1925</v>
      </c>
      <c r="F226" s="6" t="s">
        <v>2157</v>
      </c>
      <c r="G226" s="6" t="s">
        <v>1790</v>
      </c>
      <c r="H226" s="6" t="s">
        <v>2158</v>
      </c>
      <c r="I226" s="6">
        <v>2</v>
      </c>
      <c r="J226" s="6">
        <v>0</v>
      </c>
      <c r="K226" s="6">
        <v>0</v>
      </c>
      <c r="L226" s="6">
        <v>0</v>
      </c>
      <c r="M226" s="6">
        <v>0</v>
      </c>
      <c r="N226" s="6">
        <v>0</v>
      </c>
      <c r="O226" s="6">
        <v>0</v>
      </c>
    </row>
    <row r="227" spans="1:15" hidden="1">
      <c r="A227" s="6" t="s">
        <v>1786</v>
      </c>
      <c r="B227" s="6" t="s">
        <v>1787</v>
      </c>
      <c r="C227" s="6" t="s">
        <v>88</v>
      </c>
      <c r="D227" s="6" t="s">
        <v>2144</v>
      </c>
      <c r="E227" s="6" t="s">
        <v>1925</v>
      </c>
      <c r="F227" s="6" t="s">
        <v>2157</v>
      </c>
      <c r="G227" s="6" t="s">
        <v>1790</v>
      </c>
      <c r="H227" s="6" t="s">
        <v>2157</v>
      </c>
      <c r="I227" s="6">
        <v>2</v>
      </c>
      <c r="J227" s="6">
        <v>0</v>
      </c>
      <c r="K227" s="6">
        <v>0</v>
      </c>
      <c r="L227" s="6">
        <v>0</v>
      </c>
      <c r="M227" s="6">
        <v>0</v>
      </c>
      <c r="N227" s="6">
        <v>1</v>
      </c>
      <c r="O227" s="6">
        <v>0</v>
      </c>
    </row>
    <row r="228" spans="1:15" hidden="1">
      <c r="A228" s="6" t="s">
        <v>1786</v>
      </c>
      <c r="B228" s="6" t="s">
        <v>1787</v>
      </c>
      <c r="C228" s="6" t="s">
        <v>88</v>
      </c>
      <c r="D228" s="6" t="s">
        <v>2144</v>
      </c>
      <c r="E228" s="6" t="s">
        <v>1925</v>
      </c>
      <c r="F228" s="6" t="s">
        <v>2159</v>
      </c>
      <c r="G228" s="6" t="s">
        <v>1790</v>
      </c>
      <c r="H228" s="6" t="s">
        <v>2160</v>
      </c>
      <c r="I228" s="6">
        <v>1</v>
      </c>
      <c r="J228" s="6">
        <v>0</v>
      </c>
      <c r="K228" s="6">
        <v>0</v>
      </c>
      <c r="L228" s="6">
        <v>0</v>
      </c>
      <c r="M228" s="6">
        <v>0</v>
      </c>
      <c r="N228" s="6">
        <v>0</v>
      </c>
      <c r="O228" s="6">
        <v>0</v>
      </c>
    </row>
    <row r="229" spans="1:15" hidden="1">
      <c r="A229" s="6" t="s">
        <v>1786</v>
      </c>
      <c r="B229" s="6" t="s">
        <v>1787</v>
      </c>
      <c r="C229" s="6" t="s">
        <v>88</v>
      </c>
      <c r="D229" s="6" t="s">
        <v>2144</v>
      </c>
      <c r="E229" s="6" t="s">
        <v>1925</v>
      </c>
      <c r="F229" s="6" t="s">
        <v>2161</v>
      </c>
      <c r="G229" s="6" t="s">
        <v>1790</v>
      </c>
      <c r="H229" s="6" t="s">
        <v>2162</v>
      </c>
      <c r="I229" s="6">
        <v>1</v>
      </c>
      <c r="J229" s="6">
        <v>0</v>
      </c>
      <c r="K229" s="6">
        <v>0</v>
      </c>
      <c r="L229" s="6">
        <v>0</v>
      </c>
      <c r="M229" s="6">
        <v>0</v>
      </c>
      <c r="N229" s="6">
        <v>1</v>
      </c>
      <c r="O229" s="6">
        <v>1</v>
      </c>
    </row>
    <row r="230" spans="1:15" hidden="1">
      <c r="A230" s="6" t="s">
        <v>1786</v>
      </c>
      <c r="B230" s="6" t="s">
        <v>1787</v>
      </c>
      <c r="C230" s="6" t="s">
        <v>88</v>
      </c>
      <c r="D230" s="6" t="s">
        <v>2144</v>
      </c>
      <c r="E230" s="6" t="s">
        <v>1925</v>
      </c>
      <c r="F230" s="6" t="s">
        <v>2163</v>
      </c>
      <c r="G230" s="6" t="s">
        <v>1790</v>
      </c>
      <c r="H230" s="6" t="s">
        <v>2164</v>
      </c>
      <c r="I230" s="6">
        <v>4</v>
      </c>
      <c r="J230" s="6">
        <v>0</v>
      </c>
      <c r="K230" s="6">
        <v>0</v>
      </c>
      <c r="L230" s="6">
        <v>0</v>
      </c>
      <c r="M230" s="6">
        <v>0</v>
      </c>
      <c r="N230" s="6">
        <v>1</v>
      </c>
      <c r="O230" s="6">
        <v>0.75</v>
      </c>
    </row>
    <row r="231" spans="1:15" hidden="1">
      <c r="A231" s="6" t="s">
        <v>1786</v>
      </c>
      <c r="B231" s="6" t="s">
        <v>1787</v>
      </c>
      <c r="C231" s="6" t="s">
        <v>88</v>
      </c>
      <c r="D231" s="6" t="s">
        <v>2144</v>
      </c>
      <c r="E231" s="6" t="s">
        <v>1925</v>
      </c>
      <c r="F231" s="6" t="s">
        <v>2165</v>
      </c>
      <c r="G231" s="6" t="s">
        <v>1790</v>
      </c>
      <c r="H231" s="6" t="s">
        <v>2166</v>
      </c>
      <c r="I231" s="6">
        <v>1</v>
      </c>
      <c r="J231" s="6">
        <v>0</v>
      </c>
      <c r="K231" s="6">
        <v>0</v>
      </c>
      <c r="L231" s="6">
        <v>0</v>
      </c>
      <c r="M231" s="6">
        <v>0</v>
      </c>
      <c r="N231" s="6">
        <v>0</v>
      </c>
      <c r="O231" s="6">
        <v>0</v>
      </c>
    </row>
    <row r="232" spans="1:15" hidden="1">
      <c r="A232" s="6" t="s">
        <v>1786</v>
      </c>
      <c r="B232" s="6" t="s">
        <v>1787</v>
      </c>
      <c r="C232" s="6" t="s">
        <v>88</v>
      </c>
      <c r="D232" s="6" t="s">
        <v>2144</v>
      </c>
      <c r="E232" s="6" t="s">
        <v>1925</v>
      </c>
      <c r="F232" s="6" t="s">
        <v>2167</v>
      </c>
      <c r="G232" s="6" t="s">
        <v>1790</v>
      </c>
      <c r="H232" s="6" t="s">
        <v>2168</v>
      </c>
      <c r="I232" s="6">
        <v>3</v>
      </c>
      <c r="J232" s="6">
        <v>0</v>
      </c>
      <c r="K232" s="6">
        <v>0</v>
      </c>
      <c r="L232" s="6">
        <v>0</v>
      </c>
      <c r="M232" s="6">
        <v>0</v>
      </c>
      <c r="N232" s="6">
        <v>1</v>
      </c>
      <c r="O232" s="6">
        <v>1</v>
      </c>
    </row>
    <row r="233" spans="1:15" hidden="1">
      <c r="A233" s="6" t="s">
        <v>1786</v>
      </c>
      <c r="B233" s="6" t="s">
        <v>1787</v>
      </c>
      <c r="C233" s="6" t="s">
        <v>88</v>
      </c>
      <c r="D233" s="6" t="s">
        <v>2144</v>
      </c>
      <c r="E233" s="6" t="s">
        <v>1925</v>
      </c>
      <c r="F233" s="6" t="s">
        <v>2169</v>
      </c>
      <c r="G233" s="6" t="s">
        <v>1790</v>
      </c>
      <c r="H233" s="6" t="s">
        <v>2170</v>
      </c>
      <c r="I233" s="6">
        <v>2</v>
      </c>
      <c r="J233" s="6">
        <v>0</v>
      </c>
      <c r="K233" s="6">
        <v>0</v>
      </c>
      <c r="L233" s="6">
        <v>0</v>
      </c>
      <c r="M233" s="6">
        <v>0</v>
      </c>
      <c r="N233" s="6">
        <v>0</v>
      </c>
      <c r="O233" s="6">
        <v>0</v>
      </c>
    </row>
    <row r="234" spans="1:15" hidden="1">
      <c r="A234" s="6" t="s">
        <v>1786</v>
      </c>
      <c r="B234" s="6" t="s">
        <v>1787</v>
      </c>
      <c r="C234" s="6" t="s">
        <v>88</v>
      </c>
      <c r="D234" s="6" t="s">
        <v>2144</v>
      </c>
      <c r="E234" s="6" t="s">
        <v>1925</v>
      </c>
      <c r="F234" s="6" t="s">
        <v>2171</v>
      </c>
      <c r="G234" s="6" t="s">
        <v>1790</v>
      </c>
      <c r="H234" s="6" t="s">
        <v>2172</v>
      </c>
      <c r="I234" s="6">
        <v>4</v>
      </c>
      <c r="J234" s="6">
        <v>0</v>
      </c>
      <c r="K234" s="6">
        <v>0</v>
      </c>
      <c r="L234" s="6">
        <v>0</v>
      </c>
      <c r="M234" s="6">
        <v>0</v>
      </c>
      <c r="N234" s="6">
        <v>1</v>
      </c>
      <c r="O234" s="6">
        <v>1</v>
      </c>
    </row>
    <row r="235" spans="1:15" hidden="1">
      <c r="A235" s="6" t="s">
        <v>1786</v>
      </c>
      <c r="B235" s="6" t="s">
        <v>1787</v>
      </c>
      <c r="C235" s="6" t="s">
        <v>88</v>
      </c>
      <c r="D235" s="6" t="s">
        <v>2144</v>
      </c>
      <c r="E235" s="6" t="s">
        <v>1925</v>
      </c>
      <c r="F235" s="6" t="s">
        <v>2173</v>
      </c>
      <c r="G235" s="6" t="s">
        <v>1790</v>
      </c>
      <c r="H235" s="6" t="s">
        <v>2174</v>
      </c>
      <c r="I235" s="6">
        <v>1</v>
      </c>
      <c r="J235" s="6">
        <v>0</v>
      </c>
      <c r="K235" s="6">
        <v>0</v>
      </c>
      <c r="L235" s="6">
        <v>0</v>
      </c>
      <c r="M235" s="6">
        <v>0</v>
      </c>
      <c r="N235" s="6">
        <v>1</v>
      </c>
      <c r="O235" s="6">
        <v>1</v>
      </c>
    </row>
    <row r="236" spans="1:15" hidden="1">
      <c r="A236" s="6" t="s">
        <v>1786</v>
      </c>
      <c r="B236" s="6" t="s">
        <v>1787</v>
      </c>
      <c r="C236" s="6" t="s">
        <v>88</v>
      </c>
      <c r="D236" s="6" t="s">
        <v>2144</v>
      </c>
      <c r="E236" s="6" t="s">
        <v>1925</v>
      </c>
      <c r="F236" s="6" t="s">
        <v>2173</v>
      </c>
      <c r="G236" s="6" t="s">
        <v>1790</v>
      </c>
      <c r="H236" s="6" t="s">
        <v>2175</v>
      </c>
      <c r="I236" s="6">
        <v>1</v>
      </c>
      <c r="J236" s="6">
        <v>0</v>
      </c>
      <c r="K236" s="6">
        <v>0</v>
      </c>
      <c r="L236" s="6">
        <v>0</v>
      </c>
      <c r="M236" s="6">
        <v>0</v>
      </c>
      <c r="N236" s="6">
        <v>1</v>
      </c>
      <c r="O236" s="6">
        <v>1</v>
      </c>
    </row>
    <row r="237" spans="1:15" hidden="1">
      <c r="A237" s="6" t="s">
        <v>1786</v>
      </c>
      <c r="B237" s="6" t="s">
        <v>1787</v>
      </c>
      <c r="C237" s="6" t="s">
        <v>88</v>
      </c>
      <c r="D237" s="6" t="s">
        <v>2144</v>
      </c>
      <c r="E237" s="6" t="s">
        <v>1925</v>
      </c>
      <c r="F237" s="6" t="s">
        <v>2173</v>
      </c>
      <c r="G237" s="6" t="s">
        <v>1790</v>
      </c>
      <c r="H237" s="6" t="s">
        <v>2176</v>
      </c>
      <c r="I237" s="6">
        <v>2</v>
      </c>
      <c r="J237" s="6">
        <v>0</v>
      </c>
      <c r="K237" s="6">
        <v>0</v>
      </c>
      <c r="L237" s="6">
        <v>0</v>
      </c>
      <c r="M237" s="6">
        <v>0</v>
      </c>
      <c r="N237" s="6">
        <v>1</v>
      </c>
      <c r="O237" s="6">
        <v>1</v>
      </c>
    </row>
    <row r="238" spans="1:15" hidden="1">
      <c r="A238" s="6" t="s">
        <v>1786</v>
      </c>
      <c r="B238" s="6" t="s">
        <v>1787</v>
      </c>
      <c r="C238" s="6" t="s">
        <v>88</v>
      </c>
      <c r="D238" s="6" t="s">
        <v>2144</v>
      </c>
      <c r="E238" s="6" t="s">
        <v>1925</v>
      </c>
      <c r="F238" s="6" t="s">
        <v>2173</v>
      </c>
      <c r="G238" s="6" t="s">
        <v>1790</v>
      </c>
      <c r="H238" s="6" t="s">
        <v>2177</v>
      </c>
      <c r="I238" s="6">
        <v>3</v>
      </c>
      <c r="J238" s="6">
        <v>0</v>
      </c>
      <c r="K238" s="6">
        <v>0</v>
      </c>
      <c r="L238" s="6">
        <v>0</v>
      </c>
      <c r="M238" s="6">
        <v>0</v>
      </c>
      <c r="N238" s="6">
        <v>1</v>
      </c>
      <c r="O238" s="6">
        <v>1</v>
      </c>
    </row>
    <row r="239" spans="1:15" hidden="1">
      <c r="A239" s="6" t="s">
        <v>1786</v>
      </c>
      <c r="B239" s="6" t="s">
        <v>1787</v>
      </c>
      <c r="C239" s="6" t="s">
        <v>88</v>
      </c>
      <c r="D239" s="6" t="s">
        <v>2178</v>
      </c>
      <c r="E239" s="6" t="s">
        <v>2179</v>
      </c>
      <c r="G239" s="6" t="s">
        <v>1790</v>
      </c>
      <c r="H239" s="6" t="s">
        <v>2180</v>
      </c>
      <c r="I239" s="6">
        <v>1</v>
      </c>
      <c r="J239" s="6">
        <v>0</v>
      </c>
      <c r="K239" s="6">
        <v>0</v>
      </c>
      <c r="L239" s="6">
        <v>0</v>
      </c>
      <c r="M239" s="6">
        <v>0</v>
      </c>
      <c r="N239" s="6">
        <v>1</v>
      </c>
      <c r="O239" s="6">
        <v>1</v>
      </c>
    </row>
    <row r="240" spans="1:15" hidden="1">
      <c r="A240" s="6" t="s">
        <v>1786</v>
      </c>
      <c r="B240" s="6" t="s">
        <v>1787</v>
      </c>
      <c r="C240" s="6" t="s">
        <v>88</v>
      </c>
      <c r="D240" s="6" t="s">
        <v>2178</v>
      </c>
      <c r="E240" s="6" t="s">
        <v>2179</v>
      </c>
      <c r="F240" s="6" t="s">
        <v>2181</v>
      </c>
      <c r="G240" s="6" t="s">
        <v>1790</v>
      </c>
      <c r="H240" s="6" t="s">
        <v>2182</v>
      </c>
      <c r="I240" s="6">
        <v>2</v>
      </c>
      <c r="J240" s="6">
        <v>0</v>
      </c>
      <c r="K240" s="6">
        <v>0</v>
      </c>
      <c r="L240" s="6">
        <v>0</v>
      </c>
      <c r="M240" s="6">
        <v>0</v>
      </c>
      <c r="N240" s="6">
        <v>1</v>
      </c>
      <c r="O240" s="6">
        <v>1</v>
      </c>
    </row>
    <row r="241" spans="1:15" hidden="1">
      <c r="A241" s="6" t="s">
        <v>1786</v>
      </c>
      <c r="B241" s="6" t="s">
        <v>1787</v>
      </c>
      <c r="C241" s="6" t="s">
        <v>88</v>
      </c>
      <c r="D241" s="6" t="s">
        <v>2178</v>
      </c>
      <c r="E241" s="6" t="s">
        <v>2179</v>
      </c>
      <c r="F241" s="6" t="s">
        <v>2181</v>
      </c>
      <c r="G241" s="6" t="s">
        <v>1790</v>
      </c>
      <c r="H241" s="6" t="s">
        <v>2183</v>
      </c>
      <c r="I241" s="6">
        <v>1</v>
      </c>
      <c r="J241" s="6">
        <v>0</v>
      </c>
      <c r="K241" s="6">
        <v>0</v>
      </c>
      <c r="L241" s="6">
        <v>0</v>
      </c>
      <c r="M241" s="6">
        <v>0</v>
      </c>
      <c r="N241" s="6">
        <v>1</v>
      </c>
      <c r="O241" s="6">
        <v>1</v>
      </c>
    </row>
    <row r="242" spans="1:15" hidden="1">
      <c r="A242" s="6" t="s">
        <v>1786</v>
      </c>
      <c r="B242" s="6" t="s">
        <v>1787</v>
      </c>
      <c r="C242" s="6" t="s">
        <v>88</v>
      </c>
      <c r="D242" s="6" t="s">
        <v>2178</v>
      </c>
      <c r="E242" s="6" t="s">
        <v>2179</v>
      </c>
      <c r="F242" s="6" t="s">
        <v>2184</v>
      </c>
      <c r="G242" s="6" t="s">
        <v>1790</v>
      </c>
      <c r="H242" s="6" t="s">
        <v>2185</v>
      </c>
      <c r="I242" s="6">
        <v>1</v>
      </c>
      <c r="J242" s="6">
        <v>0</v>
      </c>
      <c r="K242" s="6">
        <v>0</v>
      </c>
      <c r="L242" s="6">
        <v>0</v>
      </c>
      <c r="M242" s="6">
        <v>0</v>
      </c>
      <c r="N242" s="6">
        <v>0</v>
      </c>
      <c r="O242" s="6">
        <v>0</v>
      </c>
    </row>
    <row r="243" spans="1:15" hidden="1">
      <c r="A243" s="6" t="s">
        <v>1786</v>
      </c>
      <c r="B243" s="6" t="s">
        <v>1787</v>
      </c>
      <c r="C243" s="6" t="s">
        <v>88</v>
      </c>
      <c r="D243" s="6" t="s">
        <v>2178</v>
      </c>
      <c r="E243" s="6" t="s">
        <v>2179</v>
      </c>
      <c r="F243" s="6" t="s">
        <v>2184</v>
      </c>
      <c r="G243" s="6" t="s">
        <v>1790</v>
      </c>
      <c r="H243" s="6" t="s">
        <v>2186</v>
      </c>
      <c r="I243" s="6">
        <v>1</v>
      </c>
      <c r="J243" s="6">
        <v>0</v>
      </c>
      <c r="K243" s="6">
        <v>0</v>
      </c>
      <c r="L243" s="6">
        <v>0</v>
      </c>
      <c r="M243" s="6">
        <v>0</v>
      </c>
      <c r="N243" s="6">
        <v>1</v>
      </c>
      <c r="O243" s="6">
        <v>1</v>
      </c>
    </row>
    <row r="244" spans="1:15" hidden="1">
      <c r="A244" s="6" t="s">
        <v>1786</v>
      </c>
      <c r="B244" s="6" t="s">
        <v>1787</v>
      </c>
      <c r="C244" s="6" t="s">
        <v>88</v>
      </c>
      <c r="D244" s="6" t="s">
        <v>2178</v>
      </c>
      <c r="E244" s="6" t="s">
        <v>2179</v>
      </c>
      <c r="F244" s="6" t="s">
        <v>2184</v>
      </c>
      <c r="G244" s="6" t="s">
        <v>1790</v>
      </c>
      <c r="H244" s="6" t="s">
        <v>2187</v>
      </c>
      <c r="I244" s="6">
        <v>1</v>
      </c>
      <c r="J244" s="6">
        <v>0</v>
      </c>
      <c r="K244" s="6">
        <v>0</v>
      </c>
      <c r="L244" s="6">
        <v>0</v>
      </c>
      <c r="M244" s="6">
        <v>0</v>
      </c>
      <c r="N244" s="6">
        <v>1</v>
      </c>
      <c r="O244" s="6">
        <v>1</v>
      </c>
    </row>
    <row r="245" spans="1:15" hidden="1">
      <c r="A245" s="6" t="s">
        <v>1786</v>
      </c>
      <c r="B245" s="6" t="s">
        <v>1787</v>
      </c>
      <c r="C245" s="6" t="s">
        <v>88</v>
      </c>
      <c r="D245" s="6" t="s">
        <v>2178</v>
      </c>
      <c r="E245" s="6" t="s">
        <v>2179</v>
      </c>
      <c r="F245" s="6" t="s">
        <v>2188</v>
      </c>
      <c r="G245" s="6" t="s">
        <v>1790</v>
      </c>
      <c r="H245" s="6" t="s">
        <v>2189</v>
      </c>
      <c r="I245" s="6">
        <v>1</v>
      </c>
      <c r="J245" s="6">
        <v>0</v>
      </c>
      <c r="K245" s="6">
        <v>0</v>
      </c>
      <c r="L245" s="6">
        <v>0</v>
      </c>
      <c r="M245" s="6">
        <v>0</v>
      </c>
      <c r="N245" s="6">
        <v>0</v>
      </c>
      <c r="O245" s="6">
        <v>0</v>
      </c>
    </row>
    <row r="246" spans="1:15" hidden="1">
      <c r="A246" s="6" t="s">
        <v>1786</v>
      </c>
      <c r="B246" s="6" t="s">
        <v>1787</v>
      </c>
      <c r="C246" s="6" t="s">
        <v>88</v>
      </c>
      <c r="D246" s="6" t="s">
        <v>2178</v>
      </c>
      <c r="E246" s="6" t="s">
        <v>2179</v>
      </c>
      <c r="F246" s="6" t="s">
        <v>2190</v>
      </c>
      <c r="G246" s="6" t="s">
        <v>1790</v>
      </c>
      <c r="H246" s="6" t="s">
        <v>2190</v>
      </c>
      <c r="I246" s="6">
        <v>2</v>
      </c>
      <c r="J246" s="6">
        <v>0</v>
      </c>
      <c r="K246" s="6">
        <v>0</v>
      </c>
      <c r="L246" s="6">
        <v>0</v>
      </c>
      <c r="M246" s="6">
        <v>0</v>
      </c>
      <c r="N246" s="6">
        <v>1</v>
      </c>
      <c r="O246" s="6">
        <v>1</v>
      </c>
    </row>
    <row r="247" spans="1:15" hidden="1">
      <c r="A247" s="6" t="s">
        <v>1786</v>
      </c>
      <c r="B247" s="6" t="s">
        <v>1787</v>
      </c>
      <c r="C247" s="6" t="s">
        <v>88</v>
      </c>
      <c r="D247" s="6" t="s">
        <v>2178</v>
      </c>
      <c r="E247" s="6" t="s">
        <v>2179</v>
      </c>
      <c r="F247" s="6" t="s">
        <v>2191</v>
      </c>
      <c r="G247" s="6" t="s">
        <v>1790</v>
      </c>
      <c r="H247" s="6" t="s">
        <v>2192</v>
      </c>
      <c r="I247" s="6">
        <v>2</v>
      </c>
      <c r="J247" s="6">
        <v>0</v>
      </c>
      <c r="K247" s="6">
        <v>0</v>
      </c>
      <c r="L247" s="6">
        <v>0</v>
      </c>
      <c r="M247" s="6">
        <v>0</v>
      </c>
      <c r="N247" s="6">
        <v>1</v>
      </c>
      <c r="O247" s="6">
        <v>1</v>
      </c>
    </row>
    <row r="248" spans="1:15" hidden="1">
      <c r="A248" s="6" t="s">
        <v>1786</v>
      </c>
      <c r="B248" s="6" t="s">
        <v>1787</v>
      </c>
      <c r="C248" s="6" t="s">
        <v>88</v>
      </c>
      <c r="D248" s="6" t="s">
        <v>2178</v>
      </c>
      <c r="E248" s="6" t="s">
        <v>2179</v>
      </c>
      <c r="F248" s="6" t="s">
        <v>2193</v>
      </c>
      <c r="G248" s="6" t="s">
        <v>1790</v>
      </c>
      <c r="H248" s="6" t="s">
        <v>2194</v>
      </c>
      <c r="I248" s="6">
        <v>1</v>
      </c>
      <c r="J248" s="6">
        <v>0</v>
      </c>
      <c r="K248" s="6">
        <v>0</v>
      </c>
      <c r="L248" s="6">
        <v>0</v>
      </c>
      <c r="M248" s="6">
        <v>0</v>
      </c>
      <c r="N248" s="6">
        <v>1</v>
      </c>
      <c r="O248" s="6">
        <v>0</v>
      </c>
    </row>
    <row r="249" spans="1:15" hidden="1">
      <c r="A249" s="6" t="s">
        <v>1786</v>
      </c>
      <c r="B249" s="6" t="s">
        <v>1787</v>
      </c>
      <c r="C249" s="6" t="s">
        <v>88</v>
      </c>
      <c r="D249" s="6" t="s">
        <v>2178</v>
      </c>
      <c r="E249" s="6" t="s">
        <v>2179</v>
      </c>
      <c r="F249" s="6" t="s">
        <v>2195</v>
      </c>
      <c r="G249" s="6" t="s">
        <v>1790</v>
      </c>
      <c r="H249" s="6" t="s">
        <v>2196</v>
      </c>
      <c r="I249" s="6">
        <v>1</v>
      </c>
      <c r="J249" s="6">
        <v>0</v>
      </c>
      <c r="K249" s="6">
        <v>0</v>
      </c>
      <c r="L249" s="6">
        <v>0</v>
      </c>
      <c r="M249" s="6">
        <v>0</v>
      </c>
      <c r="N249" s="6">
        <v>0</v>
      </c>
      <c r="O249" s="6">
        <v>0</v>
      </c>
    </row>
    <row r="250" spans="1:15" hidden="1">
      <c r="A250" s="6" t="s">
        <v>1786</v>
      </c>
      <c r="B250" s="6" t="s">
        <v>1787</v>
      </c>
      <c r="C250" s="6" t="s">
        <v>88</v>
      </c>
      <c r="D250" s="6" t="s">
        <v>2178</v>
      </c>
      <c r="E250" s="6" t="s">
        <v>2179</v>
      </c>
      <c r="F250" s="6" t="s">
        <v>2197</v>
      </c>
      <c r="G250" s="6" t="s">
        <v>1790</v>
      </c>
      <c r="H250" s="6" t="s">
        <v>2198</v>
      </c>
      <c r="I250" s="6">
        <v>2</v>
      </c>
      <c r="J250" s="6">
        <v>1</v>
      </c>
      <c r="K250" s="6">
        <v>0.5</v>
      </c>
      <c r="L250" s="6">
        <v>1.7</v>
      </c>
      <c r="M250" s="6">
        <v>1.7</v>
      </c>
      <c r="N250" s="6">
        <v>1</v>
      </c>
      <c r="O250" s="6">
        <v>1</v>
      </c>
    </row>
    <row r="251" spans="1:15" hidden="1">
      <c r="A251" s="6" t="s">
        <v>1786</v>
      </c>
      <c r="B251" s="6" t="s">
        <v>1787</v>
      </c>
      <c r="C251" s="6" t="s">
        <v>88</v>
      </c>
      <c r="D251" s="6" t="s">
        <v>2178</v>
      </c>
      <c r="E251" s="6" t="s">
        <v>2179</v>
      </c>
      <c r="F251" s="6" t="s">
        <v>2199</v>
      </c>
      <c r="G251" s="6" t="s">
        <v>1790</v>
      </c>
      <c r="H251" s="6" t="s">
        <v>2200</v>
      </c>
      <c r="I251" s="6">
        <v>1</v>
      </c>
      <c r="J251" s="6">
        <v>0</v>
      </c>
      <c r="K251" s="6">
        <v>0</v>
      </c>
      <c r="L251" s="6">
        <v>0</v>
      </c>
      <c r="M251" s="6">
        <v>0</v>
      </c>
      <c r="N251" s="6">
        <v>0</v>
      </c>
      <c r="O251" s="6">
        <v>0</v>
      </c>
    </row>
    <row r="252" spans="1:15" hidden="1">
      <c r="A252" s="6" t="s">
        <v>1786</v>
      </c>
      <c r="B252" s="6" t="s">
        <v>1787</v>
      </c>
      <c r="C252" s="6" t="s">
        <v>88</v>
      </c>
      <c r="D252" s="6" t="s">
        <v>2178</v>
      </c>
      <c r="E252" s="6" t="s">
        <v>2179</v>
      </c>
      <c r="F252" s="6" t="s">
        <v>2201</v>
      </c>
      <c r="G252" s="6" t="s">
        <v>1790</v>
      </c>
      <c r="H252" s="6" t="s">
        <v>2202</v>
      </c>
      <c r="I252" s="6">
        <v>3</v>
      </c>
      <c r="J252" s="6">
        <v>0</v>
      </c>
      <c r="K252" s="6">
        <v>0</v>
      </c>
      <c r="L252" s="6">
        <v>0</v>
      </c>
      <c r="M252" s="6">
        <v>0</v>
      </c>
      <c r="N252" s="6">
        <v>0.5</v>
      </c>
      <c r="O252" s="6">
        <v>0.5</v>
      </c>
    </row>
    <row r="253" spans="1:15" hidden="1">
      <c r="A253" s="6" t="s">
        <v>1786</v>
      </c>
      <c r="B253" s="6" t="s">
        <v>1787</v>
      </c>
      <c r="C253" s="6" t="s">
        <v>88</v>
      </c>
      <c r="D253" s="6" t="s">
        <v>2178</v>
      </c>
      <c r="E253" s="6" t="s">
        <v>2179</v>
      </c>
      <c r="F253" s="6" t="s">
        <v>2203</v>
      </c>
      <c r="G253" s="6" t="s">
        <v>1790</v>
      </c>
      <c r="H253" s="6" t="s">
        <v>2204</v>
      </c>
      <c r="I253" s="6">
        <v>2</v>
      </c>
      <c r="J253" s="6">
        <v>0</v>
      </c>
      <c r="K253" s="6">
        <v>0</v>
      </c>
      <c r="L253" s="6">
        <v>0</v>
      </c>
      <c r="M253" s="6">
        <v>0</v>
      </c>
      <c r="N253" s="6">
        <v>1</v>
      </c>
      <c r="O253" s="6">
        <v>1</v>
      </c>
    </row>
    <row r="254" spans="1:15" hidden="1">
      <c r="A254" s="6" t="s">
        <v>1786</v>
      </c>
      <c r="B254" s="6" t="s">
        <v>1787</v>
      </c>
      <c r="C254" s="6" t="s">
        <v>88</v>
      </c>
      <c r="D254" s="6" t="s">
        <v>2178</v>
      </c>
      <c r="E254" s="6" t="s">
        <v>2179</v>
      </c>
      <c r="F254" s="6" t="s">
        <v>2205</v>
      </c>
      <c r="G254" s="6" t="s">
        <v>1790</v>
      </c>
      <c r="H254" s="6" t="s">
        <v>2205</v>
      </c>
      <c r="I254" s="6">
        <v>4</v>
      </c>
      <c r="J254" s="6">
        <v>0</v>
      </c>
      <c r="K254" s="6">
        <v>0</v>
      </c>
      <c r="L254" s="6">
        <v>0</v>
      </c>
      <c r="M254" s="6">
        <v>0</v>
      </c>
      <c r="N254" s="6">
        <v>1</v>
      </c>
      <c r="O254" s="6">
        <v>1</v>
      </c>
    </row>
    <row r="255" spans="1:15" hidden="1">
      <c r="A255" s="6" t="s">
        <v>1786</v>
      </c>
      <c r="B255" s="6" t="s">
        <v>1787</v>
      </c>
      <c r="C255" s="6" t="s">
        <v>88</v>
      </c>
      <c r="D255" s="6" t="s">
        <v>2178</v>
      </c>
      <c r="E255" s="6" t="s">
        <v>2179</v>
      </c>
      <c r="F255" s="6" t="s">
        <v>2206</v>
      </c>
      <c r="G255" s="6" t="s">
        <v>1790</v>
      </c>
      <c r="H255" s="6" t="s">
        <v>2207</v>
      </c>
      <c r="I255" s="6">
        <v>1</v>
      </c>
      <c r="J255" s="6">
        <v>0</v>
      </c>
      <c r="K255" s="6">
        <v>0</v>
      </c>
      <c r="L255" s="6">
        <v>0</v>
      </c>
      <c r="M255" s="6">
        <v>0</v>
      </c>
      <c r="N255" s="6">
        <v>0</v>
      </c>
      <c r="O255" s="6">
        <v>0</v>
      </c>
    </row>
    <row r="256" spans="1:15" hidden="1">
      <c r="A256" s="6" t="s">
        <v>1786</v>
      </c>
      <c r="B256" s="6" t="s">
        <v>1787</v>
      </c>
      <c r="C256" s="6" t="s">
        <v>88</v>
      </c>
      <c r="D256" s="6" t="s">
        <v>2178</v>
      </c>
      <c r="E256" s="6" t="s">
        <v>2179</v>
      </c>
      <c r="F256" s="6" t="s">
        <v>2208</v>
      </c>
      <c r="G256" s="6" t="s">
        <v>1790</v>
      </c>
      <c r="H256" s="6" t="s">
        <v>2209</v>
      </c>
      <c r="I256" s="6">
        <v>4</v>
      </c>
      <c r="J256" s="6">
        <v>1</v>
      </c>
      <c r="K256" s="6">
        <v>0.25</v>
      </c>
      <c r="L256" s="6">
        <v>1.1399999999999999</v>
      </c>
      <c r="M256" s="6">
        <v>1.1399999999999999</v>
      </c>
      <c r="N256" s="6">
        <v>1</v>
      </c>
      <c r="O256" s="6">
        <v>1</v>
      </c>
    </row>
    <row r="257" spans="1:15" hidden="1">
      <c r="A257" s="6" t="s">
        <v>1786</v>
      </c>
      <c r="B257" s="6" t="s">
        <v>1787</v>
      </c>
      <c r="C257" s="6" t="s">
        <v>88</v>
      </c>
      <c r="D257" s="6" t="s">
        <v>2178</v>
      </c>
      <c r="E257" s="6" t="s">
        <v>2179</v>
      </c>
      <c r="F257" s="6" t="s">
        <v>2210</v>
      </c>
      <c r="G257" s="6" t="s">
        <v>1790</v>
      </c>
      <c r="H257" s="6" t="s">
        <v>2211</v>
      </c>
      <c r="I257" s="6">
        <v>1</v>
      </c>
      <c r="J257" s="6">
        <v>0</v>
      </c>
      <c r="K257" s="6">
        <v>0</v>
      </c>
      <c r="L257" s="6">
        <v>0</v>
      </c>
      <c r="M257" s="6">
        <v>0</v>
      </c>
      <c r="N257" s="6">
        <v>1</v>
      </c>
      <c r="O257" s="6">
        <v>1</v>
      </c>
    </row>
    <row r="258" spans="1:15" hidden="1">
      <c r="A258" s="6" t="s">
        <v>1786</v>
      </c>
      <c r="B258" s="6" t="s">
        <v>1787</v>
      </c>
      <c r="C258" s="6" t="s">
        <v>88</v>
      </c>
      <c r="D258" s="6" t="s">
        <v>2178</v>
      </c>
      <c r="E258" s="6" t="s">
        <v>2179</v>
      </c>
      <c r="F258" s="6" t="s">
        <v>2212</v>
      </c>
      <c r="G258" s="6" t="s">
        <v>1790</v>
      </c>
      <c r="H258" s="6" t="s">
        <v>2213</v>
      </c>
      <c r="I258" s="6">
        <v>1</v>
      </c>
      <c r="J258" s="6">
        <v>0</v>
      </c>
      <c r="K258" s="6">
        <v>0</v>
      </c>
      <c r="L258" s="6">
        <v>0</v>
      </c>
      <c r="M258" s="6">
        <v>0</v>
      </c>
      <c r="N258" s="6">
        <v>1</v>
      </c>
      <c r="O258" s="6">
        <v>1</v>
      </c>
    </row>
    <row r="259" spans="1:15" hidden="1">
      <c r="A259" s="6" t="s">
        <v>1786</v>
      </c>
      <c r="B259" s="6" t="s">
        <v>1787</v>
      </c>
      <c r="C259" s="6" t="s">
        <v>88</v>
      </c>
      <c r="D259" s="6" t="s">
        <v>2178</v>
      </c>
      <c r="E259" s="6" t="s">
        <v>2179</v>
      </c>
      <c r="F259" s="6" t="s">
        <v>2214</v>
      </c>
      <c r="G259" s="6" t="s">
        <v>1790</v>
      </c>
      <c r="H259" s="6" t="s">
        <v>2215</v>
      </c>
      <c r="I259" s="6">
        <v>2</v>
      </c>
      <c r="J259" s="6">
        <v>1</v>
      </c>
      <c r="K259" s="6">
        <v>0.5</v>
      </c>
      <c r="L259" s="6">
        <v>0.04</v>
      </c>
      <c r="M259" s="6">
        <v>0.04</v>
      </c>
      <c r="N259" s="6">
        <v>1</v>
      </c>
      <c r="O259" s="6">
        <v>1</v>
      </c>
    </row>
    <row r="260" spans="1:15" hidden="1">
      <c r="A260" s="6" t="s">
        <v>1786</v>
      </c>
      <c r="B260" s="6" t="s">
        <v>1787</v>
      </c>
      <c r="C260" s="6" t="s">
        <v>88</v>
      </c>
      <c r="D260" s="6" t="s">
        <v>2178</v>
      </c>
      <c r="E260" s="6" t="s">
        <v>2179</v>
      </c>
      <c r="F260" s="6" t="s">
        <v>2216</v>
      </c>
      <c r="G260" s="6" t="s">
        <v>1790</v>
      </c>
      <c r="H260" s="6" t="s">
        <v>2216</v>
      </c>
      <c r="I260" s="6">
        <v>1</v>
      </c>
      <c r="J260" s="6">
        <v>0</v>
      </c>
      <c r="K260" s="6">
        <v>0</v>
      </c>
      <c r="L260" s="6">
        <v>0</v>
      </c>
      <c r="M260" s="6">
        <v>0</v>
      </c>
      <c r="N260" s="6">
        <v>0</v>
      </c>
      <c r="O260" s="6">
        <v>0</v>
      </c>
    </row>
    <row r="261" spans="1:15" hidden="1">
      <c r="A261" s="6" t="s">
        <v>1786</v>
      </c>
      <c r="B261" s="6" t="s">
        <v>1787</v>
      </c>
      <c r="C261" s="6" t="s">
        <v>88</v>
      </c>
      <c r="D261" s="6" t="s">
        <v>2178</v>
      </c>
      <c r="E261" s="6" t="s">
        <v>2179</v>
      </c>
      <c r="F261" s="6" t="s">
        <v>2217</v>
      </c>
      <c r="G261" s="6" t="s">
        <v>1790</v>
      </c>
      <c r="H261" s="6" t="s">
        <v>2217</v>
      </c>
      <c r="I261" s="6">
        <v>8</v>
      </c>
      <c r="J261" s="6">
        <v>0</v>
      </c>
      <c r="K261" s="6">
        <v>0</v>
      </c>
      <c r="L261" s="6">
        <v>0</v>
      </c>
      <c r="M261" s="6">
        <v>0</v>
      </c>
      <c r="N261" s="6">
        <v>1</v>
      </c>
      <c r="O261" s="6">
        <v>1</v>
      </c>
    </row>
    <row r="262" spans="1:15" hidden="1">
      <c r="A262" s="6" t="s">
        <v>1786</v>
      </c>
      <c r="B262" s="6" t="s">
        <v>1787</v>
      </c>
      <c r="C262" s="6" t="s">
        <v>88</v>
      </c>
      <c r="D262" s="6" t="s">
        <v>2178</v>
      </c>
      <c r="E262" s="6" t="s">
        <v>2179</v>
      </c>
      <c r="F262" s="6" t="s">
        <v>2218</v>
      </c>
      <c r="G262" s="6" t="s">
        <v>1790</v>
      </c>
      <c r="H262" s="6" t="s">
        <v>2219</v>
      </c>
      <c r="I262" s="6">
        <v>1</v>
      </c>
      <c r="J262" s="6">
        <v>0</v>
      </c>
      <c r="K262" s="6">
        <v>0</v>
      </c>
      <c r="L262" s="6">
        <v>0</v>
      </c>
      <c r="M262" s="6">
        <v>0</v>
      </c>
      <c r="N262" s="6">
        <v>1</v>
      </c>
      <c r="O262" s="6">
        <v>1</v>
      </c>
    </row>
    <row r="263" spans="1:15" hidden="1">
      <c r="A263" s="6" t="s">
        <v>1786</v>
      </c>
      <c r="B263" s="6" t="s">
        <v>1787</v>
      </c>
      <c r="C263" s="6" t="s">
        <v>88</v>
      </c>
      <c r="D263" s="6" t="s">
        <v>2178</v>
      </c>
      <c r="E263" s="6" t="s">
        <v>2179</v>
      </c>
      <c r="F263" s="6" t="s">
        <v>2220</v>
      </c>
      <c r="G263" s="6" t="s">
        <v>1790</v>
      </c>
      <c r="H263" s="6" t="s">
        <v>2221</v>
      </c>
      <c r="I263" s="6">
        <v>1</v>
      </c>
      <c r="J263" s="6">
        <v>0</v>
      </c>
      <c r="K263" s="6">
        <v>0</v>
      </c>
      <c r="L263" s="6">
        <v>0</v>
      </c>
      <c r="M263" s="6">
        <v>0</v>
      </c>
      <c r="N263" s="6">
        <v>1</v>
      </c>
      <c r="O263" s="6">
        <v>1</v>
      </c>
    </row>
    <row r="264" spans="1:15" hidden="1">
      <c r="A264" s="6" t="s">
        <v>1786</v>
      </c>
      <c r="B264" s="6" t="s">
        <v>1787</v>
      </c>
      <c r="C264" s="6" t="s">
        <v>88</v>
      </c>
      <c r="D264" s="6" t="s">
        <v>2178</v>
      </c>
      <c r="E264" s="6" t="s">
        <v>2179</v>
      </c>
      <c r="F264" s="6" t="s">
        <v>2222</v>
      </c>
      <c r="G264" s="6" t="s">
        <v>1790</v>
      </c>
      <c r="H264" s="6" t="s">
        <v>2223</v>
      </c>
      <c r="I264" s="6">
        <v>2</v>
      </c>
      <c r="J264" s="6">
        <v>0</v>
      </c>
      <c r="K264" s="6">
        <v>0</v>
      </c>
      <c r="L264" s="6">
        <v>0</v>
      </c>
      <c r="M264" s="6">
        <v>0</v>
      </c>
      <c r="N264" s="6">
        <v>1</v>
      </c>
      <c r="O264" s="6">
        <v>0</v>
      </c>
    </row>
    <row r="265" spans="1:15" hidden="1">
      <c r="A265" s="6" t="s">
        <v>1786</v>
      </c>
      <c r="B265" s="6" t="s">
        <v>1787</v>
      </c>
      <c r="C265" s="6" t="s">
        <v>88</v>
      </c>
      <c r="D265" s="6" t="s">
        <v>2178</v>
      </c>
      <c r="E265" s="6" t="s">
        <v>2179</v>
      </c>
      <c r="F265" s="6" t="s">
        <v>2224</v>
      </c>
      <c r="G265" s="6" t="s">
        <v>1790</v>
      </c>
      <c r="H265" s="6" t="s">
        <v>2225</v>
      </c>
      <c r="I265" s="6">
        <v>2</v>
      </c>
      <c r="J265" s="6">
        <v>1</v>
      </c>
      <c r="K265" s="6">
        <v>0.5</v>
      </c>
      <c r="L265" s="6">
        <v>0.96</v>
      </c>
      <c r="M265" s="6">
        <v>0.96</v>
      </c>
      <c r="N265" s="6">
        <v>1</v>
      </c>
      <c r="O265" s="6">
        <v>1</v>
      </c>
    </row>
    <row r="266" spans="1:15" hidden="1">
      <c r="A266" s="6" t="s">
        <v>1786</v>
      </c>
      <c r="B266" s="6" t="s">
        <v>1787</v>
      </c>
      <c r="C266" s="6" t="s">
        <v>88</v>
      </c>
      <c r="D266" s="6" t="s">
        <v>2178</v>
      </c>
      <c r="E266" s="6" t="s">
        <v>2179</v>
      </c>
      <c r="F266" s="6" t="s">
        <v>2226</v>
      </c>
      <c r="G266" s="6" t="s">
        <v>1790</v>
      </c>
      <c r="H266" s="6" t="s">
        <v>2226</v>
      </c>
      <c r="I266" s="6">
        <v>2</v>
      </c>
      <c r="J266" s="6">
        <v>0</v>
      </c>
      <c r="K266" s="6">
        <v>0</v>
      </c>
      <c r="L266" s="6">
        <v>0</v>
      </c>
      <c r="M266" s="6">
        <v>0</v>
      </c>
      <c r="N266" s="6">
        <v>1</v>
      </c>
      <c r="O266" s="6">
        <v>1</v>
      </c>
    </row>
    <row r="267" spans="1:15" hidden="1">
      <c r="A267" s="6" t="s">
        <v>1786</v>
      </c>
      <c r="B267" s="6" t="s">
        <v>1787</v>
      </c>
      <c r="C267" s="6" t="s">
        <v>88</v>
      </c>
      <c r="D267" s="6" t="s">
        <v>2178</v>
      </c>
      <c r="E267" s="6" t="s">
        <v>2179</v>
      </c>
      <c r="F267" s="6" t="s">
        <v>2227</v>
      </c>
      <c r="G267" s="6" t="s">
        <v>1790</v>
      </c>
      <c r="H267" s="6" t="s">
        <v>2228</v>
      </c>
      <c r="I267" s="6">
        <v>1</v>
      </c>
      <c r="J267" s="6">
        <v>0</v>
      </c>
      <c r="K267" s="6">
        <v>0</v>
      </c>
      <c r="L267" s="6">
        <v>0</v>
      </c>
      <c r="M267" s="6">
        <v>0</v>
      </c>
      <c r="N267" s="6">
        <v>1</v>
      </c>
      <c r="O267" s="6">
        <v>1</v>
      </c>
    </row>
    <row r="268" spans="1:15" hidden="1">
      <c r="A268" s="6" t="s">
        <v>1786</v>
      </c>
      <c r="B268" s="6" t="s">
        <v>1787</v>
      </c>
      <c r="C268" s="6" t="s">
        <v>88</v>
      </c>
      <c r="D268" s="6" t="s">
        <v>2178</v>
      </c>
      <c r="E268" s="6" t="s">
        <v>2179</v>
      </c>
      <c r="F268" s="6" t="s">
        <v>2229</v>
      </c>
      <c r="G268" s="6" t="s">
        <v>1790</v>
      </c>
      <c r="H268" s="6" t="s">
        <v>2230</v>
      </c>
      <c r="I268" s="6">
        <v>1</v>
      </c>
      <c r="J268" s="6">
        <v>0</v>
      </c>
      <c r="K268" s="6">
        <v>0</v>
      </c>
      <c r="L268" s="6">
        <v>0</v>
      </c>
      <c r="M268" s="6">
        <v>0</v>
      </c>
      <c r="N268" s="6">
        <v>1</v>
      </c>
      <c r="O268" s="6">
        <v>1</v>
      </c>
    </row>
    <row r="269" spans="1:15" hidden="1">
      <c r="A269" s="6" t="s">
        <v>1786</v>
      </c>
      <c r="B269" s="6" t="s">
        <v>1787</v>
      </c>
      <c r="C269" s="6" t="s">
        <v>88</v>
      </c>
      <c r="D269" s="6" t="s">
        <v>2178</v>
      </c>
      <c r="E269" s="6" t="s">
        <v>2179</v>
      </c>
      <c r="F269" s="6" t="s">
        <v>2231</v>
      </c>
      <c r="G269" s="6" t="s">
        <v>1790</v>
      </c>
      <c r="H269" s="6" t="s">
        <v>2232</v>
      </c>
      <c r="I269" s="6">
        <v>1</v>
      </c>
      <c r="J269" s="6">
        <v>0</v>
      </c>
      <c r="K269" s="6">
        <v>0</v>
      </c>
      <c r="L269" s="6">
        <v>0</v>
      </c>
      <c r="M269" s="6">
        <v>0</v>
      </c>
      <c r="N269" s="6">
        <v>0</v>
      </c>
      <c r="O269" s="6">
        <v>0</v>
      </c>
    </row>
    <row r="270" spans="1:15" hidden="1">
      <c r="A270" s="6" t="s">
        <v>1786</v>
      </c>
      <c r="B270" s="6" t="s">
        <v>1787</v>
      </c>
      <c r="C270" s="6" t="s">
        <v>88</v>
      </c>
      <c r="D270" s="6" t="s">
        <v>2178</v>
      </c>
      <c r="E270" s="6" t="s">
        <v>2233</v>
      </c>
      <c r="F270" s="6" t="s">
        <v>2234</v>
      </c>
      <c r="G270" s="6" t="s">
        <v>1790</v>
      </c>
      <c r="H270" s="6" t="s">
        <v>2235</v>
      </c>
      <c r="I270" s="6">
        <v>1</v>
      </c>
      <c r="J270" s="6">
        <v>0</v>
      </c>
      <c r="K270" s="6">
        <v>0</v>
      </c>
      <c r="L270" s="6">
        <v>0</v>
      </c>
      <c r="M270" s="6">
        <v>0</v>
      </c>
      <c r="N270" s="6">
        <v>1</v>
      </c>
      <c r="O270" s="6">
        <v>1</v>
      </c>
    </row>
    <row r="271" spans="1:15" hidden="1">
      <c r="A271" s="6" t="s">
        <v>1786</v>
      </c>
      <c r="B271" s="6" t="s">
        <v>1787</v>
      </c>
      <c r="C271" s="6" t="s">
        <v>88</v>
      </c>
      <c r="D271" s="6" t="s">
        <v>2178</v>
      </c>
      <c r="E271" s="6" t="s">
        <v>2236</v>
      </c>
      <c r="F271" s="6" t="s">
        <v>2237</v>
      </c>
      <c r="G271" s="6" t="s">
        <v>1790</v>
      </c>
      <c r="H271" s="6" t="s">
        <v>2238</v>
      </c>
      <c r="I271" s="6">
        <v>2</v>
      </c>
      <c r="J271" s="6">
        <v>0</v>
      </c>
      <c r="K271" s="6">
        <v>0</v>
      </c>
      <c r="L271" s="6">
        <v>0</v>
      </c>
      <c r="M271" s="6">
        <v>0</v>
      </c>
      <c r="N271" s="6">
        <v>0</v>
      </c>
      <c r="O271" s="6">
        <v>0</v>
      </c>
    </row>
    <row r="272" spans="1:15" hidden="1">
      <c r="A272" s="6" t="s">
        <v>1786</v>
      </c>
      <c r="B272" s="6" t="s">
        <v>1787</v>
      </c>
      <c r="C272" s="6" t="s">
        <v>88</v>
      </c>
      <c r="D272" s="6" t="s">
        <v>2178</v>
      </c>
      <c r="E272" s="6" t="s">
        <v>2236</v>
      </c>
      <c r="F272" s="6" t="s">
        <v>2239</v>
      </c>
      <c r="G272" s="6" t="s">
        <v>1790</v>
      </c>
      <c r="H272" s="6" t="s">
        <v>2240</v>
      </c>
      <c r="I272" s="6">
        <v>1</v>
      </c>
      <c r="J272" s="6">
        <v>0</v>
      </c>
      <c r="K272" s="6">
        <v>0</v>
      </c>
      <c r="L272" s="6">
        <v>0</v>
      </c>
      <c r="M272" s="6">
        <v>0</v>
      </c>
      <c r="N272" s="6">
        <v>1</v>
      </c>
      <c r="O272" s="6">
        <v>1</v>
      </c>
    </row>
    <row r="273" spans="1:15" hidden="1">
      <c r="A273" s="6" t="s">
        <v>1786</v>
      </c>
      <c r="B273" s="6" t="s">
        <v>1787</v>
      </c>
      <c r="C273" s="6" t="s">
        <v>88</v>
      </c>
      <c r="D273" s="6" t="s">
        <v>2241</v>
      </c>
      <c r="E273" s="6" t="s">
        <v>2242</v>
      </c>
      <c r="G273" s="6" t="s">
        <v>1790</v>
      </c>
      <c r="H273" s="6" t="s">
        <v>2243</v>
      </c>
      <c r="I273" s="6">
        <v>1</v>
      </c>
      <c r="J273" s="6">
        <v>0</v>
      </c>
      <c r="K273" s="6">
        <v>0</v>
      </c>
      <c r="L273" s="6">
        <v>0</v>
      </c>
      <c r="M273" s="6">
        <v>0</v>
      </c>
      <c r="N273" s="6">
        <v>0</v>
      </c>
      <c r="O273" s="6">
        <v>0</v>
      </c>
    </row>
    <row r="274" spans="1:15" hidden="1">
      <c r="A274" s="6" t="s">
        <v>1786</v>
      </c>
      <c r="B274" s="6" t="s">
        <v>1787</v>
      </c>
      <c r="C274" s="6" t="s">
        <v>88</v>
      </c>
      <c r="D274" s="6" t="s">
        <v>2241</v>
      </c>
      <c r="E274" s="6" t="s">
        <v>2242</v>
      </c>
      <c r="F274" s="6" t="s">
        <v>2244</v>
      </c>
      <c r="G274" s="6" t="s">
        <v>1790</v>
      </c>
      <c r="H274" s="6" t="s">
        <v>2245</v>
      </c>
      <c r="I274" s="6">
        <v>1</v>
      </c>
      <c r="J274" s="6">
        <v>0</v>
      </c>
      <c r="K274" s="6">
        <v>0</v>
      </c>
      <c r="L274" s="6">
        <v>0</v>
      </c>
      <c r="M274" s="6">
        <v>0</v>
      </c>
      <c r="N274" s="6">
        <v>0</v>
      </c>
      <c r="O274" s="6">
        <v>0</v>
      </c>
    </row>
    <row r="275" spans="1:15" hidden="1">
      <c r="A275" s="6" t="s">
        <v>1786</v>
      </c>
      <c r="B275" s="6" t="s">
        <v>1787</v>
      </c>
      <c r="C275" s="6" t="s">
        <v>88</v>
      </c>
      <c r="D275" s="6" t="s">
        <v>2241</v>
      </c>
      <c r="E275" s="6" t="s">
        <v>2242</v>
      </c>
      <c r="F275" s="6" t="s">
        <v>2246</v>
      </c>
      <c r="G275" s="6" t="s">
        <v>1790</v>
      </c>
      <c r="H275" s="6" t="s">
        <v>2247</v>
      </c>
      <c r="I275" s="6">
        <v>1</v>
      </c>
      <c r="J275" s="6">
        <v>0</v>
      </c>
      <c r="K275" s="6">
        <v>0</v>
      </c>
      <c r="L275" s="6">
        <v>0</v>
      </c>
      <c r="M275" s="6">
        <v>0</v>
      </c>
      <c r="N275" s="6">
        <v>0</v>
      </c>
      <c r="O275" s="6">
        <v>0</v>
      </c>
    </row>
    <row r="276" spans="1:15" hidden="1">
      <c r="A276" s="6" t="s">
        <v>1786</v>
      </c>
      <c r="B276" s="6" t="s">
        <v>1787</v>
      </c>
      <c r="C276" s="6" t="s">
        <v>88</v>
      </c>
      <c r="D276" s="6" t="s">
        <v>2241</v>
      </c>
      <c r="E276" s="6" t="s">
        <v>2242</v>
      </c>
      <c r="F276" s="6" t="s">
        <v>2248</v>
      </c>
      <c r="G276" s="6" t="s">
        <v>1790</v>
      </c>
      <c r="H276" s="6" t="s">
        <v>2249</v>
      </c>
      <c r="I276" s="6">
        <v>1</v>
      </c>
      <c r="J276" s="6">
        <v>0</v>
      </c>
      <c r="K276" s="6">
        <v>0</v>
      </c>
      <c r="L276" s="6">
        <v>0</v>
      </c>
      <c r="M276" s="6">
        <v>0</v>
      </c>
      <c r="N276" s="6">
        <v>0</v>
      </c>
      <c r="O276" s="6">
        <v>0</v>
      </c>
    </row>
    <row r="277" spans="1:15" hidden="1">
      <c r="A277" s="6" t="s">
        <v>1786</v>
      </c>
      <c r="B277" s="6" t="s">
        <v>1787</v>
      </c>
      <c r="C277" s="6" t="s">
        <v>88</v>
      </c>
      <c r="D277" s="6" t="s">
        <v>2241</v>
      </c>
      <c r="E277" s="6" t="s">
        <v>2242</v>
      </c>
      <c r="F277" s="6" t="s">
        <v>2250</v>
      </c>
      <c r="G277" s="6" t="s">
        <v>1790</v>
      </c>
      <c r="H277" s="6" t="s">
        <v>2251</v>
      </c>
      <c r="I277" s="6">
        <v>1</v>
      </c>
      <c r="J277" s="6">
        <v>0</v>
      </c>
      <c r="K277" s="6">
        <v>0</v>
      </c>
      <c r="L277" s="6">
        <v>0</v>
      </c>
      <c r="M277" s="6">
        <v>0</v>
      </c>
      <c r="N277" s="6">
        <v>1</v>
      </c>
      <c r="O277" s="6">
        <v>1</v>
      </c>
    </row>
    <row r="278" spans="1:15" hidden="1">
      <c r="A278" s="6" t="s">
        <v>1786</v>
      </c>
      <c r="B278" s="6" t="s">
        <v>1787</v>
      </c>
      <c r="C278" s="6" t="s">
        <v>88</v>
      </c>
      <c r="D278" s="6" t="s">
        <v>2241</v>
      </c>
      <c r="E278" s="6" t="s">
        <v>2242</v>
      </c>
      <c r="F278" s="6" t="s">
        <v>2252</v>
      </c>
      <c r="G278" s="6" t="s">
        <v>1790</v>
      </c>
      <c r="H278" s="6" t="s">
        <v>2253</v>
      </c>
      <c r="I278" s="6">
        <v>4</v>
      </c>
      <c r="J278" s="6">
        <v>0</v>
      </c>
      <c r="K278" s="6">
        <v>0</v>
      </c>
      <c r="L278" s="6">
        <v>0</v>
      </c>
      <c r="M278" s="6">
        <v>0</v>
      </c>
      <c r="N278" s="6">
        <v>1</v>
      </c>
      <c r="O278" s="6">
        <v>0.66670000000000007</v>
      </c>
    </row>
    <row r="279" spans="1:15" hidden="1">
      <c r="A279" s="6" t="s">
        <v>1786</v>
      </c>
      <c r="B279" s="6" t="s">
        <v>1787</v>
      </c>
      <c r="C279" s="6" t="s">
        <v>88</v>
      </c>
      <c r="D279" s="6" t="s">
        <v>2241</v>
      </c>
      <c r="E279" s="6" t="s">
        <v>2242</v>
      </c>
      <c r="F279" s="6" t="s">
        <v>2252</v>
      </c>
      <c r="G279" s="6" t="s">
        <v>1790</v>
      </c>
      <c r="H279" s="6" t="s">
        <v>2254</v>
      </c>
      <c r="I279" s="6">
        <v>1</v>
      </c>
      <c r="J279" s="6">
        <v>1</v>
      </c>
      <c r="K279" s="6">
        <v>1</v>
      </c>
      <c r="L279" s="6">
        <v>0.09</v>
      </c>
      <c r="M279" s="6">
        <v>0.09</v>
      </c>
      <c r="N279" s="6">
        <v>1</v>
      </c>
      <c r="O279" s="6">
        <v>1</v>
      </c>
    </row>
    <row r="280" spans="1:15" hidden="1">
      <c r="A280" s="6" t="s">
        <v>1786</v>
      </c>
      <c r="B280" s="6" t="s">
        <v>1787</v>
      </c>
      <c r="C280" s="6" t="s">
        <v>88</v>
      </c>
      <c r="D280" s="6" t="s">
        <v>2241</v>
      </c>
      <c r="E280" s="6" t="s">
        <v>2242</v>
      </c>
      <c r="F280" s="6" t="s">
        <v>2255</v>
      </c>
      <c r="G280" s="6" t="s">
        <v>1790</v>
      </c>
      <c r="H280" s="6" t="s">
        <v>2256</v>
      </c>
      <c r="I280" s="6">
        <v>1</v>
      </c>
      <c r="J280" s="6">
        <v>0</v>
      </c>
      <c r="K280" s="6">
        <v>0</v>
      </c>
      <c r="L280" s="6">
        <v>0</v>
      </c>
      <c r="M280" s="6">
        <v>0</v>
      </c>
      <c r="N280" s="6">
        <v>0</v>
      </c>
      <c r="O280" s="6">
        <v>0</v>
      </c>
    </row>
    <row r="281" spans="1:15" hidden="1">
      <c r="A281" s="6" t="s">
        <v>1786</v>
      </c>
      <c r="B281" s="6" t="s">
        <v>1787</v>
      </c>
      <c r="C281" s="6" t="s">
        <v>88</v>
      </c>
      <c r="D281" s="6" t="s">
        <v>2241</v>
      </c>
      <c r="E281" s="6" t="s">
        <v>2242</v>
      </c>
      <c r="F281" s="6" t="s">
        <v>2138</v>
      </c>
      <c r="G281" s="6" t="s">
        <v>1790</v>
      </c>
      <c r="H281" s="6" t="s">
        <v>2257</v>
      </c>
      <c r="I281" s="6">
        <v>2</v>
      </c>
      <c r="J281" s="6">
        <v>1</v>
      </c>
      <c r="K281" s="6">
        <v>0.5</v>
      </c>
      <c r="L281" s="6">
        <v>1.54</v>
      </c>
      <c r="M281" s="6">
        <v>1.54</v>
      </c>
      <c r="N281" s="6">
        <v>1</v>
      </c>
      <c r="O281" s="6">
        <v>1</v>
      </c>
    </row>
    <row r="282" spans="1:15" hidden="1">
      <c r="A282" s="6" t="s">
        <v>1786</v>
      </c>
      <c r="B282" s="6" t="s">
        <v>1787</v>
      </c>
      <c r="C282" s="6" t="s">
        <v>88</v>
      </c>
      <c r="D282" s="6" t="s">
        <v>2241</v>
      </c>
      <c r="E282" s="6" t="s">
        <v>2242</v>
      </c>
      <c r="F282" s="6" t="s">
        <v>2078</v>
      </c>
      <c r="G282" s="6" t="s">
        <v>1790</v>
      </c>
      <c r="H282" s="6" t="s">
        <v>2258</v>
      </c>
      <c r="I282" s="6">
        <v>1</v>
      </c>
      <c r="J282" s="6">
        <v>0</v>
      </c>
      <c r="K282" s="6">
        <v>0</v>
      </c>
      <c r="L282" s="6">
        <v>0</v>
      </c>
      <c r="M282" s="6">
        <v>0</v>
      </c>
      <c r="N282" s="6">
        <v>0</v>
      </c>
      <c r="O282" s="6">
        <v>0</v>
      </c>
    </row>
    <row r="283" spans="1:15" hidden="1">
      <c r="A283" s="6" t="s">
        <v>1786</v>
      </c>
      <c r="B283" s="6" t="s">
        <v>1787</v>
      </c>
      <c r="C283" s="6" t="s">
        <v>88</v>
      </c>
      <c r="D283" s="6" t="s">
        <v>2241</v>
      </c>
      <c r="E283" s="6" t="s">
        <v>2242</v>
      </c>
      <c r="F283" s="6" t="s">
        <v>2259</v>
      </c>
      <c r="G283" s="6" t="s">
        <v>1790</v>
      </c>
      <c r="H283" s="6" t="s">
        <v>2260</v>
      </c>
      <c r="I283" s="6">
        <v>1</v>
      </c>
      <c r="J283" s="6">
        <v>0</v>
      </c>
      <c r="K283" s="6">
        <v>0</v>
      </c>
      <c r="L283" s="6">
        <v>0</v>
      </c>
      <c r="M283" s="6">
        <v>0</v>
      </c>
      <c r="N283" s="6">
        <v>0</v>
      </c>
      <c r="O283" s="6">
        <v>0</v>
      </c>
    </row>
    <row r="284" spans="1:15" hidden="1">
      <c r="A284" s="6" t="s">
        <v>1786</v>
      </c>
      <c r="B284" s="6" t="s">
        <v>1787</v>
      </c>
      <c r="C284" s="6" t="s">
        <v>88</v>
      </c>
      <c r="D284" s="6" t="s">
        <v>2241</v>
      </c>
      <c r="E284" s="6" t="s">
        <v>2242</v>
      </c>
      <c r="F284" s="6" t="s">
        <v>2261</v>
      </c>
      <c r="G284" s="6" t="s">
        <v>1790</v>
      </c>
      <c r="H284" s="6" t="s">
        <v>2261</v>
      </c>
      <c r="I284" s="6">
        <v>2</v>
      </c>
      <c r="J284" s="6">
        <v>0</v>
      </c>
      <c r="K284" s="6">
        <v>0</v>
      </c>
      <c r="L284" s="6">
        <v>0</v>
      </c>
      <c r="M284" s="6">
        <v>0</v>
      </c>
      <c r="N284" s="6">
        <v>1</v>
      </c>
      <c r="O284" s="6">
        <v>1</v>
      </c>
    </row>
    <row r="285" spans="1:15" hidden="1">
      <c r="A285" s="6" t="s">
        <v>1786</v>
      </c>
      <c r="B285" s="6" t="s">
        <v>1787</v>
      </c>
      <c r="C285" s="6" t="s">
        <v>88</v>
      </c>
      <c r="D285" s="6" t="s">
        <v>2241</v>
      </c>
      <c r="E285" s="6" t="s">
        <v>2242</v>
      </c>
      <c r="F285" s="6" t="s">
        <v>2262</v>
      </c>
      <c r="G285" s="6" t="s">
        <v>1790</v>
      </c>
      <c r="H285" s="6" t="s">
        <v>2263</v>
      </c>
      <c r="I285" s="6">
        <v>1</v>
      </c>
      <c r="J285" s="6">
        <v>0</v>
      </c>
      <c r="K285" s="6">
        <v>0</v>
      </c>
      <c r="L285" s="6">
        <v>0</v>
      </c>
      <c r="M285" s="6">
        <v>0</v>
      </c>
      <c r="N285" s="6">
        <v>0</v>
      </c>
      <c r="O285" s="6">
        <v>0</v>
      </c>
    </row>
    <row r="286" spans="1:15" hidden="1">
      <c r="A286" s="6" t="s">
        <v>1786</v>
      </c>
      <c r="B286" s="6" t="s">
        <v>1787</v>
      </c>
      <c r="C286" s="6" t="s">
        <v>88</v>
      </c>
      <c r="D286" s="6" t="s">
        <v>2241</v>
      </c>
      <c r="E286" s="6" t="s">
        <v>2242</v>
      </c>
      <c r="F286" s="6" t="s">
        <v>2264</v>
      </c>
      <c r="G286" s="6" t="s">
        <v>1790</v>
      </c>
      <c r="H286" s="6" t="s">
        <v>2264</v>
      </c>
      <c r="I286" s="6">
        <v>2</v>
      </c>
      <c r="J286" s="6">
        <v>0</v>
      </c>
      <c r="K286" s="6">
        <v>0</v>
      </c>
      <c r="L286" s="6">
        <v>0</v>
      </c>
      <c r="M286" s="6">
        <v>0</v>
      </c>
      <c r="N286" s="6">
        <v>1</v>
      </c>
      <c r="O286" s="6">
        <v>1</v>
      </c>
    </row>
    <row r="287" spans="1:15" hidden="1">
      <c r="A287" s="6" t="s">
        <v>1786</v>
      </c>
      <c r="B287" s="6" t="s">
        <v>1787</v>
      </c>
      <c r="C287" s="6" t="s">
        <v>88</v>
      </c>
      <c r="D287" s="6" t="s">
        <v>2241</v>
      </c>
      <c r="E287" s="6" t="s">
        <v>2265</v>
      </c>
      <c r="F287" s="6" t="s">
        <v>2266</v>
      </c>
      <c r="G287" s="6" t="s">
        <v>1790</v>
      </c>
      <c r="H287" s="6" t="s">
        <v>2267</v>
      </c>
      <c r="I287" s="6">
        <v>2</v>
      </c>
      <c r="J287" s="6">
        <v>0</v>
      </c>
      <c r="K287" s="6">
        <v>0</v>
      </c>
      <c r="L287" s="6">
        <v>0</v>
      </c>
      <c r="M287" s="6">
        <v>0</v>
      </c>
      <c r="N287" s="6">
        <v>1</v>
      </c>
      <c r="O287" s="6">
        <v>1</v>
      </c>
    </row>
    <row r="288" spans="1:15" hidden="1">
      <c r="A288" s="6" t="s">
        <v>1786</v>
      </c>
      <c r="B288" s="6" t="s">
        <v>1787</v>
      </c>
      <c r="C288" s="6" t="s">
        <v>88</v>
      </c>
      <c r="D288" s="6" t="s">
        <v>2241</v>
      </c>
      <c r="E288" s="6" t="s">
        <v>2268</v>
      </c>
      <c r="F288" s="6" t="s">
        <v>2269</v>
      </c>
      <c r="G288" s="6" t="s">
        <v>1790</v>
      </c>
      <c r="H288" s="6" t="s">
        <v>2270</v>
      </c>
      <c r="I288" s="6">
        <v>1</v>
      </c>
      <c r="J288" s="6">
        <v>0</v>
      </c>
      <c r="K288" s="6">
        <v>0</v>
      </c>
      <c r="L288" s="6">
        <v>0</v>
      </c>
      <c r="M288" s="6">
        <v>0</v>
      </c>
      <c r="N288" s="6">
        <v>0</v>
      </c>
      <c r="O288" s="6">
        <v>0</v>
      </c>
    </row>
    <row r="289" spans="1:15" hidden="1">
      <c r="A289" s="6" t="s">
        <v>1786</v>
      </c>
      <c r="B289" s="6" t="s">
        <v>1787</v>
      </c>
      <c r="C289" s="6" t="s">
        <v>88</v>
      </c>
      <c r="D289" s="6" t="s">
        <v>2241</v>
      </c>
      <c r="E289" s="6" t="s">
        <v>2271</v>
      </c>
      <c r="F289" s="6" t="s">
        <v>2272</v>
      </c>
      <c r="G289" s="6" t="s">
        <v>1790</v>
      </c>
      <c r="H289" s="6" t="s">
        <v>2273</v>
      </c>
      <c r="I289" s="6">
        <v>1</v>
      </c>
      <c r="J289" s="6">
        <v>0</v>
      </c>
      <c r="K289" s="6">
        <v>0</v>
      </c>
      <c r="L289" s="6">
        <v>0</v>
      </c>
      <c r="M289" s="6">
        <v>0</v>
      </c>
      <c r="N289" s="6">
        <v>0</v>
      </c>
      <c r="O289" s="6">
        <v>0</v>
      </c>
    </row>
    <row r="290" spans="1:15" hidden="1">
      <c r="A290" s="6" t="s">
        <v>1786</v>
      </c>
      <c r="B290" s="6" t="s">
        <v>1787</v>
      </c>
      <c r="C290" s="6" t="s">
        <v>88</v>
      </c>
      <c r="D290" s="6" t="s">
        <v>2241</v>
      </c>
      <c r="E290" s="6" t="s">
        <v>2274</v>
      </c>
      <c r="F290" s="6" t="s">
        <v>2275</v>
      </c>
      <c r="G290" s="6" t="s">
        <v>1790</v>
      </c>
      <c r="H290" s="6" t="s">
        <v>2276</v>
      </c>
      <c r="I290" s="6">
        <v>2</v>
      </c>
      <c r="J290" s="6">
        <v>0</v>
      </c>
      <c r="K290" s="6">
        <v>0</v>
      </c>
      <c r="L290" s="6">
        <v>0</v>
      </c>
      <c r="M290" s="6">
        <v>0</v>
      </c>
      <c r="N290" s="6">
        <v>1</v>
      </c>
      <c r="O290" s="6">
        <v>0</v>
      </c>
    </row>
    <row r="291" spans="1:15" hidden="1">
      <c r="A291" s="6" t="s">
        <v>1786</v>
      </c>
      <c r="B291" s="6" t="s">
        <v>1787</v>
      </c>
      <c r="C291" s="6" t="s">
        <v>88</v>
      </c>
      <c r="D291" s="6" t="s">
        <v>2277</v>
      </c>
      <c r="E291" s="6" t="s">
        <v>2278</v>
      </c>
      <c r="F291" s="6" t="s">
        <v>2279</v>
      </c>
      <c r="G291" s="6" t="s">
        <v>1790</v>
      </c>
      <c r="H291" s="6" t="s">
        <v>2280</v>
      </c>
      <c r="I291" s="6">
        <v>2</v>
      </c>
      <c r="J291" s="6">
        <v>0</v>
      </c>
      <c r="K291" s="6">
        <v>0</v>
      </c>
      <c r="L291" s="6">
        <v>0</v>
      </c>
      <c r="M291" s="6">
        <v>0</v>
      </c>
      <c r="N291" s="6">
        <v>1</v>
      </c>
      <c r="O291" s="6">
        <v>0</v>
      </c>
    </row>
    <row r="292" spans="1:15" hidden="1">
      <c r="A292" s="6" t="s">
        <v>1786</v>
      </c>
      <c r="B292" s="6" t="s">
        <v>1787</v>
      </c>
      <c r="C292" s="6" t="s">
        <v>88</v>
      </c>
      <c r="D292" s="6" t="s">
        <v>2277</v>
      </c>
      <c r="E292" s="6" t="s">
        <v>2281</v>
      </c>
      <c r="F292" s="6" t="s">
        <v>2282</v>
      </c>
      <c r="G292" s="6" t="s">
        <v>1790</v>
      </c>
      <c r="H292" s="6" t="s">
        <v>2283</v>
      </c>
      <c r="I292" s="6">
        <v>2</v>
      </c>
      <c r="J292" s="6">
        <v>0</v>
      </c>
      <c r="K292" s="6">
        <v>0</v>
      </c>
      <c r="L292" s="6">
        <v>0</v>
      </c>
      <c r="M292" s="6">
        <v>0</v>
      </c>
      <c r="N292" s="6">
        <v>1</v>
      </c>
      <c r="O292" s="6">
        <v>1</v>
      </c>
    </row>
    <row r="293" spans="1:15" hidden="1">
      <c r="A293" s="6" t="s">
        <v>1786</v>
      </c>
      <c r="B293" s="6" t="s">
        <v>1787</v>
      </c>
      <c r="C293" s="6" t="s">
        <v>88</v>
      </c>
      <c r="D293" s="6" t="s">
        <v>2277</v>
      </c>
      <c r="E293" s="6" t="s">
        <v>2281</v>
      </c>
      <c r="F293" s="6" t="s">
        <v>2284</v>
      </c>
      <c r="G293" s="6" t="s">
        <v>1790</v>
      </c>
      <c r="H293" s="6" t="s">
        <v>2285</v>
      </c>
      <c r="I293" s="6">
        <v>1</v>
      </c>
      <c r="J293" s="6">
        <v>0</v>
      </c>
      <c r="K293" s="6">
        <v>0</v>
      </c>
      <c r="L293" s="6">
        <v>0</v>
      </c>
      <c r="M293" s="6">
        <v>0</v>
      </c>
      <c r="N293" s="6">
        <v>0</v>
      </c>
      <c r="O293" s="6">
        <v>0</v>
      </c>
    </row>
    <row r="294" spans="1:15" hidden="1">
      <c r="A294" s="6" t="s">
        <v>1786</v>
      </c>
      <c r="B294" s="6" t="s">
        <v>1787</v>
      </c>
      <c r="C294" s="6" t="s">
        <v>88</v>
      </c>
      <c r="D294" s="6" t="s">
        <v>2277</v>
      </c>
      <c r="E294" s="6" t="s">
        <v>2281</v>
      </c>
      <c r="F294" s="6" t="s">
        <v>2286</v>
      </c>
      <c r="G294" s="6" t="s">
        <v>1790</v>
      </c>
      <c r="H294" s="6" t="s">
        <v>2287</v>
      </c>
      <c r="I294" s="6">
        <v>4</v>
      </c>
      <c r="J294" s="6">
        <v>1</v>
      </c>
      <c r="K294" s="6">
        <v>0.25</v>
      </c>
      <c r="L294" s="6">
        <v>0.23</v>
      </c>
      <c r="M294" s="6">
        <v>0.23</v>
      </c>
      <c r="N294" s="6">
        <v>1</v>
      </c>
      <c r="O294" s="6">
        <v>1</v>
      </c>
    </row>
    <row r="295" spans="1:15" hidden="1">
      <c r="A295" s="6" t="s">
        <v>1786</v>
      </c>
      <c r="B295" s="6" t="s">
        <v>1787</v>
      </c>
      <c r="C295" s="6" t="s">
        <v>88</v>
      </c>
      <c r="D295" s="6" t="s">
        <v>2277</v>
      </c>
      <c r="E295" s="6" t="s">
        <v>2281</v>
      </c>
      <c r="F295" s="6" t="s">
        <v>2288</v>
      </c>
      <c r="G295" s="6" t="s">
        <v>1790</v>
      </c>
      <c r="H295" s="6" t="s">
        <v>2289</v>
      </c>
      <c r="I295" s="6">
        <v>1</v>
      </c>
      <c r="J295" s="6">
        <v>0</v>
      </c>
      <c r="K295" s="6">
        <v>0</v>
      </c>
      <c r="L295" s="6">
        <v>0</v>
      </c>
      <c r="M295" s="6">
        <v>0</v>
      </c>
      <c r="N295" s="6">
        <v>0</v>
      </c>
      <c r="O295" s="6">
        <v>0</v>
      </c>
    </row>
    <row r="296" spans="1:15" hidden="1">
      <c r="A296" s="6" t="s">
        <v>1786</v>
      </c>
      <c r="B296" s="6" t="s">
        <v>1787</v>
      </c>
      <c r="C296" s="6" t="s">
        <v>88</v>
      </c>
      <c r="D296" s="6" t="s">
        <v>2277</v>
      </c>
      <c r="E296" s="6" t="s">
        <v>2281</v>
      </c>
      <c r="F296" s="6" t="s">
        <v>2290</v>
      </c>
      <c r="G296" s="6" t="s">
        <v>1790</v>
      </c>
      <c r="H296" s="6" t="s">
        <v>2291</v>
      </c>
      <c r="I296" s="6">
        <v>1</v>
      </c>
      <c r="J296" s="6">
        <v>0</v>
      </c>
      <c r="K296" s="6">
        <v>0</v>
      </c>
      <c r="L296" s="6">
        <v>0</v>
      </c>
      <c r="M296" s="6">
        <v>0</v>
      </c>
      <c r="N296" s="6">
        <v>1</v>
      </c>
      <c r="O296" s="6">
        <v>1</v>
      </c>
    </row>
    <row r="297" spans="1:15" hidden="1">
      <c r="A297" s="6" t="s">
        <v>1786</v>
      </c>
      <c r="B297" s="6" t="s">
        <v>1787</v>
      </c>
      <c r="C297" s="6" t="s">
        <v>88</v>
      </c>
      <c r="D297" s="6" t="s">
        <v>2277</v>
      </c>
      <c r="E297" s="6" t="s">
        <v>2281</v>
      </c>
      <c r="F297" s="6" t="s">
        <v>2290</v>
      </c>
      <c r="G297" s="6" t="s">
        <v>1790</v>
      </c>
      <c r="H297" s="6" t="s">
        <v>2292</v>
      </c>
      <c r="I297" s="6">
        <v>1</v>
      </c>
      <c r="J297" s="6">
        <v>0</v>
      </c>
      <c r="K297" s="6">
        <v>0</v>
      </c>
      <c r="L297" s="6">
        <v>0</v>
      </c>
      <c r="M297" s="6">
        <v>0</v>
      </c>
      <c r="N297" s="6">
        <v>0</v>
      </c>
      <c r="O297" s="6">
        <v>0</v>
      </c>
    </row>
    <row r="298" spans="1:15" hidden="1">
      <c r="A298" s="6" t="s">
        <v>1786</v>
      </c>
      <c r="B298" s="6" t="s">
        <v>1787</v>
      </c>
      <c r="C298" s="6" t="s">
        <v>88</v>
      </c>
      <c r="D298" s="6" t="s">
        <v>2277</v>
      </c>
      <c r="E298" s="6" t="s">
        <v>2281</v>
      </c>
      <c r="F298" s="6" t="s">
        <v>2290</v>
      </c>
      <c r="G298" s="6" t="s">
        <v>1790</v>
      </c>
      <c r="H298" s="6" t="s">
        <v>2293</v>
      </c>
      <c r="I298" s="6">
        <v>1</v>
      </c>
      <c r="J298" s="6">
        <v>0</v>
      </c>
      <c r="K298" s="6">
        <v>0</v>
      </c>
      <c r="L298" s="6">
        <v>0</v>
      </c>
      <c r="M298" s="6">
        <v>0</v>
      </c>
      <c r="N298" s="6">
        <v>1</v>
      </c>
      <c r="O298" s="6">
        <v>1</v>
      </c>
    </row>
    <row r="299" spans="1:15" hidden="1">
      <c r="A299" s="6" t="s">
        <v>1786</v>
      </c>
      <c r="B299" s="6" t="s">
        <v>1787</v>
      </c>
      <c r="C299" s="6" t="s">
        <v>88</v>
      </c>
      <c r="D299" s="6" t="s">
        <v>2277</v>
      </c>
      <c r="E299" s="6" t="s">
        <v>2281</v>
      </c>
      <c r="F299" s="6" t="s">
        <v>2290</v>
      </c>
      <c r="G299" s="6" t="s">
        <v>1790</v>
      </c>
      <c r="H299" s="6" t="s">
        <v>2294</v>
      </c>
      <c r="I299" s="6">
        <v>1</v>
      </c>
      <c r="J299" s="6">
        <v>0</v>
      </c>
      <c r="K299" s="6">
        <v>0</v>
      </c>
      <c r="L299" s="6">
        <v>0</v>
      </c>
      <c r="M299" s="6">
        <v>0</v>
      </c>
      <c r="N299" s="6">
        <v>0</v>
      </c>
      <c r="O299" s="6">
        <v>0</v>
      </c>
    </row>
    <row r="300" spans="1:15" hidden="1">
      <c r="A300" s="6" t="s">
        <v>1786</v>
      </c>
      <c r="B300" s="6" t="s">
        <v>1787</v>
      </c>
      <c r="C300" s="6" t="s">
        <v>88</v>
      </c>
      <c r="D300" s="6" t="s">
        <v>2277</v>
      </c>
      <c r="E300" s="6" t="s">
        <v>2281</v>
      </c>
      <c r="F300" s="6" t="s">
        <v>2290</v>
      </c>
      <c r="G300" s="6" t="s">
        <v>1790</v>
      </c>
      <c r="H300" s="6" t="s">
        <v>2295</v>
      </c>
      <c r="I300" s="6">
        <v>1</v>
      </c>
      <c r="J300" s="6">
        <v>0</v>
      </c>
      <c r="K300" s="6">
        <v>0</v>
      </c>
      <c r="L300" s="6">
        <v>0</v>
      </c>
      <c r="M300" s="6">
        <v>0</v>
      </c>
      <c r="N300" s="6">
        <v>0</v>
      </c>
      <c r="O300" s="6">
        <v>0</v>
      </c>
    </row>
    <row r="301" spans="1:15" hidden="1">
      <c r="A301" s="6" t="s">
        <v>1786</v>
      </c>
      <c r="B301" s="6" t="s">
        <v>1787</v>
      </c>
      <c r="C301" s="6" t="s">
        <v>88</v>
      </c>
      <c r="D301" s="6" t="s">
        <v>2277</v>
      </c>
      <c r="E301" s="6" t="s">
        <v>2281</v>
      </c>
      <c r="F301" s="6" t="s">
        <v>2290</v>
      </c>
      <c r="G301" s="6" t="s">
        <v>1790</v>
      </c>
      <c r="H301" s="6" t="s">
        <v>2296</v>
      </c>
      <c r="I301" s="6">
        <v>2</v>
      </c>
      <c r="J301" s="6">
        <v>0</v>
      </c>
      <c r="K301" s="6">
        <v>0</v>
      </c>
      <c r="L301" s="6">
        <v>0</v>
      </c>
      <c r="M301" s="6">
        <v>0</v>
      </c>
      <c r="N301" s="6">
        <v>0</v>
      </c>
      <c r="O301" s="6">
        <v>0</v>
      </c>
    </row>
    <row r="302" spans="1:15" hidden="1">
      <c r="A302" s="6" t="s">
        <v>1786</v>
      </c>
      <c r="B302" s="6" t="s">
        <v>1787</v>
      </c>
      <c r="C302" s="6" t="s">
        <v>88</v>
      </c>
      <c r="D302" s="6" t="s">
        <v>2277</v>
      </c>
      <c r="E302" s="6" t="s">
        <v>2281</v>
      </c>
      <c r="F302" s="6" t="s">
        <v>2290</v>
      </c>
      <c r="G302" s="6" t="s">
        <v>1790</v>
      </c>
      <c r="H302" s="6" t="s">
        <v>2297</v>
      </c>
      <c r="I302" s="6">
        <v>1</v>
      </c>
      <c r="J302" s="6">
        <v>0</v>
      </c>
      <c r="K302" s="6">
        <v>0</v>
      </c>
      <c r="L302" s="6">
        <v>0</v>
      </c>
      <c r="M302" s="6">
        <v>0</v>
      </c>
      <c r="N302" s="6">
        <v>0</v>
      </c>
      <c r="O302" s="6">
        <v>0</v>
      </c>
    </row>
    <row r="303" spans="1:15" hidden="1">
      <c r="A303" s="6" t="s">
        <v>1786</v>
      </c>
      <c r="B303" s="6" t="s">
        <v>1787</v>
      </c>
      <c r="C303" s="6" t="s">
        <v>88</v>
      </c>
      <c r="D303" s="6" t="s">
        <v>2277</v>
      </c>
      <c r="E303" s="6" t="s">
        <v>2281</v>
      </c>
      <c r="F303" s="6" t="s">
        <v>2290</v>
      </c>
      <c r="G303" s="6" t="s">
        <v>1790</v>
      </c>
      <c r="H303" s="6" t="s">
        <v>2298</v>
      </c>
      <c r="I303" s="6">
        <v>1</v>
      </c>
      <c r="J303" s="6">
        <v>0</v>
      </c>
      <c r="K303" s="6">
        <v>0</v>
      </c>
      <c r="L303" s="6">
        <v>0</v>
      </c>
      <c r="M303" s="6">
        <v>0</v>
      </c>
      <c r="N303" s="6">
        <v>0</v>
      </c>
      <c r="O303" s="6">
        <v>0</v>
      </c>
    </row>
    <row r="304" spans="1:15" hidden="1">
      <c r="A304" s="6" t="s">
        <v>1786</v>
      </c>
      <c r="B304" s="6" t="s">
        <v>1787</v>
      </c>
      <c r="C304" s="6" t="s">
        <v>88</v>
      </c>
      <c r="D304" s="6" t="s">
        <v>2277</v>
      </c>
      <c r="E304" s="6" t="s">
        <v>2281</v>
      </c>
      <c r="F304" s="6" t="s">
        <v>2290</v>
      </c>
      <c r="G304" s="6" t="s">
        <v>1790</v>
      </c>
      <c r="H304" s="6" t="s">
        <v>2299</v>
      </c>
      <c r="I304" s="6">
        <v>1</v>
      </c>
      <c r="J304" s="6">
        <v>0</v>
      </c>
      <c r="K304" s="6">
        <v>0</v>
      </c>
      <c r="L304" s="6">
        <v>0</v>
      </c>
      <c r="M304" s="6">
        <v>0</v>
      </c>
      <c r="N304" s="6">
        <v>1</v>
      </c>
      <c r="O304" s="6">
        <v>1</v>
      </c>
    </row>
    <row r="305" spans="1:15" hidden="1">
      <c r="A305" s="6" t="s">
        <v>1786</v>
      </c>
      <c r="B305" s="6" t="s">
        <v>1787</v>
      </c>
      <c r="C305" s="6" t="s">
        <v>88</v>
      </c>
      <c r="D305" s="6" t="s">
        <v>2277</v>
      </c>
      <c r="E305" s="6" t="s">
        <v>2281</v>
      </c>
      <c r="F305" s="6" t="s">
        <v>2290</v>
      </c>
      <c r="G305" s="6" t="s">
        <v>1790</v>
      </c>
      <c r="H305" s="6" t="s">
        <v>2290</v>
      </c>
      <c r="I305" s="6">
        <v>2</v>
      </c>
      <c r="J305" s="6">
        <v>1</v>
      </c>
      <c r="K305" s="6">
        <v>0.5</v>
      </c>
      <c r="L305" s="6">
        <v>7.0000000000000007E-2</v>
      </c>
      <c r="M305" s="6">
        <v>7.0000000000000007E-2</v>
      </c>
      <c r="N305" s="6">
        <v>1</v>
      </c>
      <c r="O305" s="6">
        <v>1</v>
      </c>
    </row>
    <row r="306" spans="1:15" hidden="1">
      <c r="A306" s="6" t="s">
        <v>1786</v>
      </c>
      <c r="B306" s="6" t="s">
        <v>1787</v>
      </c>
      <c r="C306" s="6" t="s">
        <v>88</v>
      </c>
      <c r="D306" s="6" t="s">
        <v>2277</v>
      </c>
      <c r="E306" s="6" t="s">
        <v>2281</v>
      </c>
      <c r="F306" s="6" t="s">
        <v>2300</v>
      </c>
      <c r="G306" s="6" t="s">
        <v>1790</v>
      </c>
      <c r="H306" s="6" t="s">
        <v>2301</v>
      </c>
      <c r="I306" s="6">
        <v>1</v>
      </c>
      <c r="J306" s="6">
        <v>0</v>
      </c>
      <c r="K306" s="6">
        <v>0</v>
      </c>
      <c r="L306" s="6">
        <v>0</v>
      </c>
      <c r="M306" s="6">
        <v>0</v>
      </c>
      <c r="N306" s="6">
        <v>1</v>
      </c>
      <c r="O306" s="6">
        <v>1</v>
      </c>
    </row>
    <row r="307" spans="1:15" hidden="1">
      <c r="A307" s="6" t="s">
        <v>1786</v>
      </c>
      <c r="B307" s="6" t="s">
        <v>1787</v>
      </c>
      <c r="C307" s="6" t="s">
        <v>88</v>
      </c>
      <c r="D307" s="6" t="s">
        <v>2277</v>
      </c>
      <c r="E307" s="6" t="s">
        <v>2281</v>
      </c>
      <c r="F307" s="6" t="s">
        <v>2300</v>
      </c>
      <c r="G307" s="6" t="s">
        <v>1790</v>
      </c>
      <c r="H307" s="6" t="s">
        <v>2302</v>
      </c>
      <c r="I307" s="6">
        <v>1</v>
      </c>
      <c r="J307" s="6">
        <v>1</v>
      </c>
      <c r="K307" s="6">
        <v>1</v>
      </c>
      <c r="L307" s="6">
        <v>0.95</v>
      </c>
      <c r="M307" s="6">
        <v>0.95</v>
      </c>
      <c r="N307" s="6">
        <v>1</v>
      </c>
      <c r="O307" s="6">
        <v>1</v>
      </c>
    </row>
    <row r="308" spans="1:15" hidden="1">
      <c r="A308" s="6" t="s">
        <v>1786</v>
      </c>
      <c r="B308" s="6" t="s">
        <v>1787</v>
      </c>
      <c r="C308" s="6" t="s">
        <v>88</v>
      </c>
      <c r="D308" s="6" t="s">
        <v>2277</v>
      </c>
      <c r="E308" s="6" t="s">
        <v>2281</v>
      </c>
      <c r="F308" s="6" t="s">
        <v>2303</v>
      </c>
      <c r="G308" s="6" t="s">
        <v>1790</v>
      </c>
      <c r="H308" s="6" t="s">
        <v>2304</v>
      </c>
      <c r="I308" s="6">
        <v>1</v>
      </c>
      <c r="J308" s="6">
        <v>0</v>
      </c>
      <c r="K308" s="6">
        <v>0</v>
      </c>
      <c r="L308" s="6">
        <v>0</v>
      </c>
      <c r="M308" s="6">
        <v>0</v>
      </c>
      <c r="N308" s="6">
        <v>0</v>
      </c>
      <c r="O308" s="6">
        <v>0</v>
      </c>
    </row>
    <row r="309" spans="1:15" hidden="1">
      <c r="A309" s="6" t="s">
        <v>1786</v>
      </c>
      <c r="B309" s="6" t="s">
        <v>1787</v>
      </c>
      <c r="C309" s="6" t="s">
        <v>88</v>
      </c>
      <c r="D309" s="6" t="s">
        <v>2277</v>
      </c>
      <c r="E309" s="6" t="s">
        <v>2305</v>
      </c>
      <c r="F309" s="6" t="s">
        <v>2306</v>
      </c>
      <c r="G309" s="6" t="s">
        <v>1790</v>
      </c>
      <c r="H309" s="6" t="s">
        <v>2307</v>
      </c>
      <c r="I309" s="6">
        <v>2</v>
      </c>
      <c r="J309" s="6">
        <v>0</v>
      </c>
      <c r="K309" s="6">
        <v>0</v>
      </c>
      <c r="L309" s="6">
        <v>0</v>
      </c>
      <c r="M309" s="6">
        <v>0</v>
      </c>
      <c r="N309" s="6">
        <v>0</v>
      </c>
      <c r="O309" s="6">
        <v>0</v>
      </c>
    </row>
    <row r="310" spans="1:15" hidden="1">
      <c r="A310" s="6" t="s">
        <v>1786</v>
      </c>
      <c r="B310" s="6" t="s">
        <v>1787</v>
      </c>
      <c r="C310" s="6" t="s">
        <v>88</v>
      </c>
      <c r="D310" s="6" t="s">
        <v>2308</v>
      </c>
      <c r="E310" s="6" t="s">
        <v>2309</v>
      </c>
      <c r="F310" s="6" t="s">
        <v>2310</v>
      </c>
      <c r="G310" s="6" t="s">
        <v>1790</v>
      </c>
      <c r="H310" s="6" t="s">
        <v>2311</v>
      </c>
      <c r="I310" s="6">
        <v>1</v>
      </c>
      <c r="J310" s="6">
        <v>0</v>
      </c>
      <c r="K310" s="6">
        <v>0</v>
      </c>
      <c r="L310" s="6">
        <v>0</v>
      </c>
      <c r="M310" s="6">
        <v>0</v>
      </c>
      <c r="N310" s="6">
        <v>1</v>
      </c>
      <c r="O310" s="6">
        <v>1</v>
      </c>
    </row>
    <row r="311" spans="1:15" hidden="1">
      <c r="A311" s="6" t="s">
        <v>1786</v>
      </c>
      <c r="B311" s="6" t="s">
        <v>1787</v>
      </c>
      <c r="C311" s="6" t="s">
        <v>88</v>
      </c>
      <c r="D311" s="6" t="s">
        <v>2308</v>
      </c>
      <c r="E311" s="6" t="s">
        <v>2077</v>
      </c>
      <c r="F311" s="6" t="s">
        <v>2312</v>
      </c>
      <c r="G311" s="6" t="s">
        <v>1790</v>
      </c>
      <c r="H311" s="6" t="s">
        <v>2313</v>
      </c>
      <c r="I311" s="6">
        <v>1</v>
      </c>
      <c r="J311" s="6">
        <v>1</v>
      </c>
      <c r="K311" s="6">
        <v>1</v>
      </c>
      <c r="L311" s="6">
        <v>0.09</v>
      </c>
      <c r="M311" s="6">
        <v>0.09</v>
      </c>
      <c r="N311" s="6">
        <v>1</v>
      </c>
      <c r="O311" s="6">
        <v>1</v>
      </c>
    </row>
    <row r="312" spans="1:15" hidden="1">
      <c r="A312" s="6" t="s">
        <v>1786</v>
      </c>
      <c r="B312" s="6" t="s">
        <v>1787</v>
      </c>
      <c r="C312" s="6" t="s">
        <v>88</v>
      </c>
      <c r="D312" s="6" t="s">
        <v>2308</v>
      </c>
      <c r="E312" s="6" t="s">
        <v>2077</v>
      </c>
      <c r="F312" s="6" t="s">
        <v>2312</v>
      </c>
      <c r="G312" s="6" t="s">
        <v>1790</v>
      </c>
      <c r="H312" s="6" t="s">
        <v>2314</v>
      </c>
      <c r="I312" s="6">
        <v>1</v>
      </c>
      <c r="J312" s="6">
        <v>0</v>
      </c>
      <c r="K312" s="6">
        <v>0</v>
      </c>
      <c r="L312" s="6">
        <v>0</v>
      </c>
      <c r="M312" s="6">
        <v>0</v>
      </c>
      <c r="N312" s="6">
        <v>1</v>
      </c>
      <c r="O312" s="6">
        <v>1</v>
      </c>
    </row>
    <row r="313" spans="1:15" hidden="1">
      <c r="A313" s="6" t="s">
        <v>1786</v>
      </c>
      <c r="B313" s="6" t="s">
        <v>1787</v>
      </c>
      <c r="C313" s="6" t="s">
        <v>88</v>
      </c>
      <c r="D313" s="6" t="s">
        <v>2308</v>
      </c>
      <c r="E313" s="6" t="s">
        <v>2077</v>
      </c>
      <c r="F313" s="6" t="s">
        <v>2312</v>
      </c>
      <c r="G313" s="6" t="s">
        <v>1790</v>
      </c>
      <c r="H313" s="6" t="s">
        <v>2315</v>
      </c>
      <c r="I313" s="6">
        <v>1</v>
      </c>
      <c r="J313" s="6">
        <v>0</v>
      </c>
      <c r="K313" s="6">
        <v>0</v>
      </c>
      <c r="L313" s="6">
        <v>0</v>
      </c>
      <c r="M313" s="6">
        <v>0</v>
      </c>
      <c r="N313" s="6">
        <v>1</v>
      </c>
      <c r="O313" s="6">
        <v>1</v>
      </c>
    </row>
    <row r="314" spans="1:15" hidden="1">
      <c r="A314" s="6" t="s">
        <v>1786</v>
      </c>
      <c r="B314" s="6" t="s">
        <v>1787</v>
      </c>
      <c r="C314" s="6" t="s">
        <v>88</v>
      </c>
      <c r="D314" s="6" t="s">
        <v>2308</v>
      </c>
      <c r="E314" s="6" t="s">
        <v>2077</v>
      </c>
      <c r="F314" s="6" t="s">
        <v>2312</v>
      </c>
      <c r="G314" s="6" t="s">
        <v>1790</v>
      </c>
      <c r="H314" s="6" t="s">
        <v>2316</v>
      </c>
      <c r="I314" s="6">
        <v>2</v>
      </c>
      <c r="J314" s="6">
        <v>1</v>
      </c>
      <c r="K314" s="6">
        <v>0.5</v>
      </c>
      <c r="L314" s="6">
        <v>2.12</v>
      </c>
      <c r="M314" s="6">
        <v>2.12</v>
      </c>
      <c r="N314" s="6">
        <v>1</v>
      </c>
      <c r="O314" s="6">
        <v>1</v>
      </c>
    </row>
    <row r="315" spans="1:15" hidden="1">
      <c r="A315" s="6" t="s">
        <v>1786</v>
      </c>
      <c r="B315" s="6" t="s">
        <v>1787</v>
      </c>
      <c r="C315" s="6" t="s">
        <v>88</v>
      </c>
      <c r="D315" s="6" t="s">
        <v>2317</v>
      </c>
      <c r="E315" s="6" t="s">
        <v>2318</v>
      </c>
      <c r="F315" s="6" t="s">
        <v>2319</v>
      </c>
      <c r="G315" s="6" t="s">
        <v>1790</v>
      </c>
      <c r="H315" s="6" t="s">
        <v>2320</v>
      </c>
      <c r="I315" s="6">
        <v>1</v>
      </c>
      <c r="J315" s="6">
        <v>0</v>
      </c>
      <c r="K315" s="6">
        <v>0</v>
      </c>
      <c r="L315" s="6">
        <v>0</v>
      </c>
      <c r="M315" s="6">
        <v>0</v>
      </c>
      <c r="N315" s="6">
        <v>0</v>
      </c>
      <c r="O315" s="6">
        <v>0</v>
      </c>
    </row>
    <row r="316" spans="1:15" hidden="1">
      <c r="A316" s="6" t="s">
        <v>1786</v>
      </c>
      <c r="B316" s="6" t="s">
        <v>1787</v>
      </c>
      <c r="C316" s="6" t="s">
        <v>88</v>
      </c>
      <c r="D316" s="6" t="s">
        <v>2317</v>
      </c>
      <c r="E316" s="6" t="s">
        <v>2318</v>
      </c>
      <c r="F316" s="6" t="s">
        <v>2319</v>
      </c>
      <c r="G316" s="6" t="s">
        <v>1790</v>
      </c>
      <c r="H316" s="6" t="s">
        <v>2321</v>
      </c>
      <c r="I316" s="6">
        <v>1</v>
      </c>
      <c r="J316" s="6">
        <v>0</v>
      </c>
      <c r="K316" s="6">
        <v>0</v>
      </c>
      <c r="L316" s="6">
        <v>0</v>
      </c>
      <c r="M316" s="6">
        <v>0</v>
      </c>
      <c r="N316" s="6">
        <v>0</v>
      </c>
      <c r="O316" s="6">
        <v>0</v>
      </c>
    </row>
    <row r="317" spans="1:15" hidden="1">
      <c r="A317" s="6" t="s">
        <v>1786</v>
      </c>
      <c r="B317" s="6" t="s">
        <v>1787</v>
      </c>
      <c r="C317" s="6" t="s">
        <v>88</v>
      </c>
      <c r="D317" s="6" t="s">
        <v>2317</v>
      </c>
      <c r="E317" s="6" t="s">
        <v>2318</v>
      </c>
      <c r="F317" s="6" t="s">
        <v>2319</v>
      </c>
      <c r="G317" s="6" t="s">
        <v>1790</v>
      </c>
      <c r="H317" s="6" t="s">
        <v>2322</v>
      </c>
      <c r="I317" s="6">
        <v>2</v>
      </c>
      <c r="J317" s="6">
        <v>0</v>
      </c>
      <c r="K317" s="6">
        <v>0</v>
      </c>
      <c r="L317" s="6">
        <v>0</v>
      </c>
      <c r="M317" s="6">
        <v>0</v>
      </c>
      <c r="N317" s="6">
        <v>1</v>
      </c>
      <c r="O317" s="6">
        <v>1</v>
      </c>
    </row>
    <row r="318" spans="1:15" hidden="1">
      <c r="A318" s="6" t="s">
        <v>1786</v>
      </c>
      <c r="B318" s="6" t="s">
        <v>1787</v>
      </c>
      <c r="C318" s="6" t="s">
        <v>88</v>
      </c>
      <c r="D318" s="6" t="s">
        <v>2317</v>
      </c>
      <c r="E318" s="6" t="s">
        <v>2323</v>
      </c>
      <c r="F318" s="6" t="s">
        <v>2324</v>
      </c>
      <c r="G318" s="6" t="s">
        <v>1790</v>
      </c>
      <c r="H318" s="6" t="s">
        <v>2325</v>
      </c>
      <c r="I318" s="6">
        <v>1</v>
      </c>
      <c r="J318" s="6">
        <v>0</v>
      </c>
      <c r="K318" s="6">
        <v>0</v>
      </c>
      <c r="L318" s="6">
        <v>0</v>
      </c>
      <c r="M318" s="6">
        <v>0</v>
      </c>
      <c r="N318" s="6">
        <v>0</v>
      </c>
      <c r="O318" s="6">
        <v>0</v>
      </c>
    </row>
    <row r="319" spans="1:15" hidden="1">
      <c r="A319" s="6" t="s">
        <v>1786</v>
      </c>
      <c r="B319" s="6" t="s">
        <v>1787</v>
      </c>
      <c r="C319" s="6" t="s">
        <v>88</v>
      </c>
      <c r="D319" s="6" t="s">
        <v>2317</v>
      </c>
      <c r="E319" s="6" t="s">
        <v>2323</v>
      </c>
      <c r="F319" s="6" t="s">
        <v>2324</v>
      </c>
      <c r="G319" s="6" t="s">
        <v>1790</v>
      </c>
      <c r="H319" s="6" t="s">
        <v>2326</v>
      </c>
      <c r="I319" s="6">
        <v>1</v>
      </c>
      <c r="J319" s="6">
        <v>0</v>
      </c>
      <c r="K319" s="6">
        <v>0</v>
      </c>
      <c r="L319" s="6">
        <v>0</v>
      </c>
      <c r="M319" s="6">
        <v>0</v>
      </c>
      <c r="N319" s="6">
        <v>0</v>
      </c>
      <c r="O319" s="6">
        <v>0</v>
      </c>
    </row>
    <row r="320" spans="1:15" hidden="1">
      <c r="A320" s="6" t="s">
        <v>1786</v>
      </c>
      <c r="B320" s="6" t="s">
        <v>1787</v>
      </c>
      <c r="C320" s="6" t="s">
        <v>88</v>
      </c>
      <c r="D320" s="6" t="s">
        <v>2327</v>
      </c>
      <c r="E320" s="6" t="s">
        <v>2179</v>
      </c>
      <c r="F320" s="6" t="s">
        <v>2328</v>
      </c>
      <c r="G320" s="6" t="s">
        <v>1790</v>
      </c>
      <c r="H320" s="6" t="s">
        <v>2329</v>
      </c>
      <c r="I320" s="6">
        <v>1</v>
      </c>
      <c r="J320" s="6">
        <v>0</v>
      </c>
      <c r="K320" s="6">
        <v>0</v>
      </c>
      <c r="L320" s="6">
        <v>0</v>
      </c>
      <c r="M320" s="6">
        <v>0</v>
      </c>
      <c r="N320" s="6">
        <v>0</v>
      </c>
      <c r="O320" s="6">
        <v>0</v>
      </c>
    </row>
    <row r="321" spans="1:15" hidden="1">
      <c r="A321" s="6" t="s">
        <v>1786</v>
      </c>
      <c r="B321" s="6" t="s">
        <v>1787</v>
      </c>
      <c r="C321" s="6" t="s">
        <v>88</v>
      </c>
      <c r="D321" s="6" t="s">
        <v>2327</v>
      </c>
      <c r="E321" s="6" t="s">
        <v>2179</v>
      </c>
      <c r="F321" s="6" t="s">
        <v>2330</v>
      </c>
      <c r="G321" s="6" t="s">
        <v>1790</v>
      </c>
      <c r="H321" s="6" t="s">
        <v>2331</v>
      </c>
      <c r="I321" s="6">
        <v>2</v>
      </c>
      <c r="J321" s="6">
        <v>0</v>
      </c>
      <c r="K321" s="6">
        <v>0</v>
      </c>
      <c r="L321" s="6">
        <v>0</v>
      </c>
      <c r="M321" s="6">
        <v>0</v>
      </c>
      <c r="N321" s="6">
        <v>0</v>
      </c>
      <c r="O321" s="6">
        <v>0</v>
      </c>
    </row>
    <row r="322" spans="1:15" hidden="1">
      <c r="A322" s="6" t="s">
        <v>1786</v>
      </c>
      <c r="B322" s="6" t="s">
        <v>1787</v>
      </c>
      <c r="C322" s="6" t="s">
        <v>88</v>
      </c>
      <c r="D322" s="6" t="s">
        <v>2327</v>
      </c>
      <c r="E322" s="6" t="s">
        <v>2179</v>
      </c>
      <c r="F322" s="6" t="s">
        <v>2332</v>
      </c>
      <c r="G322" s="6" t="s">
        <v>1790</v>
      </c>
      <c r="H322" s="6" t="s">
        <v>2333</v>
      </c>
      <c r="I322" s="6">
        <v>1</v>
      </c>
      <c r="J322" s="6">
        <v>0</v>
      </c>
      <c r="K322" s="6">
        <v>0</v>
      </c>
      <c r="L322" s="6">
        <v>0</v>
      </c>
      <c r="M322" s="6">
        <v>0</v>
      </c>
      <c r="N322" s="6">
        <v>1</v>
      </c>
      <c r="O322" s="6">
        <v>1</v>
      </c>
    </row>
    <row r="323" spans="1:15" hidden="1">
      <c r="A323" s="6" t="s">
        <v>1786</v>
      </c>
      <c r="B323" s="6" t="s">
        <v>1787</v>
      </c>
      <c r="C323" s="6" t="s">
        <v>88</v>
      </c>
      <c r="D323" s="6" t="s">
        <v>2327</v>
      </c>
      <c r="E323" s="6" t="s">
        <v>2179</v>
      </c>
      <c r="F323" s="6" t="s">
        <v>1909</v>
      </c>
      <c r="G323" s="6" t="s">
        <v>1790</v>
      </c>
      <c r="H323" s="6" t="s">
        <v>2334</v>
      </c>
      <c r="I323" s="6">
        <v>1</v>
      </c>
      <c r="J323" s="6">
        <v>0</v>
      </c>
      <c r="K323" s="6">
        <v>0</v>
      </c>
      <c r="L323" s="6">
        <v>0</v>
      </c>
      <c r="M323" s="6">
        <v>0</v>
      </c>
      <c r="N323" s="6">
        <v>1</v>
      </c>
      <c r="O323" s="6">
        <v>1</v>
      </c>
    </row>
    <row r="324" spans="1:15" hidden="1">
      <c r="A324" s="6" t="s">
        <v>1786</v>
      </c>
      <c r="B324" s="6" t="s">
        <v>1787</v>
      </c>
      <c r="C324" s="6" t="s">
        <v>88</v>
      </c>
      <c r="D324" s="6" t="s">
        <v>2335</v>
      </c>
      <c r="F324" s="6" t="s">
        <v>2336</v>
      </c>
      <c r="G324" s="6" t="s">
        <v>1790</v>
      </c>
      <c r="H324" s="6" t="s">
        <v>2336</v>
      </c>
      <c r="I324" s="6">
        <v>1</v>
      </c>
      <c r="J324" s="6">
        <v>0</v>
      </c>
      <c r="K324" s="6">
        <v>0</v>
      </c>
      <c r="L324" s="6">
        <v>0</v>
      </c>
      <c r="M324" s="6">
        <v>0</v>
      </c>
      <c r="N324" s="6">
        <v>0</v>
      </c>
      <c r="O324" s="6">
        <v>0</v>
      </c>
    </row>
    <row r="325" spans="1:15" hidden="1">
      <c r="A325" s="6" t="s">
        <v>1786</v>
      </c>
      <c r="B325" s="6" t="s">
        <v>1787</v>
      </c>
      <c r="C325" s="6" t="s">
        <v>88</v>
      </c>
      <c r="D325" s="6" t="s">
        <v>2335</v>
      </c>
      <c r="E325" s="6" t="s">
        <v>1918</v>
      </c>
      <c r="G325" s="6" t="s">
        <v>1790</v>
      </c>
      <c r="H325" s="6" t="s">
        <v>2337</v>
      </c>
      <c r="I325" s="6">
        <v>1</v>
      </c>
      <c r="J325" s="6">
        <v>1</v>
      </c>
      <c r="K325" s="6">
        <v>1</v>
      </c>
      <c r="L325" s="6">
        <v>0.17</v>
      </c>
      <c r="M325" s="6">
        <v>0.17</v>
      </c>
      <c r="N325" s="6">
        <v>1</v>
      </c>
      <c r="O325" s="6">
        <v>1</v>
      </c>
    </row>
    <row r="326" spans="1:15" hidden="1">
      <c r="A326" s="6" t="s">
        <v>1786</v>
      </c>
      <c r="B326" s="6" t="s">
        <v>1787</v>
      </c>
      <c r="C326" s="6" t="s">
        <v>88</v>
      </c>
      <c r="D326" s="6" t="s">
        <v>2335</v>
      </c>
      <c r="E326" s="6" t="s">
        <v>1918</v>
      </c>
      <c r="F326" s="6" t="s">
        <v>2338</v>
      </c>
      <c r="G326" s="6" t="s">
        <v>1790</v>
      </c>
      <c r="H326" s="6" t="s">
        <v>2339</v>
      </c>
      <c r="I326" s="6">
        <v>1</v>
      </c>
      <c r="J326" s="6">
        <v>0</v>
      </c>
      <c r="K326" s="6">
        <v>0</v>
      </c>
      <c r="L326" s="6">
        <v>0</v>
      </c>
      <c r="M326" s="6">
        <v>0</v>
      </c>
      <c r="N326" s="6">
        <v>0</v>
      </c>
      <c r="O326" s="6">
        <v>0</v>
      </c>
    </row>
    <row r="327" spans="1:15" hidden="1">
      <c r="A327" s="6" t="s">
        <v>1786</v>
      </c>
      <c r="B327" s="6" t="s">
        <v>1787</v>
      </c>
      <c r="C327" s="6" t="s">
        <v>88</v>
      </c>
      <c r="D327" s="6" t="s">
        <v>2335</v>
      </c>
      <c r="E327" s="6" t="s">
        <v>1918</v>
      </c>
      <c r="F327" s="6" t="s">
        <v>2340</v>
      </c>
      <c r="G327" s="6" t="s">
        <v>1790</v>
      </c>
      <c r="H327" s="6" t="s">
        <v>2341</v>
      </c>
      <c r="I327" s="6">
        <v>3</v>
      </c>
      <c r="J327" s="6">
        <v>0</v>
      </c>
      <c r="K327" s="6">
        <v>0</v>
      </c>
      <c r="L327" s="6">
        <v>0</v>
      </c>
      <c r="M327" s="6">
        <v>0</v>
      </c>
      <c r="N327" s="6">
        <v>0.5</v>
      </c>
      <c r="O327" s="6">
        <v>0.5</v>
      </c>
    </row>
    <row r="328" spans="1:15" hidden="1">
      <c r="A328" s="6" t="s">
        <v>1786</v>
      </c>
      <c r="B328" s="6" t="s">
        <v>1787</v>
      </c>
      <c r="C328" s="6" t="s">
        <v>88</v>
      </c>
      <c r="D328" s="6" t="s">
        <v>2335</v>
      </c>
      <c r="E328" s="6" t="s">
        <v>1918</v>
      </c>
      <c r="F328" s="6" t="s">
        <v>2342</v>
      </c>
      <c r="G328" s="6" t="s">
        <v>1790</v>
      </c>
      <c r="H328" s="6" t="s">
        <v>2343</v>
      </c>
      <c r="I328" s="6">
        <v>1</v>
      </c>
      <c r="J328" s="6">
        <v>0</v>
      </c>
      <c r="K328" s="6">
        <v>0</v>
      </c>
      <c r="L328" s="6">
        <v>0</v>
      </c>
      <c r="M328" s="6">
        <v>0</v>
      </c>
      <c r="N328" s="6">
        <v>0</v>
      </c>
      <c r="O328" s="6">
        <v>0</v>
      </c>
    </row>
    <row r="329" spans="1:15" hidden="1">
      <c r="A329" s="6" t="s">
        <v>1786</v>
      </c>
      <c r="B329" s="6" t="s">
        <v>1787</v>
      </c>
      <c r="C329" s="6" t="s">
        <v>88</v>
      </c>
      <c r="D329" s="6" t="s">
        <v>2335</v>
      </c>
      <c r="E329" s="6" t="s">
        <v>1918</v>
      </c>
      <c r="F329" s="6" t="s">
        <v>2344</v>
      </c>
      <c r="G329" s="6" t="s">
        <v>1790</v>
      </c>
      <c r="H329" s="6" t="s">
        <v>2345</v>
      </c>
      <c r="I329" s="6">
        <v>1</v>
      </c>
      <c r="J329" s="6">
        <v>0</v>
      </c>
      <c r="K329" s="6">
        <v>0</v>
      </c>
      <c r="L329" s="6">
        <v>0</v>
      </c>
      <c r="M329" s="6">
        <v>0</v>
      </c>
      <c r="N329" s="6">
        <v>0</v>
      </c>
      <c r="O329" s="6">
        <v>0</v>
      </c>
    </row>
    <row r="330" spans="1:15" hidden="1">
      <c r="A330" s="6" t="s">
        <v>1786</v>
      </c>
      <c r="B330" s="6" t="s">
        <v>1787</v>
      </c>
      <c r="C330" s="6" t="s">
        <v>88</v>
      </c>
      <c r="D330" s="6" t="s">
        <v>2335</v>
      </c>
      <c r="E330" s="6" t="s">
        <v>1918</v>
      </c>
      <c r="F330" s="6" t="s">
        <v>2346</v>
      </c>
      <c r="G330" s="6" t="s">
        <v>1790</v>
      </c>
      <c r="H330" s="6" t="s">
        <v>2347</v>
      </c>
      <c r="I330" s="6">
        <v>1</v>
      </c>
      <c r="J330" s="6">
        <v>0</v>
      </c>
      <c r="K330" s="6">
        <v>0</v>
      </c>
      <c r="L330" s="6">
        <v>0</v>
      </c>
      <c r="M330" s="6">
        <v>0</v>
      </c>
      <c r="N330" s="6">
        <v>0</v>
      </c>
      <c r="O330" s="6">
        <v>0</v>
      </c>
    </row>
    <row r="331" spans="1:15" hidden="1">
      <c r="A331" s="6" t="s">
        <v>1786</v>
      </c>
      <c r="B331" s="6" t="s">
        <v>1787</v>
      </c>
      <c r="C331" s="6" t="s">
        <v>88</v>
      </c>
      <c r="D331" s="6" t="s">
        <v>2335</v>
      </c>
      <c r="E331" s="6" t="s">
        <v>1918</v>
      </c>
      <c r="F331" s="6" t="s">
        <v>2348</v>
      </c>
      <c r="G331" s="6" t="s">
        <v>1790</v>
      </c>
      <c r="H331" s="6" t="s">
        <v>2348</v>
      </c>
      <c r="I331" s="6">
        <v>4</v>
      </c>
      <c r="J331" s="6">
        <v>0</v>
      </c>
      <c r="K331" s="6">
        <v>0</v>
      </c>
      <c r="L331" s="6">
        <v>0</v>
      </c>
      <c r="M331" s="6">
        <v>0</v>
      </c>
      <c r="N331" s="6">
        <v>1</v>
      </c>
      <c r="O331" s="6">
        <v>1</v>
      </c>
    </row>
    <row r="332" spans="1:15" hidden="1">
      <c r="A332" s="6" t="s">
        <v>1786</v>
      </c>
      <c r="B332" s="6" t="s">
        <v>1787</v>
      </c>
      <c r="C332" s="6" t="s">
        <v>88</v>
      </c>
      <c r="D332" s="6" t="s">
        <v>2335</v>
      </c>
      <c r="E332" s="6" t="s">
        <v>1918</v>
      </c>
      <c r="F332" s="6" t="s">
        <v>2349</v>
      </c>
      <c r="G332" s="6" t="s">
        <v>1790</v>
      </c>
      <c r="H332" s="6" t="s">
        <v>2350</v>
      </c>
      <c r="I332" s="6">
        <v>2</v>
      </c>
      <c r="J332" s="6">
        <v>1</v>
      </c>
      <c r="K332" s="6">
        <v>0.5</v>
      </c>
      <c r="L332" s="6">
        <v>0.11</v>
      </c>
      <c r="M332" s="6">
        <v>0.11</v>
      </c>
      <c r="N332" s="6">
        <v>0.5</v>
      </c>
      <c r="O332" s="6">
        <v>0.5</v>
      </c>
    </row>
    <row r="333" spans="1:15" hidden="1">
      <c r="A333" s="6" t="s">
        <v>1786</v>
      </c>
      <c r="B333" s="6" t="s">
        <v>1787</v>
      </c>
      <c r="C333" s="6" t="s">
        <v>88</v>
      </c>
      <c r="D333" s="6" t="s">
        <v>2335</v>
      </c>
      <c r="E333" s="6" t="s">
        <v>1918</v>
      </c>
      <c r="F333" s="6" t="s">
        <v>2351</v>
      </c>
      <c r="G333" s="6" t="s">
        <v>1790</v>
      </c>
      <c r="H333" s="6" t="s">
        <v>2352</v>
      </c>
      <c r="I333" s="6">
        <v>3</v>
      </c>
      <c r="J333" s="6">
        <v>0</v>
      </c>
      <c r="K333" s="6">
        <v>0</v>
      </c>
      <c r="L333" s="6">
        <v>0</v>
      </c>
      <c r="M333" s="6">
        <v>0</v>
      </c>
      <c r="N333" s="6">
        <v>1</v>
      </c>
      <c r="O333" s="6">
        <v>1</v>
      </c>
    </row>
    <row r="334" spans="1:15" hidden="1">
      <c r="A334" s="6" t="s">
        <v>1786</v>
      </c>
      <c r="B334" s="6" t="s">
        <v>1787</v>
      </c>
      <c r="C334" s="6" t="s">
        <v>88</v>
      </c>
      <c r="D334" s="6" t="s">
        <v>2335</v>
      </c>
      <c r="E334" s="6" t="s">
        <v>1918</v>
      </c>
      <c r="F334" s="6" t="s">
        <v>2353</v>
      </c>
      <c r="G334" s="6" t="s">
        <v>1790</v>
      </c>
      <c r="H334" s="6" t="s">
        <v>2353</v>
      </c>
      <c r="I334" s="6">
        <v>1</v>
      </c>
      <c r="J334" s="6">
        <v>1</v>
      </c>
      <c r="K334" s="6">
        <v>1</v>
      </c>
      <c r="L334" s="6">
        <v>0.05</v>
      </c>
      <c r="M334" s="6">
        <v>0.05</v>
      </c>
      <c r="N334" s="6">
        <v>1</v>
      </c>
      <c r="O334" s="6">
        <v>1</v>
      </c>
    </row>
    <row r="335" spans="1:15" hidden="1">
      <c r="A335" s="6" t="s">
        <v>1786</v>
      </c>
      <c r="B335" s="6" t="s">
        <v>1787</v>
      </c>
      <c r="C335" s="6" t="s">
        <v>88</v>
      </c>
      <c r="D335" s="6" t="s">
        <v>2335</v>
      </c>
      <c r="E335" s="6" t="s">
        <v>1918</v>
      </c>
      <c r="F335" s="6" t="s">
        <v>2354</v>
      </c>
      <c r="G335" s="6" t="s">
        <v>1790</v>
      </c>
      <c r="H335" s="6" t="s">
        <v>2355</v>
      </c>
      <c r="I335" s="6">
        <v>2</v>
      </c>
      <c r="J335" s="6">
        <v>0</v>
      </c>
      <c r="K335" s="6">
        <v>0</v>
      </c>
      <c r="L335" s="6">
        <v>0</v>
      </c>
      <c r="M335" s="6">
        <v>0</v>
      </c>
      <c r="N335" s="6">
        <v>0.5</v>
      </c>
      <c r="O335" s="6">
        <v>0.5</v>
      </c>
    </row>
    <row r="336" spans="1:15" hidden="1">
      <c r="A336" s="6" t="s">
        <v>1786</v>
      </c>
      <c r="B336" s="6" t="s">
        <v>1787</v>
      </c>
      <c r="C336" s="6" t="s">
        <v>88</v>
      </c>
      <c r="D336" s="6" t="s">
        <v>2335</v>
      </c>
      <c r="E336" s="6" t="s">
        <v>1918</v>
      </c>
      <c r="F336" s="6" t="s">
        <v>2356</v>
      </c>
      <c r="G336" s="6" t="s">
        <v>1790</v>
      </c>
      <c r="H336" s="6" t="s">
        <v>2357</v>
      </c>
      <c r="I336" s="6">
        <v>2</v>
      </c>
      <c r="J336" s="6">
        <v>0</v>
      </c>
      <c r="K336" s="6">
        <v>0</v>
      </c>
      <c r="L336" s="6">
        <v>0</v>
      </c>
      <c r="M336" s="6">
        <v>0</v>
      </c>
      <c r="N336" s="6">
        <v>0.5</v>
      </c>
      <c r="O336" s="6">
        <v>0</v>
      </c>
    </row>
    <row r="337" spans="1:15" hidden="1">
      <c r="A337" s="6" t="s">
        <v>1786</v>
      </c>
      <c r="B337" s="6" t="s">
        <v>1787</v>
      </c>
      <c r="C337" s="6" t="s">
        <v>88</v>
      </c>
      <c r="D337" s="6" t="s">
        <v>2335</v>
      </c>
      <c r="E337" s="6" t="s">
        <v>2358</v>
      </c>
      <c r="F337" s="6" t="s">
        <v>2359</v>
      </c>
      <c r="G337" s="6" t="s">
        <v>1790</v>
      </c>
      <c r="H337" s="6" t="s">
        <v>2360</v>
      </c>
      <c r="I337" s="6">
        <v>2</v>
      </c>
      <c r="J337" s="6">
        <v>0</v>
      </c>
      <c r="K337" s="6">
        <v>0</v>
      </c>
      <c r="L337" s="6">
        <v>0</v>
      </c>
      <c r="M337" s="6">
        <v>0</v>
      </c>
      <c r="N337" s="6">
        <v>0</v>
      </c>
      <c r="O337" s="6">
        <v>0</v>
      </c>
    </row>
    <row r="338" spans="1:15" hidden="1">
      <c r="A338" s="6" t="s">
        <v>1786</v>
      </c>
      <c r="B338" s="6" t="s">
        <v>1787</v>
      </c>
      <c r="C338" s="6" t="s">
        <v>88</v>
      </c>
      <c r="D338" s="6" t="s">
        <v>2335</v>
      </c>
      <c r="E338" s="6" t="s">
        <v>2358</v>
      </c>
      <c r="F338" s="6" t="s">
        <v>2361</v>
      </c>
      <c r="G338" s="6" t="s">
        <v>1790</v>
      </c>
      <c r="H338" s="6" t="s">
        <v>2362</v>
      </c>
      <c r="I338" s="6">
        <v>1</v>
      </c>
      <c r="J338" s="6">
        <v>0</v>
      </c>
      <c r="K338" s="6">
        <v>0</v>
      </c>
      <c r="L338" s="6">
        <v>0</v>
      </c>
      <c r="M338" s="6">
        <v>0</v>
      </c>
      <c r="N338" s="6">
        <v>1</v>
      </c>
      <c r="O338" s="6">
        <v>1</v>
      </c>
    </row>
    <row r="339" spans="1:15" hidden="1">
      <c r="A339" s="6" t="s">
        <v>1786</v>
      </c>
      <c r="B339" s="6" t="s">
        <v>1787</v>
      </c>
      <c r="C339" s="6" t="s">
        <v>88</v>
      </c>
      <c r="D339" s="6" t="s">
        <v>2335</v>
      </c>
      <c r="E339" s="6" t="s">
        <v>2358</v>
      </c>
      <c r="F339" s="6" t="s">
        <v>2363</v>
      </c>
      <c r="G339" s="6" t="s">
        <v>1790</v>
      </c>
      <c r="H339" s="6" t="s">
        <v>2363</v>
      </c>
      <c r="I339" s="6">
        <v>1</v>
      </c>
      <c r="J339" s="6">
        <v>0</v>
      </c>
      <c r="K339" s="6">
        <v>0</v>
      </c>
      <c r="L339" s="6">
        <v>0</v>
      </c>
      <c r="M339" s="6">
        <v>0</v>
      </c>
      <c r="N339" s="6">
        <v>0</v>
      </c>
      <c r="O339" s="6">
        <v>0</v>
      </c>
    </row>
    <row r="340" spans="1:15" hidden="1">
      <c r="A340" s="6" t="s">
        <v>1786</v>
      </c>
      <c r="B340" s="6" t="s">
        <v>1787</v>
      </c>
      <c r="C340" s="6" t="s">
        <v>88</v>
      </c>
      <c r="D340" s="6" t="s">
        <v>2364</v>
      </c>
      <c r="E340" s="6" t="s">
        <v>2365</v>
      </c>
      <c r="F340" s="6" t="s">
        <v>2366</v>
      </c>
      <c r="G340" s="6" t="s">
        <v>1790</v>
      </c>
      <c r="H340" s="6" t="s">
        <v>2367</v>
      </c>
      <c r="I340" s="6">
        <v>1</v>
      </c>
      <c r="J340" s="6">
        <v>0</v>
      </c>
      <c r="K340" s="6">
        <v>0</v>
      </c>
      <c r="L340" s="6">
        <v>0</v>
      </c>
      <c r="M340" s="6">
        <v>0</v>
      </c>
      <c r="N340" s="6">
        <v>0</v>
      </c>
      <c r="O340" s="6">
        <v>0</v>
      </c>
    </row>
    <row r="341" spans="1:15" hidden="1">
      <c r="A341" s="6" t="s">
        <v>1786</v>
      </c>
      <c r="B341" s="6" t="s">
        <v>1787</v>
      </c>
      <c r="C341" s="6" t="s">
        <v>88</v>
      </c>
      <c r="D341" s="6" t="s">
        <v>2364</v>
      </c>
      <c r="E341" s="6" t="s">
        <v>2365</v>
      </c>
      <c r="F341" s="6" t="s">
        <v>2368</v>
      </c>
      <c r="G341" s="6" t="s">
        <v>1790</v>
      </c>
      <c r="H341" s="6" t="s">
        <v>2369</v>
      </c>
      <c r="I341" s="6">
        <v>5</v>
      </c>
      <c r="J341" s="6">
        <v>1</v>
      </c>
      <c r="K341" s="6">
        <v>0.2</v>
      </c>
      <c r="L341" s="6">
        <v>1.55</v>
      </c>
      <c r="M341" s="6">
        <v>1.55</v>
      </c>
      <c r="N341" s="6">
        <v>0.25</v>
      </c>
      <c r="O341" s="6">
        <v>0.25</v>
      </c>
    </row>
    <row r="342" spans="1:15" hidden="1">
      <c r="A342" s="6" t="s">
        <v>1786</v>
      </c>
      <c r="B342" s="6" t="s">
        <v>1787</v>
      </c>
      <c r="C342" s="6" t="s">
        <v>88</v>
      </c>
      <c r="D342" s="6" t="s">
        <v>2364</v>
      </c>
      <c r="E342" s="6" t="s">
        <v>2365</v>
      </c>
      <c r="F342" s="6" t="s">
        <v>2370</v>
      </c>
      <c r="G342" s="6" t="s">
        <v>1790</v>
      </c>
      <c r="H342" s="6" t="s">
        <v>2371</v>
      </c>
      <c r="I342" s="6">
        <v>8</v>
      </c>
      <c r="J342" s="6">
        <v>4</v>
      </c>
      <c r="K342" s="6">
        <v>0.5</v>
      </c>
      <c r="L342" s="6">
        <v>1.97</v>
      </c>
      <c r="M342" s="6">
        <v>7.86</v>
      </c>
      <c r="N342" s="6">
        <v>1</v>
      </c>
      <c r="O342" s="6">
        <v>1</v>
      </c>
    </row>
    <row r="343" spans="1:15" hidden="1">
      <c r="A343" s="6" t="s">
        <v>1786</v>
      </c>
      <c r="B343" s="6" t="s">
        <v>1787</v>
      </c>
      <c r="C343" s="6" t="s">
        <v>88</v>
      </c>
      <c r="D343" s="6" t="s">
        <v>2364</v>
      </c>
      <c r="E343" s="6" t="s">
        <v>2372</v>
      </c>
      <c r="F343" s="6" t="s">
        <v>2373</v>
      </c>
      <c r="G343" s="6" t="s">
        <v>1790</v>
      </c>
      <c r="H343" s="6" t="s">
        <v>2374</v>
      </c>
      <c r="I343" s="6">
        <v>1</v>
      </c>
      <c r="J343" s="6">
        <v>0</v>
      </c>
      <c r="K343" s="6">
        <v>0</v>
      </c>
      <c r="L343" s="6">
        <v>0</v>
      </c>
      <c r="M343" s="6">
        <v>0</v>
      </c>
      <c r="N343" s="6">
        <v>0</v>
      </c>
      <c r="O343" s="6">
        <v>0</v>
      </c>
    </row>
    <row r="344" spans="1:15" hidden="1">
      <c r="A344" s="6" t="s">
        <v>1786</v>
      </c>
      <c r="B344" s="6" t="s">
        <v>1787</v>
      </c>
      <c r="C344" s="6" t="s">
        <v>88</v>
      </c>
      <c r="D344" s="6" t="s">
        <v>2364</v>
      </c>
      <c r="E344" s="6" t="s">
        <v>2375</v>
      </c>
      <c r="F344" s="6" t="s">
        <v>2376</v>
      </c>
      <c r="G344" s="6" t="s">
        <v>1790</v>
      </c>
      <c r="H344" s="6" t="s">
        <v>2377</v>
      </c>
      <c r="I344" s="6">
        <v>1</v>
      </c>
      <c r="J344" s="6">
        <v>0</v>
      </c>
      <c r="K344" s="6">
        <v>0</v>
      </c>
      <c r="L344" s="6">
        <v>0</v>
      </c>
      <c r="M344" s="6">
        <v>0</v>
      </c>
      <c r="N344" s="6">
        <v>1</v>
      </c>
      <c r="O344" s="6">
        <v>1</v>
      </c>
    </row>
    <row r="345" spans="1:15" hidden="1">
      <c r="A345" s="6" t="s">
        <v>1786</v>
      </c>
      <c r="B345" s="6" t="s">
        <v>1787</v>
      </c>
      <c r="C345" s="6" t="s">
        <v>88</v>
      </c>
      <c r="D345" s="6" t="s">
        <v>2364</v>
      </c>
      <c r="E345" s="6" t="s">
        <v>1918</v>
      </c>
      <c r="G345" s="6" t="s">
        <v>1790</v>
      </c>
      <c r="H345" s="6" t="s">
        <v>2378</v>
      </c>
      <c r="I345" s="6">
        <v>6</v>
      </c>
      <c r="J345" s="6">
        <v>0</v>
      </c>
      <c r="K345" s="6">
        <v>0</v>
      </c>
      <c r="L345" s="6">
        <v>0</v>
      </c>
      <c r="M345" s="6">
        <v>0</v>
      </c>
      <c r="N345" s="6">
        <v>1</v>
      </c>
      <c r="O345" s="6">
        <v>1</v>
      </c>
    </row>
    <row r="346" spans="1:15" hidden="1">
      <c r="A346" s="6" t="s">
        <v>1786</v>
      </c>
      <c r="B346" s="6" t="s">
        <v>1787</v>
      </c>
      <c r="C346" s="6" t="s">
        <v>88</v>
      </c>
      <c r="D346" s="6" t="s">
        <v>2364</v>
      </c>
      <c r="E346" s="6" t="s">
        <v>1918</v>
      </c>
      <c r="G346" s="6" t="s">
        <v>1790</v>
      </c>
      <c r="H346" s="6" t="s">
        <v>2379</v>
      </c>
      <c r="I346" s="6">
        <v>4</v>
      </c>
      <c r="J346" s="6">
        <v>0</v>
      </c>
      <c r="K346" s="6">
        <v>0</v>
      </c>
      <c r="L346" s="6">
        <v>0</v>
      </c>
      <c r="M346" s="6">
        <v>0</v>
      </c>
      <c r="N346" s="6">
        <v>1</v>
      </c>
      <c r="O346" s="6">
        <v>1</v>
      </c>
    </row>
    <row r="347" spans="1:15" hidden="1">
      <c r="A347" s="6" t="s">
        <v>1786</v>
      </c>
      <c r="B347" s="6" t="s">
        <v>1787</v>
      </c>
      <c r="C347" s="6" t="s">
        <v>88</v>
      </c>
      <c r="D347" s="6" t="s">
        <v>2364</v>
      </c>
      <c r="E347" s="6" t="s">
        <v>1918</v>
      </c>
      <c r="G347" s="6" t="s">
        <v>1790</v>
      </c>
      <c r="H347" s="6" t="s">
        <v>2380</v>
      </c>
      <c r="I347" s="6">
        <v>1</v>
      </c>
      <c r="J347" s="6">
        <v>0</v>
      </c>
      <c r="K347" s="6">
        <v>0</v>
      </c>
      <c r="L347" s="6">
        <v>0</v>
      </c>
      <c r="M347" s="6">
        <v>0</v>
      </c>
      <c r="N347" s="6">
        <v>0</v>
      </c>
      <c r="O347" s="6">
        <v>0</v>
      </c>
    </row>
    <row r="348" spans="1:15" hidden="1">
      <c r="A348" s="6" t="s">
        <v>1786</v>
      </c>
      <c r="B348" s="6" t="s">
        <v>1787</v>
      </c>
      <c r="C348" s="6" t="s">
        <v>88</v>
      </c>
      <c r="D348" s="6" t="s">
        <v>2364</v>
      </c>
      <c r="E348" s="6" t="s">
        <v>1918</v>
      </c>
      <c r="G348" s="6" t="s">
        <v>1790</v>
      </c>
      <c r="H348" s="6" t="s">
        <v>2381</v>
      </c>
      <c r="I348" s="6">
        <v>1</v>
      </c>
      <c r="J348" s="6">
        <v>0</v>
      </c>
      <c r="K348" s="6">
        <v>0</v>
      </c>
      <c r="L348" s="6">
        <v>0</v>
      </c>
      <c r="M348" s="6">
        <v>0</v>
      </c>
      <c r="N348" s="6">
        <v>0</v>
      </c>
      <c r="O348" s="6">
        <v>0</v>
      </c>
    </row>
    <row r="349" spans="1:15" hidden="1">
      <c r="A349" s="6" t="s">
        <v>1786</v>
      </c>
      <c r="B349" s="6" t="s">
        <v>1787</v>
      </c>
      <c r="C349" s="6" t="s">
        <v>88</v>
      </c>
      <c r="D349" s="6" t="s">
        <v>2364</v>
      </c>
      <c r="E349" s="6" t="s">
        <v>1918</v>
      </c>
      <c r="G349" s="6" t="s">
        <v>1790</v>
      </c>
      <c r="H349" s="6" t="s">
        <v>2382</v>
      </c>
      <c r="I349" s="6">
        <v>2</v>
      </c>
      <c r="J349" s="6">
        <v>0</v>
      </c>
      <c r="K349" s="6">
        <v>0</v>
      </c>
      <c r="L349" s="6">
        <v>0</v>
      </c>
      <c r="M349" s="6">
        <v>0</v>
      </c>
      <c r="N349" s="6">
        <v>1</v>
      </c>
      <c r="O349" s="6">
        <v>1</v>
      </c>
    </row>
    <row r="350" spans="1:15" hidden="1">
      <c r="A350" s="6" t="s">
        <v>1786</v>
      </c>
      <c r="B350" s="6" t="s">
        <v>1787</v>
      </c>
      <c r="C350" s="6" t="s">
        <v>88</v>
      </c>
      <c r="D350" s="6" t="s">
        <v>2364</v>
      </c>
      <c r="E350" s="6" t="s">
        <v>1918</v>
      </c>
      <c r="F350" s="6" t="s">
        <v>2383</v>
      </c>
      <c r="G350" s="6" t="s">
        <v>1790</v>
      </c>
      <c r="H350" s="6" t="s">
        <v>2384</v>
      </c>
      <c r="I350" s="6">
        <v>1</v>
      </c>
      <c r="J350" s="6">
        <v>0</v>
      </c>
      <c r="K350" s="6">
        <v>0</v>
      </c>
      <c r="L350" s="6">
        <v>0</v>
      </c>
      <c r="M350" s="6">
        <v>0</v>
      </c>
      <c r="N350" s="6">
        <v>1</v>
      </c>
      <c r="O350" s="6">
        <v>1</v>
      </c>
    </row>
    <row r="351" spans="1:15" hidden="1">
      <c r="A351" s="6" t="s">
        <v>1786</v>
      </c>
      <c r="B351" s="6" t="s">
        <v>1787</v>
      </c>
      <c r="C351" s="6" t="s">
        <v>88</v>
      </c>
      <c r="D351" s="6" t="s">
        <v>2364</v>
      </c>
      <c r="E351" s="6" t="s">
        <v>1918</v>
      </c>
      <c r="F351" s="6" t="s">
        <v>2383</v>
      </c>
      <c r="G351" s="6" t="s">
        <v>1790</v>
      </c>
      <c r="H351" s="6" t="s">
        <v>2385</v>
      </c>
      <c r="I351" s="6">
        <v>1</v>
      </c>
      <c r="J351" s="6">
        <v>0</v>
      </c>
      <c r="K351" s="6">
        <v>0</v>
      </c>
      <c r="L351" s="6">
        <v>0</v>
      </c>
      <c r="M351" s="6">
        <v>0</v>
      </c>
      <c r="N351" s="6">
        <v>0</v>
      </c>
      <c r="O351" s="6">
        <v>0</v>
      </c>
    </row>
    <row r="352" spans="1:15" hidden="1">
      <c r="A352" s="6" t="s">
        <v>1786</v>
      </c>
      <c r="B352" s="6" t="s">
        <v>1787</v>
      </c>
      <c r="C352" s="6" t="s">
        <v>88</v>
      </c>
      <c r="D352" s="6" t="s">
        <v>2364</v>
      </c>
      <c r="E352" s="6" t="s">
        <v>1918</v>
      </c>
      <c r="F352" s="6" t="s">
        <v>2383</v>
      </c>
      <c r="G352" s="6" t="s">
        <v>1790</v>
      </c>
      <c r="H352" s="6" t="s">
        <v>2386</v>
      </c>
      <c r="I352" s="6">
        <v>1</v>
      </c>
      <c r="J352" s="6">
        <v>0</v>
      </c>
      <c r="K352" s="6">
        <v>0</v>
      </c>
      <c r="L352" s="6">
        <v>0</v>
      </c>
      <c r="M352" s="6">
        <v>0</v>
      </c>
      <c r="N352" s="6">
        <v>1</v>
      </c>
      <c r="O352" s="6">
        <v>1</v>
      </c>
    </row>
    <row r="353" spans="1:15" hidden="1">
      <c r="A353" s="6" t="s">
        <v>1786</v>
      </c>
      <c r="B353" s="6" t="s">
        <v>1787</v>
      </c>
      <c r="C353" s="6" t="s">
        <v>88</v>
      </c>
      <c r="D353" s="6" t="s">
        <v>2364</v>
      </c>
      <c r="E353" s="6" t="s">
        <v>1918</v>
      </c>
      <c r="F353" s="6" t="s">
        <v>2387</v>
      </c>
      <c r="G353" s="6" t="s">
        <v>1790</v>
      </c>
      <c r="H353" s="6" t="s">
        <v>2388</v>
      </c>
      <c r="I353" s="6">
        <v>1</v>
      </c>
      <c r="J353" s="6">
        <v>0</v>
      </c>
      <c r="K353" s="6">
        <v>0</v>
      </c>
      <c r="L353" s="6">
        <v>0</v>
      </c>
      <c r="M353" s="6">
        <v>0</v>
      </c>
      <c r="N353" s="6">
        <v>1</v>
      </c>
      <c r="O353" s="6">
        <v>1</v>
      </c>
    </row>
    <row r="354" spans="1:15" hidden="1">
      <c r="A354" s="6" t="s">
        <v>1786</v>
      </c>
      <c r="B354" s="6" t="s">
        <v>1787</v>
      </c>
      <c r="C354" s="6" t="s">
        <v>88</v>
      </c>
      <c r="D354" s="6" t="s">
        <v>2364</v>
      </c>
      <c r="E354" s="6" t="s">
        <v>1918</v>
      </c>
      <c r="F354" s="6" t="s">
        <v>2387</v>
      </c>
      <c r="G354" s="6" t="s">
        <v>1790</v>
      </c>
      <c r="H354" s="6" t="s">
        <v>2389</v>
      </c>
      <c r="I354" s="6">
        <v>3</v>
      </c>
      <c r="J354" s="6">
        <v>0</v>
      </c>
      <c r="K354" s="6">
        <v>0</v>
      </c>
      <c r="L354" s="6">
        <v>0</v>
      </c>
      <c r="M354" s="6">
        <v>0</v>
      </c>
      <c r="N354" s="6">
        <v>1</v>
      </c>
      <c r="O354" s="6">
        <v>1</v>
      </c>
    </row>
    <row r="355" spans="1:15" hidden="1">
      <c r="A355" s="6" t="s">
        <v>1786</v>
      </c>
      <c r="B355" s="6" t="s">
        <v>1787</v>
      </c>
      <c r="C355" s="6" t="s">
        <v>88</v>
      </c>
      <c r="D355" s="6" t="s">
        <v>2364</v>
      </c>
      <c r="E355" s="6" t="s">
        <v>1918</v>
      </c>
      <c r="F355" s="6" t="s">
        <v>2387</v>
      </c>
      <c r="G355" s="6" t="s">
        <v>1790</v>
      </c>
      <c r="H355" s="6" t="s">
        <v>2390</v>
      </c>
      <c r="I355" s="6">
        <v>1</v>
      </c>
      <c r="J355" s="6">
        <v>0</v>
      </c>
      <c r="K355" s="6">
        <v>0</v>
      </c>
      <c r="L355" s="6">
        <v>0</v>
      </c>
      <c r="M355" s="6">
        <v>0</v>
      </c>
      <c r="N355" s="6">
        <v>1</v>
      </c>
      <c r="O355" s="6">
        <v>1</v>
      </c>
    </row>
    <row r="356" spans="1:15" hidden="1">
      <c r="A356" s="6" t="s">
        <v>1786</v>
      </c>
      <c r="B356" s="6" t="s">
        <v>1787</v>
      </c>
      <c r="C356" s="6" t="s">
        <v>88</v>
      </c>
      <c r="D356" s="6" t="s">
        <v>2364</v>
      </c>
      <c r="E356" s="6" t="s">
        <v>1918</v>
      </c>
      <c r="F356" s="6" t="s">
        <v>2387</v>
      </c>
      <c r="G356" s="6" t="s">
        <v>1790</v>
      </c>
      <c r="H356" s="6" t="s">
        <v>2391</v>
      </c>
      <c r="I356" s="6">
        <v>1</v>
      </c>
      <c r="J356" s="6">
        <v>0</v>
      </c>
      <c r="K356" s="6">
        <v>0</v>
      </c>
      <c r="L356" s="6">
        <v>0</v>
      </c>
      <c r="M356" s="6">
        <v>0</v>
      </c>
      <c r="N356" s="6">
        <v>1</v>
      </c>
      <c r="O356" s="6">
        <v>0</v>
      </c>
    </row>
    <row r="357" spans="1:15" hidden="1">
      <c r="A357" s="6" t="s">
        <v>1786</v>
      </c>
      <c r="B357" s="6" t="s">
        <v>1787</v>
      </c>
      <c r="C357" s="6" t="s">
        <v>88</v>
      </c>
      <c r="D357" s="6" t="s">
        <v>2364</v>
      </c>
      <c r="E357" s="6" t="s">
        <v>1918</v>
      </c>
      <c r="F357" s="6" t="s">
        <v>2387</v>
      </c>
      <c r="G357" s="6" t="s">
        <v>1790</v>
      </c>
      <c r="H357" s="6" t="s">
        <v>2392</v>
      </c>
      <c r="I357" s="6">
        <v>1</v>
      </c>
      <c r="J357" s="6">
        <v>0</v>
      </c>
      <c r="K357" s="6">
        <v>0</v>
      </c>
      <c r="L357" s="6">
        <v>0</v>
      </c>
      <c r="M357" s="6">
        <v>0</v>
      </c>
      <c r="N357" s="6">
        <v>1</v>
      </c>
      <c r="O357" s="6">
        <v>1</v>
      </c>
    </row>
    <row r="358" spans="1:15" hidden="1">
      <c r="A358" s="6" t="s">
        <v>1786</v>
      </c>
      <c r="B358" s="6" t="s">
        <v>1787</v>
      </c>
      <c r="C358" s="6" t="s">
        <v>88</v>
      </c>
      <c r="D358" s="6" t="s">
        <v>2364</v>
      </c>
      <c r="E358" s="6" t="s">
        <v>1918</v>
      </c>
      <c r="F358" s="6" t="s">
        <v>2387</v>
      </c>
      <c r="G358" s="6" t="s">
        <v>1790</v>
      </c>
      <c r="H358" s="6" t="s">
        <v>2393</v>
      </c>
      <c r="I358" s="6">
        <v>2</v>
      </c>
      <c r="J358" s="6">
        <v>0</v>
      </c>
      <c r="K358" s="6">
        <v>0</v>
      </c>
      <c r="L358" s="6">
        <v>0</v>
      </c>
      <c r="M358" s="6">
        <v>0</v>
      </c>
      <c r="N358" s="6">
        <v>0.5</v>
      </c>
      <c r="O358" s="6">
        <v>0.5</v>
      </c>
    </row>
    <row r="359" spans="1:15" hidden="1">
      <c r="A359" s="6" t="s">
        <v>1786</v>
      </c>
      <c r="B359" s="6" t="s">
        <v>1787</v>
      </c>
      <c r="C359" s="6" t="s">
        <v>88</v>
      </c>
      <c r="D359" s="6" t="s">
        <v>2364</v>
      </c>
      <c r="E359" s="6" t="s">
        <v>1918</v>
      </c>
      <c r="F359" s="6" t="s">
        <v>2394</v>
      </c>
      <c r="G359" s="6" t="s">
        <v>1790</v>
      </c>
      <c r="H359" s="6" t="s">
        <v>2395</v>
      </c>
      <c r="I359" s="6">
        <v>1</v>
      </c>
      <c r="J359" s="6">
        <v>0</v>
      </c>
      <c r="K359" s="6">
        <v>0</v>
      </c>
      <c r="L359" s="6">
        <v>0</v>
      </c>
      <c r="M359" s="6">
        <v>0</v>
      </c>
      <c r="N359" s="6">
        <v>0</v>
      </c>
      <c r="O359" s="6">
        <v>0</v>
      </c>
    </row>
    <row r="360" spans="1:15" hidden="1">
      <c r="A360" s="6" t="s">
        <v>1786</v>
      </c>
      <c r="B360" s="6" t="s">
        <v>1787</v>
      </c>
      <c r="C360" s="6" t="s">
        <v>88</v>
      </c>
      <c r="D360" s="6" t="s">
        <v>2364</v>
      </c>
      <c r="E360" s="6" t="s">
        <v>1918</v>
      </c>
      <c r="F360" s="6" t="s">
        <v>2396</v>
      </c>
      <c r="G360" s="6" t="s">
        <v>1790</v>
      </c>
      <c r="H360" s="6" t="s">
        <v>2397</v>
      </c>
      <c r="I360" s="6">
        <v>2</v>
      </c>
      <c r="J360" s="6">
        <v>0</v>
      </c>
      <c r="K360" s="6">
        <v>0</v>
      </c>
      <c r="L360" s="6">
        <v>0</v>
      </c>
      <c r="M360" s="6">
        <v>0</v>
      </c>
      <c r="N360" s="6">
        <v>1</v>
      </c>
      <c r="O360" s="6">
        <v>1</v>
      </c>
    </row>
    <row r="361" spans="1:15" hidden="1">
      <c r="A361" s="6" t="s">
        <v>1786</v>
      </c>
      <c r="B361" s="6" t="s">
        <v>1787</v>
      </c>
      <c r="C361" s="6" t="s">
        <v>88</v>
      </c>
      <c r="D361" s="6" t="s">
        <v>2364</v>
      </c>
      <c r="E361" s="6" t="s">
        <v>1918</v>
      </c>
      <c r="F361" s="6" t="s">
        <v>2398</v>
      </c>
      <c r="G361" s="6" t="s">
        <v>1790</v>
      </c>
      <c r="H361" s="6" t="s">
        <v>2399</v>
      </c>
      <c r="I361" s="6">
        <v>1</v>
      </c>
      <c r="J361" s="6">
        <v>0</v>
      </c>
      <c r="K361" s="6">
        <v>0</v>
      </c>
      <c r="L361" s="6">
        <v>0</v>
      </c>
      <c r="M361" s="6">
        <v>0</v>
      </c>
      <c r="N361" s="6">
        <v>1</v>
      </c>
      <c r="O361" s="6">
        <v>0</v>
      </c>
    </row>
    <row r="362" spans="1:15" hidden="1">
      <c r="A362" s="6" t="s">
        <v>1786</v>
      </c>
      <c r="B362" s="6" t="s">
        <v>1787</v>
      </c>
      <c r="C362" s="6" t="s">
        <v>88</v>
      </c>
      <c r="D362" s="6" t="s">
        <v>2364</v>
      </c>
      <c r="E362" s="6" t="s">
        <v>1918</v>
      </c>
      <c r="F362" s="6" t="s">
        <v>2364</v>
      </c>
      <c r="G362" s="6" t="s">
        <v>1790</v>
      </c>
      <c r="H362" s="6" t="s">
        <v>2400</v>
      </c>
      <c r="I362" s="6">
        <v>2</v>
      </c>
      <c r="J362" s="6">
        <v>0</v>
      </c>
      <c r="K362" s="6">
        <v>0</v>
      </c>
      <c r="L362" s="6">
        <v>0</v>
      </c>
      <c r="M362" s="6">
        <v>0</v>
      </c>
      <c r="N362" s="6">
        <v>1</v>
      </c>
      <c r="O362" s="6">
        <v>1</v>
      </c>
    </row>
    <row r="363" spans="1:15" hidden="1">
      <c r="A363" s="6" t="s">
        <v>1786</v>
      </c>
      <c r="B363" s="6" t="s">
        <v>1787</v>
      </c>
      <c r="C363" s="6" t="s">
        <v>88</v>
      </c>
      <c r="D363" s="6" t="s">
        <v>2364</v>
      </c>
      <c r="E363" s="6" t="s">
        <v>1918</v>
      </c>
      <c r="F363" s="6" t="s">
        <v>2364</v>
      </c>
      <c r="G363" s="6" t="s">
        <v>1790</v>
      </c>
      <c r="H363" s="6" t="s">
        <v>2401</v>
      </c>
      <c r="I363" s="6">
        <v>1</v>
      </c>
      <c r="J363" s="6">
        <v>0</v>
      </c>
      <c r="K363" s="6">
        <v>0</v>
      </c>
      <c r="L363" s="6">
        <v>0</v>
      </c>
      <c r="M363" s="6">
        <v>0</v>
      </c>
      <c r="N363" s="6">
        <v>0</v>
      </c>
      <c r="O363" s="6">
        <v>0</v>
      </c>
    </row>
    <row r="364" spans="1:15" hidden="1">
      <c r="A364" s="6" t="s">
        <v>1786</v>
      </c>
      <c r="B364" s="6" t="s">
        <v>1787</v>
      </c>
      <c r="C364" s="6" t="s">
        <v>88</v>
      </c>
      <c r="D364" s="6" t="s">
        <v>2364</v>
      </c>
      <c r="E364" s="6" t="s">
        <v>1918</v>
      </c>
      <c r="F364" s="6" t="s">
        <v>2364</v>
      </c>
      <c r="G364" s="6" t="s">
        <v>1790</v>
      </c>
      <c r="H364" s="6" t="s">
        <v>2402</v>
      </c>
      <c r="I364" s="6">
        <v>5</v>
      </c>
      <c r="J364" s="6">
        <v>0</v>
      </c>
      <c r="K364" s="6">
        <v>0</v>
      </c>
      <c r="L364" s="6">
        <v>0</v>
      </c>
      <c r="M364" s="6">
        <v>0</v>
      </c>
      <c r="N364" s="6">
        <v>1</v>
      </c>
      <c r="O364" s="6">
        <v>1</v>
      </c>
    </row>
    <row r="365" spans="1:15" hidden="1">
      <c r="A365" s="6" t="s">
        <v>1786</v>
      </c>
      <c r="B365" s="6" t="s">
        <v>1787</v>
      </c>
      <c r="C365" s="6" t="s">
        <v>88</v>
      </c>
      <c r="D365" s="6" t="s">
        <v>2364</v>
      </c>
      <c r="E365" s="6" t="s">
        <v>1918</v>
      </c>
      <c r="F365" s="6" t="s">
        <v>2364</v>
      </c>
      <c r="G365" s="6" t="s">
        <v>1790</v>
      </c>
      <c r="H365" s="6" t="s">
        <v>2403</v>
      </c>
      <c r="I365" s="6">
        <v>2</v>
      </c>
      <c r="J365" s="6">
        <v>1</v>
      </c>
      <c r="K365" s="6">
        <v>0.5</v>
      </c>
      <c r="L365" s="6">
        <v>7.0000000000000007E-2</v>
      </c>
      <c r="M365" s="6">
        <v>7.0000000000000007E-2</v>
      </c>
      <c r="N365" s="6">
        <v>1</v>
      </c>
      <c r="O365" s="6">
        <v>1</v>
      </c>
    </row>
    <row r="366" spans="1:15" hidden="1">
      <c r="A366" s="6" t="s">
        <v>1786</v>
      </c>
      <c r="B366" s="6" t="s">
        <v>1787</v>
      </c>
      <c r="C366" s="6" t="s">
        <v>88</v>
      </c>
      <c r="D366" s="6" t="s">
        <v>2364</v>
      </c>
      <c r="E366" s="6" t="s">
        <v>1918</v>
      </c>
      <c r="F366" s="6" t="s">
        <v>2364</v>
      </c>
      <c r="G366" s="6" t="s">
        <v>1790</v>
      </c>
      <c r="H366" s="6" t="s">
        <v>2404</v>
      </c>
      <c r="I366" s="6">
        <v>4</v>
      </c>
      <c r="J366" s="6">
        <v>1</v>
      </c>
      <c r="K366" s="6">
        <v>0.25</v>
      </c>
      <c r="L366" s="6">
        <v>7.0000000000000007E-2</v>
      </c>
      <c r="M366" s="6">
        <v>7.0000000000000007E-2</v>
      </c>
      <c r="N366" s="6">
        <v>1</v>
      </c>
      <c r="O366" s="6">
        <v>1</v>
      </c>
    </row>
    <row r="367" spans="1:15" hidden="1">
      <c r="A367" s="6" t="s">
        <v>1786</v>
      </c>
      <c r="B367" s="6" t="s">
        <v>1787</v>
      </c>
      <c r="C367" s="6" t="s">
        <v>88</v>
      </c>
      <c r="D367" s="6" t="s">
        <v>2364</v>
      </c>
      <c r="E367" s="6" t="s">
        <v>1918</v>
      </c>
      <c r="F367" s="6" t="s">
        <v>2364</v>
      </c>
      <c r="G367" s="6" t="s">
        <v>1790</v>
      </c>
      <c r="H367" s="6" t="s">
        <v>2405</v>
      </c>
      <c r="I367" s="6">
        <v>2</v>
      </c>
      <c r="J367" s="6">
        <v>0</v>
      </c>
      <c r="K367" s="6">
        <v>0</v>
      </c>
      <c r="L367" s="6">
        <v>0</v>
      </c>
      <c r="M367" s="6">
        <v>0</v>
      </c>
      <c r="N367" s="6">
        <v>1</v>
      </c>
      <c r="O367" s="6">
        <v>1</v>
      </c>
    </row>
    <row r="368" spans="1:15" hidden="1">
      <c r="A368" s="6" t="s">
        <v>1786</v>
      </c>
      <c r="B368" s="6" t="s">
        <v>1787</v>
      </c>
      <c r="C368" s="6" t="s">
        <v>88</v>
      </c>
      <c r="D368" s="6" t="s">
        <v>2364</v>
      </c>
      <c r="E368" s="6" t="s">
        <v>1918</v>
      </c>
      <c r="F368" s="6" t="s">
        <v>2364</v>
      </c>
      <c r="G368" s="6" t="s">
        <v>1790</v>
      </c>
      <c r="H368" s="6" t="s">
        <v>2406</v>
      </c>
      <c r="I368" s="6">
        <v>4</v>
      </c>
      <c r="J368" s="6">
        <v>0</v>
      </c>
      <c r="K368" s="6">
        <v>0</v>
      </c>
      <c r="L368" s="6">
        <v>0</v>
      </c>
      <c r="M368" s="6">
        <v>0</v>
      </c>
      <c r="N368" s="6">
        <v>0</v>
      </c>
      <c r="O368" s="6">
        <v>0</v>
      </c>
    </row>
    <row r="369" spans="1:15" hidden="1">
      <c r="A369" s="6" t="s">
        <v>1786</v>
      </c>
      <c r="B369" s="6" t="s">
        <v>1787</v>
      </c>
      <c r="C369" s="6" t="s">
        <v>88</v>
      </c>
      <c r="D369" s="6" t="s">
        <v>2364</v>
      </c>
      <c r="E369" s="6" t="s">
        <v>1918</v>
      </c>
      <c r="F369" s="6" t="s">
        <v>2364</v>
      </c>
      <c r="G369" s="6" t="s">
        <v>1790</v>
      </c>
      <c r="H369" s="6" t="s">
        <v>2407</v>
      </c>
      <c r="I369" s="6">
        <v>3</v>
      </c>
      <c r="J369" s="6">
        <v>2</v>
      </c>
      <c r="K369" s="6">
        <v>0.66670000000000007</v>
      </c>
      <c r="L369" s="6">
        <v>0.79</v>
      </c>
      <c r="M369" s="6">
        <v>1.57</v>
      </c>
      <c r="N369" s="6">
        <v>1</v>
      </c>
      <c r="O369" s="6">
        <v>0.66670000000000007</v>
      </c>
    </row>
    <row r="370" spans="1:15" hidden="1">
      <c r="A370" s="6" t="s">
        <v>1786</v>
      </c>
      <c r="B370" s="6" t="s">
        <v>1787</v>
      </c>
      <c r="C370" s="6" t="s">
        <v>88</v>
      </c>
      <c r="D370" s="6" t="s">
        <v>2364</v>
      </c>
      <c r="E370" s="6" t="s">
        <v>1918</v>
      </c>
      <c r="F370" s="6" t="s">
        <v>2364</v>
      </c>
      <c r="G370" s="6" t="s">
        <v>1790</v>
      </c>
      <c r="H370" s="6" t="s">
        <v>2408</v>
      </c>
      <c r="I370" s="6">
        <v>1</v>
      </c>
      <c r="J370" s="6">
        <v>0</v>
      </c>
      <c r="K370" s="6">
        <v>0</v>
      </c>
      <c r="L370" s="6">
        <v>0</v>
      </c>
      <c r="M370" s="6">
        <v>0</v>
      </c>
      <c r="N370" s="6">
        <v>1</v>
      </c>
      <c r="O370" s="6">
        <v>1</v>
      </c>
    </row>
    <row r="371" spans="1:15" hidden="1">
      <c r="A371" s="6" t="s">
        <v>1786</v>
      </c>
      <c r="B371" s="6" t="s">
        <v>1787</v>
      </c>
      <c r="C371" s="6" t="s">
        <v>88</v>
      </c>
      <c r="D371" s="6" t="s">
        <v>2364</v>
      </c>
      <c r="E371" s="6" t="s">
        <v>1918</v>
      </c>
      <c r="F371" s="6" t="s">
        <v>2364</v>
      </c>
      <c r="G371" s="6" t="s">
        <v>1790</v>
      </c>
      <c r="H371" s="6" t="s">
        <v>2409</v>
      </c>
      <c r="I371" s="6">
        <v>1</v>
      </c>
      <c r="J371" s="6">
        <v>1</v>
      </c>
      <c r="K371" s="6">
        <v>1</v>
      </c>
      <c r="L371" s="6">
        <v>0.12</v>
      </c>
      <c r="M371" s="6">
        <v>0.12</v>
      </c>
      <c r="N371" s="6">
        <v>1</v>
      </c>
      <c r="O371" s="6">
        <v>0</v>
      </c>
    </row>
    <row r="372" spans="1:15" hidden="1">
      <c r="A372" s="6" t="s">
        <v>1786</v>
      </c>
      <c r="B372" s="6" t="s">
        <v>1787</v>
      </c>
      <c r="C372" s="6" t="s">
        <v>88</v>
      </c>
      <c r="D372" s="6" t="s">
        <v>2364</v>
      </c>
      <c r="E372" s="6" t="s">
        <v>1918</v>
      </c>
      <c r="F372" s="6" t="s">
        <v>2364</v>
      </c>
      <c r="G372" s="6" t="s">
        <v>1790</v>
      </c>
      <c r="H372" s="6" t="s">
        <v>2410</v>
      </c>
      <c r="I372" s="6">
        <v>3</v>
      </c>
      <c r="J372" s="6">
        <v>1</v>
      </c>
      <c r="K372" s="6">
        <v>0.33329999999999999</v>
      </c>
      <c r="L372" s="6">
        <v>0.7</v>
      </c>
      <c r="M372" s="6">
        <v>0.7</v>
      </c>
      <c r="N372" s="6">
        <v>0.5</v>
      </c>
      <c r="O372" s="6">
        <v>0.5</v>
      </c>
    </row>
    <row r="373" spans="1:15" hidden="1">
      <c r="A373" s="6" t="s">
        <v>1786</v>
      </c>
      <c r="B373" s="6" t="s">
        <v>1787</v>
      </c>
      <c r="C373" s="6" t="s">
        <v>88</v>
      </c>
      <c r="D373" s="6" t="s">
        <v>2364</v>
      </c>
      <c r="E373" s="6" t="s">
        <v>1918</v>
      </c>
      <c r="F373" s="6" t="s">
        <v>2364</v>
      </c>
      <c r="G373" s="6" t="s">
        <v>1790</v>
      </c>
      <c r="H373" s="6" t="s">
        <v>2411</v>
      </c>
      <c r="I373" s="6">
        <v>4</v>
      </c>
      <c r="J373" s="6">
        <v>1</v>
      </c>
      <c r="K373" s="6">
        <v>0.25</v>
      </c>
      <c r="L373" s="6">
        <v>0.04</v>
      </c>
      <c r="M373" s="6">
        <v>0.04</v>
      </c>
      <c r="N373" s="6">
        <v>0.5</v>
      </c>
      <c r="O373" s="6">
        <v>0.5</v>
      </c>
    </row>
    <row r="374" spans="1:15" hidden="1">
      <c r="A374" s="6" t="s">
        <v>1786</v>
      </c>
      <c r="B374" s="6" t="s">
        <v>1787</v>
      </c>
      <c r="C374" s="6" t="s">
        <v>88</v>
      </c>
      <c r="D374" s="6" t="s">
        <v>2364</v>
      </c>
      <c r="E374" s="6" t="s">
        <v>1918</v>
      </c>
      <c r="F374" s="6" t="s">
        <v>2364</v>
      </c>
      <c r="G374" s="6" t="s">
        <v>1790</v>
      </c>
      <c r="H374" s="6" t="s">
        <v>2412</v>
      </c>
      <c r="I374" s="6">
        <v>2</v>
      </c>
      <c r="J374" s="6">
        <v>1</v>
      </c>
      <c r="K374" s="6">
        <v>0.5</v>
      </c>
      <c r="L374" s="6">
        <v>2.0099999999999998</v>
      </c>
      <c r="M374" s="6">
        <v>2.0099999999999998</v>
      </c>
      <c r="N374" s="6">
        <v>1</v>
      </c>
      <c r="O374" s="6">
        <v>1</v>
      </c>
    </row>
    <row r="375" spans="1:15" hidden="1">
      <c r="A375" s="6" t="s">
        <v>1786</v>
      </c>
      <c r="B375" s="6" t="s">
        <v>1787</v>
      </c>
      <c r="C375" s="6" t="s">
        <v>88</v>
      </c>
      <c r="D375" s="6" t="s">
        <v>2364</v>
      </c>
      <c r="E375" s="6" t="s">
        <v>1918</v>
      </c>
      <c r="F375" s="6" t="s">
        <v>2364</v>
      </c>
      <c r="G375" s="6" t="s">
        <v>1790</v>
      </c>
      <c r="H375" s="6" t="s">
        <v>2413</v>
      </c>
      <c r="I375" s="6">
        <v>1</v>
      </c>
      <c r="J375" s="6">
        <v>0</v>
      </c>
      <c r="K375" s="6">
        <v>0</v>
      </c>
      <c r="L375" s="6">
        <v>0</v>
      </c>
      <c r="M375" s="6">
        <v>0</v>
      </c>
      <c r="N375" s="6">
        <v>0</v>
      </c>
      <c r="O375" s="6">
        <v>0</v>
      </c>
    </row>
    <row r="376" spans="1:15" hidden="1">
      <c r="A376" s="6" t="s">
        <v>1786</v>
      </c>
      <c r="B376" s="6" t="s">
        <v>1787</v>
      </c>
      <c r="C376" s="6" t="s">
        <v>88</v>
      </c>
      <c r="D376" s="6" t="s">
        <v>2364</v>
      </c>
      <c r="E376" s="6" t="s">
        <v>1918</v>
      </c>
      <c r="F376" s="6" t="s">
        <v>2364</v>
      </c>
      <c r="G376" s="6" t="s">
        <v>1790</v>
      </c>
      <c r="H376" s="6" t="s">
        <v>2414</v>
      </c>
      <c r="I376" s="6">
        <v>1</v>
      </c>
      <c r="J376" s="6">
        <v>0</v>
      </c>
      <c r="K376" s="6">
        <v>0</v>
      </c>
      <c r="L376" s="6">
        <v>0</v>
      </c>
      <c r="M376" s="6">
        <v>0</v>
      </c>
      <c r="N376" s="6">
        <v>1</v>
      </c>
      <c r="O376" s="6">
        <v>1</v>
      </c>
    </row>
    <row r="377" spans="1:15" hidden="1">
      <c r="A377" s="6" t="s">
        <v>1786</v>
      </c>
      <c r="B377" s="6" t="s">
        <v>1787</v>
      </c>
      <c r="C377" s="6" t="s">
        <v>88</v>
      </c>
      <c r="D377" s="6" t="s">
        <v>2364</v>
      </c>
      <c r="E377" s="6" t="s">
        <v>1918</v>
      </c>
      <c r="F377" s="6" t="s">
        <v>2364</v>
      </c>
      <c r="G377" s="6" t="s">
        <v>1790</v>
      </c>
      <c r="H377" s="6" t="s">
        <v>2364</v>
      </c>
      <c r="I377" s="6">
        <v>15</v>
      </c>
      <c r="J377" s="6">
        <v>0</v>
      </c>
      <c r="K377" s="6">
        <v>0</v>
      </c>
      <c r="L377" s="6">
        <v>0</v>
      </c>
      <c r="M377" s="6">
        <v>0</v>
      </c>
      <c r="N377" s="6">
        <v>0.66670000000000007</v>
      </c>
      <c r="O377" s="6">
        <v>0.66670000000000007</v>
      </c>
    </row>
    <row r="378" spans="1:15" hidden="1">
      <c r="A378" s="6" t="s">
        <v>1786</v>
      </c>
      <c r="B378" s="6" t="s">
        <v>1787</v>
      </c>
      <c r="C378" s="6" t="s">
        <v>88</v>
      </c>
      <c r="D378" s="6" t="s">
        <v>2364</v>
      </c>
      <c r="E378" s="6" t="s">
        <v>1918</v>
      </c>
      <c r="F378" s="6" t="s">
        <v>2415</v>
      </c>
      <c r="G378" s="6" t="s">
        <v>1790</v>
      </c>
      <c r="H378" s="6" t="s">
        <v>2416</v>
      </c>
      <c r="I378" s="6">
        <v>2</v>
      </c>
      <c r="J378" s="6">
        <v>0</v>
      </c>
      <c r="K378" s="6">
        <v>0</v>
      </c>
      <c r="L378" s="6">
        <v>0</v>
      </c>
      <c r="M378" s="6">
        <v>0</v>
      </c>
      <c r="N378" s="6">
        <v>1</v>
      </c>
      <c r="O378" s="6">
        <v>1</v>
      </c>
    </row>
    <row r="379" spans="1:15" hidden="1">
      <c r="A379" s="6" t="s">
        <v>1786</v>
      </c>
      <c r="B379" s="6" t="s">
        <v>1787</v>
      </c>
      <c r="C379" s="6" t="s">
        <v>88</v>
      </c>
      <c r="D379" s="6" t="s">
        <v>2364</v>
      </c>
      <c r="E379" s="6" t="s">
        <v>1918</v>
      </c>
      <c r="F379" s="6" t="s">
        <v>2417</v>
      </c>
      <c r="G379" s="6" t="s">
        <v>1790</v>
      </c>
      <c r="H379" s="6" t="s">
        <v>2418</v>
      </c>
      <c r="I379" s="6">
        <v>1</v>
      </c>
      <c r="J379" s="6">
        <v>0</v>
      </c>
      <c r="K379" s="6">
        <v>0</v>
      </c>
      <c r="L379" s="6">
        <v>0</v>
      </c>
      <c r="M379" s="6">
        <v>0</v>
      </c>
      <c r="N379" s="6">
        <v>1</v>
      </c>
      <c r="O379" s="6">
        <v>1</v>
      </c>
    </row>
    <row r="380" spans="1:15" hidden="1">
      <c r="A380" s="6" t="s">
        <v>1786</v>
      </c>
      <c r="B380" s="6" t="s">
        <v>1787</v>
      </c>
      <c r="C380" s="6" t="s">
        <v>88</v>
      </c>
      <c r="D380" s="6" t="s">
        <v>2364</v>
      </c>
      <c r="E380" s="6" t="s">
        <v>2419</v>
      </c>
      <c r="F380" s="6" t="s">
        <v>2420</v>
      </c>
      <c r="G380" s="6" t="s">
        <v>1790</v>
      </c>
      <c r="H380" s="6" t="s">
        <v>2421</v>
      </c>
      <c r="I380" s="6">
        <v>1</v>
      </c>
      <c r="J380" s="6">
        <v>0</v>
      </c>
      <c r="K380" s="6">
        <v>0</v>
      </c>
      <c r="L380" s="6">
        <v>0</v>
      </c>
      <c r="M380" s="6">
        <v>0</v>
      </c>
      <c r="N380" s="6">
        <v>0</v>
      </c>
      <c r="O380" s="6">
        <v>0</v>
      </c>
    </row>
    <row r="381" spans="1:15" hidden="1">
      <c r="A381" s="6" t="s">
        <v>1786</v>
      </c>
      <c r="B381" s="6" t="s">
        <v>1787</v>
      </c>
      <c r="C381" s="6" t="s">
        <v>88</v>
      </c>
      <c r="D381" s="6" t="s">
        <v>2364</v>
      </c>
      <c r="E381" s="6" t="s">
        <v>2419</v>
      </c>
      <c r="F381" s="6" t="s">
        <v>2306</v>
      </c>
      <c r="G381" s="6" t="s">
        <v>1790</v>
      </c>
      <c r="H381" s="6" t="s">
        <v>2422</v>
      </c>
      <c r="I381" s="6">
        <v>1</v>
      </c>
      <c r="J381" s="6">
        <v>0</v>
      </c>
      <c r="K381" s="6">
        <v>0</v>
      </c>
      <c r="L381" s="6">
        <v>0</v>
      </c>
      <c r="M381" s="6">
        <v>0</v>
      </c>
      <c r="N381" s="6">
        <v>0</v>
      </c>
      <c r="O381" s="6">
        <v>0</v>
      </c>
    </row>
    <row r="382" spans="1:15" hidden="1">
      <c r="A382" s="6" t="s">
        <v>1786</v>
      </c>
      <c r="B382" s="6" t="s">
        <v>1787</v>
      </c>
      <c r="C382" s="6" t="s">
        <v>88</v>
      </c>
      <c r="D382" s="6" t="s">
        <v>2364</v>
      </c>
      <c r="E382" s="6" t="s">
        <v>2423</v>
      </c>
      <c r="G382" s="6" t="s">
        <v>1790</v>
      </c>
      <c r="H382" s="6" t="s">
        <v>2424</v>
      </c>
      <c r="I382" s="6">
        <v>1</v>
      </c>
      <c r="J382" s="6">
        <v>0</v>
      </c>
      <c r="K382" s="6">
        <v>0</v>
      </c>
      <c r="L382" s="6">
        <v>0</v>
      </c>
      <c r="M382" s="6">
        <v>0</v>
      </c>
      <c r="N382" s="6">
        <v>1</v>
      </c>
      <c r="O382" s="6">
        <v>1</v>
      </c>
    </row>
    <row r="383" spans="1:15" hidden="1">
      <c r="A383" s="6" t="s">
        <v>1786</v>
      </c>
      <c r="B383" s="6" t="s">
        <v>1787</v>
      </c>
      <c r="C383" s="6" t="s">
        <v>88</v>
      </c>
      <c r="D383" s="6" t="s">
        <v>2364</v>
      </c>
      <c r="E383" s="6" t="s">
        <v>2423</v>
      </c>
      <c r="F383" s="6" t="s">
        <v>2425</v>
      </c>
      <c r="G383" s="6" t="s">
        <v>1790</v>
      </c>
      <c r="H383" s="6" t="s">
        <v>2426</v>
      </c>
      <c r="I383" s="6">
        <v>1</v>
      </c>
      <c r="J383" s="6">
        <v>0</v>
      </c>
      <c r="K383" s="6">
        <v>0</v>
      </c>
      <c r="L383" s="6">
        <v>0</v>
      </c>
      <c r="M383" s="6">
        <v>0</v>
      </c>
      <c r="N383" s="6">
        <v>0</v>
      </c>
      <c r="O383" s="6">
        <v>0</v>
      </c>
    </row>
    <row r="384" spans="1:15" hidden="1">
      <c r="A384" s="6" t="s">
        <v>1786</v>
      </c>
      <c r="B384" s="6" t="s">
        <v>1787</v>
      </c>
      <c r="C384" s="6" t="s">
        <v>88</v>
      </c>
      <c r="D384" s="6" t="s">
        <v>2364</v>
      </c>
      <c r="E384" s="6" t="s">
        <v>2423</v>
      </c>
      <c r="F384" s="6" t="s">
        <v>2427</v>
      </c>
      <c r="G384" s="6" t="s">
        <v>1790</v>
      </c>
      <c r="H384" s="6" t="s">
        <v>2428</v>
      </c>
      <c r="I384" s="6">
        <v>1</v>
      </c>
      <c r="J384" s="6">
        <v>0</v>
      </c>
      <c r="K384" s="6">
        <v>0</v>
      </c>
      <c r="L384" s="6">
        <v>0</v>
      </c>
      <c r="M384" s="6">
        <v>0</v>
      </c>
      <c r="N384" s="6">
        <v>1</v>
      </c>
      <c r="O384" s="6">
        <v>0</v>
      </c>
    </row>
    <row r="385" spans="1:15" hidden="1">
      <c r="A385" s="6" t="s">
        <v>1786</v>
      </c>
      <c r="B385" s="6" t="s">
        <v>1787</v>
      </c>
      <c r="C385" s="6" t="s">
        <v>88</v>
      </c>
      <c r="D385" s="6" t="s">
        <v>2364</v>
      </c>
      <c r="E385" s="6" t="s">
        <v>2429</v>
      </c>
      <c r="F385" s="6" t="s">
        <v>2430</v>
      </c>
      <c r="G385" s="6" t="s">
        <v>1790</v>
      </c>
      <c r="H385" s="6" t="s">
        <v>2431</v>
      </c>
      <c r="I385" s="6">
        <v>2</v>
      </c>
      <c r="J385" s="6">
        <v>0</v>
      </c>
      <c r="K385" s="6">
        <v>0</v>
      </c>
      <c r="L385" s="6">
        <v>0</v>
      </c>
      <c r="M385" s="6">
        <v>0</v>
      </c>
      <c r="N385" s="6">
        <v>1</v>
      </c>
      <c r="O385" s="6">
        <v>1</v>
      </c>
    </row>
    <row r="386" spans="1:15" hidden="1">
      <c r="A386" s="6" t="s">
        <v>1786</v>
      </c>
      <c r="B386" s="6" t="s">
        <v>1787</v>
      </c>
      <c r="C386" s="6" t="s">
        <v>88</v>
      </c>
      <c r="D386" s="6" t="s">
        <v>2432</v>
      </c>
      <c r="E386" s="6" t="s">
        <v>2433</v>
      </c>
      <c r="F386" s="6" t="s">
        <v>2434</v>
      </c>
      <c r="G386" s="6" t="s">
        <v>1790</v>
      </c>
      <c r="H386" s="6" t="s">
        <v>2434</v>
      </c>
      <c r="I386" s="6">
        <v>2</v>
      </c>
      <c r="J386" s="6">
        <v>1</v>
      </c>
      <c r="K386" s="6">
        <v>0.5</v>
      </c>
      <c r="L386" s="6">
        <v>0.12</v>
      </c>
      <c r="M386" s="6">
        <v>0.12</v>
      </c>
      <c r="N386" s="6">
        <v>1</v>
      </c>
      <c r="O386" s="6">
        <v>1</v>
      </c>
    </row>
    <row r="387" spans="1:15" hidden="1">
      <c r="A387" s="6" t="s">
        <v>1786</v>
      </c>
      <c r="B387" s="6" t="s">
        <v>1787</v>
      </c>
      <c r="C387" s="6" t="s">
        <v>88</v>
      </c>
      <c r="D387" s="6" t="s">
        <v>2432</v>
      </c>
      <c r="E387" s="6" t="s">
        <v>2435</v>
      </c>
      <c r="F387" s="6" t="s">
        <v>2436</v>
      </c>
      <c r="G387" s="6" t="s">
        <v>1790</v>
      </c>
      <c r="H387" s="6" t="s">
        <v>2437</v>
      </c>
      <c r="I387" s="6">
        <v>1</v>
      </c>
      <c r="J387" s="6">
        <v>0</v>
      </c>
      <c r="K387" s="6">
        <v>0</v>
      </c>
      <c r="L387" s="6">
        <v>0</v>
      </c>
      <c r="M387" s="6">
        <v>0</v>
      </c>
      <c r="N387" s="6">
        <v>0</v>
      </c>
      <c r="O387" s="6">
        <v>0</v>
      </c>
    </row>
    <row r="388" spans="1:15" hidden="1">
      <c r="A388" s="6" t="s">
        <v>1786</v>
      </c>
      <c r="B388" s="6" t="s">
        <v>1787</v>
      </c>
      <c r="C388" s="6" t="s">
        <v>88</v>
      </c>
      <c r="D388" s="6" t="s">
        <v>2432</v>
      </c>
      <c r="E388" s="6" t="s">
        <v>2435</v>
      </c>
      <c r="F388" s="6" t="s">
        <v>2438</v>
      </c>
      <c r="G388" s="6" t="s">
        <v>1790</v>
      </c>
      <c r="H388" s="6" t="s">
        <v>2439</v>
      </c>
      <c r="I388" s="6">
        <v>2</v>
      </c>
      <c r="J388" s="6">
        <v>0</v>
      </c>
      <c r="K388" s="6">
        <v>0</v>
      </c>
      <c r="L388" s="6">
        <v>0</v>
      </c>
      <c r="M388" s="6">
        <v>0</v>
      </c>
      <c r="N388" s="6">
        <v>0</v>
      </c>
      <c r="O388" s="6">
        <v>0</v>
      </c>
    </row>
    <row r="389" spans="1:15" hidden="1">
      <c r="A389" s="6" t="s">
        <v>1786</v>
      </c>
      <c r="B389" s="6" t="s">
        <v>1787</v>
      </c>
      <c r="C389" s="6" t="s">
        <v>88</v>
      </c>
      <c r="D389" s="6" t="s">
        <v>2432</v>
      </c>
      <c r="E389" s="6" t="s">
        <v>2435</v>
      </c>
      <c r="F389" s="6" t="s">
        <v>2440</v>
      </c>
      <c r="G389" s="6" t="s">
        <v>1790</v>
      </c>
      <c r="H389" s="6" t="s">
        <v>2441</v>
      </c>
      <c r="I389" s="6">
        <v>1</v>
      </c>
      <c r="J389" s="6">
        <v>0</v>
      </c>
      <c r="K389" s="6">
        <v>0</v>
      </c>
      <c r="L389" s="6">
        <v>0</v>
      </c>
      <c r="M389" s="6">
        <v>0</v>
      </c>
      <c r="N389" s="6">
        <v>0</v>
      </c>
      <c r="O389" s="6">
        <v>0</v>
      </c>
    </row>
    <row r="390" spans="1:15" hidden="1">
      <c r="A390" s="6" t="s">
        <v>1786</v>
      </c>
      <c r="B390" s="6" t="s">
        <v>1787</v>
      </c>
      <c r="C390" s="6" t="s">
        <v>88</v>
      </c>
      <c r="D390" s="6" t="s">
        <v>2432</v>
      </c>
      <c r="E390" s="6" t="s">
        <v>2435</v>
      </c>
      <c r="F390" s="6" t="s">
        <v>2442</v>
      </c>
      <c r="G390" s="6" t="s">
        <v>1790</v>
      </c>
      <c r="H390" s="6" t="s">
        <v>2443</v>
      </c>
      <c r="I390" s="6">
        <v>4</v>
      </c>
      <c r="J390" s="6">
        <v>1</v>
      </c>
      <c r="K390" s="6">
        <v>0.25</v>
      </c>
      <c r="L390" s="6">
        <v>2.29</v>
      </c>
      <c r="M390" s="6">
        <v>2.29</v>
      </c>
      <c r="N390" s="6">
        <v>1</v>
      </c>
      <c r="O390" s="6">
        <v>1</v>
      </c>
    </row>
    <row r="391" spans="1:15" hidden="1">
      <c r="A391" s="6" t="s">
        <v>1786</v>
      </c>
      <c r="B391" s="6" t="s">
        <v>1787</v>
      </c>
      <c r="C391" s="6" t="s">
        <v>88</v>
      </c>
      <c r="D391" s="6" t="s">
        <v>2432</v>
      </c>
      <c r="E391" s="6" t="s">
        <v>2435</v>
      </c>
      <c r="F391" s="6" t="s">
        <v>2444</v>
      </c>
      <c r="G391" s="6" t="s">
        <v>1790</v>
      </c>
      <c r="H391" s="6" t="s">
        <v>2444</v>
      </c>
      <c r="I391" s="6">
        <v>2</v>
      </c>
      <c r="J391" s="6">
        <v>0</v>
      </c>
      <c r="K391" s="6">
        <v>0</v>
      </c>
      <c r="L391" s="6">
        <v>0</v>
      </c>
      <c r="M391" s="6">
        <v>0</v>
      </c>
      <c r="N391" s="6">
        <v>1</v>
      </c>
      <c r="O391" s="6">
        <v>1</v>
      </c>
    </row>
    <row r="392" spans="1:15" hidden="1">
      <c r="A392" s="6" t="s">
        <v>1786</v>
      </c>
      <c r="B392" s="6" t="s">
        <v>1787</v>
      </c>
      <c r="C392" s="6" t="s">
        <v>88</v>
      </c>
      <c r="D392" s="6" t="s">
        <v>2432</v>
      </c>
      <c r="E392" s="6" t="s">
        <v>2435</v>
      </c>
      <c r="F392" s="6" t="s">
        <v>2445</v>
      </c>
      <c r="G392" s="6" t="s">
        <v>1790</v>
      </c>
      <c r="H392" s="6" t="s">
        <v>2446</v>
      </c>
      <c r="I392" s="6">
        <v>1</v>
      </c>
      <c r="J392" s="6">
        <v>0</v>
      </c>
      <c r="K392" s="6">
        <v>0</v>
      </c>
      <c r="L392" s="6">
        <v>0</v>
      </c>
      <c r="M392" s="6">
        <v>0</v>
      </c>
      <c r="N392" s="6">
        <v>0</v>
      </c>
      <c r="O392" s="6">
        <v>0</v>
      </c>
    </row>
    <row r="393" spans="1:15" hidden="1">
      <c r="A393" s="6" t="s">
        <v>1786</v>
      </c>
      <c r="B393" s="6" t="s">
        <v>1787</v>
      </c>
      <c r="C393" s="6" t="s">
        <v>88</v>
      </c>
      <c r="D393" s="6" t="s">
        <v>2432</v>
      </c>
      <c r="E393" s="6" t="s">
        <v>2435</v>
      </c>
      <c r="F393" s="6" t="s">
        <v>2447</v>
      </c>
      <c r="G393" s="6" t="s">
        <v>1790</v>
      </c>
      <c r="H393" s="6" t="s">
        <v>2448</v>
      </c>
      <c r="I393" s="6">
        <v>1</v>
      </c>
      <c r="J393" s="6">
        <v>0</v>
      </c>
      <c r="K393" s="6">
        <v>0</v>
      </c>
      <c r="L393" s="6">
        <v>0</v>
      </c>
      <c r="M393" s="6">
        <v>0</v>
      </c>
      <c r="N393" s="6">
        <v>0</v>
      </c>
      <c r="O393" s="6">
        <v>0</v>
      </c>
    </row>
    <row r="394" spans="1:15" hidden="1">
      <c r="A394" s="6" t="s">
        <v>1786</v>
      </c>
      <c r="B394" s="6" t="s">
        <v>1787</v>
      </c>
      <c r="C394" s="6" t="s">
        <v>88</v>
      </c>
      <c r="D394" s="6" t="s">
        <v>2432</v>
      </c>
      <c r="E394" s="6" t="s">
        <v>2449</v>
      </c>
      <c r="F394" s="6" t="s">
        <v>2450</v>
      </c>
      <c r="G394" s="6" t="s">
        <v>1790</v>
      </c>
      <c r="H394" s="6" t="s">
        <v>2451</v>
      </c>
      <c r="I394" s="6">
        <v>1</v>
      </c>
      <c r="J394" s="6">
        <v>0</v>
      </c>
      <c r="K394" s="6">
        <v>0</v>
      </c>
      <c r="L394" s="6">
        <v>0</v>
      </c>
      <c r="M394" s="6">
        <v>0</v>
      </c>
      <c r="N394" s="6">
        <v>1</v>
      </c>
      <c r="O394" s="6">
        <v>1</v>
      </c>
    </row>
    <row r="395" spans="1:15" hidden="1">
      <c r="A395" s="6" t="s">
        <v>1786</v>
      </c>
      <c r="B395" s="6" t="s">
        <v>1787</v>
      </c>
      <c r="C395" s="6" t="s">
        <v>88</v>
      </c>
      <c r="D395" s="6" t="s">
        <v>2432</v>
      </c>
      <c r="E395" s="6" t="s">
        <v>2449</v>
      </c>
      <c r="F395" s="6" t="s">
        <v>2452</v>
      </c>
      <c r="G395" s="6" t="s">
        <v>1790</v>
      </c>
      <c r="H395" s="6" t="s">
        <v>2453</v>
      </c>
      <c r="I395" s="6">
        <v>1</v>
      </c>
      <c r="J395" s="6">
        <v>0</v>
      </c>
      <c r="K395" s="6">
        <v>0</v>
      </c>
      <c r="L395" s="6">
        <v>0</v>
      </c>
      <c r="M395" s="6">
        <v>0</v>
      </c>
      <c r="N395" s="6">
        <v>1</v>
      </c>
      <c r="O395" s="6">
        <v>1</v>
      </c>
    </row>
    <row r="396" spans="1:15" hidden="1">
      <c r="A396" s="6" t="s">
        <v>1786</v>
      </c>
      <c r="B396" s="6" t="s">
        <v>1787</v>
      </c>
      <c r="C396" s="6" t="s">
        <v>88</v>
      </c>
      <c r="D396" s="6" t="s">
        <v>2432</v>
      </c>
      <c r="E396" s="6" t="s">
        <v>2449</v>
      </c>
      <c r="F396" s="6" t="s">
        <v>2454</v>
      </c>
      <c r="G396" s="6" t="s">
        <v>1790</v>
      </c>
      <c r="H396" s="6" t="s">
        <v>2455</v>
      </c>
      <c r="I396" s="6">
        <v>2</v>
      </c>
      <c r="J396" s="6">
        <v>0</v>
      </c>
      <c r="K396" s="6">
        <v>0</v>
      </c>
      <c r="L396" s="6">
        <v>0</v>
      </c>
      <c r="M396" s="6">
        <v>0</v>
      </c>
      <c r="N396" s="6">
        <v>1</v>
      </c>
      <c r="O396" s="6">
        <v>1</v>
      </c>
    </row>
    <row r="397" spans="1:15" hidden="1">
      <c r="A397" s="6" t="s">
        <v>1786</v>
      </c>
      <c r="B397" s="6" t="s">
        <v>1787</v>
      </c>
      <c r="C397" s="6" t="s">
        <v>88</v>
      </c>
      <c r="D397" s="6" t="s">
        <v>2432</v>
      </c>
      <c r="E397" s="6" t="s">
        <v>2449</v>
      </c>
      <c r="F397" s="6" t="s">
        <v>2456</v>
      </c>
      <c r="G397" s="6" t="s">
        <v>1790</v>
      </c>
      <c r="H397" s="6" t="s">
        <v>2457</v>
      </c>
      <c r="I397" s="6">
        <v>1</v>
      </c>
      <c r="J397" s="6">
        <v>0</v>
      </c>
      <c r="K397" s="6">
        <v>0</v>
      </c>
      <c r="L397" s="6">
        <v>0</v>
      </c>
      <c r="M397" s="6">
        <v>0</v>
      </c>
      <c r="N397" s="6">
        <v>1</v>
      </c>
      <c r="O397" s="6">
        <v>1</v>
      </c>
    </row>
    <row r="398" spans="1:15" hidden="1">
      <c r="A398" s="6" t="s">
        <v>1786</v>
      </c>
      <c r="B398" s="6" t="s">
        <v>1787</v>
      </c>
      <c r="C398" s="6" t="s">
        <v>88</v>
      </c>
      <c r="D398" s="6" t="s">
        <v>2432</v>
      </c>
      <c r="E398" s="6" t="s">
        <v>2358</v>
      </c>
      <c r="F398" s="6" t="s">
        <v>2458</v>
      </c>
      <c r="G398" s="6" t="s">
        <v>1790</v>
      </c>
      <c r="H398" s="6" t="s">
        <v>2459</v>
      </c>
      <c r="I398" s="6">
        <v>2</v>
      </c>
      <c r="J398" s="6">
        <v>0</v>
      </c>
      <c r="K398" s="6">
        <v>0</v>
      </c>
      <c r="L398" s="6">
        <v>0</v>
      </c>
      <c r="M398" s="6">
        <v>0</v>
      </c>
      <c r="N398" s="6">
        <v>1</v>
      </c>
      <c r="O398" s="6">
        <v>1</v>
      </c>
    </row>
    <row r="399" spans="1:15" hidden="1">
      <c r="A399" s="6" t="s">
        <v>1786</v>
      </c>
      <c r="B399" s="6" t="s">
        <v>1787</v>
      </c>
      <c r="C399" s="6" t="s">
        <v>88</v>
      </c>
      <c r="D399" s="6" t="s">
        <v>2432</v>
      </c>
      <c r="E399" s="6" t="s">
        <v>2358</v>
      </c>
      <c r="F399" s="6" t="s">
        <v>2460</v>
      </c>
      <c r="G399" s="6" t="s">
        <v>1790</v>
      </c>
      <c r="H399" s="6" t="s">
        <v>2461</v>
      </c>
      <c r="I399" s="6">
        <v>1</v>
      </c>
      <c r="J399" s="6">
        <v>0</v>
      </c>
      <c r="K399" s="6">
        <v>0</v>
      </c>
      <c r="L399" s="6">
        <v>0</v>
      </c>
      <c r="M399" s="6">
        <v>0</v>
      </c>
      <c r="N399" s="6">
        <v>0</v>
      </c>
      <c r="O399" s="6">
        <v>0</v>
      </c>
    </row>
    <row r="400" spans="1:15" hidden="1">
      <c r="A400" s="6" t="s">
        <v>1786</v>
      </c>
      <c r="B400" s="6" t="s">
        <v>1787</v>
      </c>
      <c r="C400" s="6" t="s">
        <v>88</v>
      </c>
      <c r="D400" s="6" t="s">
        <v>2432</v>
      </c>
      <c r="E400" s="6" t="s">
        <v>2358</v>
      </c>
      <c r="F400" s="6" t="s">
        <v>2462</v>
      </c>
      <c r="G400" s="6" t="s">
        <v>1790</v>
      </c>
      <c r="H400" s="6" t="s">
        <v>2463</v>
      </c>
      <c r="I400" s="6">
        <v>2</v>
      </c>
      <c r="J400" s="6">
        <v>0</v>
      </c>
      <c r="K400" s="6">
        <v>0</v>
      </c>
      <c r="L400" s="6">
        <v>0</v>
      </c>
      <c r="M400" s="6">
        <v>0</v>
      </c>
      <c r="N400" s="6">
        <v>1</v>
      </c>
      <c r="O400" s="6">
        <v>1</v>
      </c>
    </row>
    <row r="401" spans="1:15" hidden="1">
      <c r="A401" s="6" t="s">
        <v>1786</v>
      </c>
      <c r="B401" s="6" t="s">
        <v>1787</v>
      </c>
      <c r="C401" s="6" t="s">
        <v>88</v>
      </c>
      <c r="D401" s="6" t="s">
        <v>2432</v>
      </c>
      <c r="E401" s="6" t="s">
        <v>2358</v>
      </c>
      <c r="F401" s="6" t="s">
        <v>2464</v>
      </c>
      <c r="G401" s="6" t="s">
        <v>1790</v>
      </c>
      <c r="H401" s="6" t="s">
        <v>2465</v>
      </c>
      <c r="I401" s="6">
        <v>1</v>
      </c>
      <c r="J401" s="6">
        <v>0</v>
      </c>
      <c r="K401" s="6">
        <v>0</v>
      </c>
      <c r="L401" s="6">
        <v>0</v>
      </c>
      <c r="M401" s="6">
        <v>0</v>
      </c>
      <c r="N401" s="6">
        <v>0</v>
      </c>
      <c r="O401" s="6">
        <v>0</v>
      </c>
    </row>
    <row r="402" spans="1:15" hidden="1">
      <c r="A402" s="6" t="s">
        <v>1786</v>
      </c>
      <c r="B402" s="6" t="s">
        <v>1787</v>
      </c>
      <c r="C402" s="6" t="s">
        <v>88</v>
      </c>
      <c r="D402" s="6" t="s">
        <v>2432</v>
      </c>
      <c r="E402" s="6" t="s">
        <v>2358</v>
      </c>
      <c r="F402" s="6" t="s">
        <v>2466</v>
      </c>
      <c r="G402" s="6" t="s">
        <v>1790</v>
      </c>
      <c r="H402" s="6" t="s">
        <v>2467</v>
      </c>
      <c r="I402" s="6">
        <v>1</v>
      </c>
      <c r="J402" s="6">
        <v>0</v>
      </c>
      <c r="K402" s="6">
        <v>0</v>
      </c>
      <c r="L402" s="6">
        <v>0</v>
      </c>
      <c r="M402" s="6">
        <v>0</v>
      </c>
      <c r="N402" s="6">
        <v>1</v>
      </c>
      <c r="O402" s="6">
        <v>1</v>
      </c>
    </row>
    <row r="403" spans="1:15" hidden="1">
      <c r="A403" s="6" t="s">
        <v>1786</v>
      </c>
      <c r="B403" s="6" t="s">
        <v>1787</v>
      </c>
      <c r="C403" s="6" t="s">
        <v>88</v>
      </c>
      <c r="D403" s="6" t="s">
        <v>2432</v>
      </c>
      <c r="E403" s="6" t="s">
        <v>2358</v>
      </c>
      <c r="F403" s="6" t="s">
        <v>2466</v>
      </c>
      <c r="G403" s="6" t="s">
        <v>1790</v>
      </c>
      <c r="H403" s="6" t="s">
        <v>2468</v>
      </c>
      <c r="I403" s="6">
        <v>1</v>
      </c>
      <c r="J403" s="6">
        <v>1</v>
      </c>
      <c r="K403" s="6">
        <v>1</v>
      </c>
      <c r="L403" s="6">
        <v>0.23</v>
      </c>
      <c r="M403" s="6">
        <v>0.23</v>
      </c>
      <c r="N403" s="6">
        <v>1</v>
      </c>
      <c r="O403" s="6">
        <v>1</v>
      </c>
    </row>
    <row r="404" spans="1:15" hidden="1">
      <c r="A404" s="6" t="s">
        <v>1786</v>
      </c>
      <c r="B404" s="6" t="s">
        <v>1787</v>
      </c>
      <c r="C404" s="6" t="s">
        <v>88</v>
      </c>
      <c r="D404" s="6" t="s">
        <v>2432</v>
      </c>
      <c r="E404" s="6" t="s">
        <v>2358</v>
      </c>
      <c r="F404" s="6" t="s">
        <v>2466</v>
      </c>
      <c r="G404" s="6" t="s">
        <v>1790</v>
      </c>
      <c r="H404" s="6" t="s">
        <v>2469</v>
      </c>
      <c r="I404" s="6">
        <v>2</v>
      </c>
      <c r="J404" s="6">
        <v>0</v>
      </c>
      <c r="K404" s="6">
        <v>0</v>
      </c>
      <c r="L404" s="6">
        <v>0</v>
      </c>
      <c r="M404" s="6">
        <v>0</v>
      </c>
      <c r="N404" s="6">
        <v>1</v>
      </c>
      <c r="O404" s="6">
        <v>1</v>
      </c>
    </row>
    <row r="405" spans="1:15" hidden="1">
      <c r="A405" s="6" t="s">
        <v>1786</v>
      </c>
      <c r="B405" s="6" t="s">
        <v>1787</v>
      </c>
      <c r="C405" s="6" t="s">
        <v>88</v>
      </c>
      <c r="D405" s="6" t="s">
        <v>2432</v>
      </c>
      <c r="E405" s="6" t="s">
        <v>2358</v>
      </c>
      <c r="F405" s="6" t="s">
        <v>2466</v>
      </c>
      <c r="G405" s="6" t="s">
        <v>1790</v>
      </c>
      <c r="H405" s="6" t="s">
        <v>2470</v>
      </c>
      <c r="I405" s="6">
        <v>1</v>
      </c>
      <c r="J405" s="6">
        <v>0</v>
      </c>
      <c r="K405" s="6">
        <v>0</v>
      </c>
      <c r="L405" s="6">
        <v>0</v>
      </c>
      <c r="M405" s="6">
        <v>0</v>
      </c>
      <c r="N405" s="6">
        <v>1</v>
      </c>
      <c r="O405" s="6">
        <v>1</v>
      </c>
    </row>
    <row r="406" spans="1:15" hidden="1">
      <c r="A406" s="6" t="s">
        <v>1786</v>
      </c>
      <c r="B406" s="6" t="s">
        <v>1787</v>
      </c>
      <c r="C406" s="6" t="s">
        <v>88</v>
      </c>
      <c r="D406" s="6" t="s">
        <v>2432</v>
      </c>
      <c r="E406" s="6" t="s">
        <v>2358</v>
      </c>
      <c r="F406" s="6" t="s">
        <v>2466</v>
      </c>
      <c r="G406" s="6" t="s">
        <v>1790</v>
      </c>
      <c r="H406" s="6" t="s">
        <v>2471</v>
      </c>
      <c r="I406" s="6">
        <v>2</v>
      </c>
      <c r="J406" s="6">
        <v>0</v>
      </c>
      <c r="K406" s="6">
        <v>0</v>
      </c>
      <c r="L406" s="6">
        <v>0</v>
      </c>
      <c r="M406" s="6">
        <v>0</v>
      </c>
      <c r="N406" s="6">
        <v>1</v>
      </c>
      <c r="O406" s="6">
        <v>1</v>
      </c>
    </row>
    <row r="407" spans="1:15" hidden="1">
      <c r="A407" s="6" t="s">
        <v>1786</v>
      </c>
      <c r="B407" s="6" t="s">
        <v>1787</v>
      </c>
      <c r="C407" s="6" t="s">
        <v>88</v>
      </c>
      <c r="D407" s="6" t="s">
        <v>2432</v>
      </c>
      <c r="E407" s="6" t="s">
        <v>2358</v>
      </c>
      <c r="F407" s="6" t="s">
        <v>2466</v>
      </c>
      <c r="G407" s="6" t="s">
        <v>1790</v>
      </c>
      <c r="H407" s="6" t="s">
        <v>2466</v>
      </c>
      <c r="I407" s="6">
        <v>6</v>
      </c>
      <c r="J407" s="6">
        <v>1</v>
      </c>
      <c r="K407" s="6">
        <v>0.16670000000000001</v>
      </c>
      <c r="L407" s="6">
        <v>0.93</v>
      </c>
      <c r="M407" s="6">
        <v>0.93</v>
      </c>
      <c r="N407" s="6">
        <v>1</v>
      </c>
      <c r="O407" s="6">
        <v>0.33329999999999999</v>
      </c>
    </row>
    <row r="408" spans="1:15" hidden="1">
      <c r="A408" s="6" t="s">
        <v>1786</v>
      </c>
      <c r="B408" s="6" t="s">
        <v>1787</v>
      </c>
      <c r="C408" s="6" t="s">
        <v>88</v>
      </c>
      <c r="D408" s="6" t="s">
        <v>2432</v>
      </c>
      <c r="E408" s="6" t="s">
        <v>2358</v>
      </c>
      <c r="F408" s="6" t="s">
        <v>2472</v>
      </c>
      <c r="G408" s="6" t="s">
        <v>1790</v>
      </c>
      <c r="H408" s="6" t="s">
        <v>2473</v>
      </c>
      <c r="I408" s="6">
        <v>1</v>
      </c>
      <c r="J408" s="6">
        <v>0</v>
      </c>
      <c r="K408" s="6">
        <v>0</v>
      </c>
      <c r="L408" s="6">
        <v>0</v>
      </c>
      <c r="M408" s="6">
        <v>0</v>
      </c>
      <c r="N408" s="6">
        <v>1</v>
      </c>
      <c r="O408" s="6">
        <v>1</v>
      </c>
    </row>
    <row r="409" spans="1:15" hidden="1">
      <c r="A409" s="6" t="s">
        <v>1786</v>
      </c>
      <c r="B409" s="6" t="s">
        <v>1787</v>
      </c>
      <c r="C409" s="6" t="s">
        <v>88</v>
      </c>
      <c r="D409" s="6" t="s">
        <v>2432</v>
      </c>
      <c r="E409" s="6" t="s">
        <v>2358</v>
      </c>
      <c r="F409" s="6" t="s">
        <v>2217</v>
      </c>
      <c r="G409" s="6" t="s">
        <v>1790</v>
      </c>
      <c r="H409" s="6" t="s">
        <v>2474</v>
      </c>
      <c r="I409" s="6">
        <v>1</v>
      </c>
      <c r="J409" s="6">
        <v>0</v>
      </c>
      <c r="K409" s="6">
        <v>0</v>
      </c>
      <c r="L409" s="6">
        <v>0</v>
      </c>
      <c r="M409" s="6">
        <v>0</v>
      </c>
      <c r="N409" s="6">
        <v>1</v>
      </c>
      <c r="O409" s="6">
        <v>1</v>
      </c>
    </row>
    <row r="410" spans="1:15" hidden="1">
      <c r="A410" s="6" t="s">
        <v>1786</v>
      </c>
      <c r="B410" s="6" t="s">
        <v>1787</v>
      </c>
      <c r="C410" s="6" t="s">
        <v>88</v>
      </c>
      <c r="D410" s="6" t="s">
        <v>2432</v>
      </c>
      <c r="E410" s="6" t="s">
        <v>2475</v>
      </c>
      <c r="F410" s="6" t="s">
        <v>2476</v>
      </c>
      <c r="G410" s="6" t="s">
        <v>1790</v>
      </c>
      <c r="H410" s="6" t="s">
        <v>2477</v>
      </c>
      <c r="I410" s="6">
        <v>1</v>
      </c>
      <c r="J410" s="6">
        <v>0</v>
      </c>
      <c r="K410" s="6">
        <v>0</v>
      </c>
      <c r="L410" s="6">
        <v>0</v>
      </c>
      <c r="M410" s="6">
        <v>0</v>
      </c>
      <c r="N410" s="6">
        <v>1</v>
      </c>
      <c r="O410" s="6">
        <v>1</v>
      </c>
    </row>
    <row r="411" spans="1:15" hidden="1">
      <c r="A411" s="6" t="s">
        <v>1786</v>
      </c>
      <c r="B411" s="6" t="s">
        <v>1787</v>
      </c>
      <c r="C411" s="6" t="s">
        <v>88</v>
      </c>
      <c r="D411" s="6" t="s">
        <v>2432</v>
      </c>
      <c r="E411" s="6" t="s">
        <v>2475</v>
      </c>
      <c r="F411" s="6" t="s">
        <v>2478</v>
      </c>
      <c r="G411" s="6" t="s">
        <v>1790</v>
      </c>
      <c r="H411" s="6" t="s">
        <v>2479</v>
      </c>
      <c r="I411" s="6">
        <v>2</v>
      </c>
      <c r="J411" s="6">
        <v>0</v>
      </c>
      <c r="K411" s="6">
        <v>0</v>
      </c>
      <c r="L411" s="6">
        <v>0</v>
      </c>
      <c r="M411" s="6">
        <v>0</v>
      </c>
      <c r="N411" s="6">
        <v>0</v>
      </c>
      <c r="O411" s="6">
        <v>0</v>
      </c>
    </row>
    <row r="412" spans="1:15" hidden="1">
      <c r="A412" s="6" t="s">
        <v>1786</v>
      </c>
      <c r="B412" s="6" t="s">
        <v>1787</v>
      </c>
      <c r="C412" s="6" t="s">
        <v>88</v>
      </c>
      <c r="D412" s="6" t="s">
        <v>2432</v>
      </c>
      <c r="E412" s="6" t="s">
        <v>2475</v>
      </c>
      <c r="F412" s="6" t="s">
        <v>2478</v>
      </c>
      <c r="G412" s="6" t="s">
        <v>1790</v>
      </c>
      <c r="H412" s="6" t="s">
        <v>2480</v>
      </c>
      <c r="I412" s="6">
        <v>4</v>
      </c>
      <c r="J412" s="6">
        <v>1</v>
      </c>
      <c r="K412" s="6">
        <v>0.25</v>
      </c>
      <c r="L412" s="6">
        <v>1.66</v>
      </c>
      <c r="M412" s="6">
        <v>1.66</v>
      </c>
      <c r="N412" s="6">
        <v>1</v>
      </c>
      <c r="O412" s="6">
        <v>1</v>
      </c>
    </row>
    <row r="413" spans="1:15" hidden="1">
      <c r="A413" s="6" t="s">
        <v>1786</v>
      </c>
      <c r="B413" s="6" t="s">
        <v>1787</v>
      </c>
      <c r="C413" s="6" t="s">
        <v>88</v>
      </c>
      <c r="D413" s="6" t="s">
        <v>2432</v>
      </c>
      <c r="E413" s="6" t="s">
        <v>2475</v>
      </c>
      <c r="F413" s="6" t="s">
        <v>2478</v>
      </c>
      <c r="G413" s="6" t="s">
        <v>1790</v>
      </c>
      <c r="H413" s="6" t="s">
        <v>2481</v>
      </c>
      <c r="I413" s="6">
        <v>1</v>
      </c>
      <c r="J413" s="6">
        <v>0</v>
      </c>
      <c r="K413" s="6">
        <v>0</v>
      </c>
      <c r="L413" s="6">
        <v>0</v>
      </c>
      <c r="M413" s="6">
        <v>0</v>
      </c>
      <c r="N413" s="6">
        <v>0</v>
      </c>
      <c r="O413" s="6">
        <v>0</v>
      </c>
    </row>
    <row r="414" spans="1:15" hidden="1">
      <c r="A414" s="6" t="s">
        <v>1786</v>
      </c>
      <c r="B414" s="6" t="s">
        <v>1787</v>
      </c>
      <c r="C414" s="6" t="s">
        <v>88</v>
      </c>
      <c r="D414" s="6" t="s">
        <v>2432</v>
      </c>
      <c r="E414" s="6" t="s">
        <v>2475</v>
      </c>
      <c r="F414" s="6" t="s">
        <v>2478</v>
      </c>
      <c r="G414" s="6" t="s">
        <v>1790</v>
      </c>
      <c r="H414" s="6" t="s">
        <v>2478</v>
      </c>
      <c r="I414" s="6">
        <v>2</v>
      </c>
      <c r="J414" s="6">
        <v>0</v>
      </c>
      <c r="K414" s="6">
        <v>0</v>
      </c>
      <c r="L414" s="6">
        <v>0</v>
      </c>
      <c r="M414" s="6">
        <v>0</v>
      </c>
      <c r="N414" s="6">
        <v>0</v>
      </c>
      <c r="O414" s="6">
        <v>0</v>
      </c>
    </row>
    <row r="415" spans="1:15" hidden="1">
      <c r="A415" s="6" t="s">
        <v>1786</v>
      </c>
      <c r="B415" s="6" t="s">
        <v>1787</v>
      </c>
      <c r="C415" s="6" t="s">
        <v>88</v>
      </c>
      <c r="D415" s="6" t="s">
        <v>2432</v>
      </c>
      <c r="E415" s="6" t="s">
        <v>2475</v>
      </c>
      <c r="F415" s="6" t="s">
        <v>2482</v>
      </c>
      <c r="G415" s="6" t="s">
        <v>1790</v>
      </c>
      <c r="H415" s="6" t="s">
        <v>2483</v>
      </c>
      <c r="I415" s="6">
        <v>1</v>
      </c>
      <c r="J415" s="6">
        <v>1</v>
      </c>
      <c r="K415" s="6">
        <v>1</v>
      </c>
      <c r="L415" s="6">
        <v>0.1</v>
      </c>
      <c r="M415" s="6">
        <v>0.1</v>
      </c>
      <c r="N415" s="6">
        <v>1</v>
      </c>
      <c r="O415" s="6">
        <v>1</v>
      </c>
    </row>
    <row r="416" spans="1:15" hidden="1">
      <c r="A416" s="6" t="s">
        <v>1786</v>
      </c>
      <c r="B416" s="6" t="s">
        <v>1787</v>
      </c>
      <c r="C416" s="6" t="s">
        <v>88</v>
      </c>
      <c r="D416" s="6" t="s">
        <v>2432</v>
      </c>
      <c r="E416" s="6" t="s">
        <v>2484</v>
      </c>
      <c r="F416" s="6" t="s">
        <v>2485</v>
      </c>
      <c r="G416" s="6" t="s">
        <v>1790</v>
      </c>
      <c r="H416" s="6" t="s">
        <v>2486</v>
      </c>
      <c r="I416" s="6">
        <v>1</v>
      </c>
      <c r="J416" s="6">
        <v>0</v>
      </c>
      <c r="K416" s="6">
        <v>0</v>
      </c>
      <c r="L416" s="6">
        <v>0</v>
      </c>
      <c r="M416" s="6">
        <v>0</v>
      </c>
      <c r="N416" s="6">
        <v>1</v>
      </c>
      <c r="O416" s="6">
        <v>1</v>
      </c>
    </row>
    <row r="417" spans="1:15" hidden="1">
      <c r="A417" s="6" t="s">
        <v>1786</v>
      </c>
      <c r="B417" s="6" t="s">
        <v>1787</v>
      </c>
      <c r="C417" s="6" t="s">
        <v>88</v>
      </c>
      <c r="D417" s="6" t="s">
        <v>2432</v>
      </c>
      <c r="E417" s="6" t="s">
        <v>2484</v>
      </c>
      <c r="F417" s="6" t="s">
        <v>2487</v>
      </c>
      <c r="G417" s="6" t="s">
        <v>1790</v>
      </c>
      <c r="H417" s="6" t="s">
        <v>2488</v>
      </c>
      <c r="I417" s="6">
        <v>1</v>
      </c>
      <c r="J417" s="6">
        <v>0</v>
      </c>
      <c r="K417" s="6">
        <v>0</v>
      </c>
      <c r="L417" s="6">
        <v>0</v>
      </c>
      <c r="M417" s="6">
        <v>0</v>
      </c>
      <c r="N417" s="6">
        <v>1</v>
      </c>
      <c r="O417" s="6">
        <v>1</v>
      </c>
    </row>
    <row r="418" spans="1:15" hidden="1">
      <c r="A418" s="6" t="s">
        <v>1786</v>
      </c>
      <c r="B418" s="6" t="s">
        <v>1787</v>
      </c>
      <c r="C418" s="6" t="s">
        <v>88</v>
      </c>
      <c r="D418" s="6" t="s">
        <v>2432</v>
      </c>
      <c r="E418" s="6" t="s">
        <v>2484</v>
      </c>
      <c r="F418" s="6" t="s">
        <v>2489</v>
      </c>
      <c r="G418" s="6" t="s">
        <v>1790</v>
      </c>
      <c r="H418" s="6" t="s">
        <v>2490</v>
      </c>
      <c r="I418" s="6">
        <v>2</v>
      </c>
      <c r="J418" s="6">
        <v>0</v>
      </c>
      <c r="K418" s="6">
        <v>0</v>
      </c>
      <c r="L418" s="6">
        <v>0</v>
      </c>
      <c r="M418" s="6">
        <v>0</v>
      </c>
      <c r="N418" s="6">
        <v>1</v>
      </c>
      <c r="O418" s="6">
        <v>1</v>
      </c>
    </row>
    <row r="419" spans="1:15" hidden="1">
      <c r="A419" s="6" t="s">
        <v>1786</v>
      </c>
      <c r="B419" s="6" t="s">
        <v>1787</v>
      </c>
      <c r="C419" s="6" t="s">
        <v>88</v>
      </c>
      <c r="D419" s="6" t="s">
        <v>2432</v>
      </c>
      <c r="E419" s="6" t="s">
        <v>2484</v>
      </c>
      <c r="F419" s="6" t="s">
        <v>2491</v>
      </c>
      <c r="G419" s="6" t="s">
        <v>1790</v>
      </c>
      <c r="H419" s="6" t="s">
        <v>2492</v>
      </c>
      <c r="I419" s="6">
        <v>1</v>
      </c>
      <c r="J419" s="6">
        <v>0</v>
      </c>
      <c r="K419" s="6">
        <v>0</v>
      </c>
      <c r="L419" s="6">
        <v>0</v>
      </c>
      <c r="M419" s="6">
        <v>0</v>
      </c>
      <c r="N419" s="6">
        <v>0</v>
      </c>
      <c r="O419" s="6">
        <v>0</v>
      </c>
    </row>
    <row r="420" spans="1:15" hidden="1">
      <c r="A420" s="6" t="s">
        <v>1786</v>
      </c>
      <c r="B420" s="6" t="s">
        <v>1787</v>
      </c>
      <c r="C420" s="6" t="s">
        <v>88</v>
      </c>
      <c r="D420" s="6" t="s">
        <v>2432</v>
      </c>
      <c r="E420" s="6" t="s">
        <v>2493</v>
      </c>
      <c r="F420" s="6" t="s">
        <v>2494</v>
      </c>
      <c r="G420" s="6" t="s">
        <v>1790</v>
      </c>
      <c r="H420" s="6" t="s">
        <v>2495</v>
      </c>
      <c r="I420" s="6">
        <v>1</v>
      </c>
      <c r="J420" s="6">
        <v>0</v>
      </c>
      <c r="K420" s="6">
        <v>0</v>
      </c>
      <c r="L420" s="6">
        <v>0</v>
      </c>
      <c r="M420" s="6">
        <v>0</v>
      </c>
      <c r="N420" s="6">
        <v>0</v>
      </c>
      <c r="O420" s="6">
        <v>0</v>
      </c>
    </row>
    <row r="421" spans="1:15" hidden="1">
      <c r="A421" s="6" t="s">
        <v>1786</v>
      </c>
      <c r="B421" s="6" t="s">
        <v>1787</v>
      </c>
      <c r="C421" s="6" t="s">
        <v>88</v>
      </c>
      <c r="D421" s="6" t="s">
        <v>2432</v>
      </c>
      <c r="E421" s="6" t="s">
        <v>2493</v>
      </c>
      <c r="F421" s="6" t="s">
        <v>2220</v>
      </c>
      <c r="G421" s="6" t="s">
        <v>1790</v>
      </c>
      <c r="H421" s="6" t="s">
        <v>2496</v>
      </c>
      <c r="I421" s="6">
        <v>1</v>
      </c>
      <c r="J421" s="6">
        <v>0</v>
      </c>
      <c r="K421" s="6">
        <v>0</v>
      </c>
      <c r="L421" s="6">
        <v>0</v>
      </c>
      <c r="M421" s="6">
        <v>0</v>
      </c>
      <c r="N421" s="6">
        <v>1</v>
      </c>
      <c r="O421" s="6">
        <v>1</v>
      </c>
    </row>
    <row r="422" spans="1:15" hidden="1">
      <c r="A422" s="6" t="s">
        <v>1786</v>
      </c>
      <c r="B422" s="6" t="s">
        <v>1787</v>
      </c>
      <c r="C422" s="6" t="s">
        <v>88</v>
      </c>
      <c r="D422" s="6" t="s">
        <v>2497</v>
      </c>
      <c r="E422" s="6" t="s">
        <v>2233</v>
      </c>
      <c r="F422" s="6" t="s">
        <v>2498</v>
      </c>
      <c r="G422" s="6" t="s">
        <v>1790</v>
      </c>
      <c r="H422" s="6" t="s">
        <v>2498</v>
      </c>
      <c r="I422" s="6">
        <v>1</v>
      </c>
      <c r="J422" s="6">
        <v>0</v>
      </c>
      <c r="K422" s="6">
        <v>0</v>
      </c>
      <c r="L422" s="6">
        <v>0</v>
      </c>
      <c r="M422" s="6">
        <v>0</v>
      </c>
      <c r="N422" s="6">
        <v>1</v>
      </c>
      <c r="O422" s="6">
        <v>0</v>
      </c>
    </row>
    <row r="423" spans="1:15" hidden="1">
      <c r="A423" s="6" t="s">
        <v>1786</v>
      </c>
      <c r="B423" s="6" t="s">
        <v>1787</v>
      </c>
      <c r="C423" s="6" t="s">
        <v>88</v>
      </c>
      <c r="D423" s="6" t="s">
        <v>2497</v>
      </c>
      <c r="E423" s="6" t="s">
        <v>2233</v>
      </c>
      <c r="F423" s="6" t="s">
        <v>2499</v>
      </c>
      <c r="G423" s="6" t="s">
        <v>1790</v>
      </c>
      <c r="H423" s="6" t="s">
        <v>2500</v>
      </c>
      <c r="I423" s="6">
        <v>1</v>
      </c>
      <c r="J423" s="6">
        <v>0</v>
      </c>
      <c r="K423" s="6">
        <v>0</v>
      </c>
      <c r="L423" s="6">
        <v>0</v>
      </c>
      <c r="M423" s="6">
        <v>0</v>
      </c>
      <c r="N423" s="6">
        <v>1</v>
      </c>
      <c r="O423" s="6">
        <v>1</v>
      </c>
    </row>
    <row r="424" spans="1:15" hidden="1">
      <c r="A424" s="6" t="s">
        <v>1786</v>
      </c>
      <c r="B424" s="6" t="s">
        <v>1787</v>
      </c>
      <c r="C424" s="6" t="s">
        <v>88</v>
      </c>
      <c r="D424" s="6" t="s">
        <v>2501</v>
      </c>
      <c r="E424" s="6" t="s">
        <v>2502</v>
      </c>
      <c r="F424" s="6" t="s">
        <v>2503</v>
      </c>
      <c r="G424" s="6" t="s">
        <v>1790</v>
      </c>
      <c r="H424" s="6" t="s">
        <v>2504</v>
      </c>
      <c r="I424" s="6">
        <v>1</v>
      </c>
      <c r="J424" s="6">
        <v>0</v>
      </c>
      <c r="K424" s="6">
        <v>0</v>
      </c>
      <c r="L424" s="6">
        <v>0</v>
      </c>
      <c r="M424" s="6">
        <v>0</v>
      </c>
      <c r="N424" s="6">
        <v>0</v>
      </c>
      <c r="O424" s="6">
        <v>0</v>
      </c>
    </row>
    <row r="425" spans="1:15" hidden="1">
      <c r="A425" s="6" t="s">
        <v>1786</v>
      </c>
      <c r="B425" s="6" t="s">
        <v>1787</v>
      </c>
      <c r="C425" s="6" t="s">
        <v>88</v>
      </c>
      <c r="D425" s="6" t="s">
        <v>2501</v>
      </c>
      <c r="E425" s="6" t="s">
        <v>2502</v>
      </c>
      <c r="F425" s="6" t="s">
        <v>2503</v>
      </c>
      <c r="G425" s="6" t="s">
        <v>1790</v>
      </c>
      <c r="H425" s="6" t="s">
        <v>2505</v>
      </c>
      <c r="I425" s="6">
        <v>2</v>
      </c>
      <c r="J425" s="6">
        <v>0</v>
      </c>
      <c r="K425" s="6">
        <v>0</v>
      </c>
      <c r="L425" s="6">
        <v>0</v>
      </c>
      <c r="M425" s="6">
        <v>0</v>
      </c>
      <c r="N425" s="6">
        <v>1</v>
      </c>
      <c r="O425" s="6">
        <v>1</v>
      </c>
    </row>
    <row r="426" spans="1:15" hidden="1">
      <c r="A426" s="6" t="s">
        <v>1786</v>
      </c>
      <c r="B426" s="6" t="s">
        <v>1787</v>
      </c>
      <c r="C426" s="6" t="s">
        <v>88</v>
      </c>
      <c r="D426" s="6" t="s">
        <v>2501</v>
      </c>
      <c r="E426" s="6" t="s">
        <v>2502</v>
      </c>
      <c r="F426" s="6" t="s">
        <v>2503</v>
      </c>
      <c r="G426" s="6" t="s">
        <v>1790</v>
      </c>
      <c r="H426" s="6" t="s">
        <v>2503</v>
      </c>
      <c r="I426" s="6">
        <v>2</v>
      </c>
      <c r="J426" s="6">
        <v>1</v>
      </c>
      <c r="K426" s="6">
        <v>0.5</v>
      </c>
      <c r="L426" s="6">
        <v>1.23</v>
      </c>
      <c r="M426" s="6">
        <v>1.23</v>
      </c>
      <c r="N426" s="6">
        <v>1</v>
      </c>
      <c r="O426" s="6">
        <v>1</v>
      </c>
    </row>
    <row r="427" spans="1:15" hidden="1">
      <c r="A427" s="6" t="s">
        <v>1786</v>
      </c>
      <c r="B427" s="6" t="s">
        <v>1787</v>
      </c>
      <c r="C427" s="6" t="s">
        <v>88</v>
      </c>
      <c r="D427" s="6" t="s">
        <v>2501</v>
      </c>
      <c r="E427" s="6" t="s">
        <v>2502</v>
      </c>
      <c r="F427" s="6" t="s">
        <v>2506</v>
      </c>
      <c r="G427" s="6" t="s">
        <v>1790</v>
      </c>
      <c r="H427" s="6" t="s">
        <v>2507</v>
      </c>
      <c r="I427" s="6">
        <v>1</v>
      </c>
      <c r="J427" s="6">
        <v>1</v>
      </c>
      <c r="K427" s="6">
        <v>1</v>
      </c>
      <c r="L427" s="6">
        <v>0.12</v>
      </c>
      <c r="M427" s="6">
        <v>0.12</v>
      </c>
      <c r="N427" s="6">
        <v>1</v>
      </c>
      <c r="O427" s="6">
        <v>1</v>
      </c>
    </row>
    <row r="428" spans="1:15" hidden="1">
      <c r="A428" s="6" t="s">
        <v>1786</v>
      </c>
      <c r="B428" s="6" t="s">
        <v>1787</v>
      </c>
      <c r="C428" s="6" t="s">
        <v>88</v>
      </c>
      <c r="D428" s="6" t="s">
        <v>2501</v>
      </c>
      <c r="E428" s="6" t="s">
        <v>2508</v>
      </c>
      <c r="F428" s="6" t="s">
        <v>2509</v>
      </c>
      <c r="G428" s="6" t="s">
        <v>1790</v>
      </c>
      <c r="H428" s="6" t="s">
        <v>2510</v>
      </c>
      <c r="I428" s="6">
        <v>1</v>
      </c>
      <c r="J428" s="6">
        <v>0</v>
      </c>
      <c r="K428" s="6">
        <v>0</v>
      </c>
      <c r="L428" s="6">
        <v>0</v>
      </c>
      <c r="M428" s="6">
        <v>0</v>
      </c>
      <c r="N428" s="6">
        <v>1</v>
      </c>
      <c r="O428" s="6">
        <v>1</v>
      </c>
    </row>
    <row r="429" spans="1:15" hidden="1">
      <c r="A429" s="6" t="s">
        <v>1786</v>
      </c>
      <c r="B429" s="6" t="s">
        <v>1787</v>
      </c>
      <c r="C429" s="6" t="s">
        <v>88</v>
      </c>
      <c r="D429" s="6" t="s">
        <v>2501</v>
      </c>
      <c r="E429" s="6" t="s">
        <v>2508</v>
      </c>
      <c r="F429" s="6" t="s">
        <v>2509</v>
      </c>
      <c r="G429" s="6" t="s">
        <v>1790</v>
      </c>
      <c r="H429" s="6" t="s">
        <v>2511</v>
      </c>
      <c r="I429" s="6">
        <v>1</v>
      </c>
      <c r="J429" s="6">
        <v>0</v>
      </c>
      <c r="K429" s="6">
        <v>0</v>
      </c>
      <c r="L429" s="6">
        <v>0</v>
      </c>
      <c r="M429" s="6">
        <v>0</v>
      </c>
      <c r="N429" s="6">
        <v>1</v>
      </c>
      <c r="O429" s="6">
        <v>1</v>
      </c>
    </row>
    <row r="430" spans="1:15" hidden="1">
      <c r="A430" s="6" t="s">
        <v>1786</v>
      </c>
      <c r="B430" s="6" t="s">
        <v>1787</v>
      </c>
      <c r="C430" s="6" t="s">
        <v>88</v>
      </c>
      <c r="D430" s="6" t="s">
        <v>2501</v>
      </c>
      <c r="E430" s="6" t="s">
        <v>2508</v>
      </c>
      <c r="F430" s="6" t="s">
        <v>2509</v>
      </c>
      <c r="G430" s="6" t="s">
        <v>1790</v>
      </c>
      <c r="H430" s="6" t="s">
        <v>2512</v>
      </c>
      <c r="I430" s="6">
        <v>4</v>
      </c>
      <c r="J430" s="6">
        <v>1</v>
      </c>
      <c r="K430" s="6">
        <v>0.25</v>
      </c>
      <c r="L430" s="6">
        <v>0.54</v>
      </c>
      <c r="M430" s="6">
        <v>0.54</v>
      </c>
      <c r="N430" s="6">
        <v>1</v>
      </c>
      <c r="O430" s="6">
        <v>1</v>
      </c>
    </row>
    <row r="431" spans="1:15" hidden="1">
      <c r="A431" s="6" t="s">
        <v>1786</v>
      </c>
      <c r="B431" s="6" t="s">
        <v>1787</v>
      </c>
      <c r="C431" s="6" t="s">
        <v>88</v>
      </c>
      <c r="D431" s="6" t="s">
        <v>2501</v>
      </c>
      <c r="E431" s="6" t="s">
        <v>2508</v>
      </c>
      <c r="F431" s="6" t="s">
        <v>2509</v>
      </c>
      <c r="G431" s="6" t="s">
        <v>1790</v>
      </c>
      <c r="H431" s="6" t="s">
        <v>2513</v>
      </c>
      <c r="I431" s="6">
        <v>5</v>
      </c>
      <c r="J431" s="6">
        <v>2</v>
      </c>
      <c r="K431" s="6">
        <v>0.4</v>
      </c>
      <c r="L431" s="6">
        <v>2.73</v>
      </c>
      <c r="M431" s="6">
        <v>5.47</v>
      </c>
      <c r="N431" s="6">
        <v>0.25</v>
      </c>
      <c r="O431" s="6">
        <v>0.25</v>
      </c>
    </row>
    <row r="432" spans="1:15" hidden="1">
      <c r="A432" s="6" t="s">
        <v>1786</v>
      </c>
      <c r="B432" s="6" t="s">
        <v>1787</v>
      </c>
      <c r="C432" s="6" t="s">
        <v>88</v>
      </c>
      <c r="D432" s="6" t="s">
        <v>2501</v>
      </c>
      <c r="E432" s="6" t="s">
        <v>2508</v>
      </c>
      <c r="F432" s="6" t="s">
        <v>2514</v>
      </c>
      <c r="G432" s="6" t="s">
        <v>1790</v>
      </c>
      <c r="H432" s="6" t="s">
        <v>2514</v>
      </c>
      <c r="I432" s="6">
        <v>2</v>
      </c>
      <c r="J432" s="6">
        <v>0</v>
      </c>
      <c r="K432" s="6">
        <v>0</v>
      </c>
      <c r="L432" s="6">
        <v>0</v>
      </c>
      <c r="M432" s="6">
        <v>0</v>
      </c>
      <c r="N432" s="6">
        <v>1</v>
      </c>
      <c r="O432" s="6">
        <v>0</v>
      </c>
    </row>
    <row r="433" spans="1:15" hidden="1">
      <c r="A433" s="6" t="s">
        <v>1786</v>
      </c>
      <c r="B433" s="6" t="s">
        <v>1787</v>
      </c>
      <c r="C433" s="6" t="s">
        <v>88</v>
      </c>
      <c r="D433" s="6" t="s">
        <v>2501</v>
      </c>
      <c r="E433" s="6" t="s">
        <v>2508</v>
      </c>
      <c r="F433" s="6" t="s">
        <v>2515</v>
      </c>
      <c r="G433" s="6" t="s">
        <v>1790</v>
      </c>
      <c r="H433" s="6" t="s">
        <v>2516</v>
      </c>
      <c r="I433" s="6">
        <v>1</v>
      </c>
      <c r="J433" s="6">
        <v>0</v>
      </c>
      <c r="K433" s="6">
        <v>0</v>
      </c>
      <c r="L433" s="6">
        <v>0</v>
      </c>
      <c r="M433" s="6">
        <v>0</v>
      </c>
      <c r="N433" s="6">
        <v>1</v>
      </c>
      <c r="O433" s="6">
        <v>1</v>
      </c>
    </row>
    <row r="434" spans="1:15" hidden="1">
      <c r="A434" s="6" t="s">
        <v>1786</v>
      </c>
      <c r="B434" s="6" t="s">
        <v>1787</v>
      </c>
      <c r="C434" s="6" t="s">
        <v>88</v>
      </c>
      <c r="D434" s="6" t="s">
        <v>2501</v>
      </c>
      <c r="E434" s="6" t="s">
        <v>2508</v>
      </c>
      <c r="F434" s="6" t="s">
        <v>2517</v>
      </c>
      <c r="G434" s="6" t="s">
        <v>1790</v>
      </c>
      <c r="H434" s="6" t="s">
        <v>2518</v>
      </c>
      <c r="I434" s="6">
        <v>16</v>
      </c>
      <c r="J434" s="6">
        <v>0</v>
      </c>
      <c r="K434" s="6">
        <v>0</v>
      </c>
      <c r="L434" s="6">
        <v>0</v>
      </c>
      <c r="M434" s="6">
        <v>0</v>
      </c>
      <c r="N434" s="6">
        <v>0.6</v>
      </c>
      <c r="O434" s="6">
        <v>0.6</v>
      </c>
    </row>
    <row r="435" spans="1:15" hidden="1">
      <c r="A435" s="6" t="s">
        <v>1786</v>
      </c>
      <c r="B435" s="6" t="s">
        <v>1787</v>
      </c>
      <c r="C435" s="6" t="s">
        <v>88</v>
      </c>
      <c r="D435" s="6" t="s">
        <v>2501</v>
      </c>
      <c r="E435" s="6" t="s">
        <v>2508</v>
      </c>
      <c r="F435" s="6" t="s">
        <v>2517</v>
      </c>
      <c r="G435" s="6" t="s">
        <v>1790</v>
      </c>
      <c r="H435" s="6" t="s">
        <v>2519</v>
      </c>
      <c r="I435" s="6">
        <v>18</v>
      </c>
      <c r="J435" s="6">
        <v>2</v>
      </c>
      <c r="K435" s="6">
        <v>0.11109999999999999</v>
      </c>
      <c r="L435" s="6">
        <v>2.21</v>
      </c>
      <c r="M435" s="6">
        <v>4.43</v>
      </c>
      <c r="N435" s="6">
        <v>1</v>
      </c>
      <c r="O435" s="6">
        <v>1</v>
      </c>
    </row>
    <row r="436" spans="1:15" hidden="1">
      <c r="A436" s="6" t="s">
        <v>1786</v>
      </c>
      <c r="B436" s="6" t="s">
        <v>1787</v>
      </c>
      <c r="C436" s="6" t="s">
        <v>88</v>
      </c>
      <c r="D436" s="6" t="s">
        <v>2501</v>
      </c>
      <c r="E436" s="6" t="s">
        <v>2508</v>
      </c>
      <c r="F436" s="6" t="s">
        <v>2517</v>
      </c>
      <c r="G436" s="6" t="s">
        <v>1790</v>
      </c>
      <c r="H436" s="6" t="s">
        <v>2520</v>
      </c>
      <c r="I436" s="6">
        <v>6</v>
      </c>
      <c r="J436" s="6">
        <v>0</v>
      </c>
      <c r="K436" s="6">
        <v>0</v>
      </c>
      <c r="L436" s="6">
        <v>0</v>
      </c>
      <c r="M436" s="6">
        <v>0</v>
      </c>
      <c r="N436" s="6">
        <v>0</v>
      </c>
      <c r="O436" s="6">
        <v>0</v>
      </c>
    </row>
    <row r="437" spans="1:15" hidden="1">
      <c r="A437" s="6" t="s">
        <v>1786</v>
      </c>
      <c r="B437" s="6" t="s">
        <v>1787</v>
      </c>
      <c r="C437" s="6" t="s">
        <v>88</v>
      </c>
      <c r="D437" s="6" t="s">
        <v>2501</v>
      </c>
      <c r="E437" s="6" t="s">
        <v>2508</v>
      </c>
      <c r="F437" s="6" t="s">
        <v>2521</v>
      </c>
      <c r="G437" s="6" t="s">
        <v>1790</v>
      </c>
      <c r="H437" s="6" t="s">
        <v>2522</v>
      </c>
      <c r="I437" s="6">
        <v>1</v>
      </c>
      <c r="J437" s="6">
        <v>0</v>
      </c>
      <c r="K437" s="6">
        <v>0</v>
      </c>
      <c r="L437" s="6">
        <v>0</v>
      </c>
      <c r="M437" s="6">
        <v>0</v>
      </c>
      <c r="N437" s="6">
        <v>1</v>
      </c>
      <c r="O437" s="6">
        <v>1</v>
      </c>
    </row>
    <row r="438" spans="1:15" hidden="1">
      <c r="A438" s="6" t="s">
        <v>1786</v>
      </c>
      <c r="B438" s="6" t="s">
        <v>1787</v>
      </c>
      <c r="C438" s="6" t="s">
        <v>88</v>
      </c>
      <c r="D438" s="6" t="s">
        <v>2501</v>
      </c>
      <c r="E438" s="6" t="s">
        <v>2508</v>
      </c>
      <c r="F438" s="6" t="s">
        <v>2523</v>
      </c>
      <c r="G438" s="6" t="s">
        <v>1790</v>
      </c>
      <c r="H438" s="6" t="s">
        <v>2523</v>
      </c>
      <c r="I438" s="6">
        <v>2</v>
      </c>
      <c r="J438" s="6">
        <v>0</v>
      </c>
      <c r="K438" s="6">
        <v>0</v>
      </c>
      <c r="L438" s="6">
        <v>0</v>
      </c>
      <c r="M438" s="6">
        <v>0</v>
      </c>
      <c r="N438" s="6">
        <v>1</v>
      </c>
      <c r="O438" s="6">
        <v>1</v>
      </c>
    </row>
    <row r="439" spans="1:15" hidden="1">
      <c r="A439" s="6" t="s">
        <v>1786</v>
      </c>
      <c r="B439" s="6" t="s">
        <v>1787</v>
      </c>
      <c r="C439" s="6" t="s">
        <v>88</v>
      </c>
      <c r="D439" s="6" t="s">
        <v>2501</v>
      </c>
      <c r="E439" s="6" t="s">
        <v>2508</v>
      </c>
      <c r="F439" s="6" t="s">
        <v>2524</v>
      </c>
      <c r="G439" s="6" t="s">
        <v>1790</v>
      </c>
      <c r="H439" s="6" t="s">
        <v>2525</v>
      </c>
      <c r="I439" s="6">
        <v>1</v>
      </c>
      <c r="J439" s="6">
        <v>0</v>
      </c>
      <c r="K439" s="6">
        <v>0</v>
      </c>
      <c r="L439" s="6">
        <v>0</v>
      </c>
      <c r="M439" s="6">
        <v>0</v>
      </c>
      <c r="N439" s="6">
        <v>0</v>
      </c>
      <c r="O439" s="6">
        <v>0</v>
      </c>
    </row>
    <row r="440" spans="1:15" hidden="1">
      <c r="A440" s="6" t="s">
        <v>1786</v>
      </c>
      <c r="B440" s="6" t="s">
        <v>1787</v>
      </c>
      <c r="C440" s="6" t="s">
        <v>88</v>
      </c>
      <c r="D440" s="6" t="s">
        <v>2501</v>
      </c>
      <c r="E440" s="6" t="s">
        <v>2508</v>
      </c>
      <c r="F440" s="6" t="s">
        <v>2526</v>
      </c>
      <c r="G440" s="6" t="s">
        <v>1790</v>
      </c>
      <c r="H440" s="6" t="s">
        <v>2527</v>
      </c>
      <c r="I440" s="6">
        <v>1</v>
      </c>
      <c r="J440" s="6">
        <v>0</v>
      </c>
      <c r="K440" s="6">
        <v>0</v>
      </c>
      <c r="L440" s="6">
        <v>0</v>
      </c>
      <c r="M440" s="6">
        <v>0</v>
      </c>
      <c r="N440" s="6">
        <v>0</v>
      </c>
      <c r="O440" s="6">
        <v>0</v>
      </c>
    </row>
    <row r="441" spans="1:15" hidden="1">
      <c r="A441" s="6" t="s">
        <v>1786</v>
      </c>
      <c r="B441" s="6" t="s">
        <v>1787</v>
      </c>
      <c r="C441" s="6" t="s">
        <v>88</v>
      </c>
      <c r="D441" s="6" t="s">
        <v>2501</v>
      </c>
      <c r="E441" s="6" t="s">
        <v>2528</v>
      </c>
      <c r="F441" s="6" t="s">
        <v>2529</v>
      </c>
      <c r="G441" s="6" t="s">
        <v>1790</v>
      </c>
      <c r="H441" s="6" t="s">
        <v>2530</v>
      </c>
      <c r="I441" s="6">
        <v>1</v>
      </c>
      <c r="J441" s="6">
        <v>0</v>
      </c>
      <c r="K441" s="6">
        <v>0</v>
      </c>
      <c r="L441" s="6">
        <v>0</v>
      </c>
      <c r="M441" s="6">
        <v>0</v>
      </c>
      <c r="N441" s="6">
        <v>1</v>
      </c>
      <c r="O441" s="6">
        <v>1</v>
      </c>
    </row>
    <row r="442" spans="1:15" hidden="1">
      <c r="A442" s="6" t="s">
        <v>1786</v>
      </c>
      <c r="B442" s="6" t="s">
        <v>1787</v>
      </c>
      <c r="C442" s="6" t="s">
        <v>88</v>
      </c>
      <c r="D442" s="6" t="s">
        <v>2501</v>
      </c>
      <c r="E442" s="6" t="s">
        <v>2531</v>
      </c>
      <c r="F442" s="6" t="s">
        <v>2532</v>
      </c>
      <c r="G442" s="6" t="s">
        <v>1790</v>
      </c>
      <c r="H442" s="6" t="s">
        <v>2533</v>
      </c>
      <c r="I442" s="6">
        <v>1</v>
      </c>
      <c r="J442" s="6">
        <v>0</v>
      </c>
      <c r="K442" s="6">
        <v>0</v>
      </c>
      <c r="L442" s="6">
        <v>0</v>
      </c>
      <c r="M442" s="6">
        <v>0</v>
      </c>
      <c r="N442" s="6">
        <v>1</v>
      </c>
      <c r="O442" s="6">
        <v>0</v>
      </c>
    </row>
    <row r="443" spans="1:15" hidden="1">
      <c r="A443" s="6" t="s">
        <v>1786</v>
      </c>
      <c r="B443" s="6" t="s">
        <v>1787</v>
      </c>
      <c r="C443" s="6" t="s">
        <v>88</v>
      </c>
      <c r="D443" s="6" t="s">
        <v>2501</v>
      </c>
      <c r="E443" s="6" t="s">
        <v>2531</v>
      </c>
      <c r="F443" s="6" t="s">
        <v>2532</v>
      </c>
      <c r="G443" s="6" t="s">
        <v>1790</v>
      </c>
      <c r="H443" s="6" t="s">
        <v>2534</v>
      </c>
      <c r="I443" s="6">
        <v>1</v>
      </c>
      <c r="J443" s="6">
        <v>0</v>
      </c>
      <c r="K443" s="6">
        <v>0</v>
      </c>
      <c r="L443" s="6">
        <v>0</v>
      </c>
      <c r="M443" s="6">
        <v>0</v>
      </c>
      <c r="N443" s="6">
        <v>1</v>
      </c>
      <c r="O443" s="6">
        <v>1</v>
      </c>
    </row>
    <row r="444" spans="1:15" hidden="1">
      <c r="A444" s="6" t="s">
        <v>1786</v>
      </c>
      <c r="B444" s="6" t="s">
        <v>1787</v>
      </c>
      <c r="C444" s="6" t="s">
        <v>88</v>
      </c>
      <c r="D444" s="6" t="s">
        <v>2501</v>
      </c>
      <c r="E444" s="6" t="s">
        <v>2531</v>
      </c>
      <c r="F444" s="6" t="s">
        <v>2532</v>
      </c>
      <c r="G444" s="6" t="s">
        <v>1790</v>
      </c>
      <c r="H444" s="6" t="s">
        <v>2535</v>
      </c>
      <c r="I444" s="6">
        <v>1</v>
      </c>
      <c r="J444" s="6">
        <v>0</v>
      </c>
      <c r="K444" s="6">
        <v>0</v>
      </c>
      <c r="L444" s="6">
        <v>0</v>
      </c>
      <c r="M444" s="6">
        <v>0</v>
      </c>
      <c r="N444" s="6">
        <v>1</v>
      </c>
      <c r="O444" s="6">
        <v>1</v>
      </c>
    </row>
    <row r="445" spans="1:15" hidden="1">
      <c r="A445" s="6" t="s">
        <v>1786</v>
      </c>
      <c r="B445" s="6" t="s">
        <v>1787</v>
      </c>
      <c r="C445" s="6" t="s">
        <v>88</v>
      </c>
      <c r="D445" s="6" t="s">
        <v>2501</v>
      </c>
      <c r="E445" s="6" t="s">
        <v>2531</v>
      </c>
      <c r="F445" s="6" t="s">
        <v>2532</v>
      </c>
      <c r="G445" s="6" t="s">
        <v>1790</v>
      </c>
      <c r="H445" s="6" t="s">
        <v>2536</v>
      </c>
      <c r="I445" s="6">
        <v>1</v>
      </c>
      <c r="J445" s="6">
        <v>0</v>
      </c>
      <c r="K445" s="6">
        <v>0</v>
      </c>
      <c r="L445" s="6">
        <v>0</v>
      </c>
      <c r="M445" s="6">
        <v>0</v>
      </c>
      <c r="N445" s="6">
        <v>0</v>
      </c>
      <c r="O445" s="6">
        <v>0</v>
      </c>
    </row>
    <row r="446" spans="1:15" hidden="1">
      <c r="A446" s="6" t="s">
        <v>1786</v>
      </c>
      <c r="B446" s="6" t="s">
        <v>1787</v>
      </c>
      <c r="C446" s="6" t="s">
        <v>88</v>
      </c>
      <c r="D446" s="6" t="s">
        <v>2501</v>
      </c>
      <c r="E446" s="6" t="s">
        <v>2531</v>
      </c>
      <c r="F446" s="6" t="s">
        <v>2532</v>
      </c>
      <c r="G446" s="6" t="s">
        <v>1790</v>
      </c>
      <c r="H446" s="6" t="s">
        <v>2537</v>
      </c>
      <c r="I446" s="6">
        <v>1</v>
      </c>
      <c r="J446" s="6">
        <v>0</v>
      </c>
      <c r="K446" s="6">
        <v>0</v>
      </c>
      <c r="L446" s="6">
        <v>0</v>
      </c>
      <c r="M446" s="6">
        <v>0</v>
      </c>
      <c r="N446" s="6">
        <v>0</v>
      </c>
      <c r="O446" s="6">
        <v>0</v>
      </c>
    </row>
    <row r="447" spans="1:15" hidden="1">
      <c r="A447" s="6" t="s">
        <v>1786</v>
      </c>
      <c r="B447" s="6" t="s">
        <v>1787</v>
      </c>
      <c r="C447" s="6" t="s">
        <v>88</v>
      </c>
      <c r="D447" s="6" t="s">
        <v>2501</v>
      </c>
      <c r="E447" s="6" t="s">
        <v>2531</v>
      </c>
      <c r="F447" s="6" t="s">
        <v>2532</v>
      </c>
      <c r="G447" s="6" t="s">
        <v>1790</v>
      </c>
      <c r="H447" s="6" t="s">
        <v>2538</v>
      </c>
      <c r="I447" s="6">
        <v>1</v>
      </c>
      <c r="J447" s="6">
        <v>0</v>
      </c>
      <c r="K447" s="6">
        <v>0</v>
      </c>
      <c r="L447" s="6">
        <v>0</v>
      </c>
      <c r="M447" s="6">
        <v>0</v>
      </c>
      <c r="N447" s="6">
        <v>1</v>
      </c>
      <c r="O447" s="6">
        <v>1</v>
      </c>
    </row>
    <row r="448" spans="1:15" hidden="1">
      <c r="A448" s="6" t="s">
        <v>1786</v>
      </c>
      <c r="B448" s="6" t="s">
        <v>1787</v>
      </c>
      <c r="C448" s="6" t="s">
        <v>88</v>
      </c>
      <c r="D448" s="6" t="s">
        <v>2501</v>
      </c>
      <c r="E448" s="6" t="s">
        <v>2531</v>
      </c>
      <c r="F448" s="6" t="s">
        <v>2532</v>
      </c>
      <c r="G448" s="6" t="s">
        <v>1790</v>
      </c>
      <c r="H448" s="6" t="s">
        <v>2539</v>
      </c>
      <c r="I448" s="6">
        <v>1</v>
      </c>
      <c r="J448" s="6">
        <v>0</v>
      </c>
      <c r="K448" s="6">
        <v>0</v>
      </c>
      <c r="L448" s="6">
        <v>0</v>
      </c>
      <c r="M448" s="6">
        <v>0</v>
      </c>
      <c r="N448" s="6">
        <v>1</v>
      </c>
      <c r="O448" s="6">
        <v>1</v>
      </c>
    </row>
    <row r="449" spans="1:15" hidden="1">
      <c r="A449" s="6" t="s">
        <v>1786</v>
      </c>
      <c r="B449" s="6" t="s">
        <v>1787</v>
      </c>
      <c r="C449" s="6" t="s">
        <v>88</v>
      </c>
      <c r="D449" s="6" t="s">
        <v>2501</v>
      </c>
      <c r="E449" s="6" t="s">
        <v>2531</v>
      </c>
      <c r="F449" s="6" t="s">
        <v>2540</v>
      </c>
      <c r="G449" s="6" t="s">
        <v>1790</v>
      </c>
      <c r="H449" s="6" t="s">
        <v>2541</v>
      </c>
      <c r="I449" s="6">
        <v>1</v>
      </c>
      <c r="J449" s="6">
        <v>0</v>
      </c>
      <c r="K449" s="6">
        <v>0</v>
      </c>
      <c r="L449" s="6">
        <v>0</v>
      </c>
      <c r="M449" s="6">
        <v>0</v>
      </c>
      <c r="N449" s="6">
        <v>0</v>
      </c>
      <c r="O449" s="6">
        <v>0</v>
      </c>
    </row>
    <row r="450" spans="1:15" hidden="1">
      <c r="A450" s="6" t="s">
        <v>1786</v>
      </c>
      <c r="B450" s="6" t="s">
        <v>1787</v>
      </c>
      <c r="C450" s="6" t="s">
        <v>88</v>
      </c>
      <c r="D450" s="6" t="s">
        <v>2501</v>
      </c>
      <c r="E450" s="6" t="s">
        <v>2531</v>
      </c>
      <c r="F450" s="6" t="s">
        <v>2542</v>
      </c>
      <c r="G450" s="6" t="s">
        <v>1790</v>
      </c>
      <c r="H450" s="6" t="s">
        <v>2543</v>
      </c>
      <c r="I450" s="6">
        <v>2</v>
      </c>
      <c r="J450" s="6">
        <v>0</v>
      </c>
      <c r="K450" s="6">
        <v>0</v>
      </c>
      <c r="L450" s="6">
        <v>0</v>
      </c>
      <c r="M450" s="6">
        <v>0</v>
      </c>
      <c r="N450" s="6">
        <v>1</v>
      </c>
      <c r="O450" s="6">
        <v>1</v>
      </c>
    </row>
    <row r="451" spans="1:15" hidden="1">
      <c r="A451" s="6" t="s">
        <v>1786</v>
      </c>
      <c r="B451" s="6" t="s">
        <v>1787</v>
      </c>
      <c r="C451" s="6" t="s">
        <v>88</v>
      </c>
      <c r="D451" s="6" t="s">
        <v>2501</v>
      </c>
      <c r="E451" s="6" t="s">
        <v>2531</v>
      </c>
      <c r="F451" s="6" t="s">
        <v>2544</v>
      </c>
      <c r="G451" s="6" t="s">
        <v>1790</v>
      </c>
      <c r="H451" s="6" t="s">
        <v>2545</v>
      </c>
      <c r="I451" s="6">
        <v>1</v>
      </c>
      <c r="J451" s="6">
        <v>0</v>
      </c>
      <c r="K451" s="6">
        <v>0</v>
      </c>
      <c r="L451" s="6">
        <v>0</v>
      </c>
      <c r="M451" s="6">
        <v>0</v>
      </c>
      <c r="N451" s="6">
        <v>0</v>
      </c>
      <c r="O451" s="6">
        <v>0</v>
      </c>
    </row>
    <row r="452" spans="1:15" hidden="1">
      <c r="A452" s="6" t="s">
        <v>1786</v>
      </c>
      <c r="B452" s="6" t="s">
        <v>1787</v>
      </c>
      <c r="C452" s="6" t="s">
        <v>88</v>
      </c>
      <c r="D452" s="6" t="s">
        <v>2501</v>
      </c>
      <c r="E452" s="6" t="s">
        <v>2546</v>
      </c>
      <c r="F452" s="6" t="s">
        <v>2547</v>
      </c>
      <c r="G452" s="6" t="s">
        <v>1790</v>
      </c>
      <c r="H452" s="6" t="s">
        <v>2548</v>
      </c>
      <c r="I452" s="6">
        <v>3</v>
      </c>
      <c r="J452" s="6">
        <v>1</v>
      </c>
      <c r="K452" s="6">
        <v>0.33329999999999999</v>
      </c>
      <c r="L452" s="6">
        <v>1.41</v>
      </c>
      <c r="M452" s="6">
        <v>1.41</v>
      </c>
      <c r="N452" s="6">
        <v>0.5</v>
      </c>
      <c r="O452" s="6">
        <v>0.5</v>
      </c>
    </row>
    <row r="453" spans="1:15" hidden="1">
      <c r="A453" s="6" t="s">
        <v>1786</v>
      </c>
      <c r="B453" s="6" t="s">
        <v>1787</v>
      </c>
      <c r="C453" s="6" t="s">
        <v>88</v>
      </c>
      <c r="D453" s="6" t="s">
        <v>2501</v>
      </c>
      <c r="E453" s="6" t="s">
        <v>2549</v>
      </c>
      <c r="F453" s="6" t="s">
        <v>2550</v>
      </c>
      <c r="G453" s="6" t="s">
        <v>1790</v>
      </c>
      <c r="H453" s="6" t="s">
        <v>2550</v>
      </c>
      <c r="I453" s="6">
        <v>2</v>
      </c>
      <c r="J453" s="6">
        <v>0</v>
      </c>
      <c r="K453" s="6">
        <v>0</v>
      </c>
      <c r="L453" s="6">
        <v>0</v>
      </c>
      <c r="M453" s="6">
        <v>0</v>
      </c>
      <c r="N453" s="6">
        <v>1</v>
      </c>
      <c r="O453" s="6">
        <v>0</v>
      </c>
    </row>
    <row r="454" spans="1:15" hidden="1">
      <c r="A454" s="6" t="s">
        <v>1786</v>
      </c>
      <c r="B454" s="6" t="s">
        <v>1787</v>
      </c>
      <c r="C454" s="6" t="s">
        <v>88</v>
      </c>
      <c r="D454" s="6" t="s">
        <v>2501</v>
      </c>
      <c r="E454" s="6" t="s">
        <v>2549</v>
      </c>
      <c r="F454" s="6" t="s">
        <v>2551</v>
      </c>
      <c r="G454" s="6" t="s">
        <v>1790</v>
      </c>
      <c r="H454" s="6" t="s">
        <v>2552</v>
      </c>
      <c r="I454" s="6">
        <v>2</v>
      </c>
      <c r="J454" s="6">
        <v>0</v>
      </c>
      <c r="K454" s="6">
        <v>0</v>
      </c>
      <c r="L454" s="6">
        <v>0</v>
      </c>
      <c r="M454" s="6">
        <v>0</v>
      </c>
      <c r="N454" s="6">
        <v>1</v>
      </c>
      <c r="O454" s="6">
        <v>0</v>
      </c>
    </row>
    <row r="455" spans="1:15" hidden="1">
      <c r="A455" s="6" t="s">
        <v>1786</v>
      </c>
      <c r="B455" s="6" t="s">
        <v>1787</v>
      </c>
      <c r="C455" s="6" t="s">
        <v>88</v>
      </c>
      <c r="D455" s="6" t="s">
        <v>2501</v>
      </c>
      <c r="E455" s="6" t="s">
        <v>2549</v>
      </c>
      <c r="F455" s="6" t="s">
        <v>2553</v>
      </c>
      <c r="G455" s="6" t="s">
        <v>1790</v>
      </c>
      <c r="H455" s="6" t="s">
        <v>2554</v>
      </c>
      <c r="I455" s="6">
        <v>1</v>
      </c>
      <c r="J455" s="6">
        <v>0</v>
      </c>
      <c r="K455" s="6">
        <v>0</v>
      </c>
      <c r="L455" s="6">
        <v>0</v>
      </c>
      <c r="M455" s="6">
        <v>0</v>
      </c>
      <c r="N455" s="6">
        <v>0</v>
      </c>
      <c r="O455" s="6">
        <v>0</v>
      </c>
    </row>
    <row r="456" spans="1:15" hidden="1">
      <c r="A456" s="6" t="s">
        <v>1786</v>
      </c>
      <c r="B456" s="6" t="s">
        <v>1787</v>
      </c>
      <c r="C456" s="6" t="s">
        <v>88</v>
      </c>
      <c r="D456" s="6" t="s">
        <v>2501</v>
      </c>
      <c r="E456" s="6" t="s">
        <v>2549</v>
      </c>
      <c r="F456" s="6" t="s">
        <v>2553</v>
      </c>
      <c r="G456" s="6" t="s">
        <v>1790</v>
      </c>
      <c r="H456" s="6" t="s">
        <v>2555</v>
      </c>
      <c r="I456" s="6">
        <v>1</v>
      </c>
      <c r="J456" s="6">
        <v>0</v>
      </c>
      <c r="K456" s="6">
        <v>0</v>
      </c>
      <c r="L456" s="6">
        <v>0</v>
      </c>
      <c r="M456" s="6">
        <v>0</v>
      </c>
      <c r="N456" s="6">
        <v>0</v>
      </c>
      <c r="O456" s="6">
        <v>0</v>
      </c>
    </row>
    <row r="457" spans="1:15" hidden="1">
      <c r="A457" s="6" t="s">
        <v>1786</v>
      </c>
      <c r="B457" s="6" t="s">
        <v>1787</v>
      </c>
      <c r="C457" s="6" t="s">
        <v>88</v>
      </c>
      <c r="D457" s="6" t="s">
        <v>2501</v>
      </c>
      <c r="E457" s="6" t="s">
        <v>2549</v>
      </c>
      <c r="F457" s="6" t="s">
        <v>2553</v>
      </c>
      <c r="G457" s="6" t="s">
        <v>1790</v>
      </c>
      <c r="H457" s="6" t="s">
        <v>2556</v>
      </c>
      <c r="I457" s="6">
        <v>1</v>
      </c>
      <c r="J457" s="6">
        <v>0</v>
      </c>
      <c r="K457" s="6">
        <v>0</v>
      </c>
      <c r="L457" s="6">
        <v>0</v>
      </c>
      <c r="M457" s="6">
        <v>0</v>
      </c>
      <c r="N457" s="6">
        <v>0</v>
      </c>
      <c r="O457" s="6">
        <v>0</v>
      </c>
    </row>
    <row r="458" spans="1:15" hidden="1">
      <c r="A458" s="6" t="s">
        <v>1786</v>
      </c>
      <c r="B458" s="6" t="s">
        <v>1787</v>
      </c>
      <c r="C458" s="6" t="s">
        <v>88</v>
      </c>
      <c r="D458" s="6" t="s">
        <v>2501</v>
      </c>
      <c r="E458" s="6" t="s">
        <v>2549</v>
      </c>
      <c r="F458" s="6" t="s">
        <v>2553</v>
      </c>
      <c r="G458" s="6" t="s">
        <v>1790</v>
      </c>
      <c r="H458" s="6" t="s">
        <v>2557</v>
      </c>
      <c r="I458" s="6">
        <v>1</v>
      </c>
      <c r="J458" s="6">
        <v>0</v>
      </c>
      <c r="K458" s="6">
        <v>0</v>
      </c>
      <c r="L458" s="6">
        <v>0</v>
      </c>
      <c r="M458" s="6">
        <v>0</v>
      </c>
      <c r="N458" s="6">
        <v>0</v>
      </c>
      <c r="O458" s="6">
        <v>0</v>
      </c>
    </row>
    <row r="459" spans="1:15" hidden="1">
      <c r="A459" s="6" t="s">
        <v>1786</v>
      </c>
      <c r="B459" s="6" t="s">
        <v>1787</v>
      </c>
      <c r="C459" s="6" t="s">
        <v>88</v>
      </c>
      <c r="D459" s="6" t="s">
        <v>2501</v>
      </c>
      <c r="E459" s="6" t="s">
        <v>2549</v>
      </c>
      <c r="F459" s="6" t="s">
        <v>2553</v>
      </c>
      <c r="G459" s="6" t="s">
        <v>1790</v>
      </c>
      <c r="H459" s="6" t="s">
        <v>2558</v>
      </c>
      <c r="I459" s="6">
        <v>2</v>
      </c>
      <c r="J459" s="6">
        <v>0</v>
      </c>
      <c r="K459" s="6">
        <v>0</v>
      </c>
      <c r="L459" s="6">
        <v>0</v>
      </c>
      <c r="M459" s="6">
        <v>0</v>
      </c>
      <c r="N459" s="6">
        <v>1</v>
      </c>
      <c r="O459" s="6">
        <v>0</v>
      </c>
    </row>
    <row r="460" spans="1:15" hidden="1">
      <c r="A460" s="6" t="s">
        <v>1786</v>
      </c>
      <c r="B460" s="6" t="s">
        <v>1787</v>
      </c>
      <c r="C460" s="6" t="s">
        <v>88</v>
      </c>
      <c r="D460" s="6" t="s">
        <v>2501</v>
      </c>
      <c r="E460" s="6" t="s">
        <v>2559</v>
      </c>
      <c r="F460" s="6" t="s">
        <v>2560</v>
      </c>
      <c r="G460" s="6" t="s">
        <v>1790</v>
      </c>
      <c r="H460" s="6" t="s">
        <v>2560</v>
      </c>
      <c r="I460" s="6">
        <v>2</v>
      </c>
      <c r="J460" s="6">
        <v>0</v>
      </c>
      <c r="K460" s="6">
        <v>0</v>
      </c>
      <c r="L460" s="6">
        <v>0</v>
      </c>
      <c r="M460" s="6">
        <v>0</v>
      </c>
      <c r="N460" s="6">
        <v>1</v>
      </c>
      <c r="O460" s="6">
        <v>0</v>
      </c>
    </row>
    <row r="461" spans="1:15" hidden="1">
      <c r="A461" s="6" t="s">
        <v>1786</v>
      </c>
      <c r="B461" s="6" t="s">
        <v>1787</v>
      </c>
      <c r="C461" s="6" t="s">
        <v>88</v>
      </c>
      <c r="D461" s="6" t="s">
        <v>2561</v>
      </c>
      <c r="E461" s="6" t="s">
        <v>2179</v>
      </c>
      <c r="F461" s="6" t="s">
        <v>2562</v>
      </c>
      <c r="G461" s="6" t="s">
        <v>1790</v>
      </c>
      <c r="H461" s="6" t="s">
        <v>2563</v>
      </c>
      <c r="I461" s="6">
        <v>1</v>
      </c>
      <c r="J461" s="6">
        <v>0</v>
      </c>
      <c r="K461" s="6">
        <v>0</v>
      </c>
      <c r="L461" s="6">
        <v>0</v>
      </c>
      <c r="M461" s="6">
        <v>0</v>
      </c>
      <c r="N461" s="6">
        <v>0</v>
      </c>
      <c r="O461" s="6">
        <v>0</v>
      </c>
    </row>
    <row r="462" spans="1:15" hidden="1">
      <c r="A462" s="6" t="s">
        <v>1786</v>
      </c>
      <c r="B462" s="6" t="s">
        <v>1787</v>
      </c>
      <c r="C462" s="6" t="s">
        <v>88</v>
      </c>
      <c r="D462" s="6" t="s">
        <v>2561</v>
      </c>
      <c r="E462" s="6" t="s">
        <v>2564</v>
      </c>
      <c r="F462" s="6" t="s">
        <v>2565</v>
      </c>
      <c r="G462" s="6" t="s">
        <v>1790</v>
      </c>
      <c r="H462" s="6" t="s">
        <v>2566</v>
      </c>
      <c r="I462" s="6">
        <v>4</v>
      </c>
      <c r="J462" s="6">
        <v>0</v>
      </c>
      <c r="K462" s="6">
        <v>0</v>
      </c>
      <c r="L462" s="6">
        <v>0</v>
      </c>
      <c r="M462" s="6">
        <v>0</v>
      </c>
      <c r="N462" s="6">
        <v>1</v>
      </c>
      <c r="O462" s="6">
        <v>1</v>
      </c>
    </row>
    <row r="463" spans="1:15" hidden="1">
      <c r="A463" s="6" t="s">
        <v>1786</v>
      </c>
      <c r="B463" s="6" t="s">
        <v>1787</v>
      </c>
      <c r="C463" s="6" t="s">
        <v>88</v>
      </c>
      <c r="D463" s="6" t="s">
        <v>2561</v>
      </c>
      <c r="E463" s="6" t="s">
        <v>2564</v>
      </c>
      <c r="F463" s="6" t="s">
        <v>2567</v>
      </c>
      <c r="G463" s="6" t="s">
        <v>1790</v>
      </c>
      <c r="H463" s="6" t="s">
        <v>2568</v>
      </c>
      <c r="I463" s="6">
        <v>1</v>
      </c>
      <c r="J463" s="6">
        <v>0</v>
      </c>
      <c r="K463" s="6">
        <v>0</v>
      </c>
      <c r="L463" s="6">
        <v>0</v>
      </c>
      <c r="M463" s="6">
        <v>0</v>
      </c>
      <c r="N463" s="6">
        <v>1</v>
      </c>
      <c r="O463" s="6">
        <v>1</v>
      </c>
    </row>
    <row r="464" spans="1:15" hidden="1">
      <c r="A464" s="6" t="s">
        <v>1786</v>
      </c>
      <c r="B464" s="6" t="s">
        <v>1787</v>
      </c>
      <c r="C464" s="6" t="s">
        <v>88</v>
      </c>
      <c r="D464" s="6" t="s">
        <v>2569</v>
      </c>
      <c r="E464" s="6" t="s">
        <v>2570</v>
      </c>
      <c r="F464" s="6" t="s">
        <v>2571</v>
      </c>
      <c r="G464" s="6" t="s">
        <v>1790</v>
      </c>
      <c r="H464" s="6" t="s">
        <v>2572</v>
      </c>
      <c r="I464" s="6">
        <v>2</v>
      </c>
      <c r="J464" s="6">
        <v>1</v>
      </c>
      <c r="K464" s="6">
        <v>0.5</v>
      </c>
      <c r="L464" s="6">
        <v>0.86</v>
      </c>
      <c r="M464" s="6">
        <v>0.86</v>
      </c>
      <c r="N464" s="6">
        <v>1</v>
      </c>
      <c r="O464" s="6">
        <v>1</v>
      </c>
    </row>
    <row r="465" spans="1:15" hidden="1">
      <c r="A465" s="6" t="s">
        <v>1786</v>
      </c>
      <c r="B465" s="6" t="s">
        <v>1787</v>
      </c>
      <c r="C465" s="6" t="s">
        <v>88</v>
      </c>
      <c r="D465" s="6" t="s">
        <v>2569</v>
      </c>
      <c r="E465" s="6" t="s">
        <v>2573</v>
      </c>
      <c r="F465" s="6" t="s">
        <v>2574</v>
      </c>
      <c r="G465" s="6" t="s">
        <v>1790</v>
      </c>
      <c r="H465" s="6" t="s">
        <v>2575</v>
      </c>
      <c r="I465" s="6">
        <v>1</v>
      </c>
      <c r="J465" s="6">
        <v>0</v>
      </c>
      <c r="K465" s="6">
        <v>0</v>
      </c>
      <c r="L465" s="6">
        <v>0</v>
      </c>
      <c r="M465" s="6">
        <v>0</v>
      </c>
      <c r="N465" s="6">
        <v>0</v>
      </c>
      <c r="O465" s="6">
        <v>0</v>
      </c>
    </row>
    <row r="466" spans="1:15" hidden="1">
      <c r="A466" s="6" t="s">
        <v>1786</v>
      </c>
      <c r="B466" s="6" t="s">
        <v>1787</v>
      </c>
      <c r="C466" s="6" t="s">
        <v>88</v>
      </c>
      <c r="D466" s="6" t="s">
        <v>2569</v>
      </c>
      <c r="E466" s="6" t="s">
        <v>2573</v>
      </c>
      <c r="F466" s="6" t="s">
        <v>2574</v>
      </c>
      <c r="G466" s="6" t="s">
        <v>1790</v>
      </c>
      <c r="H466" s="6" t="s">
        <v>2576</v>
      </c>
      <c r="I466" s="6">
        <v>1</v>
      </c>
      <c r="J466" s="6">
        <v>0</v>
      </c>
      <c r="K466" s="6">
        <v>0</v>
      </c>
      <c r="L466" s="6">
        <v>0</v>
      </c>
      <c r="M466" s="6">
        <v>0</v>
      </c>
      <c r="N466" s="6">
        <v>0</v>
      </c>
      <c r="O466" s="6">
        <v>0</v>
      </c>
    </row>
    <row r="467" spans="1:15" hidden="1">
      <c r="A467" s="6" t="s">
        <v>1786</v>
      </c>
      <c r="B467" s="6" t="s">
        <v>1787</v>
      </c>
      <c r="C467" s="6" t="s">
        <v>88</v>
      </c>
      <c r="D467" s="6" t="s">
        <v>2569</v>
      </c>
      <c r="E467" s="6" t="s">
        <v>2577</v>
      </c>
      <c r="F467" s="6" t="s">
        <v>2578</v>
      </c>
      <c r="G467" s="6" t="s">
        <v>1790</v>
      </c>
      <c r="H467" s="6" t="s">
        <v>2579</v>
      </c>
      <c r="I467" s="6">
        <v>1</v>
      </c>
      <c r="J467" s="6">
        <v>0</v>
      </c>
      <c r="K467" s="6">
        <v>0</v>
      </c>
      <c r="L467" s="6">
        <v>0</v>
      </c>
      <c r="M467" s="6">
        <v>0</v>
      </c>
      <c r="N467" s="6">
        <v>0</v>
      </c>
      <c r="O467" s="6">
        <v>0</v>
      </c>
    </row>
    <row r="468" spans="1:15" hidden="1">
      <c r="A468" s="6" t="s">
        <v>1786</v>
      </c>
      <c r="B468" s="6" t="s">
        <v>1787</v>
      </c>
      <c r="C468" s="6" t="s">
        <v>88</v>
      </c>
      <c r="D468" s="6" t="s">
        <v>2569</v>
      </c>
      <c r="E468" s="6" t="s">
        <v>2580</v>
      </c>
      <c r="F468" s="6" t="s">
        <v>2581</v>
      </c>
      <c r="G468" s="6" t="s">
        <v>1790</v>
      </c>
      <c r="H468" s="6" t="s">
        <v>2582</v>
      </c>
      <c r="I468" s="6">
        <v>2</v>
      </c>
      <c r="J468" s="6">
        <v>0</v>
      </c>
      <c r="K468" s="6">
        <v>0</v>
      </c>
      <c r="L468" s="6">
        <v>0</v>
      </c>
      <c r="M468" s="6">
        <v>0</v>
      </c>
      <c r="N468" s="6">
        <v>0</v>
      </c>
      <c r="O468" s="6">
        <v>0</v>
      </c>
    </row>
    <row r="469" spans="1:15" hidden="1">
      <c r="A469" s="6" t="s">
        <v>1786</v>
      </c>
      <c r="B469" s="6" t="s">
        <v>1787</v>
      </c>
      <c r="C469" s="6" t="s">
        <v>88</v>
      </c>
      <c r="D469" s="6" t="s">
        <v>2569</v>
      </c>
      <c r="E469" s="6" t="s">
        <v>2580</v>
      </c>
      <c r="F469" s="6" t="s">
        <v>2581</v>
      </c>
      <c r="G469" s="6" t="s">
        <v>1790</v>
      </c>
      <c r="H469" s="6" t="s">
        <v>2583</v>
      </c>
      <c r="I469" s="6">
        <v>1</v>
      </c>
      <c r="J469" s="6">
        <v>0</v>
      </c>
      <c r="K469" s="6">
        <v>0</v>
      </c>
      <c r="L469" s="6">
        <v>0</v>
      </c>
      <c r="M469" s="6">
        <v>0</v>
      </c>
      <c r="N469" s="6">
        <v>0</v>
      </c>
      <c r="O469" s="6">
        <v>0</v>
      </c>
    </row>
    <row r="470" spans="1:15" hidden="1">
      <c r="A470" s="6" t="s">
        <v>1786</v>
      </c>
      <c r="B470" s="6" t="s">
        <v>1787</v>
      </c>
      <c r="C470" s="6" t="s">
        <v>88</v>
      </c>
      <c r="D470" s="6" t="s">
        <v>2569</v>
      </c>
      <c r="E470" s="6" t="s">
        <v>1925</v>
      </c>
      <c r="G470" s="6" t="s">
        <v>1790</v>
      </c>
      <c r="H470" s="6" t="s">
        <v>2584</v>
      </c>
      <c r="I470" s="6">
        <v>1</v>
      </c>
      <c r="J470" s="6">
        <v>0</v>
      </c>
      <c r="K470" s="6">
        <v>0</v>
      </c>
      <c r="L470" s="6">
        <v>0</v>
      </c>
      <c r="M470" s="6">
        <v>0</v>
      </c>
      <c r="N470" s="6">
        <v>0</v>
      </c>
      <c r="O470" s="6">
        <v>0</v>
      </c>
    </row>
    <row r="471" spans="1:15" hidden="1">
      <c r="A471" s="6" t="s">
        <v>1786</v>
      </c>
      <c r="B471" s="6" t="s">
        <v>1787</v>
      </c>
      <c r="C471" s="6" t="s">
        <v>88</v>
      </c>
      <c r="D471" s="6" t="s">
        <v>2569</v>
      </c>
      <c r="E471" s="6" t="s">
        <v>1925</v>
      </c>
      <c r="G471" s="6" t="s">
        <v>1790</v>
      </c>
      <c r="H471" s="6" t="s">
        <v>2585</v>
      </c>
      <c r="I471" s="6">
        <v>1</v>
      </c>
      <c r="J471" s="6">
        <v>0</v>
      </c>
      <c r="K471" s="6">
        <v>0</v>
      </c>
      <c r="L471" s="6">
        <v>0</v>
      </c>
      <c r="M471" s="6">
        <v>0</v>
      </c>
      <c r="N471" s="6">
        <v>0</v>
      </c>
      <c r="O471" s="6">
        <v>0</v>
      </c>
    </row>
    <row r="472" spans="1:15" hidden="1">
      <c r="A472" s="6" t="s">
        <v>1786</v>
      </c>
      <c r="B472" s="6" t="s">
        <v>1787</v>
      </c>
      <c r="C472" s="6" t="s">
        <v>88</v>
      </c>
      <c r="D472" s="6" t="s">
        <v>2569</v>
      </c>
      <c r="E472" s="6" t="s">
        <v>1925</v>
      </c>
      <c r="F472" s="6" t="s">
        <v>2181</v>
      </c>
      <c r="G472" s="6" t="s">
        <v>1790</v>
      </c>
      <c r="H472" s="6" t="s">
        <v>2586</v>
      </c>
      <c r="I472" s="6">
        <v>1</v>
      </c>
      <c r="J472" s="6">
        <v>0</v>
      </c>
      <c r="K472" s="6">
        <v>0</v>
      </c>
      <c r="L472" s="6">
        <v>0</v>
      </c>
      <c r="M472" s="6">
        <v>0</v>
      </c>
      <c r="N472" s="6">
        <v>0</v>
      </c>
      <c r="O472" s="6">
        <v>0</v>
      </c>
    </row>
    <row r="473" spans="1:15" hidden="1">
      <c r="A473" s="6" t="s">
        <v>1786</v>
      </c>
      <c r="B473" s="6" t="s">
        <v>1787</v>
      </c>
      <c r="C473" s="6" t="s">
        <v>88</v>
      </c>
      <c r="D473" s="6" t="s">
        <v>2569</v>
      </c>
      <c r="E473" s="6" t="s">
        <v>1925</v>
      </c>
      <c r="F473" s="6" t="s">
        <v>2587</v>
      </c>
      <c r="G473" s="6" t="s">
        <v>1790</v>
      </c>
      <c r="H473" s="6" t="s">
        <v>2588</v>
      </c>
      <c r="I473" s="6">
        <v>4</v>
      </c>
      <c r="J473" s="6">
        <v>1</v>
      </c>
      <c r="K473" s="6">
        <v>0.25</v>
      </c>
      <c r="L473" s="6">
        <v>0.32</v>
      </c>
      <c r="M473" s="6">
        <v>0.32</v>
      </c>
      <c r="N473" s="6">
        <v>1</v>
      </c>
      <c r="O473" s="6">
        <v>1</v>
      </c>
    </row>
    <row r="474" spans="1:15" hidden="1">
      <c r="A474" s="6" t="s">
        <v>1786</v>
      </c>
      <c r="B474" s="6" t="s">
        <v>1787</v>
      </c>
      <c r="C474" s="6" t="s">
        <v>88</v>
      </c>
      <c r="D474" s="6" t="s">
        <v>2569</v>
      </c>
      <c r="E474" s="6" t="s">
        <v>1925</v>
      </c>
      <c r="F474" s="6" t="s">
        <v>2587</v>
      </c>
      <c r="G474" s="6" t="s">
        <v>1790</v>
      </c>
      <c r="H474" s="6" t="s">
        <v>2589</v>
      </c>
      <c r="I474" s="6">
        <v>4</v>
      </c>
      <c r="J474" s="6">
        <v>0</v>
      </c>
      <c r="K474" s="6">
        <v>0</v>
      </c>
      <c r="L474" s="6">
        <v>0</v>
      </c>
      <c r="M474" s="6">
        <v>0</v>
      </c>
      <c r="N474" s="6">
        <v>0.75</v>
      </c>
      <c r="O474" s="6">
        <v>0.75</v>
      </c>
    </row>
    <row r="475" spans="1:15" hidden="1">
      <c r="A475" s="6" t="s">
        <v>1786</v>
      </c>
      <c r="B475" s="6" t="s">
        <v>1787</v>
      </c>
      <c r="C475" s="6" t="s">
        <v>88</v>
      </c>
      <c r="D475" s="6" t="s">
        <v>2569</v>
      </c>
      <c r="E475" s="6" t="s">
        <v>1925</v>
      </c>
      <c r="F475" s="6" t="s">
        <v>2590</v>
      </c>
      <c r="G475" s="6" t="s">
        <v>1790</v>
      </c>
      <c r="H475" s="6" t="s">
        <v>2591</v>
      </c>
      <c r="I475" s="6">
        <v>1</v>
      </c>
      <c r="J475" s="6">
        <v>0</v>
      </c>
      <c r="K475" s="6">
        <v>0</v>
      </c>
      <c r="L475" s="6">
        <v>0</v>
      </c>
      <c r="M475" s="6">
        <v>0</v>
      </c>
      <c r="N475" s="6">
        <v>1</v>
      </c>
      <c r="O475" s="6">
        <v>1</v>
      </c>
    </row>
    <row r="476" spans="1:15" hidden="1">
      <c r="A476" s="6" t="s">
        <v>1786</v>
      </c>
      <c r="B476" s="6" t="s">
        <v>1787</v>
      </c>
      <c r="C476" s="6" t="s">
        <v>88</v>
      </c>
      <c r="D476" s="6" t="s">
        <v>2569</v>
      </c>
      <c r="E476" s="6" t="s">
        <v>1925</v>
      </c>
      <c r="F476" s="6" t="s">
        <v>2592</v>
      </c>
      <c r="G476" s="6" t="s">
        <v>1790</v>
      </c>
      <c r="H476" s="6" t="s">
        <v>2592</v>
      </c>
      <c r="I476" s="6">
        <v>2</v>
      </c>
      <c r="J476" s="6">
        <v>0</v>
      </c>
      <c r="K476" s="6">
        <v>0</v>
      </c>
      <c r="L476" s="6">
        <v>0</v>
      </c>
      <c r="M476" s="6">
        <v>0</v>
      </c>
      <c r="N476" s="6">
        <v>1</v>
      </c>
      <c r="O476" s="6">
        <v>1</v>
      </c>
    </row>
    <row r="477" spans="1:15" hidden="1">
      <c r="A477" s="6" t="s">
        <v>1786</v>
      </c>
      <c r="B477" s="6" t="s">
        <v>1787</v>
      </c>
      <c r="C477" s="6" t="s">
        <v>88</v>
      </c>
      <c r="D477" s="6" t="s">
        <v>2569</v>
      </c>
      <c r="E477" s="6" t="s">
        <v>1925</v>
      </c>
      <c r="F477" s="6" t="s">
        <v>2593</v>
      </c>
      <c r="G477" s="6" t="s">
        <v>1790</v>
      </c>
      <c r="H477" s="6" t="s">
        <v>2594</v>
      </c>
      <c r="I477" s="6">
        <v>1</v>
      </c>
      <c r="J477" s="6">
        <v>0</v>
      </c>
      <c r="K477" s="6">
        <v>0</v>
      </c>
      <c r="L477" s="6">
        <v>0</v>
      </c>
      <c r="M477" s="6">
        <v>0</v>
      </c>
      <c r="N477" s="6">
        <v>0</v>
      </c>
      <c r="O477" s="6">
        <v>0</v>
      </c>
    </row>
    <row r="478" spans="1:15" hidden="1">
      <c r="A478" s="6" t="s">
        <v>1786</v>
      </c>
      <c r="B478" s="6" t="s">
        <v>1787</v>
      </c>
      <c r="C478" s="6" t="s">
        <v>88</v>
      </c>
      <c r="D478" s="6" t="s">
        <v>2569</v>
      </c>
      <c r="E478" s="6" t="s">
        <v>1925</v>
      </c>
      <c r="F478" s="6" t="s">
        <v>2593</v>
      </c>
      <c r="G478" s="6" t="s">
        <v>1790</v>
      </c>
      <c r="H478" s="6" t="s">
        <v>2593</v>
      </c>
      <c r="I478" s="6">
        <v>3</v>
      </c>
      <c r="J478" s="6">
        <v>2</v>
      </c>
      <c r="K478" s="6">
        <v>0.66670000000000007</v>
      </c>
      <c r="L478" s="6">
        <v>0.21</v>
      </c>
      <c r="M478" s="6">
        <v>0.43</v>
      </c>
      <c r="N478" s="6">
        <v>0.5</v>
      </c>
      <c r="O478" s="6">
        <v>0.5</v>
      </c>
    </row>
    <row r="479" spans="1:15" hidden="1">
      <c r="A479" s="6" t="s">
        <v>1786</v>
      </c>
      <c r="B479" s="6" t="s">
        <v>1787</v>
      </c>
      <c r="C479" s="6" t="s">
        <v>88</v>
      </c>
      <c r="D479" s="6" t="s">
        <v>2569</v>
      </c>
      <c r="E479" s="6" t="s">
        <v>1925</v>
      </c>
      <c r="F479" s="6" t="s">
        <v>2595</v>
      </c>
      <c r="G479" s="6" t="s">
        <v>1790</v>
      </c>
      <c r="H479" s="6" t="s">
        <v>2596</v>
      </c>
      <c r="I479" s="6">
        <v>2</v>
      </c>
      <c r="J479" s="6">
        <v>0</v>
      </c>
      <c r="K479" s="6">
        <v>0</v>
      </c>
      <c r="L479" s="6">
        <v>0</v>
      </c>
      <c r="M479" s="6">
        <v>0</v>
      </c>
      <c r="N479" s="6">
        <v>0.5</v>
      </c>
      <c r="O479" s="6">
        <v>0.5</v>
      </c>
    </row>
    <row r="480" spans="1:15" hidden="1">
      <c r="A480" s="6" t="s">
        <v>1786</v>
      </c>
      <c r="B480" s="6" t="s">
        <v>1787</v>
      </c>
      <c r="C480" s="6" t="s">
        <v>88</v>
      </c>
      <c r="D480" s="6" t="s">
        <v>2569</v>
      </c>
      <c r="E480" s="6" t="s">
        <v>1925</v>
      </c>
      <c r="F480" s="6" t="s">
        <v>2597</v>
      </c>
      <c r="G480" s="6" t="s">
        <v>1790</v>
      </c>
      <c r="H480" s="6" t="s">
        <v>2598</v>
      </c>
      <c r="I480" s="6">
        <v>1</v>
      </c>
      <c r="J480" s="6">
        <v>0</v>
      </c>
      <c r="K480" s="6">
        <v>0</v>
      </c>
      <c r="L480" s="6">
        <v>0</v>
      </c>
      <c r="M480" s="6">
        <v>0</v>
      </c>
      <c r="N480" s="6">
        <v>0</v>
      </c>
      <c r="O480" s="6">
        <v>0</v>
      </c>
    </row>
    <row r="481" spans="1:15" hidden="1">
      <c r="A481" s="6" t="s">
        <v>1786</v>
      </c>
      <c r="B481" s="6" t="s">
        <v>1787</v>
      </c>
      <c r="C481" s="6" t="s">
        <v>88</v>
      </c>
      <c r="D481" s="6" t="s">
        <v>2569</v>
      </c>
      <c r="E481" s="6" t="s">
        <v>1925</v>
      </c>
      <c r="F481" s="6" t="s">
        <v>2310</v>
      </c>
      <c r="G481" s="6" t="s">
        <v>1790</v>
      </c>
      <c r="H481" s="6" t="s">
        <v>2599</v>
      </c>
      <c r="I481" s="6">
        <v>2</v>
      </c>
      <c r="J481" s="6">
        <v>0</v>
      </c>
      <c r="K481" s="6">
        <v>0</v>
      </c>
      <c r="L481" s="6">
        <v>0</v>
      </c>
      <c r="M481" s="6">
        <v>0</v>
      </c>
      <c r="N481" s="6">
        <v>1</v>
      </c>
      <c r="O481" s="6">
        <v>1</v>
      </c>
    </row>
    <row r="482" spans="1:15" hidden="1">
      <c r="A482" s="6" t="s">
        <v>1786</v>
      </c>
      <c r="B482" s="6" t="s">
        <v>1787</v>
      </c>
      <c r="C482" s="6" t="s">
        <v>88</v>
      </c>
      <c r="D482" s="6" t="s">
        <v>2569</v>
      </c>
      <c r="E482" s="6" t="s">
        <v>1925</v>
      </c>
      <c r="F482" s="6" t="s">
        <v>2600</v>
      </c>
      <c r="G482" s="6" t="s">
        <v>1790</v>
      </c>
      <c r="H482" s="6" t="s">
        <v>2601</v>
      </c>
      <c r="I482" s="6">
        <v>1</v>
      </c>
      <c r="J482" s="6">
        <v>0</v>
      </c>
      <c r="K482" s="6">
        <v>0</v>
      </c>
      <c r="L482" s="6">
        <v>0</v>
      </c>
      <c r="M482" s="6">
        <v>0</v>
      </c>
      <c r="N482" s="6">
        <v>1</v>
      </c>
      <c r="O482" s="6">
        <v>1</v>
      </c>
    </row>
    <row r="483" spans="1:15" hidden="1">
      <c r="A483" s="6" t="s">
        <v>1786</v>
      </c>
      <c r="B483" s="6" t="s">
        <v>1787</v>
      </c>
      <c r="C483" s="6" t="s">
        <v>88</v>
      </c>
      <c r="D483" s="6" t="s">
        <v>2569</v>
      </c>
      <c r="E483" s="6" t="s">
        <v>1925</v>
      </c>
      <c r="F483" s="6" t="s">
        <v>2600</v>
      </c>
      <c r="G483" s="6" t="s">
        <v>1790</v>
      </c>
      <c r="H483" s="6" t="s">
        <v>2600</v>
      </c>
      <c r="I483" s="6">
        <v>2</v>
      </c>
      <c r="J483" s="6">
        <v>1</v>
      </c>
      <c r="K483" s="6">
        <v>0.5</v>
      </c>
      <c r="L483" s="6">
        <v>0.21</v>
      </c>
      <c r="M483" s="6">
        <v>0.21</v>
      </c>
      <c r="N483" s="6">
        <v>1</v>
      </c>
      <c r="O483" s="6">
        <v>1</v>
      </c>
    </row>
    <row r="484" spans="1:15" hidden="1">
      <c r="A484" s="6" t="s">
        <v>1786</v>
      </c>
      <c r="B484" s="6" t="s">
        <v>1787</v>
      </c>
      <c r="C484" s="6" t="s">
        <v>88</v>
      </c>
      <c r="D484" s="6" t="s">
        <v>2569</v>
      </c>
      <c r="E484" s="6" t="s">
        <v>1925</v>
      </c>
      <c r="F484" s="6" t="s">
        <v>2602</v>
      </c>
      <c r="G484" s="6" t="s">
        <v>1790</v>
      </c>
      <c r="H484" s="6" t="s">
        <v>2603</v>
      </c>
      <c r="I484" s="6">
        <v>2</v>
      </c>
      <c r="J484" s="6">
        <v>1</v>
      </c>
      <c r="K484" s="6">
        <v>0.5</v>
      </c>
      <c r="L484" s="6">
        <v>0.08</v>
      </c>
      <c r="M484" s="6">
        <v>0.08</v>
      </c>
      <c r="N484" s="6">
        <v>1</v>
      </c>
      <c r="O484" s="6">
        <v>1</v>
      </c>
    </row>
    <row r="485" spans="1:15" hidden="1">
      <c r="A485" s="6" t="s">
        <v>1786</v>
      </c>
      <c r="B485" s="6" t="s">
        <v>1787</v>
      </c>
      <c r="C485" s="6" t="s">
        <v>88</v>
      </c>
      <c r="D485" s="6" t="s">
        <v>2604</v>
      </c>
      <c r="E485" s="6" t="s">
        <v>2605</v>
      </c>
      <c r="F485" s="6" t="s">
        <v>2606</v>
      </c>
      <c r="G485" s="6" t="s">
        <v>1790</v>
      </c>
      <c r="H485" s="6" t="s">
        <v>2607</v>
      </c>
      <c r="I485" s="6">
        <v>1</v>
      </c>
      <c r="J485" s="6">
        <v>0</v>
      </c>
      <c r="K485" s="6">
        <v>0</v>
      </c>
      <c r="L485" s="6">
        <v>0</v>
      </c>
      <c r="M485" s="6">
        <v>0</v>
      </c>
      <c r="N485" s="6">
        <v>0</v>
      </c>
      <c r="O485" s="6">
        <v>0</v>
      </c>
    </row>
    <row r="486" spans="1:15" hidden="1">
      <c r="A486" s="6" t="s">
        <v>1786</v>
      </c>
      <c r="B486" s="6" t="s">
        <v>1787</v>
      </c>
      <c r="C486" s="6" t="s">
        <v>88</v>
      </c>
      <c r="D486" s="6" t="s">
        <v>2604</v>
      </c>
      <c r="E486" s="6" t="s">
        <v>2608</v>
      </c>
      <c r="F486" s="6" t="s">
        <v>2609</v>
      </c>
      <c r="G486" s="6" t="s">
        <v>1790</v>
      </c>
      <c r="H486" s="6" t="s">
        <v>2610</v>
      </c>
      <c r="I486" s="6">
        <v>1</v>
      </c>
      <c r="J486" s="6">
        <v>0</v>
      </c>
      <c r="K486" s="6">
        <v>0</v>
      </c>
      <c r="L486" s="6">
        <v>0</v>
      </c>
      <c r="M486" s="6">
        <v>0</v>
      </c>
      <c r="N486" s="6">
        <v>0</v>
      </c>
      <c r="O486" s="6">
        <v>0</v>
      </c>
    </row>
    <row r="487" spans="1:15" hidden="1">
      <c r="A487" s="6" t="s">
        <v>1786</v>
      </c>
      <c r="B487" s="6" t="s">
        <v>1787</v>
      </c>
      <c r="C487" s="6" t="s">
        <v>88</v>
      </c>
      <c r="D487" s="6" t="s">
        <v>2604</v>
      </c>
      <c r="E487" s="6" t="s">
        <v>1925</v>
      </c>
      <c r="F487" s="6" t="s">
        <v>2611</v>
      </c>
      <c r="G487" s="6" t="s">
        <v>1790</v>
      </c>
      <c r="H487" s="6" t="s">
        <v>2612</v>
      </c>
      <c r="I487" s="6">
        <v>1</v>
      </c>
      <c r="J487" s="6">
        <v>0</v>
      </c>
      <c r="K487" s="6">
        <v>0</v>
      </c>
      <c r="L487" s="6">
        <v>0</v>
      </c>
      <c r="M487" s="6">
        <v>0</v>
      </c>
      <c r="N487" s="6">
        <v>0</v>
      </c>
      <c r="O487" s="6">
        <v>0</v>
      </c>
    </row>
    <row r="488" spans="1:15" hidden="1">
      <c r="A488" s="6" t="s">
        <v>1786</v>
      </c>
      <c r="B488" s="6" t="s">
        <v>2613</v>
      </c>
      <c r="C488" s="6" t="s">
        <v>159</v>
      </c>
      <c r="D488" s="6" t="s">
        <v>2614</v>
      </c>
      <c r="G488" s="6" t="s">
        <v>1790</v>
      </c>
      <c r="H488" s="6" t="s">
        <v>2615</v>
      </c>
      <c r="I488" s="6">
        <v>2</v>
      </c>
      <c r="J488" s="6">
        <v>0</v>
      </c>
      <c r="K488" s="6">
        <v>0</v>
      </c>
      <c r="L488" s="6">
        <v>0</v>
      </c>
      <c r="M488" s="6">
        <v>0</v>
      </c>
      <c r="N488" s="6">
        <v>1</v>
      </c>
      <c r="O488" s="6">
        <v>1</v>
      </c>
    </row>
    <row r="489" spans="1:15" hidden="1">
      <c r="A489" s="6" t="s">
        <v>1786</v>
      </c>
      <c r="B489" s="6" t="s">
        <v>2613</v>
      </c>
      <c r="C489" s="6" t="s">
        <v>159</v>
      </c>
      <c r="D489" s="6" t="s">
        <v>2614</v>
      </c>
      <c r="G489" s="6" t="s">
        <v>1790</v>
      </c>
      <c r="H489" s="6" t="s">
        <v>2616</v>
      </c>
      <c r="I489" s="6">
        <v>1</v>
      </c>
      <c r="J489" s="6">
        <v>0</v>
      </c>
      <c r="K489" s="6">
        <v>0</v>
      </c>
      <c r="L489" s="6">
        <v>0</v>
      </c>
      <c r="M489" s="6">
        <v>0</v>
      </c>
      <c r="N489" s="6">
        <v>0</v>
      </c>
      <c r="O489" s="6">
        <v>0</v>
      </c>
    </row>
    <row r="490" spans="1:15" hidden="1">
      <c r="A490" s="6" t="s">
        <v>1786</v>
      </c>
      <c r="B490" s="6" t="s">
        <v>2613</v>
      </c>
      <c r="C490" s="6" t="s">
        <v>159</v>
      </c>
      <c r="D490" s="6" t="s">
        <v>2614</v>
      </c>
      <c r="G490" s="6" t="s">
        <v>1790</v>
      </c>
      <c r="H490" s="6" t="s">
        <v>2617</v>
      </c>
      <c r="I490" s="6">
        <v>2</v>
      </c>
      <c r="J490" s="6">
        <v>0</v>
      </c>
      <c r="K490" s="6">
        <v>0</v>
      </c>
      <c r="L490" s="6">
        <v>0</v>
      </c>
      <c r="M490" s="6">
        <v>0</v>
      </c>
      <c r="N490" s="6">
        <v>1</v>
      </c>
      <c r="O490" s="6">
        <v>0</v>
      </c>
    </row>
    <row r="491" spans="1:15" hidden="1">
      <c r="A491" s="6" t="s">
        <v>1786</v>
      </c>
      <c r="B491" s="6" t="s">
        <v>2613</v>
      </c>
      <c r="C491" s="6" t="s">
        <v>159</v>
      </c>
      <c r="D491" s="6" t="s">
        <v>2618</v>
      </c>
      <c r="G491" s="6" t="s">
        <v>1790</v>
      </c>
      <c r="H491" s="6" t="s">
        <v>2619</v>
      </c>
      <c r="I491" s="6">
        <v>2</v>
      </c>
      <c r="J491" s="6">
        <v>0</v>
      </c>
      <c r="K491" s="6">
        <v>0</v>
      </c>
      <c r="L491" s="6">
        <v>0</v>
      </c>
      <c r="M491" s="6">
        <v>0</v>
      </c>
      <c r="N491" s="6">
        <v>1</v>
      </c>
      <c r="O491" s="6">
        <v>0</v>
      </c>
    </row>
    <row r="492" spans="1:15" hidden="1">
      <c r="A492" s="6" t="s">
        <v>1786</v>
      </c>
      <c r="B492" s="6" t="s">
        <v>2613</v>
      </c>
      <c r="C492" s="6" t="s">
        <v>159</v>
      </c>
      <c r="D492" s="6" t="s">
        <v>2618</v>
      </c>
      <c r="G492" s="6" t="s">
        <v>1790</v>
      </c>
      <c r="H492" s="6" t="s">
        <v>2620</v>
      </c>
      <c r="I492" s="6">
        <v>6</v>
      </c>
      <c r="J492" s="6">
        <v>1</v>
      </c>
      <c r="K492" s="6">
        <v>0.16670000000000001</v>
      </c>
      <c r="L492" s="6">
        <v>0.23</v>
      </c>
      <c r="M492" s="6">
        <v>0.23</v>
      </c>
      <c r="N492" s="6">
        <v>1</v>
      </c>
      <c r="O492" s="6">
        <v>1</v>
      </c>
    </row>
    <row r="493" spans="1:15" hidden="1">
      <c r="A493" s="6" t="s">
        <v>1786</v>
      </c>
      <c r="B493" s="6" t="s">
        <v>2613</v>
      </c>
      <c r="C493" s="6" t="s">
        <v>159</v>
      </c>
      <c r="D493" s="6" t="s">
        <v>2618</v>
      </c>
      <c r="G493" s="6" t="s">
        <v>1790</v>
      </c>
      <c r="H493" s="6" t="s">
        <v>2621</v>
      </c>
      <c r="I493" s="6">
        <v>2</v>
      </c>
      <c r="J493" s="6">
        <v>0</v>
      </c>
      <c r="K493" s="6">
        <v>0</v>
      </c>
      <c r="L493" s="6">
        <v>0</v>
      </c>
      <c r="M493" s="6">
        <v>0</v>
      </c>
      <c r="N493" s="6">
        <v>1</v>
      </c>
      <c r="O493" s="6">
        <v>1</v>
      </c>
    </row>
    <row r="494" spans="1:15" hidden="1">
      <c r="A494" s="6" t="s">
        <v>1786</v>
      </c>
      <c r="B494" s="6" t="s">
        <v>2613</v>
      </c>
      <c r="C494" s="6" t="s">
        <v>159</v>
      </c>
      <c r="D494" s="6" t="s">
        <v>2618</v>
      </c>
      <c r="G494" s="6" t="s">
        <v>1790</v>
      </c>
      <c r="H494" s="6" t="s">
        <v>2622</v>
      </c>
      <c r="I494" s="6">
        <v>2</v>
      </c>
      <c r="J494" s="6">
        <v>0</v>
      </c>
      <c r="K494" s="6">
        <v>0</v>
      </c>
      <c r="L494" s="6">
        <v>0</v>
      </c>
      <c r="M494" s="6">
        <v>0</v>
      </c>
      <c r="N494" s="6">
        <v>1</v>
      </c>
      <c r="O494" s="6">
        <v>1</v>
      </c>
    </row>
    <row r="495" spans="1:15" hidden="1">
      <c r="A495" s="6" t="s">
        <v>1786</v>
      </c>
      <c r="B495" s="6" t="s">
        <v>2613</v>
      </c>
      <c r="C495" s="6" t="s">
        <v>159</v>
      </c>
      <c r="D495" s="6" t="s">
        <v>2618</v>
      </c>
      <c r="G495" s="6" t="s">
        <v>1790</v>
      </c>
      <c r="H495" s="6" t="s">
        <v>2623</v>
      </c>
      <c r="I495" s="6">
        <v>2</v>
      </c>
      <c r="J495" s="6">
        <v>1</v>
      </c>
      <c r="K495" s="6">
        <v>0.5</v>
      </c>
      <c r="L495" s="6">
        <v>0.86</v>
      </c>
      <c r="M495" s="6">
        <v>0.86</v>
      </c>
      <c r="N495" s="6">
        <v>1</v>
      </c>
      <c r="O495" s="6">
        <v>1</v>
      </c>
    </row>
    <row r="496" spans="1:15" hidden="1">
      <c r="A496" s="6" t="s">
        <v>1786</v>
      </c>
      <c r="B496" s="6" t="s">
        <v>2613</v>
      </c>
      <c r="C496" s="6" t="s">
        <v>159</v>
      </c>
      <c r="D496" s="6" t="s">
        <v>2618</v>
      </c>
      <c r="G496" s="6" t="s">
        <v>1790</v>
      </c>
      <c r="H496" s="6" t="s">
        <v>2624</v>
      </c>
      <c r="I496" s="6">
        <v>1</v>
      </c>
      <c r="J496" s="6">
        <v>0</v>
      </c>
      <c r="K496" s="6">
        <v>0</v>
      </c>
      <c r="L496" s="6">
        <v>0</v>
      </c>
      <c r="M496" s="6">
        <v>0</v>
      </c>
      <c r="N496" s="6">
        <v>0</v>
      </c>
      <c r="O496" s="6">
        <v>0</v>
      </c>
    </row>
    <row r="497" spans="1:15" hidden="1">
      <c r="A497" s="6" t="s">
        <v>1786</v>
      </c>
      <c r="B497" s="6" t="s">
        <v>2613</v>
      </c>
      <c r="C497" s="6" t="s">
        <v>159</v>
      </c>
      <c r="D497" s="6" t="s">
        <v>2618</v>
      </c>
      <c r="G497" s="6" t="s">
        <v>1790</v>
      </c>
      <c r="H497" s="6" t="s">
        <v>2625</v>
      </c>
      <c r="I497" s="6">
        <v>1</v>
      </c>
      <c r="J497" s="6">
        <v>0</v>
      </c>
      <c r="K497" s="6">
        <v>0</v>
      </c>
      <c r="L497" s="6">
        <v>0</v>
      </c>
      <c r="M497" s="6">
        <v>0</v>
      </c>
      <c r="N497" s="6">
        <v>0</v>
      </c>
      <c r="O497" s="6">
        <v>0</v>
      </c>
    </row>
    <row r="498" spans="1:15" hidden="1">
      <c r="A498" s="6" t="s">
        <v>1786</v>
      </c>
      <c r="B498" s="6" t="s">
        <v>2613</v>
      </c>
      <c r="C498" s="6" t="s">
        <v>159</v>
      </c>
      <c r="D498" s="6" t="s">
        <v>2618</v>
      </c>
      <c r="F498" s="6" t="s">
        <v>2626</v>
      </c>
      <c r="G498" s="6" t="s">
        <v>1790</v>
      </c>
      <c r="H498" s="6" t="s">
        <v>2626</v>
      </c>
      <c r="I498" s="6">
        <v>2</v>
      </c>
      <c r="J498" s="6">
        <v>0</v>
      </c>
      <c r="K498" s="6">
        <v>0</v>
      </c>
      <c r="L498" s="6">
        <v>0</v>
      </c>
      <c r="M498" s="6">
        <v>0</v>
      </c>
      <c r="N498" s="6">
        <v>1</v>
      </c>
      <c r="O498" s="6">
        <v>1</v>
      </c>
    </row>
    <row r="499" spans="1:15" hidden="1">
      <c r="A499" s="6" t="s">
        <v>1786</v>
      </c>
      <c r="B499" s="6" t="s">
        <v>2613</v>
      </c>
      <c r="C499" s="6" t="s">
        <v>159</v>
      </c>
      <c r="D499" s="6" t="s">
        <v>2627</v>
      </c>
      <c r="G499" s="6" t="s">
        <v>1790</v>
      </c>
      <c r="H499" s="6" t="s">
        <v>2628</v>
      </c>
      <c r="I499" s="6">
        <v>6</v>
      </c>
      <c r="J499" s="6">
        <v>0</v>
      </c>
      <c r="K499" s="6">
        <v>0</v>
      </c>
      <c r="L499" s="6">
        <v>0</v>
      </c>
      <c r="M499" s="6">
        <v>0</v>
      </c>
      <c r="N499" s="6">
        <v>1</v>
      </c>
      <c r="O499" s="6">
        <v>1</v>
      </c>
    </row>
    <row r="500" spans="1:15" hidden="1">
      <c r="A500" s="6" t="s">
        <v>1786</v>
      </c>
      <c r="B500" s="6" t="s">
        <v>2613</v>
      </c>
      <c r="C500" s="6" t="s">
        <v>159</v>
      </c>
      <c r="D500" s="6" t="s">
        <v>2627</v>
      </c>
      <c r="G500" s="6" t="s">
        <v>1790</v>
      </c>
      <c r="H500" s="6" t="s">
        <v>2629</v>
      </c>
      <c r="I500" s="6">
        <v>1</v>
      </c>
      <c r="J500" s="6">
        <v>0</v>
      </c>
      <c r="K500" s="6">
        <v>0</v>
      </c>
      <c r="L500" s="6">
        <v>0</v>
      </c>
      <c r="M500" s="6">
        <v>0</v>
      </c>
      <c r="N500" s="6">
        <v>0</v>
      </c>
      <c r="O500" s="6">
        <v>0</v>
      </c>
    </row>
    <row r="501" spans="1:15" hidden="1">
      <c r="A501" s="6" t="s">
        <v>1786</v>
      </c>
      <c r="B501" s="6" t="s">
        <v>2613</v>
      </c>
      <c r="C501" s="6" t="s">
        <v>159</v>
      </c>
      <c r="D501" s="6" t="s">
        <v>2627</v>
      </c>
      <c r="G501" s="6" t="s">
        <v>1790</v>
      </c>
      <c r="H501" s="6" t="s">
        <v>2630</v>
      </c>
      <c r="I501" s="6">
        <v>1</v>
      </c>
      <c r="J501" s="6">
        <v>0</v>
      </c>
      <c r="K501" s="6">
        <v>0</v>
      </c>
      <c r="L501" s="6">
        <v>0</v>
      </c>
      <c r="M501" s="6">
        <v>0</v>
      </c>
      <c r="N501" s="6">
        <v>1</v>
      </c>
      <c r="O501" s="6">
        <v>1</v>
      </c>
    </row>
    <row r="502" spans="1:15" hidden="1">
      <c r="A502" s="6" t="s">
        <v>1786</v>
      </c>
      <c r="B502" s="6" t="s">
        <v>2613</v>
      </c>
      <c r="C502" s="6" t="s">
        <v>159</v>
      </c>
      <c r="D502" s="6" t="s">
        <v>2627</v>
      </c>
      <c r="G502" s="6" t="s">
        <v>1790</v>
      </c>
      <c r="H502" s="6" t="s">
        <v>2631</v>
      </c>
      <c r="I502" s="6">
        <v>4</v>
      </c>
      <c r="J502" s="6">
        <v>0</v>
      </c>
      <c r="K502" s="6">
        <v>0</v>
      </c>
      <c r="L502" s="6">
        <v>0</v>
      </c>
      <c r="M502" s="6">
        <v>0</v>
      </c>
      <c r="N502" s="6">
        <v>1</v>
      </c>
      <c r="O502" s="6">
        <v>0</v>
      </c>
    </row>
    <row r="503" spans="1:15" hidden="1">
      <c r="A503" s="6" t="s">
        <v>1786</v>
      </c>
      <c r="B503" s="6" t="s">
        <v>2613</v>
      </c>
      <c r="C503" s="6" t="s">
        <v>159</v>
      </c>
      <c r="D503" s="6" t="s">
        <v>2627</v>
      </c>
      <c r="G503" s="6" t="s">
        <v>1790</v>
      </c>
      <c r="H503" s="6" t="s">
        <v>2632</v>
      </c>
      <c r="I503" s="6">
        <v>1</v>
      </c>
      <c r="J503" s="6">
        <v>0</v>
      </c>
      <c r="K503" s="6">
        <v>0</v>
      </c>
      <c r="L503" s="6">
        <v>0</v>
      </c>
      <c r="M503" s="6">
        <v>0</v>
      </c>
      <c r="N503" s="6">
        <v>0</v>
      </c>
      <c r="O503" s="6">
        <v>0</v>
      </c>
    </row>
    <row r="504" spans="1:15" hidden="1">
      <c r="A504" s="6" t="s">
        <v>1786</v>
      </c>
      <c r="B504" s="6" t="s">
        <v>2613</v>
      </c>
      <c r="C504" s="6" t="s">
        <v>159</v>
      </c>
      <c r="D504" s="6" t="s">
        <v>2627</v>
      </c>
      <c r="G504" s="6" t="s">
        <v>1790</v>
      </c>
      <c r="H504" s="6" t="s">
        <v>2633</v>
      </c>
      <c r="I504" s="6">
        <v>4</v>
      </c>
      <c r="J504" s="6">
        <v>2</v>
      </c>
      <c r="K504" s="6">
        <v>0.5</v>
      </c>
      <c r="L504" s="6">
        <v>0.66</v>
      </c>
      <c r="M504" s="6">
        <v>1.32</v>
      </c>
      <c r="N504" s="6">
        <v>1</v>
      </c>
      <c r="O504" s="6">
        <v>1</v>
      </c>
    </row>
    <row r="505" spans="1:15" hidden="1">
      <c r="A505" s="6" t="s">
        <v>1786</v>
      </c>
      <c r="B505" s="6" t="s">
        <v>2613</v>
      </c>
      <c r="C505" s="6" t="s">
        <v>159</v>
      </c>
      <c r="D505" s="6" t="s">
        <v>2627</v>
      </c>
      <c r="G505" s="6" t="s">
        <v>1790</v>
      </c>
      <c r="H505" s="6" t="s">
        <v>2634</v>
      </c>
      <c r="I505" s="6">
        <v>2</v>
      </c>
      <c r="J505" s="6">
        <v>0</v>
      </c>
      <c r="K505" s="6">
        <v>0</v>
      </c>
      <c r="L505" s="6">
        <v>0</v>
      </c>
      <c r="M505" s="6">
        <v>0</v>
      </c>
      <c r="N505" s="6">
        <v>1</v>
      </c>
      <c r="O505" s="6">
        <v>0</v>
      </c>
    </row>
    <row r="506" spans="1:15" hidden="1">
      <c r="A506" s="6" t="s">
        <v>1786</v>
      </c>
      <c r="B506" s="6" t="s">
        <v>2613</v>
      </c>
      <c r="C506" s="6" t="s">
        <v>159</v>
      </c>
      <c r="D506" s="6" t="s">
        <v>2627</v>
      </c>
      <c r="G506" s="6" t="s">
        <v>1790</v>
      </c>
      <c r="H506" s="6" t="s">
        <v>2635</v>
      </c>
      <c r="I506" s="6">
        <v>2</v>
      </c>
      <c r="J506" s="6">
        <v>0</v>
      </c>
      <c r="K506" s="6">
        <v>0</v>
      </c>
      <c r="L506" s="6">
        <v>0</v>
      </c>
      <c r="M506" s="6">
        <v>0</v>
      </c>
      <c r="N506" s="6">
        <v>1</v>
      </c>
      <c r="O506" s="6">
        <v>1</v>
      </c>
    </row>
    <row r="507" spans="1:15" hidden="1">
      <c r="A507" s="6" t="s">
        <v>1786</v>
      </c>
      <c r="B507" s="6" t="s">
        <v>2613</v>
      </c>
      <c r="C507" s="6" t="s">
        <v>159</v>
      </c>
      <c r="D507" s="6" t="s">
        <v>2627</v>
      </c>
      <c r="G507" s="6" t="s">
        <v>1790</v>
      </c>
      <c r="H507" s="6" t="s">
        <v>2636</v>
      </c>
      <c r="I507" s="6">
        <v>1</v>
      </c>
      <c r="J507" s="6">
        <v>0</v>
      </c>
      <c r="K507" s="6">
        <v>0</v>
      </c>
      <c r="L507" s="6">
        <v>0</v>
      </c>
      <c r="M507" s="6">
        <v>0</v>
      </c>
      <c r="N507" s="6">
        <v>0</v>
      </c>
      <c r="O507" s="6">
        <v>0</v>
      </c>
    </row>
    <row r="508" spans="1:15" hidden="1">
      <c r="A508" s="6" t="s">
        <v>1786</v>
      </c>
      <c r="B508" s="6" t="s">
        <v>2613</v>
      </c>
      <c r="C508" s="6" t="s">
        <v>159</v>
      </c>
      <c r="D508" s="6" t="s">
        <v>2627</v>
      </c>
      <c r="G508" s="6" t="s">
        <v>1790</v>
      </c>
      <c r="H508" s="6" t="s">
        <v>2637</v>
      </c>
      <c r="I508" s="6">
        <v>4</v>
      </c>
      <c r="J508" s="6">
        <v>0</v>
      </c>
      <c r="K508" s="6">
        <v>0</v>
      </c>
      <c r="L508" s="6">
        <v>0</v>
      </c>
      <c r="M508" s="6">
        <v>0</v>
      </c>
      <c r="N508" s="6">
        <v>1</v>
      </c>
      <c r="O508" s="6">
        <v>0.5</v>
      </c>
    </row>
    <row r="509" spans="1:15" hidden="1">
      <c r="A509" s="6" t="s">
        <v>1786</v>
      </c>
      <c r="B509" s="6" t="s">
        <v>2613</v>
      </c>
      <c r="C509" s="6" t="s">
        <v>159</v>
      </c>
      <c r="D509" s="6" t="s">
        <v>2627</v>
      </c>
      <c r="G509" s="6" t="s">
        <v>1790</v>
      </c>
      <c r="H509" s="6" t="s">
        <v>2638</v>
      </c>
      <c r="I509" s="6">
        <v>1</v>
      </c>
      <c r="J509" s="6">
        <v>0</v>
      </c>
      <c r="K509" s="6">
        <v>0</v>
      </c>
      <c r="L509" s="6">
        <v>0</v>
      </c>
      <c r="M509" s="6">
        <v>0</v>
      </c>
      <c r="N509" s="6">
        <v>0</v>
      </c>
      <c r="O509" s="6">
        <v>0</v>
      </c>
    </row>
    <row r="510" spans="1:15" hidden="1">
      <c r="A510" s="6" t="s">
        <v>1786</v>
      </c>
      <c r="B510" s="6" t="s">
        <v>2613</v>
      </c>
      <c r="C510" s="6" t="s">
        <v>159</v>
      </c>
      <c r="D510" s="6" t="s">
        <v>2639</v>
      </c>
      <c r="G510" s="6" t="s">
        <v>1790</v>
      </c>
      <c r="H510" s="6" t="s">
        <v>2640</v>
      </c>
      <c r="I510" s="6">
        <v>4</v>
      </c>
      <c r="J510" s="6">
        <v>0</v>
      </c>
      <c r="K510" s="6">
        <v>0</v>
      </c>
      <c r="L510" s="6">
        <v>0</v>
      </c>
      <c r="M510" s="6">
        <v>0</v>
      </c>
      <c r="N510" s="6">
        <v>0.5</v>
      </c>
      <c r="O510" s="6">
        <v>0.5</v>
      </c>
    </row>
    <row r="511" spans="1:15" hidden="1">
      <c r="A511" s="6" t="s">
        <v>1786</v>
      </c>
      <c r="B511" s="6" t="s">
        <v>2613</v>
      </c>
      <c r="C511" s="6" t="s">
        <v>159</v>
      </c>
      <c r="D511" s="6" t="s">
        <v>2639</v>
      </c>
      <c r="G511" s="6" t="s">
        <v>1790</v>
      </c>
      <c r="H511" s="6" t="s">
        <v>2641</v>
      </c>
      <c r="I511" s="6">
        <v>1</v>
      </c>
      <c r="J511" s="6">
        <v>0</v>
      </c>
      <c r="K511" s="6">
        <v>0</v>
      </c>
      <c r="L511" s="6">
        <v>0</v>
      </c>
      <c r="M511" s="6">
        <v>0</v>
      </c>
      <c r="N511" s="6">
        <v>0</v>
      </c>
      <c r="O511" s="6">
        <v>0</v>
      </c>
    </row>
    <row r="512" spans="1:15" hidden="1">
      <c r="A512" s="6" t="s">
        <v>1786</v>
      </c>
      <c r="B512" s="6" t="s">
        <v>2613</v>
      </c>
      <c r="C512" s="6" t="s">
        <v>159</v>
      </c>
      <c r="D512" s="6" t="s">
        <v>2639</v>
      </c>
      <c r="G512" s="6" t="s">
        <v>1790</v>
      </c>
      <c r="H512" s="6" t="s">
        <v>2642</v>
      </c>
      <c r="I512" s="6">
        <v>2</v>
      </c>
      <c r="J512" s="6">
        <v>0</v>
      </c>
      <c r="K512" s="6">
        <v>0</v>
      </c>
      <c r="L512" s="6">
        <v>0</v>
      </c>
      <c r="M512" s="6">
        <v>0</v>
      </c>
      <c r="N512" s="6">
        <v>1</v>
      </c>
      <c r="O512" s="6">
        <v>1</v>
      </c>
    </row>
    <row r="513" spans="1:15" hidden="1">
      <c r="A513" s="6" t="s">
        <v>1786</v>
      </c>
      <c r="B513" s="6" t="s">
        <v>2613</v>
      </c>
      <c r="C513" s="6" t="s">
        <v>159</v>
      </c>
      <c r="D513" s="6" t="s">
        <v>2639</v>
      </c>
      <c r="G513" s="6" t="s">
        <v>1790</v>
      </c>
      <c r="H513" s="6" t="s">
        <v>2643</v>
      </c>
      <c r="I513" s="6">
        <v>6</v>
      </c>
      <c r="J513" s="6">
        <v>0</v>
      </c>
      <c r="K513" s="6">
        <v>0</v>
      </c>
      <c r="L513" s="6">
        <v>0</v>
      </c>
      <c r="M513" s="6">
        <v>0</v>
      </c>
      <c r="N513" s="6">
        <v>1</v>
      </c>
      <c r="O513" s="6">
        <v>1</v>
      </c>
    </row>
    <row r="514" spans="1:15" hidden="1">
      <c r="A514" s="6" t="s">
        <v>1786</v>
      </c>
      <c r="B514" s="6" t="s">
        <v>2613</v>
      </c>
      <c r="C514" s="6" t="s">
        <v>159</v>
      </c>
      <c r="D514" s="6" t="s">
        <v>2639</v>
      </c>
      <c r="G514" s="6" t="s">
        <v>1790</v>
      </c>
      <c r="H514" s="6" t="s">
        <v>2644</v>
      </c>
      <c r="I514" s="6">
        <v>1</v>
      </c>
      <c r="J514" s="6">
        <v>0</v>
      </c>
      <c r="K514" s="6">
        <v>0</v>
      </c>
      <c r="L514" s="6">
        <v>0</v>
      </c>
      <c r="M514" s="6">
        <v>0</v>
      </c>
      <c r="N514" s="6">
        <v>0</v>
      </c>
      <c r="O514" s="6">
        <v>0</v>
      </c>
    </row>
    <row r="515" spans="1:15" hidden="1">
      <c r="A515" s="6" t="s">
        <v>1786</v>
      </c>
      <c r="B515" s="6" t="s">
        <v>2613</v>
      </c>
      <c r="C515" s="6" t="s">
        <v>159</v>
      </c>
      <c r="D515" s="6" t="s">
        <v>2639</v>
      </c>
      <c r="G515" s="6" t="s">
        <v>1790</v>
      </c>
      <c r="H515" s="6" t="s">
        <v>2645</v>
      </c>
      <c r="I515" s="6">
        <v>1</v>
      </c>
      <c r="J515" s="6">
        <v>0</v>
      </c>
      <c r="K515" s="6">
        <v>0</v>
      </c>
      <c r="L515" s="6">
        <v>0</v>
      </c>
      <c r="M515" s="6">
        <v>0</v>
      </c>
      <c r="N515" s="6">
        <v>0</v>
      </c>
      <c r="O515" s="6">
        <v>0</v>
      </c>
    </row>
    <row r="516" spans="1:15" hidden="1">
      <c r="A516" s="6" t="s">
        <v>1786</v>
      </c>
      <c r="B516" s="6" t="s">
        <v>2613</v>
      </c>
      <c r="C516" s="6" t="s">
        <v>159</v>
      </c>
      <c r="D516" s="6" t="s">
        <v>2639</v>
      </c>
      <c r="G516" s="6" t="s">
        <v>1790</v>
      </c>
      <c r="H516" s="6" t="s">
        <v>2646</v>
      </c>
      <c r="I516" s="6">
        <v>8</v>
      </c>
      <c r="J516" s="6">
        <v>1</v>
      </c>
      <c r="K516" s="6">
        <v>0.125</v>
      </c>
      <c r="L516" s="6">
        <v>0.28000000000000003</v>
      </c>
      <c r="M516" s="6">
        <v>0.28000000000000003</v>
      </c>
      <c r="N516" s="6">
        <v>0.6</v>
      </c>
      <c r="O516" s="6">
        <v>0.6</v>
      </c>
    </row>
    <row r="517" spans="1:15" hidden="1">
      <c r="A517" s="6" t="s">
        <v>1786</v>
      </c>
      <c r="B517" s="6" t="s">
        <v>2613</v>
      </c>
      <c r="C517" s="6" t="s">
        <v>159</v>
      </c>
      <c r="D517" s="6" t="s">
        <v>2639</v>
      </c>
      <c r="G517" s="6" t="s">
        <v>1790</v>
      </c>
      <c r="H517" s="6" t="s">
        <v>2647</v>
      </c>
      <c r="I517" s="6">
        <v>2</v>
      </c>
      <c r="J517" s="6">
        <v>0</v>
      </c>
      <c r="K517" s="6">
        <v>0</v>
      </c>
      <c r="L517" s="6">
        <v>0</v>
      </c>
      <c r="M517" s="6">
        <v>0</v>
      </c>
      <c r="N517" s="6">
        <v>1</v>
      </c>
      <c r="O517" s="6">
        <v>0</v>
      </c>
    </row>
    <row r="518" spans="1:15" hidden="1">
      <c r="A518" s="6" t="s">
        <v>1786</v>
      </c>
      <c r="B518" s="6" t="s">
        <v>2613</v>
      </c>
      <c r="C518" s="6" t="s">
        <v>159</v>
      </c>
      <c r="D518" s="6" t="s">
        <v>2639</v>
      </c>
      <c r="G518" s="6" t="s">
        <v>1790</v>
      </c>
      <c r="H518" s="6" t="s">
        <v>2648</v>
      </c>
      <c r="I518" s="6">
        <v>2</v>
      </c>
      <c r="J518" s="6">
        <v>0</v>
      </c>
      <c r="K518" s="6">
        <v>0</v>
      </c>
      <c r="L518" s="6">
        <v>0</v>
      </c>
      <c r="M518" s="6">
        <v>0</v>
      </c>
      <c r="N518" s="6">
        <v>1</v>
      </c>
      <c r="O518" s="6">
        <v>0</v>
      </c>
    </row>
    <row r="519" spans="1:15" hidden="1">
      <c r="A519" s="6" t="s">
        <v>1786</v>
      </c>
      <c r="B519" s="6" t="s">
        <v>2613</v>
      </c>
      <c r="C519" s="6" t="s">
        <v>159</v>
      </c>
      <c r="D519" s="6" t="s">
        <v>2639</v>
      </c>
      <c r="G519" s="6" t="s">
        <v>1790</v>
      </c>
      <c r="H519" s="6" t="s">
        <v>2649</v>
      </c>
      <c r="I519" s="6">
        <v>2</v>
      </c>
      <c r="J519" s="6">
        <v>0</v>
      </c>
      <c r="K519" s="6">
        <v>0</v>
      </c>
      <c r="L519" s="6">
        <v>0</v>
      </c>
      <c r="M519" s="6">
        <v>0</v>
      </c>
      <c r="N519" s="6">
        <v>1</v>
      </c>
      <c r="O519" s="6">
        <v>0</v>
      </c>
    </row>
    <row r="520" spans="1:15" hidden="1">
      <c r="A520" s="6" t="s">
        <v>1786</v>
      </c>
      <c r="B520" s="6" t="s">
        <v>2613</v>
      </c>
      <c r="C520" s="6" t="s">
        <v>159</v>
      </c>
      <c r="D520" s="6" t="s">
        <v>2639</v>
      </c>
      <c r="F520" s="6" t="s">
        <v>1974</v>
      </c>
      <c r="G520" s="6" t="s">
        <v>1790</v>
      </c>
      <c r="H520" s="6" t="s">
        <v>1974</v>
      </c>
      <c r="I520" s="6">
        <v>7</v>
      </c>
      <c r="J520" s="6">
        <v>0</v>
      </c>
      <c r="K520" s="6">
        <v>0</v>
      </c>
      <c r="L520" s="6">
        <v>0</v>
      </c>
      <c r="M520" s="6">
        <v>0</v>
      </c>
      <c r="N520" s="6">
        <v>1</v>
      </c>
      <c r="O520" s="6">
        <v>0.5</v>
      </c>
    </row>
    <row r="521" spans="1:15" hidden="1">
      <c r="A521" s="6" t="s">
        <v>1786</v>
      </c>
      <c r="B521" s="6" t="s">
        <v>2613</v>
      </c>
      <c r="C521" s="6" t="s">
        <v>159</v>
      </c>
      <c r="D521" s="6" t="s">
        <v>2650</v>
      </c>
      <c r="G521" s="6" t="s">
        <v>1790</v>
      </c>
      <c r="H521" s="6" t="s">
        <v>2651</v>
      </c>
      <c r="I521" s="6">
        <v>2</v>
      </c>
      <c r="J521" s="6">
        <v>0</v>
      </c>
      <c r="K521" s="6">
        <v>0</v>
      </c>
      <c r="L521" s="6">
        <v>0</v>
      </c>
      <c r="M521" s="6">
        <v>0</v>
      </c>
      <c r="N521" s="6">
        <v>1</v>
      </c>
      <c r="O521" s="6">
        <v>1</v>
      </c>
    </row>
    <row r="522" spans="1:15" hidden="1">
      <c r="A522" s="6" t="s">
        <v>1786</v>
      </c>
      <c r="B522" s="6" t="s">
        <v>2613</v>
      </c>
      <c r="C522" s="6" t="s">
        <v>159</v>
      </c>
      <c r="D522" s="6" t="s">
        <v>2650</v>
      </c>
      <c r="G522" s="6" t="s">
        <v>1790</v>
      </c>
      <c r="H522" s="6" t="s">
        <v>2652</v>
      </c>
      <c r="I522" s="6">
        <v>2</v>
      </c>
      <c r="J522" s="6">
        <v>0</v>
      </c>
      <c r="K522" s="6">
        <v>0</v>
      </c>
      <c r="L522" s="6">
        <v>0</v>
      </c>
      <c r="M522" s="6">
        <v>0</v>
      </c>
      <c r="N522" s="6">
        <v>1</v>
      </c>
      <c r="O522" s="6">
        <v>1</v>
      </c>
    </row>
    <row r="523" spans="1:15" hidden="1">
      <c r="A523" s="6" t="s">
        <v>1786</v>
      </c>
      <c r="B523" s="6" t="s">
        <v>2613</v>
      </c>
      <c r="C523" s="6" t="s">
        <v>159</v>
      </c>
      <c r="D523" s="6" t="s">
        <v>2650</v>
      </c>
      <c r="G523" s="6" t="s">
        <v>1790</v>
      </c>
      <c r="H523" s="6" t="s">
        <v>2653</v>
      </c>
      <c r="I523" s="6">
        <v>1</v>
      </c>
      <c r="J523" s="6">
        <v>0</v>
      </c>
      <c r="K523" s="6">
        <v>0</v>
      </c>
      <c r="L523" s="6">
        <v>0</v>
      </c>
      <c r="M523" s="6">
        <v>0</v>
      </c>
      <c r="N523" s="6">
        <v>0</v>
      </c>
      <c r="O523" s="6">
        <v>0</v>
      </c>
    </row>
    <row r="524" spans="1:15" hidden="1">
      <c r="A524" s="6" t="s">
        <v>1786</v>
      </c>
      <c r="B524" s="6" t="s">
        <v>2613</v>
      </c>
      <c r="C524" s="6" t="s">
        <v>159</v>
      </c>
      <c r="D524" s="6" t="s">
        <v>2650</v>
      </c>
      <c r="G524" s="6" t="s">
        <v>1790</v>
      </c>
      <c r="H524" s="6" t="s">
        <v>2654</v>
      </c>
      <c r="I524" s="6">
        <v>2</v>
      </c>
      <c r="J524" s="6">
        <v>0</v>
      </c>
      <c r="K524" s="6">
        <v>0</v>
      </c>
      <c r="L524" s="6">
        <v>0</v>
      </c>
      <c r="M524" s="6">
        <v>0</v>
      </c>
      <c r="N524" s="6">
        <v>1</v>
      </c>
      <c r="O524" s="6">
        <v>1</v>
      </c>
    </row>
    <row r="525" spans="1:15" hidden="1">
      <c r="A525" s="6" t="s">
        <v>1786</v>
      </c>
      <c r="B525" s="6" t="s">
        <v>2613</v>
      </c>
      <c r="C525" s="6" t="s">
        <v>159</v>
      </c>
      <c r="D525" s="6" t="s">
        <v>2650</v>
      </c>
      <c r="G525" s="6" t="s">
        <v>1790</v>
      </c>
      <c r="H525" s="6" t="s">
        <v>2655</v>
      </c>
      <c r="I525" s="6">
        <v>2</v>
      </c>
      <c r="J525" s="6">
        <v>0</v>
      </c>
      <c r="K525" s="6">
        <v>0</v>
      </c>
      <c r="L525" s="6">
        <v>0</v>
      </c>
      <c r="M525" s="6">
        <v>0</v>
      </c>
      <c r="N525" s="6">
        <v>1</v>
      </c>
      <c r="O525" s="6">
        <v>1</v>
      </c>
    </row>
    <row r="526" spans="1:15" hidden="1">
      <c r="A526" s="6" t="s">
        <v>1786</v>
      </c>
      <c r="B526" s="6" t="s">
        <v>2656</v>
      </c>
      <c r="C526" s="6" t="s">
        <v>110</v>
      </c>
      <c r="D526" s="6" t="s">
        <v>2657</v>
      </c>
      <c r="G526" s="6" t="s">
        <v>1790</v>
      </c>
      <c r="H526" s="6" t="s">
        <v>2658</v>
      </c>
      <c r="I526" s="6">
        <v>2</v>
      </c>
      <c r="J526" s="6">
        <v>0</v>
      </c>
      <c r="K526" s="6">
        <v>0</v>
      </c>
      <c r="L526" s="6">
        <v>0</v>
      </c>
      <c r="M526" s="6">
        <v>0</v>
      </c>
      <c r="N526" s="6">
        <v>0</v>
      </c>
      <c r="O526" s="6">
        <v>0</v>
      </c>
    </row>
    <row r="527" spans="1:15" hidden="1">
      <c r="A527" s="6" t="s">
        <v>1786</v>
      </c>
      <c r="B527" s="6" t="s">
        <v>2656</v>
      </c>
      <c r="C527" s="6" t="s">
        <v>110</v>
      </c>
      <c r="D527" s="6" t="s">
        <v>2657</v>
      </c>
      <c r="F527" s="6" t="s">
        <v>2659</v>
      </c>
      <c r="G527" s="6" t="s">
        <v>1790</v>
      </c>
      <c r="H527" s="6" t="s">
        <v>2660</v>
      </c>
      <c r="I527" s="6">
        <v>2</v>
      </c>
      <c r="J527" s="6">
        <v>1</v>
      </c>
      <c r="K527" s="6">
        <v>0.5</v>
      </c>
      <c r="L527" s="6">
        <v>2.0699999999999998</v>
      </c>
      <c r="M527" s="6">
        <v>2.0699999999999998</v>
      </c>
      <c r="N527" s="6">
        <v>1</v>
      </c>
      <c r="O527" s="6">
        <v>1</v>
      </c>
    </row>
    <row r="528" spans="1:15" hidden="1">
      <c r="A528" s="6" t="s">
        <v>1786</v>
      </c>
      <c r="B528" s="6" t="s">
        <v>2656</v>
      </c>
      <c r="C528" s="6" t="s">
        <v>110</v>
      </c>
      <c r="D528" s="6" t="s">
        <v>2657</v>
      </c>
      <c r="F528" s="6" t="s">
        <v>2661</v>
      </c>
      <c r="G528" s="6" t="s">
        <v>1790</v>
      </c>
      <c r="H528" s="6" t="s">
        <v>2661</v>
      </c>
      <c r="I528" s="6">
        <v>2</v>
      </c>
      <c r="J528" s="6">
        <v>0</v>
      </c>
      <c r="K528" s="6">
        <v>0</v>
      </c>
      <c r="L528" s="6">
        <v>0</v>
      </c>
      <c r="M528" s="6">
        <v>0</v>
      </c>
      <c r="N528" s="6">
        <v>1</v>
      </c>
      <c r="O528" s="6">
        <v>0</v>
      </c>
    </row>
    <row r="529" spans="1:15" hidden="1">
      <c r="A529" s="6" t="s">
        <v>1786</v>
      </c>
      <c r="B529" s="6" t="s">
        <v>2656</v>
      </c>
      <c r="C529" s="6" t="s">
        <v>110</v>
      </c>
      <c r="D529" s="6" t="s">
        <v>2657</v>
      </c>
      <c r="F529" s="6" t="s">
        <v>2661</v>
      </c>
      <c r="G529" s="6" t="s">
        <v>1790</v>
      </c>
      <c r="H529" s="6" t="s">
        <v>2662</v>
      </c>
      <c r="I529" s="6">
        <v>1</v>
      </c>
      <c r="J529" s="6">
        <v>0</v>
      </c>
      <c r="K529" s="6">
        <v>0</v>
      </c>
      <c r="L529" s="6">
        <v>0</v>
      </c>
      <c r="M529" s="6">
        <v>0</v>
      </c>
      <c r="N529" s="6">
        <v>0</v>
      </c>
      <c r="O529" s="6">
        <v>0</v>
      </c>
    </row>
    <row r="530" spans="1:15" hidden="1">
      <c r="A530" s="6" t="s">
        <v>1786</v>
      </c>
      <c r="B530" s="6" t="s">
        <v>2656</v>
      </c>
      <c r="C530" s="6" t="s">
        <v>110</v>
      </c>
      <c r="D530" s="6" t="s">
        <v>2657</v>
      </c>
      <c r="F530" s="6" t="s">
        <v>2661</v>
      </c>
      <c r="G530" s="6" t="s">
        <v>1790</v>
      </c>
      <c r="H530" s="6" t="s">
        <v>2663</v>
      </c>
      <c r="I530" s="6">
        <v>2</v>
      </c>
      <c r="J530" s="6">
        <v>0</v>
      </c>
      <c r="K530" s="6">
        <v>0</v>
      </c>
      <c r="L530" s="6">
        <v>0</v>
      </c>
      <c r="M530" s="6">
        <v>0</v>
      </c>
      <c r="N530" s="6">
        <v>0</v>
      </c>
      <c r="O530" s="6">
        <v>0</v>
      </c>
    </row>
    <row r="531" spans="1:15" hidden="1">
      <c r="A531" s="6" t="s">
        <v>1786</v>
      </c>
      <c r="B531" s="6" t="s">
        <v>2656</v>
      </c>
      <c r="C531" s="6" t="s">
        <v>110</v>
      </c>
      <c r="D531" s="6" t="s">
        <v>2657</v>
      </c>
      <c r="F531" s="6" t="s">
        <v>2661</v>
      </c>
      <c r="G531" s="6" t="s">
        <v>1790</v>
      </c>
      <c r="H531" s="6" t="s">
        <v>2664</v>
      </c>
      <c r="I531" s="6">
        <v>3</v>
      </c>
      <c r="J531" s="6">
        <v>0</v>
      </c>
      <c r="K531" s="6">
        <v>0</v>
      </c>
      <c r="L531" s="6">
        <v>0</v>
      </c>
      <c r="M531" s="6">
        <v>0</v>
      </c>
      <c r="N531" s="6">
        <v>0.5</v>
      </c>
      <c r="O531" s="6">
        <v>0.5</v>
      </c>
    </row>
    <row r="532" spans="1:15" hidden="1">
      <c r="A532" s="6" t="s">
        <v>1786</v>
      </c>
      <c r="B532" s="6" t="s">
        <v>2656</v>
      </c>
      <c r="C532" s="6" t="s">
        <v>110</v>
      </c>
      <c r="D532" s="6" t="s">
        <v>2657</v>
      </c>
      <c r="F532" s="6" t="s">
        <v>2661</v>
      </c>
      <c r="G532" s="6" t="s">
        <v>1790</v>
      </c>
      <c r="H532" s="6" t="s">
        <v>2665</v>
      </c>
      <c r="I532" s="6">
        <v>2</v>
      </c>
      <c r="J532" s="6">
        <v>0</v>
      </c>
      <c r="K532" s="6">
        <v>0</v>
      </c>
      <c r="L532" s="6">
        <v>0</v>
      </c>
      <c r="M532" s="6">
        <v>0</v>
      </c>
      <c r="N532" s="6">
        <v>1</v>
      </c>
      <c r="O532" s="6">
        <v>1</v>
      </c>
    </row>
    <row r="533" spans="1:15" hidden="1">
      <c r="A533" s="6" t="s">
        <v>1786</v>
      </c>
      <c r="B533" s="6" t="s">
        <v>2656</v>
      </c>
      <c r="C533" s="6" t="s">
        <v>110</v>
      </c>
      <c r="D533" s="6" t="s">
        <v>2657</v>
      </c>
      <c r="F533" s="6" t="s">
        <v>2661</v>
      </c>
      <c r="G533" s="6" t="s">
        <v>1790</v>
      </c>
      <c r="H533" s="6" t="s">
        <v>2666</v>
      </c>
      <c r="I533" s="6">
        <v>1</v>
      </c>
      <c r="J533" s="6">
        <v>0</v>
      </c>
      <c r="K533" s="6">
        <v>0</v>
      </c>
      <c r="L533" s="6">
        <v>0</v>
      </c>
      <c r="M533" s="6">
        <v>0</v>
      </c>
      <c r="N533" s="6">
        <v>0</v>
      </c>
      <c r="O533" s="6">
        <v>0</v>
      </c>
    </row>
    <row r="534" spans="1:15" hidden="1">
      <c r="A534" s="6" t="s">
        <v>1786</v>
      </c>
      <c r="B534" s="6" t="s">
        <v>2656</v>
      </c>
      <c r="C534" s="6" t="s">
        <v>110</v>
      </c>
      <c r="D534" s="6" t="s">
        <v>2657</v>
      </c>
      <c r="F534" s="6" t="s">
        <v>2667</v>
      </c>
      <c r="G534" s="6" t="s">
        <v>1790</v>
      </c>
      <c r="H534" s="6" t="s">
        <v>2668</v>
      </c>
      <c r="I534" s="6">
        <v>1</v>
      </c>
      <c r="J534" s="6">
        <v>0</v>
      </c>
      <c r="K534" s="6">
        <v>0</v>
      </c>
      <c r="L534" s="6">
        <v>0</v>
      </c>
      <c r="M534" s="6">
        <v>0</v>
      </c>
      <c r="N534" s="6">
        <v>0</v>
      </c>
      <c r="O534" s="6">
        <v>0</v>
      </c>
    </row>
    <row r="535" spans="1:15" hidden="1">
      <c r="A535" s="6" t="s">
        <v>1786</v>
      </c>
      <c r="B535" s="6" t="s">
        <v>2656</v>
      </c>
      <c r="C535" s="6" t="s">
        <v>110</v>
      </c>
      <c r="D535" s="6" t="s">
        <v>2657</v>
      </c>
      <c r="F535" s="6" t="s">
        <v>2667</v>
      </c>
      <c r="G535" s="6" t="s">
        <v>1790</v>
      </c>
      <c r="H535" s="6" t="s">
        <v>2669</v>
      </c>
      <c r="I535" s="6">
        <v>2</v>
      </c>
      <c r="J535" s="6">
        <v>0</v>
      </c>
      <c r="K535" s="6">
        <v>0</v>
      </c>
      <c r="L535" s="6">
        <v>0</v>
      </c>
      <c r="M535" s="6">
        <v>0</v>
      </c>
      <c r="N535" s="6">
        <v>0</v>
      </c>
      <c r="O535" s="6">
        <v>0</v>
      </c>
    </row>
    <row r="536" spans="1:15" hidden="1">
      <c r="A536" s="6" t="s">
        <v>1786</v>
      </c>
      <c r="B536" s="6" t="s">
        <v>2656</v>
      </c>
      <c r="C536" s="6" t="s">
        <v>110</v>
      </c>
      <c r="D536" s="6" t="s">
        <v>2657</v>
      </c>
      <c r="F536" s="6" t="s">
        <v>2670</v>
      </c>
      <c r="G536" s="6" t="s">
        <v>1790</v>
      </c>
      <c r="H536" s="6" t="s">
        <v>2671</v>
      </c>
      <c r="I536" s="6">
        <v>1</v>
      </c>
      <c r="J536" s="6">
        <v>0</v>
      </c>
      <c r="K536" s="6">
        <v>0</v>
      </c>
      <c r="L536" s="6">
        <v>0</v>
      </c>
      <c r="M536" s="6">
        <v>0</v>
      </c>
      <c r="N536" s="6">
        <v>0</v>
      </c>
      <c r="O536" s="6">
        <v>0</v>
      </c>
    </row>
    <row r="537" spans="1:15" hidden="1">
      <c r="A537" s="6" t="s">
        <v>1786</v>
      </c>
      <c r="B537" s="6" t="s">
        <v>2656</v>
      </c>
      <c r="C537" s="6" t="s">
        <v>110</v>
      </c>
      <c r="D537" s="6" t="s">
        <v>2672</v>
      </c>
      <c r="E537" s="6" t="s">
        <v>2673</v>
      </c>
      <c r="F537" s="6" t="s">
        <v>2674</v>
      </c>
      <c r="G537" s="6" t="s">
        <v>1790</v>
      </c>
      <c r="H537" s="6" t="s">
        <v>2675</v>
      </c>
      <c r="I537" s="6">
        <v>1</v>
      </c>
      <c r="J537" s="6">
        <v>1</v>
      </c>
      <c r="K537" s="6">
        <v>1</v>
      </c>
      <c r="L537" s="6">
        <v>0.19</v>
      </c>
      <c r="M537" s="6">
        <v>0.19</v>
      </c>
      <c r="N537" s="6">
        <v>1</v>
      </c>
      <c r="O537" s="6">
        <v>1</v>
      </c>
    </row>
    <row r="538" spans="1:15" hidden="1">
      <c r="A538" s="6" t="s">
        <v>1786</v>
      </c>
      <c r="B538" s="6" t="s">
        <v>2656</v>
      </c>
      <c r="C538" s="6" t="s">
        <v>110</v>
      </c>
      <c r="D538" s="6" t="s">
        <v>2672</v>
      </c>
      <c r="E538" s="6" t="s">
        <v>2673</v>
      </c>
      <c r="F538" s="6" t="s">
        <v>2639</v>
      </c>
      <c r="G538" s="6" t="s">
        <v>1790</v>
      </c>
      <c r="H538" s="6" t="s">
        <v>2676</v>
      </c>
      <c r="I538" s="6">
        <v>1</v>
      </c>
      <c r="J538" s="6">
        <v>1</v>
      </c>
      <c r="K538" s="6">
        <v>1</v>
      </c>
      <c r="L538" s="6">
        <v>0.11</v>
      </c>
      <c r="M538" s="6">
        <v>0.11</v>
      </c>
      <c r="N538" s="6">
        <v>1</v>
      </c>
      <c r="O538" s="6">
        <v>1</v>
      </c>
    </row>
    <row r="539" spans="1:15" hidden="1">
      <c r="A539" s="6" t="s">
        <v>1786</v>
      </c>
      <c r="B539" s="6" t="s">
        <v>2656</v>
      </c>
      <c r="C539" s="6" t="s">
        <v>110</v>
      </c>
      <c r="D539" s="6" t="s">
        <v>2672</v>
      </c>
      <c r="E539" s="6" t="s">
        <v>2673</v>
      </c>
      <c r="F539" s="6" t="s">
        <v>2639</v>
      </c>
      <c r="G539" s="6" t="s">
        <v>1790</v>
      </c>
      <c r="H539" s="6" t="s">
        <v>2677</v>
      </c>
      <c r="I539" s="6">
        <v>1</v>
      </c>
      <c r="J539" s="6">
        <v>0</v>
      </c>
      <c r="K539" s="6">
        <v>0</v>
      </c>
      <c r="L539" s="6">
        <v>0</v>
      </c>
      <c r="M539" s="6">
        <v>0</v>
      </c>
      <c r="N539" s="6">
        <v>1</v>
      </c>
      <c r="O539" s="6">
        <v>1</v>
      </c>
    </row>
    <row r="540" spans="1:15" hidden="1">
      <c r="A540" s="6" t="s">
        <v>1786</v>
      </c>
      <c r="B540" s="6" t="s">
        <v>2656</v>
      </c>
      <c r="C540" s="6" t="s">
        <v>110</v>
      </c>
      <c r="D540" s="6" t="s">
        <v>2672</v>
      </c>
      <c r="E540" s="6" t="s">
        <v>2673</v>
      </c>
      <c r="F540" s="6" t="s">
        <v>2639</v>
      </c>
      <c r="G540" s="6" t="s">
        <v>1790</v>
      </c>
      <c r="H540" s="6" t="s">
        <v>2639</v>
      </c>
      <c r="I540" s="6">
        <v>8</v>
      </c>
      <c r="J540" s="6">
        <v>1</v>
      </c>
      <c r="K540" s="6">
        <v>0.125</v>
      </c>
      <c r="L540" s="6">
        <v>0.34</v>
      </c>
      <c r="M540" s="6">
        <v>0.34</v>
      </c>
      <c r="N540" s="6">
        <v>1</v>
      </c>
      <c r="O540" s="6">
        <v>1</v>
      </c>
    </row>
    <row r="541" spans="1:15" hidden="1">
      <c r="A541" s="6" t="s">
        <v>1786</v>
      </c>
      <c r="B541" s="6" t="s">
        <v>2656</v>
      </c>
      <c r="C541" s="6" t="s">
        <v>110</v>
      </c>
      <c r="D541" s="6" t="s">
        <v>2672</v>
      </c>
      <c r="E541" s="6" t="s">
        <v>2673</v>
      </c>
      <c r="F541" s="6" t="s">
        <v>2678</v>
      </c>
      <c r="G541" s="6" t="s">
        <v>1790</v>
      </c>
      <c r="H541" s="6" t="s">
        <v>2678</v>
      </c>
      <c r="I541" s="6">
        <v>1</v>
      </c>
      <c r="J541" s="6">
        <v>0</v>
      </c>
      <c r="K541" s="6">
        <v>0</v>
      </c>
      <c r="L541" s="6">
        <v>0</v>
      </c>
      <c r="M541" s="6">
        <v>0</v>
      </c>
      <c r="N541" s="6">
        <v>0</v>
      </c>
      <c r="O541" s="6">
        <v>0</v>
      </c>
    </row>
    <row r="542" spans="1:15" hidden="1">
      <c r="A542" s="6" t="s">
        <v>1786</v>
      </c>
      <c r="B542" s="6" t="s">
        <v>2656</v>
      </c>
      <c r="C542" s="6" t="s">
        <v>110</v>
      </c>
      <c r="D542" s="6" t="s">
        <v>2672</v>
      </c>
      <c r="E542" s="6" t="s">
        <v>2679</v>
      </c>
      <c r="G542" s="6" t="s">
        <v>1790</v>
      </c>
      <c r="H542" s="6" t="s">
        <v>2680</v>
      </c>
      <c r="I542" s="6">
        <v>1</v>
      </c>
      <c r="J542" s="6">
        <v>0</v>
      </c>
      <c r="K542" s="6">
        <v>0</v>
      </c>
      <c r="L542" s="6">
        <v>0</v>
      </c>
      <c r="M542" s="6">
        <v>0</v>
      </c>
      <c r="N542" s="6">
        <v>0</v>
      </c>
      <c r="O542" s="6">
        <v>0</v>
      </c>
    </row>
    <row r="543" spans="1:15" hidden="1">
      <c r="A543" s="6" t="s">
        <v>1786</v>
      </c>
      <c r="B543" s="6" t="s">
        <v>2656</v>
      </c>
      <c r="C543" s="6" t="s">
        <v>110</v>
      </c>
      <c r="D543" s="6" t="s">
        <v>2672</v>
      </c>
      <c r="E543" s="6" t="s">
        <v>2681</v>
      </c>
      <c r="F543" s="6" t="s">
        <v>2682</v>
      </c>
      <c r="G543" s="6" t="s">
        <v>1790</v>
      </c>
      <c r="H543" s="6" t="s">
        <v>2683</v>
      </c>
      <c r="I543" s="6">
        <v>2</v>
      </c>
      <c r="J543" s="6">
        <v>0</v>
      </c>
      <c r="K543" s="6">
        <v>0</v>
      </c>
      <c r="L543" s="6">
        <v>0</v>
      </c>
      <c r="M543" s="6">
        <v>0</v>
      </c>
      <c r="N543" s="6">
        <v>0</v>
      </c>
      <c r="O543" s="6">
        <v>0</v>
      </c>
    </row>
    <row r="544" spans="1:15" hidden="1">
      <c r="A544" s="6" t="s">
        <v>1786</v>
      </c>
      <c r="B544" s="6" t="s">
        <v>2656</v>
      </c>
      <c r="C544" s="6" t="s">
        <v>110</v>
      </c>
      <c r="D544" s="6" t="s">
        <v>2672</v>
      </c>
      <c r="E544" s="6" t="s">
        <v>2684</v>
      </c>
      <c r="F544" s="6" t="s">
        <v>2685</v>
      </c>
      <c r="G544" s="6" t="s">
        <v>1790</v>
      </c>
      <c r="H544" s="6" t="s">
        <v>2685</v>
      </c>
      <c r="I544" s="6">
        <v>4</v>
      </c>
      <c r="J544" s="6">
        <v>1</v>
      </c>
      <c r="K544" s="6">
        <v>0.25</v>
      </c>
      <c r="L544" s="6">
        <v>0.84</v>
      </c>
      <c r="M544" s="6">
        <v>0.84</v>
      </c>
      <c r="N544" s="6">
        <v>1</v>
      </c>
      <c r="O544" s="6">
        <v>1</v>
      </c>
    </row>
    <row r="545" spans="1:15" hidden="1">
      <c r="A545" s="6" t="s">
        <v>1786</v>
      </c>
      <c r="B545" s="6" t="s">
        <v>2656</v>
      </c>
      <c r="C545" s="6" t="s">
        <v>110</v>
      </c>
      <c r="D545" s="6" t="s">
        <v>2672</v>
      </c>
      <c r="E545" s="6" t="s">
        <v>2686</v>
      </c>
      <c r="F545" s="6" t="s">
        <v>2687</v>
      </c>
      <c r="G545" s="6" t="s">
        <v>1790</v>
      </c>
      <c r="H545" s="6" t="s">
        <v>2687</v>
      </c>
      <c r="I545" s="6">
        <v>1</v>
      </c>
      <c r="J545" s="6">
        <v>0</v>
      </c>
      <c r="K545" s="6">
        <v>0</v>
      </c>
      <c r="L545" s="6">
        <v>0</v>
      </c>
      <c r="M545" s="6">
        <v>0</v>
      </c>
      <c r="N545" s="6">
        <v>0</v>
      </c>
      <c r="O545" s="6">
        <v>0</v>
      </c>
    </row>
    <row r="546" spans="1:15" hidden="1">
      <c r="A546" s="6" t="s">
        <v>1786</v>
      </c>
      <c r="B546" s="6" t="s">
        <v>2656</v>
      </c>
      <c r="C546" s="6" t="s">
        <v>110</v>
      </c>
      <c r="D546" s="6" t="s">
        <v>2672</v>
      </c>
      <c r="E546" s="6" t="s">
        <v>2686</v>
      </c>
      <c r="F546" s="6" t="s">
        <v>2687</v>
      </c>
      <c r="G546" s="6" t="s">
        <v>1790</v>
      </c>
      <c r="H546" s="6" t="s">
        <v>2688</v>
      </c>
      <c r="I546" s="6">
        <v>1</v>
      </c>
      <c r="J546" s="6">
        <v>0</v>
      </c>
      <c r="K546" s="6">
        <v>0</v>
      </c>
      <c r="L546" s="6">
        <v>0</v>
      </c>
      <c r="M546" s="6">
        <v>0</v>
      </c>
      <c r="N546" s="6">
        <v>0</v>
      </c>
      <c r="O546" s="6">
        <v>0</v>
      </c>
    </row>
    <row r="547" spans="1:15" hidden="1">
      <c r="A547" s="6" t="s">
        <v>1786</v>
      </c>
      <c r="B547" s="6" t="s">
        <v>2656</v>
      </c>
      <c r="C547" s="6" t="s">
        <v>110</v>
      </c>
      <c r="D547" s="6" t="s">
        <v>2672</v>
      </c>
      <c r="E547" s="6" t="s">
        <v>2686</v>
      </c>
      <c r="F547" s="6" t="s">
        <v>2687</v>
      </c>
      <c r="G547" s="6" t="s">
        <v>1790</v>
      </c>
      <c r="H547" s="6" t="s">
        <v>2689</v>
      </c>
      <c r="I547" s="6">
        <v>1</v>
      </c>
      <c r="J547" s="6">
        <v>0</v>
      </c>
      <c r="K547" s="6">
        <v>0</v>
      </c>
      <c r="L547" s="6">
        <v>0</v>
      </c>
      <c r="M547" s="6">
        <v>0</v>
      </c>
      <c r="N547" s="6">
        <v>0</v>
      </c>
      <c r="O547" s="6">
        <v>0</v>
      </c>
    </row>
    <row r="548" spans="1:15" hidden="1">
      <c r="A548" s="6" t="s">
        <v>1786</v>
      </c>
      <c r="B548" s="6" t="s">
        <v>2656</v>
      </c>
      <c r="C548" s="6" t="s">
        <v>110</v>
      </c>
      <c r="D548" s="6" t="s">
        <v>2672</v>
      </c>
      <c r="E548" s="6" t="s">
        <v>2686</v>
      </c>
      <c r="F548" s="6" t="s">
        <v>2690</v>
      </c>
      <c r="G548" s="6" t="s">
        <v>1790</v>
      </c>
      <c r="H548" s="6" t="s">
        <v>2690</v>
      </c>
      <c r="I548" s="6">
        <v>4</v>
      </c>
      <c r="J548" s="6">
        <v>1</v>
      </c>
      <c r="K548" s="6">
        <v>0.25</v>
      </c>
      <c r="L548" s="6">
        <v>0.66</v>
      </c>
      <c r="M548" s="6">
        <v>0.66</v>
      </c>
      <c r="N548" s="6">
        <v>1</v>
      </c>
      <c r="O548" s="6">
        <v>1</v>
      </c>
    </row>
    <row r="549" spans="1:15" hidden="1">
      <c r="A549" s="6" t="s">
        <v>1786</v>
      </c>
      <c r="B549" s="6" t="s">
        <v>2656</v>
      </c>
      <c r="C549" s="6" t="s">
        <v>110</v>
      </c>
      <c r="D549" s="6" t="s">
        <v>2672</v>
      </c>
      <c r="E549" s="6" t="s">
        <v>2686</v>
      </c>
      <c r="F549" s="6" t="s">
        <v>2690</v>
      </c>
      <c r="G549" s="6" t="s">
        <v>1790</v>
      </c>
      <c r="H549" s="6" t="s">
        <v>2691</v>
      </c>
      <c r="I549" s="6">
        <v>1</v>
      </c>
      <c r="J549" s="6">
        <v>0</v>
      </c>
      <c r="K549" s="6">
        <v>0</v>
      </c>
      <c r="L549" s="6">
        <v>0</v>
      </c>
      <c r="M549" s="6">
        <v>0</v>
      </c>
      <c r="N549" s="6">
        <v>0</v>
      </c>
      <c r="O549" s="6">
        <v>0</v>
      </c>
    </row>
    <row r="550" spans="1:15" hidden="1">
      <c r="A550" s="6" t="s">
        <v>1786</v>
      </c>
      <c r="B550" s="6" t="s">
        <v>2656</v>
      </c>
      <c r="C550" s="6" t="s">
        <v>110</v>
      </c>
      <c r="D550" s="6" t="s">
        <v>2672</v>
      </c>
      <c r="E550" s="6" t="s">
        <v>2686</v>
      </c>
      <c r="F550" s="6" t="s">
        <v>2581</v>
      </c>
      <c r="G550" s="6" t="s">
        <v>1790</v>
      </c>
      <c r="H550" s="6" t="s">
        <v>2692</v>
      </c>
      <c r="I550" s="6">
        <v>1</v>
      </c>
      <c r="J550" s="6">
        <v>0</v>
      </c>
      <c r="K550" s="6">
        <v>0</v>
      </c>
      <c r="L550" s="6">
        <v>0</v>
      </c>
      <c r="M550" s="6">
        <v>0</v>
      </c>
      <c r="N550" s="6">
        <v>0</v>
      </c>
      <c r="O550" s="6">
        <v>0</v>
      </c>
    </row>
    <row r="551" spans="1:15" hidden="1">
      <c r="A551" s="6" t="s">
        <v>1786</v>
      </c>
      <c r="B551" s="6" t="s">
        <v>2656</v>
      </c>
      <c r="C551" s="6" t="s">
        <v>110</v>
      </c>
      <c r="D551" s="6" t="s">
        <v>2672</v>
      </c>
      <c r="E551" s="6" t="s">
        <v>2686</v>
      </c>
      <c r="F551" s="6" t="s">
        <v>2693</v>
      </c>
      <c r="G551" s="6" t="s">
        <v>1790</v>
      </c>
      <c r="H551" s="6" t="s">
        <v>2694</v>
      </c>
      <c r="I551" s="6">
        <v>1</v>
      </c>
      <c r="J551" s="6">
        <v>0</v>
      </c>
      <c r="K551" s="6">
        <v>0</v>
      </c>
      <c r="L551" s="6">
        <v>0</v>
      </c>
      <c r="M551" s="6">
        <v>0</v>
      </c>
      <c r="N551" s="6">
        <v>0</v>
      </c>
      <c r="O551" s="6">
        <v>0</v>
      </c>
    </row>
    <row r="552" spans="1:15" hidden="1">
      <c r="A552" s="6" t="s">
        <v>1786</v>
      </c>
      <c r="B552" s="6" t="s">
        <v>2656</v>
      </c>
      <c r="C552" s="6" t="s">
        <v>110</v>
      </c>
      <c r="D552" s="6" t="s">
        <v>2672</v>
      </c>
      <c r="E552" s="6" t="s">
        <v>2686</v>
      </c>
      <c r="F552" s="6" t="s">
        <v>2693</v>
      </c>
      <c r="G552" s="6" t="s">
        <v>1790</v>
      </c>
      <c r="H552" s="6" t="s">
        <v>2695</v>
      </c>
      <c r="I552" s="6">
        <v>1</v>
      </c>
      <c r="J552" s="6">
        <v>1</v>
      </c>
      <c r="K552" s="6">
        <v>1</v>
      </c>
      <c r="L552" s="6">
        <v>0.05</v>
      </c>
      <c r="M552" s="6">
        <v>0.05</v>
      </c>
      <c r="N552" s="6">
        <v>1</v>
      </c>
      <c r="O552" s="6">
        <v>1</v>
      </c>
    </row>
    <row r="553" spans="1:15" hidden="1">
      <c r="A553" s="6" t="s">
        <v>1786</v>
      </c>
      <c r="B553" s="6" t="s">
        <v>2656</v>
      </c>
      <c r="C553" s="6" t="s">
        <v>110</v>
      </c>
      <c r="D553" s="6" t="s">
        <v>2672</v>
      </c>
      <c r="E553" s="6" t="s">
        <v>2686</v>
      </c>
      <c r="F553" s="6" t="s">
        <v>2693</v>
      </c>
      <c r="G553" s="6" t="s">
        <v>1790</v>
      </c>
      <c r="H553" s="6" t="s">
        <v>2696</v>
      </c>
      <c r="I553" s="6">
        <v>1</v>
      </c>
      <c r="J553" s="6">
        <v>0</v>
      </c>
      <c r="K553" s="6">
        <v>0</v>
      </c>
      <c r="L553" s="6">
        <v>0</v>
      </c>
      <c r="M553" s="6">
        <v>0</v>
      </c>
      <c r="N553" s="6">
        <v>0</v>
      </c>
      <c r="O553" s="6">
        <v>0</v>
      </c>
    </row>
    <row r="554" spans="1:15" hidden="1">
      <c r="A554" s="6" t="s">
        <v>1786</v>
      </c>
      <c r="B554" s="6" t="s">
        <v>2656</v>
      </c>
      <c r="C554" s="6" t="s">
        <v>110</v>
      </c>
      <c r="D554" s="6" t="s">
        <v>2672</v>
      </c>
      <c r="E554" s="6" t="s">
        <v>2686</v>
      </c>
      <c r="F554" s="6" t="s">
        <v>2693</v>
      </c>
      <c r="G554" s="6" t="s">
        <v>1790</v>
      </c>
      <c r="H554" s="6" t="s">
        <v>2693</v>
      </c>
      <c r="I554" s="6">
        <v>1</v>
      </c>
      <c r="J554" s="6">
        <v>0</v>
      </c>
      <c r="K554" s="6">
        <v>0</v>
      </c>
      <c r="L554" s="6">
        <v>0</v>
      </c>
      <c r="M554" s="6">
        <v>0</v>
      </c>
      <c r="N554" s="6">
        <v>0</v>
      </c>
      <c r="O554" s="6">
        <v>0</v>
      </c>
    </row>
    <row r="555" spans="1:15" hidden="1">
      <c r="A555" s="6" t="s">
        <v>1786</v>
      </c>
      <c r="B555" s="6" t="s">
        <v>2656</v>
      </c>
      <c r="C555" s="6" t="s">
        <v>110</v>
      </c>
      <c r="D555" s="6" t="s">
        <v>2672</v>
      </c>
      <c r="E555" s="6" t="s">
        <v>2686</v>
      </c>
      <c r="F555" s="6" t="s">
        <v>2697</v>
      </c>
      <c r="G555" s="6" t="s">
        <v>1790</v>
      </c>
      <c r="H555" s="6" t="s">
        <v>2697</v>
      </c>
      <c r="I555" s="6">
        <v>2</v>
      </c>
      <c r="J555" s="6">
        <v>0</v>
      </c>
      <c r="K555" s="6">
        <v>0</v>
      </c>
      <c r="L555" s="6">
        <v>0</v>
      </c>
      <c r="M555" s="6">
        <v>0</v>
      </c>
      <c r="N555" s="6">
        <v>1</v>
      </c>
      <c r="O555" s="6">
        <v>1</v>
      </c>
    </row>
    <row r="556" spans="1:15" hidden="1">
      <c r="A556" s="6" t="s">
        <v>1786</v>
      </c>
      <c r="B556" s="6" t="s">
        <v>2656</v>
      </c>
      <c r="C556" s="6" t="s">
        <v>110</v>
      </c>
      <c r="D556" s="6" t="s">
        <v>2672</v>
      </c>
      <c r="E556" s="6" t="s">
        <v>2698</v>
      </c>
      <c r="F556" s="6" t="s">
        <v>2699</v>
      </c>
      <c r="G556" s="6" t="s">
        <v>1790</v>
      </c>
      <c r="H556" s="6" t="s">
        <v>2700</v>
      </c>
      <c r="I556" s="6">
        <v>11</v>
      </c>
      <c r="J556" s="6">
        <v>3</v>
      </c>
      <c r="K556" s="6">
        <v>0.2727</v>
      </c>
      <c r="L556" s="6">
        <v>1.62</v>
      </c>
      <c r="M556" s="6">
        <v>4.87</v>
      </c>
      <c r="N556" s="6">
        <v>0.83329999999999993</v>
      </c>
      <c r="O556" s="6">
        <v>0.83329999999999993</v>
      </c>
    </row>
    <row r="557" spans="1:15" hidden="1">
      <c r="A557" s="6" t="s">
        <v>1786</v>
      </c>
      <c r="B557" s="6" t="s">
        <v>2656</v>
      </c>
      <c r="C557" s="6" t="s">
        <v>110</v>
      </c>
      <c r="D557" s="6" t="s">
        <v>2672</v>
      </c>
      <c r="E557" s="6" t="s">
        <v>2701</v>
      </c>
      <c r="G557" s="6" t="s">
        <v>1790</v>
      </c>
      <c r="H557" s="6" t="s">
        <v>2702</v>
      </c>
      <c r="I557" s="6">
        <v>2</v>
      </c>
      <c r="J557" s="6">
        <v>0</v>
      </c>
      <c r="K557" s="6">
        <v>0</v>
      </c>
      <c r="L557" s="6">
        <v>0</v>
      </c>
      <c r="M557" s="6">
        <v>0</v>
      </c>
      <c r="N557" s="6">
        <v>1</v>
      </c>
      <c r="O557" s="6">
        <v>1</v>
      </c>
    </row>
    <row r="558" spans="1:15" hidden="1">
      <c r="A558" s="6" t="s">
        <v>1786</v>
      </c>
      <c r="B558" s="6" t="s">
        <v>2656</v>
      </c>
      <c r="C558" s="6" t="s">
        <v>110</v>
      </c>
      <c r="D558" s="6" t="s">
        <v>2703</v>
      </c>
      <c r="G558" s="6" t="s">
        <v>1790</v>
      </c>
      <c r="H558" s="6" t="s">
        <v>2703</v>
      </c>
      <c r="I558" s="6">
        <v>1</v>
      </c>
      <c r="J558" s="6">
        <v>0</v>
      </c>
      <c r="K558" s="6">
        <v>0</v>
      </c>
      <c r="L558" s="6">
        <v>0</v>
      </c>
      <c r="M558" s="6">
        <v>0</v>
      </c>
      <c r="N558" s="6">
        <v>0</v>
      </c>
      <c r="O558" s="6">
        <v>0</v>
      </c>
    </row>
    <row r="559" spans="1:15" hidden="1">
      <c r="A559" s="6" t="s">
        <v>1786</v>
      </c>
      <c r="B559" s="6" t="s">
        <v>2656</v>
      </c>
      <c r="C559" s="6" t="s">
        <v>110</v>
      </c>
      <c r="D559" s="6" t="s">
        <v>2703</v>
      </c>
      <c r="F559" s="6" t="s">
        <v>2704</v>
      </c>
      <c r="G559" s="6" t="s">
        <v>1790</v>
      </c>
      <c r="H559" s="6" t="s">
        <v>2705</v>
      </c>
      <c r="I559" s="6">
        <v>1</v>
      </c>
      <c r="J559" s="6">
        <v>0</v>
      </c>
      <c r="K559" s="6">
        <v>0</v>
      </c>
      <c r="L559" s="6">
        <v>0</v>
      </c>
      <c r="M559" s="6">
        <v>0</v>
      </c>
      <c r="N559" s="6">
        <v>0</v>
      </c>
      <c r="O559" s="6">
        <v>0</v>
      </c>
    </row>
    <row r="560" spans="1:15" hidden="1">
      <c r="A560" s="6" t="s">
        <v>1786</v>
      </c>
      <c r="B560" s="6" t="s">
        <v>2656</v>
      </c>
      <c r="C560" s="6" t="s">
        <v>110</v>
      </c>
      <c r="D560" s="6" t="s">
        <v>2703</v>
      </c>
      <c r="F560" s="6" t="s">
        <v>2706</v>
      </c>
      <c r="G560" s="6" t="s">
        <v>1790</v>
      </c>
      <c r="H560" s="6" t="s">
        <v>2707</v>
      </c>
      <c r="I560" s="6">
        <v>1</v>
      </c>
      <c r="J560" s="6">
        <v>0</v>
      </c>
      <c r="K560" s="6">
        <v>0</v>
      </c>
      <c r="L560" s="6">
        <v>0</v>
      </c>
      <c r="M560" s="6">
        <v>0</v>
      </c>
      <c r="N560" s="6">
        <v>1</v>
      </c>
      <c r="O560" s="6">
        <v>1</v>
      </c>
    </row>
    <row r="561" spans="1:15" hidden="1">
      <c r="A561" s="6" t="s">
        <v>1786</v>
      </c>
      <c r="B561" s="6" t="s">
        <v>2656</v>
      </c>
      <c r="C561" s="6" t="s">
        <v>110</v>
      </c>
      <c r="D561" s="6" t="s">
        <v>2703</v>
      </c>
      <c r="F561" s="6" t="s">
        <v>2706</v>
      </c>
      <c r="G561" s="6" t="s">
        <v>1790</v>
      </c>
      <c r="H561" s="6" t="s">
        <v>2708</v>
      </c>
      <c r="I561" s="6">
        <v>1</v>
      </c>
      <c r="J561" s="6">
        <v>0</v>
      </c>
      <c r="K561" s="6">
        <v>0</v>
      </c>
      <c r="L561" s="6">
        <v>0</v>
      </c>
      <c r="M561" s="6">
        <v>0</v>
      </c>
      <c r="N561" s="6">
        <v>0</v>
      </c>
      <c r="O561" s="6">
        <v>0</v>
      </c>
    </row>
    <row r="562" spans="1:15" hidden="1">
      <c r="A562" s="6" t="s">
        <v>1786</v>
      </c>
      <c r="B562" s="6" t="s">
        <v>2656</v>
      </c>
      <c r="C562" s="6" t="s">
        <v>110</v>
      </c>
      <c r="D562" s="6" t="s">
        <v>2703</v>
      </c>
      <c r="F562" s="6" t="s">
        <v>2706</v>
      </c>
      <c r="G562" s="6" t="s">
        <v>1790</v>
      </c>
      <c r="H562" s="6" t="s">
        <v>2709</v>
      </c>
      <c r="I562" s="6">
        <v>1</v>
      </c>
      <c r="J562" s="6">
        <v>0</v>
      </c>
      <c r="K562" s="6">
        <v>0</v>
      </c>
      <c r="L562" s="6">
        <v>0</v>
      </c>
      <c r="M562" s="6">
        <v>0</v>
      </c>
      <c r="N562" s="6">
        <v>1</v>
      </c>
      <c r="O562" s="6">
        <v>1</v>
      </c>
    </row>
    <row r="563" spans="1:15" hidden="1">
      <c r="A563" s="6" t="s">
        <v>1786</v>
      </c>
      <c r="B563" s="6" t="s">
        <v>2656</v>
      </c>
      <c r="C563" s="6" t="s">
        <v>110</v>
      </c>
      <c r="D563" s="6" t="s">
        <v>2710</v>
      </c>
      <c r="E563" s="6" t="s">
        <v>2711</v>
      </c>
      <c r="F563" s="6" t="s">
        <v>2712</v>
      </c>
      <c r="G563" s="6" t="s">
        <v>1790</v>
      </c>
      <c r="H563" s="6" t="s">
        <v>2713</v>
      </c>
      <c r="I563" s="6">
        <v>1</v>
      </c>
      <c r="J563" s="6">
        <v>0</v>
      </c>
      <c r="K563" s="6">
        <v>0</v>
      </c>
      <c r="L563" s="6">
        <v>0</v>
      </c>
      <c r="M563" s="6">
        <v>0</v>
      </c>
      <c r="N563" s="6">
        <v>0</v>
      </c>
      <c r="O563" s="6">
        <v>0</v>
      </c>
    </row>
    <row r="564" spans="1:15" hidden="1">
      <c r="A564" s="6" t="s">
        <v>1786</v>
      </c>
      <c r="B564" s="6" t="s">
        <v>2656</v>
      </c>
      <c r="C564" s="6" t="s">
        <v>110</v>
      </c>
      <c r="D564" s="6" t="s">
        <v>2710</v>
      </c>
      <c r="E564" s="6" t="s">
        <v>2714</v>
      </c>
      <c r="F564" s="6" t="s">
        <v>2715</v>
      </c>
      <c r="G564" s="6" t="s">
        <v>1790</v>
      </c>
      <c r="H564" s="6" t="s">
        <v>2716</v>
      </c>
      <c r="I564" s="6">
        <v>1</v>
      </c>
      <c r="J564" s="6">
        <v>0</v>
      </c>
      <c r="K564" s="6">
        <v>0</v>
      </c>
      <c r="L564" s="6">
        <v>0</v>
      </c>
      <c r="M564" s="6">
        <v>0</v>
      </c>
      <c r="N564" s="6">
        <v>0</v>
      </c>
      <c r="O564" s="6">
        <v>0</v>
      </c>
    </row>
    <row r="565" spans="1:15" hidden="1">
      <c r="A565" s="6" t="s">
        <v>1786</v>
      </c>
      <c r="B565" s="6" t="s">
        <v>2656</v>
      </c>
      <c r="C565" s="6" t="s">
        <v>110</v>
      </c>
      <c r="D565" s="6" t="s">
        <v>2710</v>
      </c>
      <c r="E565" s="6" t="s">
        <v>2717</v>
      </c>
      <c r="F565" s="6" t="s">
        <v>2718</v>
      </c>
      <c r="G565" s="6" t="s">
        <v>1790</v>
      </c>
      <c r="H565" s="6" t="s">
        <v>2718</v>
      </c>
      <c r="I565" s="6">
        <v>1</v>
      </c>
      <c r="J565" s="6">
        <v>0</v>
      </c>
      <c r="K565" s="6">
        <v>0</v>
      </c>
      <c r="L565" s="6">
        <v>0</v>
      </c>
      <c r="M565" s="6">
        <v>0</v>
      </c>
      <c r="N565" s="6">
        <v>0</v>
      </c>
      <c r="O565" s="6">
        <v>0</v>
      </c>
    </row>
    <row r="566" spans="1:15" hidden="1">
      <c r="A566" s="6" t="s">
        <v>1786</v>
      </c>
      <c r="B566" s="6" t="s">
        <v>2656</v>
      </c>
      <c r="C566" s="6" t="s">
        <v>110</v>
      </c>
      <c r="D566" s="6" t="s">
        <v>2719</v>
      </c>
      <c r="F566" s="6" t="s">
        <v>2720</v>
      </c>
      <c r="G566" s="6" t="s">
        <v>1790</v>
      </c>
      <c r="H566" s="6" t="s">
        <v>2721</v>
      </c>
      <c r="I566" s="6">
        <v>1</v>
      </c>
      <c r="J566" s="6">
        <v>0</v>
      </c>
      <c r="K566" s="6">
        <v>0</v>
      </c>
      <c r="L566" s="6">
        <v>0</v>
      </c>
      <c r="M566" s="6">
        <v>0</v>
      </c>
      <c r="N566" s="6">
        <v>0</v>
      </c>
      <c r="O566" s="6">
        <v>0</v>
      </c>
    </row>
    <row r="567" spans="1:15" hidden="1">
      <c r="A567" s="6" t="s">
        <v>1786</v>
      </c>
      <c r="B567" s="6" t="s">
        <v>2656</v>
      </c>
      <c r="C567" s="6" t="s">
        <v>110</v>
      </c>
      <c r="D567" s="6" t="s">
        <v>2719</v>
      </c>
      <c r="E567" s="6" t="s">
        <v>2722</v>
      </c>
      <c r="F567" s="6" t="s">
        <v>2722</v>
      </c>
      <c r="G567" s="6" t="s">
        <v>1790</v>
      </c>
      <c r="H567" s="6" t="s">
        <v>2723</v>
      </c>
      <c r="I567" s="6">
        <v>2</v>
      </c>
      <c r="J567" s="6">
        <v>0</v>
      </c>
      <c r="K567" s="6">
        <v>0</v>
      </c>
      <c r="L567" s="6">
        <v>0</v>
      </c>
      <c r="M567" s="6">
        <v>0</v>
      </c>
      <c r="N567" s="6">
        <v>1</v>
      </c>
      <c r="O567" s="6">
        <v>1</v>
      </c>
    </row>
    <row r="568" spans="1:15" hidden="1">
      <c r="A568" s="6" t="s">
        <v>1786</v>
      </c>
      <c r="B568" s="6" t="s">
        <v>2656</v>
      </c>
      <c r="C568" s="6" t="s">
        <v>110</v>
      </c>
      <c r="D568" s="6" t="s">
        <v>1831</v>
      </c>
      <c r="E568" s="6" t="s">
        <v>2328</v>
      </c>
      <c r="F568" s="6" t="s">
        <v>2724</v>
      </c>
      <c r="G568" s="6" t="s">
        <v>1790</v>
      </c>
      <c r="H568" s="6" t="s">
        <v>2725</v>
      </c>
      <c r="I568" s="6">
        <v>1</v>
      </c>
      <c r="J568" s="6">
        <v>0</v>
      </c>
      <c r="K568" s="6">
        <v>0</v>
      </c>
      <c r="L568" s="6">
        <v>0</v>
      </c>
      <c r="M568" s="6">
        <v>0</v>
      </c>
      <c r="N568" s="6">
        <v>0</v>
      </c>
      <c r="O568" s="6">
        <v>0</v>
      </c>
    </row>
    <row r="569" spans="1:15" hidden="1">
      <c r="A569" s="6" t="s">
        <v>1786</v>
      </c>
      <c r="B569" s="6" t="s">
        <v>2656</v>
      </c>
      <c r="C569" s="6" t="s">
        <v>110</v>
      </c>
      <c r="D569" s="6" t="s">
        <v>1831</v>
      </c>
      <c r="E569" s="6" t="s">
        <v>2328</v>
      </c>
      <c r="F569" s="6" t="s">
        <v>2724</v>
      </c>
      <c r="G569" s="6" t="s">
        <v>1790</v>
      </c>
      <c r="H569" s="6" t="s">
        <v>2724</v>
      </c>
      <c r="I569" s="6">
        <v>2</v>
      </c>
      <c r="J569" s="6">
        <v>0</v>
      </c>
      <c r="K569" s="6">
        <v>0</v>
      </c>
      <c r="L569" s="6">
        <v>0</v>
      </c>
      <c r="M569" s="6">
        <v>0</v>
      </c>
      <c r="N569" s="6">
        <v>1</v>
      </c>
      <c r="O569" s="6">
        <v>1</v>
      </c>
    </row>
    <row r="570" spans="1:15" hidden="1">
      <c r="A570" s="6" t="s">
        <v>1786</v>
      </c>
      <c r="B570" s="6" t="s">
        <v>2656</v>
      </c>
      <c r="C570" s="6" t="s">
        <v>110</v>
      </c>
      <c r="D570" s="6" t="s">
        <v>1831</v>
      </c>
      <c r="E570" s="6" t="s">
        <v>2726</v>
      </c>
      <c r="F570" s="6" t="s">
        <v>2727</v>
      </c>
      <c r="G570" s="6" t="s">
        <v>1790</v>
      </c>
      <c r="H570" s="6" t="s">
        <v>2728</v>
      </c>
      <c r="I570" s="6">
        <v>1</v>
      </c>
      <c r="J570" s="6">
        <v>0</v>
      </c>
      <c r="K570" s="6">
        <v>0</v>
      </c>
      <c r="L570" s="6">
        <v>0</v>
      </c>
      <c r="M570" s="6">
        <v>0</v>
      </c>
      <c r="N570" s="6">
        <v>0</v>
      </c>
      <c r="O570" s="6">
        <v>0</v>
      </c>
    </row>
    <row r="571" spans="1:15" hidden="1">
      <c r="A571" s="6" t="s">
        <v>1786</v>
      </c>
      <c r="B571" s="6" t="s">
        <v>2656</v>
      </c>
      <c r="C571" s="6" t="s">
        <v>110</v>
      </c>
      <c r="D571" s="6" t="s">
        <v>1831</v>
      </c>
      <c r="E571" s="6" t="s">
        <v>2729</v>
      </c>
      <c r="F571" s="6" t="s">
        <v>2730</v>
      </c>
      <c r="G571" s="6" t="s">
        <v>1790</v>
      </c>
      <c r="H571" s="6" t="s">
        <v>2731</v>
      </c>
      <c r="I571" s="6">
        <v>1</v>
      </c>
      <c r="J571" s="6">
        <v>0</v>
      </c>
      <c r="K571" s="6">
        <v>0</v>
      </c>
      <c r="L571" s="6">
        <v>0</v>
      </c>
      <c r="M571" s="6">
        <v>0</v>
      </c>
      <c r="N571" s="6">
        <v>0</v>
      </c>
      <c r="O571" s="6">
        <v>0</v>
      </c>
    </row>
    <row r="572" spans="1:15" hidden="1">
      <c r="A572" s="6" t="s">
        <v>1786</v>
      </c>
      <c r="B572" s="6" t="s">
        <v>2656</v>
      </c>
      <c r="C572" s="6" t="s">
        <v>110</v>
      </c>
      <c r="D572" s="6" t="s">
        <v>1831</v>
      </c>
      <c r="E572" s="6" t="s">
        <v>2729</v>
      </c>
      <c r="F572" s="6" t="s">
        <v>2732</v>
      </c>
      <c r="G572" s="6" t="s">
        <v>1790</v>
      </c>
      <c r="H572" s="6" t="s">
        <v>2733</v>
      </c>
      <c r="I572" s="6">
        <v>1</v>
      </c>
      <c r="J572" s="6">
        <v>0</v>
      </c>
      <c r="K572" s="6">
        <v>0</v>
      </c>
      <c r="L572" s="6">
        <v>0</v>
      </c>
      <c r="M572" s="6">
        <v>0</v>
      </c>
      <c r="N572" s="6">
        <v>0</v>
      </c>
      <c r="O572" s="6">
        <v>0</v>
      </c>
    </row>
    <row r="573" spans="1:15" hidden="1">
      <c r="A573" s="6" t="s">
        <v>1786</v>
      </c>
      <c r="B573" s="6" t="s">
        <v>2656</v>
      </c>
      <c r="C573" s="6" t="s">
        <v>110</v>
      </c>
      <c r="D573" s="6" t="s">
        <v>1831</v>
      </c>
      <c r="E573" s="6" t="s">
        <v>2734</v>
      </c>
      <c r="F573" s="6" t="s">
        <v>2734</v>
      </c>
      <c r="G573" s="6" t="s">
        <v>1790</v>
      </c>
      <c r="H573" s="6" t="s">
        <v>2734</v>
      </c>
      <c r="I573" s="6">
        <v>1</v>
      </c>
      <c r="J573" s="6">
        <v>0</v>
      </c>
      <c r="K573" s="6">
        <v>0</v>
      </c>
      <c r="L573" s="6">
        <v>0</v>
      </c>
      <c r="M573" s="6">
        <v>0</v>
      </c>
      <c r="N573" s="6">
        <v>0</v>
      </c>
      <c r="O573" s="6">
        <v>0</v>
      </c>
    </row>
    <row r="574" spans="1:15" hidden="1">
      <c r="A574" s="6" t="s">
        <v>1786</v>
      </c>
      <c r="B574" s="6" t="s">
        <v>2656</v>
      </c>
      <c r="C574" s="6" t="s">
        <v>110</v>
      </c>
      <c r="D574" s="6" t="s">
        <v>1831</v>
      </c>
      <c r="E574" s="6" t="s">
        <v>2734</v>
      </c>
      <c r="F574" s="6" t="s">
        <v>2734</v>
      </c>
      <c r="G574" s="6" t="s">
        <v>1790</v>
      </c>
      <c r="H574" s="6" t="s">
        <v>2735</v>
      </c>
      <c r="I574" s="6">
        <v>1</v>
      </c>
      <c r="J574" s="6">
        <v>0</v>
      </c>
      <c r="K574" s="6">
        <v>0</v>
      </c>
      <c r="L574" s="6">
        <v>0</v>
      </c>
      <c r="M574" s="6">
        <v>0</v>
      </c>
      <c r="N574" s="6">
        <v>0</v>
      </c>
      <c r="O574" s="6">
        <v>0</v>
      </c>
    </row>
    <row r="575" spans="1:15" hidden="1">
      <c r="A575" s="6" t="s">
        <v>1786</v>
      </c>
      <c r="B575" s="6" t="s">
        <v>2656</v>
      </c>
      <c r="C575" s="6" t="s">
        <v>110</v>
      </c>
      <c r="D575" s="6" t="s">
        <v>1831</v>
      </c>
      <c r="E575" s="6" t="s">
        <v>2736</v>
      </c>
      <c r="F575" s="6" t="s">
        <v>2737</v>
      </c>
      <c r="G575" s="6" t="s">
        <v>1790</v>
      </c>
      <c r="H575" s="6" t="s">
        <v>2738</v>
      </c>
      <c r="I575" s="6">
        <v>1</v>
      </c>
      <c r="J575" s="6">
        <v>0</v>
      </c>
      <c r="K575" s="6">
        <v>0</v>
      </c>
      <c r="L575" s="6">
        <v>0</v>
      </c>
      <c r="M575" s="6">
        <v>0</v>
      </c>
      <c r="N575" s="6">
        <v>0</v>
      </c>
      <c r="O575" s="6">
        <v>0</v>
      </c>
    </row>
    <row r="576" spans="1:15" hidden="1">
      <c r="A576" s="6" t="s">
        <v>1786</v>
      </c>
      <c r="B576" s="6" t="s">
        <v>2656</v>
      </c>
      <c r="C576" s="6" t="s">
        <v>110</v>
      </c>
      <c r="D576" s="6" t="s">
        <v>1831</v>
      </c>
      <c r="E576" s="6" t="s">
        <v>2739</v>
      </c>
      <c r="F576" s="6" t="s">
        <v>2740</v>
      </c>
      <c r="G576" s="6" t="s">
        <v>1790</v>
      </c>
      <c r="H576" s="6" t="s">
        <v>2741</v>
      </c>
      <c r="I576" s="6">
        <v>1</v>
      </c>
      <c r="J576" s="6">
        <v>0</v>
      </c>
      <c r="K576" s="6">
        <v>0</v>
      </c>
      <c r="L576" s="6">
        <v>0</v>
      </c>
      <c r="M576" s="6">
        <v>0</v>
      </c>
      <c r="N576" s="6">
        <v>0</v>
      </c>
      <c r="O576" s="6">
        <v>0</v>
      </c>
    </row>
    <row r="577" spans="1:15" hidden="1">
      <c r="A577" s="6" t="s">
        <v>1786</v>
      </c>
      <c r="B577" s="6" t="s">
        <v>2656</v>
      </c>
      <c r="C577" s="6" t="s">
        <v>110</v>
      </c>
      <c r="D577" s="6" t="s">
        <v>1831</v>
      </c>
      <c r="E577" s="6" t="s">
        <v>2742</v>
      </c>
      <c r="F577" s="6" t="s">
        <v>2743</v>
      </c>
      <c r="G577" s="6" t="s">
        <v>1790</v>
      </c>
      <c r="H577" s="6" t="s">
        <v>2743</v>
      </c>
      <c r="I577" s="6">
        <v>4</v>
      </c>
      <c r="J577" s="6">
        <v>1</v>
      </c>
      <c r="K577" s="6">
        <v>0.25</v>
      </c>
      <c r="L577" s="6">
        <v>0.84</v>
      </c>
      <c r="M577" s="6">
        <v>0.84</v>
      </c>
      <c r="N577" s="6">
        <v>1</v>
      </c>
      <c r="O577" s="6">
        <v>1</v>
      </c>
    </row>
    <row r="578" spans="1:15" hidden="1">
      <c r="A578" s="6" t="s">
        <v>1786</v>
      </c>
      <c r="B578" s="6" t="s">
        <v>2656</v>
      </c>
      <c r="C578" s="6" t="s">
        <v>110</v>
      </c>
      <c r="D578" s="6" t="s">
        <v>1831</v>
      </c>
      <c r="E578" s="6" t="s">
        <v>2744</v>
      </c>
      <c r="F578" s="6" t="s">
        <v>2745</v>
      </c>
      <c r="G578" s="6" t="s">
        <v>1790</v>
      </c>
      <c r="H578" s="6" t="s">
        <v>2746</v>
      </c>
      <c r="I578" s="6">
        <v>4</v>
      </c>
      <c r="J578" s="6">
        <v>0</v>
      </c>
      <c r="K578" s="6">
        <v>0</v>
      </c>
      <c r="L578" s="6">
        <v>0</v>
      </c>
      <c r="M578" s="6">
        <v>0</v>
      </c>
      <c r="N578" s="6">
        <v>0.33329999999999999</v>
      </c>
      <c r="O578" s="6">
        <v>0.33329999999999999</v>
      </c>
    </row>
    <row r="579" spans="1:15" hidden="1">
      <c r="A579" s="6" t="s">
        <v>1786</v>
      </c>
      <c r="B579" s="6" t="s">
        <v>2656</v>
      </c>
      <c r="C579" s="6" t="s">
        <v>110</v>
      </c>
      <c r="D579" s="6" t="s">
        <v>1831</v>
      </c>
      <c r="E579" s="6" t="s">
        <v>2747</v>
      </c>
      <c r="F579" s="6" t="s">
        <v>2748</v>
      </c>
      <c r="G579" s="6" t="s">
        <v>1790</v>
      </c>
      <c r="H579" s="6" t="s">
        <v>2749</v>
      </c>
      <c r="I579" s="6">
        <v>1</v>
      </c>
      <c r="J579" s="6">
        <v>0</v>
      </c>
      <c r="K579" s="6">
        <v>0</v>
      </c>
      <c r="L579" s="6">
        <v>0</v>
      </c>
      <c r="M579" s="6">
        <v>0</v>
      </c>
      <c r="N579" s="6">
        <v>0</v>
      </c>
      <c r="O579" s="6">
        <v>0</v>
      </c>
    </row>
    <row r="580" spans="1:15" hidden="1">
      <c r="A580" s="6" t="s">
        <v>1786</v>
      </c>
      <c r="B580" s="6" t="s">
        <v>2656</v>
      </c>
      <c r="C580" s="6" t="s">
        <v>110</v>
      </c>
      <c r="D580" s="6" t="s">
        <v>1831</v>
      </c>
      <c r="E580" s="6" t="s">
        <v>2747</v>
      </c>
      <c r="F580" s="6" t="s">
        <v>2748</v>
      </c>
      <c r="G580" s="6" t="s">
        <v>1790</v>
      </c>
      <c r="H580" s="6" t="s">
        <v>2750</v>
      </c>
      <c r="I580" s="6">
        <v>8</v>
      </c>
      <c r="J580" s="6">
        <v>1</v>
      </c>
      <c r="K580" s="6">
        <v>0.125</v>
      </c>
      <c r="L580" s="6">
        <v>1.4</v>
      </c>
      <c r="M580" s="6">
        <v>1.4</v>
      </c>
      <c r="N580" s="6">
        <v>0.6</v>
      </c>
      <c r="O580" s="6">
        <v>0.6</v>
      </c>
    </row>
    <row r="581" spans="1:15" hidden="1">
      <c r="A581" s="6" t="s">
        <v>1786</v>
      </c>
      <c r="B581" s="6" t="s">
        <v>2656</v>
      </c>
      <c r="C581" s="6" t="s">
        <v>110</v>
      </c>
      <c r="D581" s="6" t="s">
        <v>1831</v>
      </c>
      <c r="E581" s="6" t="s">
        <v>2747</v>
      </c>
      <c r="F581" s="6" t="s">
        <v>2751</v>
      </c>
      <c r="G581" s="6" t="s">
        <v>1790</v>
      </c>
      <c r="H581" s="6" t="s">
        <v>2752</v>
      </c>
      <c r="I581" s="6">
        <v>1</v>
      </c>
      <c r="J581" s="6">
        <v>0</v>
      </c>
      <c r="K581" s="6">
        <v>0</v>
      </c>
      <c r="L581" s="6">
        <v>0</v>
      </c>
      <c r="M581" s="6">
        <v>0</v>
      </c>
      <c r="N581" s="6">
        <v>0</v>
      </c>
      <c r="O581" s="6">
        <v>0</v>
      </c>
    </row>
    <row r="582" spans="1:15" hidden="1">
      <c r="A582" s="6" t="s">
        <v>1786</v>
      </c>
      <c r="B582" s="6" t="s">
        <v>2656</v>
      </c>
      <c r="C582" s="6" t="s">
        <v>110</v>
      </c>
      <c r="D582" s="6" t="s">
        <v>1831</v>
      </c>
      <c r="E582" s="6" t="s">
        <v>2747</v>
      </c>
      <c r="F582" s="6" t="s">
        <v>2747</v>
      </c>
      <c r="G582" s="6" t="s">
        <v>1790</v>
      </c>
      <c r="H582" s="6" t="s">
        <v>2747</v>
      </c>
      <c r="I582" s="6">
        <v>1</v>
      </c>
      <c r="J582" s="6">
        <v>0</v>
      </c>
      <c r="K582" s="6">
        <v>0</v>
      </c>
      <c r="L582" s="6">
        <v>0</v>
      </c>
      <c r="M582" s="6">
        <v>0</v>
      </c>
      <c r="N582" s="6">
        <v>1</v>
      </c>
      <c r="O582" s="6">
        <v>1</v>
      </c>
    </row>
    <row r="583" spans="1:15" hidden="1">
      <c r="A583" s="6" t="s">
        <v>1786</v>
      </c>
      <c r="B583" s="6" t="s">
        <v>2656</v>
      </c>
      <c r="C583" s="6" t="s">
        <v>110</v>
      </c>
      <c r="D583" s="6" t="s">
        <v>1831</v>
      </c>
      <c r="E583" s="6" t="s">
        <v>2753</v>
      </c>
      <c r="F583" s="6" t="s">
        <v>2754</v>
      </c>
      <c r="G583" s="6" t="s">
        <v>1790</v>
      </c>
      <c r="H583" s="6" t="s">
        <v>2755</v>
      </c>
      <c r="I583" s="6">
        <v>1</v>
      </c>
      <c r="J583" s="6">
        <v>0</v>
      </c>
      <c r="K583" s="6">
        <v>0</v>
      </c>
      <c r="L583" s="6">
        <v>0</v>
      </c>
      <c r="M583" s="6">
        <v>0</v>
      </c>
      <c r="N583" s="6">
        <v>1</v>
      </c>
      <c r="O583" s="6">
        <v>1</v>
      </c>
    </row>
    <row r="584" spans="1:15" hidden="1">
      <c r="A584" s="6" t="s">
        <v>1786</v>
      </c>
      <c r="B584" s="6" t="s">
        <v>2656</v>
      </c>
      <c r="C584" s="6" t="s">
        <v>110</v>
      </c>
      <c r="D584" s="6" t="s">
        <v>1831</v>
      </c>
      <c r="E584" s="6" t="s">
        <v>2756</v>
      </c>
      <c r="F584" s="6" t="s">
        <v>2757</v>
      </c>
      <c r="G584" s="6" t="s">
        <v>1790</v>
      </c>
      <c r="H584" s="6" t="s">
        <v>2758</v>
      </c>
      <c r="I584" s="6">
        <v>1</v>
      </c>
      <c r="J584" s="6">
        <v>0</v>
      </c>
      <c r="K584" s="6">
        <v>0</v>
      </c>
      <c r="L584" s="6">
        <v>0</v>
      </c>
      <c r="M584" s="6">
        <v>0</v>
      </c>
      <c r="N584" s="6">
        <v>0</v>
      </c>
      <c r="O584" s="6">
        <v>0</v>
      </c>
    </row>
    <row r="585" spans="1:15" hidden="1">
      <c r="A585" s="6" t="s">
        <v>1786</v>
      </c>
      <c r="B585" s="6" t="s">
        <v>2656</v>
      </c>
      <c r="C585" s="6" t="s">
        <v>110</v>
      </c>
      <c r="D585" s="6" t="s">
        <v>1831</v>
      </c>
      <c r="E585" s="6" t="s">
        <v>2756</v>
      </c>
      <c r="F585" s="6" t="s">
        <v>2756</v>
      </c>
      <c r="G585" s="6" t="s">
        <v>1790</v>
      </c>
      <c r="H585" s="6" t="s">
        <v>2756</v>
      </c>
      <c r="I585" s="6">
        <v>1</v>
      </c>
      <c r="J585" s="6">
        <v>0</v>
      </c>
      <c r="K585" s="6">
        <v>0</v>
      </c>
      <c r="L585" s="6">
        <v>0</v>
      </c>
      <c r="M585" s="6">
        <v>0</v>
      </c>
      <c r="N585" s="6">
        <v>0</v>
      </c>
      <c r="O585" s="6">
        <v>0</v>
      </c>
    </row>
    <row r="586" spans="1:15" hidden="1">
      <c r="A586" s="6" t="s">
        <v>1786</v>
      </c>
      <c r="B586" s="6" t="s">
        <v>2656</v>
      </c>
      <c r="C586" s="6" t="s">
        <v>110</v>
      </c>
      <c r="D586" s="6" t="s">
        <v>1831</v>
      </c>
      <c r="E586" s="6" t="s">
        <v>2759</v>
      </c>
      <c r="F586" s="6" t="s">
        <v>2760</v>
      </c>
      <c r="G586" s="6" t="s">
        <v>1790</v>
      </c>
      <c r="H586" s="6" t="s">
        <v>2761</v>
      </c>
      <c r="I586" s="6">
        <v>1</v>
      </c>
      <c r="J586" s="6">
        <v>0</v>
      </c>
      <c r="K586" s="6">
        <v>0</v>
      </c>
      <c r="L586" s="6">
        <v>0</v>
      </c>
      <c r="M586" s="6">
        <v>0</v>
      </c>
      <c r="N586" s="6">
        <v>0</v>
      </c>
      <c r="O586" s="6">
        <v>0</v>
      </c>
    </row>
    <row r="587" spans="1:15" hidden="1">
      <c r="A587" s="6" t="s">
        <v>1786</v>
      </c>
      <c r="B587" s="6" t="s">
        <v>2656</v>
      </c>
      <c r="C587" s="6" t="s">
        <v>110</v>
      </c>
      <c r="D587" s="6" t="s">
        <v>1831</v>
      </c>
      <c r="E587" s="6" t="s">
        <v>2762</v>
      </c>
      <c r="G587" s="6" t="s">
        <v>1790</v>
      </c>
      <c r="H587" s="6" t="s">
        <v>2763</v>
      </c>
      <c r="I587" s="6">
        <v>1</v>
      </c>
      <c r="J587" s="6">
        <v>1</v>
      </c>
      <c r="K587" s="6">
        <v>1</v>
      </c>
      <c r="L587" s="6">
        <v>0.06</v>
      </c>
      <c r="M587" s="6">
        <v>0.06</v>
      </c>
      <c r="N587" s="6">
        <v>1</v>
      </c>
      <c r="O587" s="6">
        <v>1</v>
      </c>
    </row>
    <row r="588" spans="1:15" hidden="1">
      <c r="A588" s="6" t="s">
        <v>1786</v>
      </c>
      <c r="B588" s="6" t="s">
        <v>2656</v>
      </c>
      <c r="C588" s="6" t="s">
        <v>110</v>
      </c>
      <c r="D588" s="6" t="s">
        <v>1831</v>
      </c>
      <c r="E588" s="6" t="s">
        <v>2764</v>
      </c>
      <c r="F588" s="6" t="s">
        <v>2765</v>
      </c>
      <c r="G588" s="6" t="s">
        <v>1790</v>
      </c>
      <c r="H588" s="6" t="s">
        <v>2766</v>
      </c>
      <c r="I588" s="6">
        <v>1</v>
      </c>
      <c r="J588" s="6">
        <v>0</v>
      </c>
      <c r="K588" s="6">
        <v>0</v>
      </c>
      <c r="L588" s="6">
        <v>0</v>
      </c>
      <c r="M588" s="6">
        <v>0</v>
      </c>
      <c r="N588" s="6">
        <v>0</v>
      </c>
      <c r="O588" s="6">
        <v>0</v>
      </c>
    </row>
    <row r="589" spans="1:15" hidden="1">
      <c r="A589" s="6" t="s">
        <v>1786</v>
      </c>
      <c r="B589" s="6" t="s">
        <v>2656</v>
      </c>
      <c r="C589" s="6" t="s">
        <v>110</v>
      </c>
      <c r="D589" s="6" t="s">
        <v>1831</v>
      </c>
      <c r="E589" s="6" t="s">
        <v>2764</v>
      </c>
      <c r="F589" s="6" t="s">
        <v>2765</v>
      </c>
      <c r="G589" s="6" t="s">
        <v>1790</v>
      </c>
      <c r="H589" s="6" t="s">
        <v>2767</v>
      </c>
      <c r="I589" s="6">
        <v>1</v>
      </c>
      <c r="J589" s="6">
        <v>0</v>
      </c>
      <c r="K589" s="6">
        <v>0</v>
      </c>
      <c r="L589" s="6">
        <v>0</v>
      </c>
      <c r="M589" s="6">
        <v>0</v>
      </c>
      <c r="N589" s="6">
        <v>0</v>
      </c>
      <c r="O589" s="6">
        <v>0</v>
      </c>
    </row>
    <row r="590" spans="1:15" hidden="1">
      <c r="A590" s="6" t="s">
        <v>1786</v>
      </c>
      <c r="B590" s="6" t="s">
        <v>2656</v>
      </c>
      <c r="C590" s="6" t="s">
        <v>110</v>
      </c>
      <c r="D590" s="6" t="s">
        <v>1831</v>
      </c>
      <c r="E590" s="6" t="s">
        <v>2764</v>
      </c>
      <c r="F590" s="6" t="s">
        <v>2768</v>
      </c>
      <c r="G590" s="6" t="s">
        <v>1790</v>
      </c>
      <c r="H590" s="6" t="s">
        <v>2769</v>
      </c>
      <c r="I590" s="6">
        <v>6</v>
      </c>
      <c r="J590" s="6">
        <v>0</v>
      </c>
      <c r="K590" s="6">
        <v>0</v>
      </c>
      <c r="L590" s="6">
        <v>0</v>
      </c>
      <c r="M590" s="6">
        <v>0</v>
      </c>
      <c r="N590" s="6">
        <v>0</v>
      </c>
      <c r="O590" s="6">
        <v>0</v>
      </c>
    </row>
    <row r="591" spans="1:15" hidden="1">
      <c r="A591" s="6" t="s">
        <v>1786</v>
      </c>
      <c r="B591" s="6" t="s">
        <v>2656</v>
      </c>
      <c r="C591" s="6" t="s">
        <v>110</v>
      </c>
      <c r="D591" s="6" t="s">
        <v>1831</v>
      </c>
      <c r="E591" s="6" t="s">
        <v>2764</v>
      </c>
      <c r="F591" s="6" t="s">
        <v>2768</v>
      </c>
      <c r="G591" s="6" t="s">
        <v>1790</v>
      </c>
      <c r="H591" s="6" t="s">
        <v>2770</v>
      </c>
      <c r="I591" s="6">
        <v>1</v>
      </c>
      <c r="J591" s="6">
        <v>1</v>
      </c>
      <c r="K591" s="6">
        <v>1</v>
      </c>
      <c r="L591" s="6">
        <v>0.73</v>
      </c>
      <c r="M591" s="6">
        <v>0.73</v>
      </c>
      <c r="N591" s="6">
        <v>0</v>
      </c>
      <c r="O591" s="6">
        <v>0</v>
      </c>
    </row>
    <row r="592" spans="1:15" hidden="1">
      <c r="A592" s="6" t="s">
        <v>1786</v>
      </c>
      <c r="B592" s="6" t="s">
        <v>2656</v>
      </c>
      <c r="C592" s="6" t="s">
        <v>110</v>
      </c>
      <c r="D592" s="6" t="s">
        <v>1831</v>
      </c>
      <c r="E592" s="6" t="s">
        <v>2764</v>
      </c>
      <c r="F592" s="6" t="s">
        <v>2764</v>
      </c>
      <c r="G592" s="6" t="s">
        <v>1790</v>
      </c>
      <c r="H592" s="6" t="s">
        <v>2771</v>
      </c>
      <c r="I592" s="6">
        <v>15</v>
      </c>
      <c r="J592" s="6">
        <v>1</v>
      </c>
      <c r="K592" s="6">
        <v>6.6699999999999995E-2</v>
      </c>
      <c r="L592" s="6">
        <v>7.0000000000000007E-2</v>
      </c>
      <c r="M592" s="6">
        <v>7.0000000000000007E-2</v>
      </c>
      <c r="N592" s="6">
        <v>1</v>
      </c>
      <c r="O592" s="6">
        <v>1</v>
      </c>
    </row>
    <row r="593" spans="1:15" hidden="1">
      <c r="A593" s="6" t="s">
        <v>1786</v>
      </c>
      <c r="B593" s="6" t="s">
        <v>2656</v>
      </c>
      <c r="C593" s="6" t="s">
        <v>110</v>
      </c>
      <c r="D593" s="6" t="s">
        <v>1831</v>
      </c>
      <c r="E593" s="6" t="s">
        <v>2764</v>
      </c>
      <c r="F593" s="6" t="s">
        <v>2764</v>
      </c>
      <c r="G593" s="6" t="s">
        <v>1790</v>
      </c>
      <c r="H593" s="6" t="s">
        <v>2772</v>
      </c>
      <c r="I593" s="6">
        <v>3</v>
      </c>
      <c r="J593" s="6">
        <v>0</v>
      </c>
      <c r="K593" s="6">
        <v>0</v>
      </c>
      <c r="L593" s="6">
        <v>0</v>
      </c>
      <c r="M593" s="6">
        <v>0</v>
      </c>
      <c r="N593" s="6">
        <v>0.5</v>
      </c>
      <c r="O593" s="6">
        <v>0.5</v>
      </c>
    </row>
    <row r="594" spans="1:15" hidden="1">
      <c r="A594" s="6" t="s">
        <v>1786</v>
      </c>
      <c r="B594" s="6" t="s">
        <v>2656</v>
      </c>
      <c r="C594" s="6" t="s">
        <v>110</v>
      </c>
      <c r="D594" s="6" t="s">
        <v>1831</v>
      </c>
      <c r="E594" s="6" t="s">
        <v>2764</v>
      </c>
      <c r="F594" s="6" t="s">
        <v>2764</v>
      </c>
      <c r="G594" s="6" t="s">
        <v>1790</v>
      </c>
      <c r="H594" s="6" t="s">
        <v>2773</v>
      </c>
      <c r="I594" s="6">
        <v>4</v>
      </c>
      <c r="J594" s="6">
        <v>0</v>
      </c>
      <c r="K594" s="6">
        <v>0</v>
      </c>
      <c r="L594" s="6">
        <v>0</v>
      </c>
      <c r="M594" s="6">
        <v>0</v>
      </c>
      <c r="N594" s="6">
        <v>0.25</v>
      </c>
      <c r="O594" s="6">
        <v>0.25</v>
      </c>
    </row>
    <row r="595" spans="1:15" hidden="1">
      <c r="A595" s="6" t="s">
        <v>1786</v>
      </c>
      <c r="B595" s="6" t="s">
        <v>2656</v>
      </c>
      <c r="C595" s="6" t="s">
        <v>110</v>
      </c>
      <c r="D595" s="6" t="s">
        <v>1831</v>
      </c>
      <c r="E595" s="6" t="s">
        <v>2764</v>
      </c>
      <c r="F595" s="6" t="s">
        <v>2764</v>
      </c>
      <c r="G595" s="6" t="s">
        <v>1790</v>
      </c>
      <c r="H595" s="6" t="s">
        <v>2774</v>
      </c>
      <c r="I595" s="6">
        <v>1</v>
      </c>
      <c r="J595" s="6">
        <v>0</v>
      </c>
      <c r="K595" s="6">
        <v>0</v>
      </c>
      <c r="L595" s="6">
        <v>0</v>
      </c>
      <c r="M595" s="6">
        <v>0</v>
      </c>
      <c r="N595" s="6">
        <v>0</v>
      </c>
      <c r="O595" s="6">
        <v>0</v>
      </c>
    </row>
    <row r="596" spans="1:15" hidden="1">
      <c r="A596" s="6" t="s">
        <v>1786</v>
      </c>
      <c r="B596" s="6" t="s">
        <v>2656</v>
      </c>
      <c r="C596" s="6" t="s">
        <v>110</v>
      </c>
      <c r="D596" s="6" t="s">
        <v>1831</v>
      </c>
      <c r="E596" s="6" t="s">
        <v>2764</v>
      </c>
      <c r="F596" s="6" t="s">
        <v>2764</v>
      </c>
      <c r="G596" s="6" t="s">
        <v>1790</v>
      </c>
      <c r="H596" s="6" t="s">
        <v>2775</v>
      </c>
      <c r="I596" s="6">
        <v>1</v>
      </c>
      <c r="J596" s="6">
        <v>0</v>
      </c>
      <c r="K596" s="6">
        <v>0</v>
      </c>
      <c r="L596" s="6">
        <v>0</v>
      </c>
      <c r="M596" s="6">
        <v>0</v>
      </c>
      <c r="N596" s="6">
        <v>1</v>
      </c>
      <c r="O596" s="6">
        <v>1</v>
      </c>
    </row>
    <row r="597" spans="1:15" hidden="1">
      <c r="A597" s="6" t="s">
        <v>1786</v>
      </c>
      <c r="B597" s="6" t="s">
        <v>2656</v>
      </c>
      <c r="C597" s="6" t="s">
        <v>110</v>
      </c>
      <c r="D597" s="6" t="s">
        <v>1831</v>
      </c>
      <c r="E597" s="6" t="s">
        <v>2764</v>
      </c>
      <c r="F597" s="6" t="s">
        <v>2764</v>
      </c>
      <c r="G597" s="6" t="s">
        <v>1790</v>
      </c>
      <c r="H597" s="6" t="s">
        <v>2776</v>
      </c>
      <c r="I597" s="6">
        <v>1</v>
      </c>
      <c r="J597" s="6">
        <v>0</v>
      </c>
      <c r="K597" s="6">
        <v>0</v>
      </c>
      <c r="L597" s="6">
        <v>0</v>
      </c>
      <c r="M597" s="6">
        <v>0</v>
      </c>
      <c r="N597" s="6">
        <v>1</v>
      </c>
      <c r="O597" s="6">
        <v>1</v>
      </c>
    </row>
    <row r="598" spans="1:15" hidden="1">
      <c r="A598" s="6" t="s">
        <v>1786</v>
      </c>
      <c r="B598" s="6" t="s">
        <v>2656</v>
      </c>
      <c r="C598" s="6" t="s">
        <v>110</v>
      </c>
      <c r="D598" s="6" t="s">
        <v>1831</v>
      </c>
      <c r="E598" s="6" t="s">
        <v>2764</v>
      </c>
      <c r="F598" s="6" t="s">
        <v>2764</v>
      </c>
      <c r="G598" s="6" t="s">
        <v>1790</v>
      </c>
      <c r="H598" s="6" t="s">
        <v>2777</v>
      </c>
      <c r="I598" s="6">
        <v>2</v>
      </c>
      <c r="J598" s="6">
        <v>0</v>
      </c>
      <c r="K598" s="6">
        <v>0</v>
      </c>
      <c r="L598" s="6">
        <v>0</v>
      </c>
      <c r="M598" s="6">
        <v>0</v>
      </c>
      <c r="N598" s="6">
        <v>0</v>
      </c>
      <c r="O598" s="6">
        <v>0</v>
      </c>
    </row>
    <row r="599" spans="1:15" hidden="1">
      <c r="A599" s="6" t="s">
        <v>1786</v>
      </c>
      <c r="B599" s="6" t="s">
        <v>2656</v>
      </c>
      <c r="C599" s="6" t="s">
        <v>110</v>
      </c>
      <c r="D599" s="6" t="s">
        <v>1831</v>
      </c>
      <c r="E599" s="6" t="s">
        <v>2764</v>
      </c>
      <c r="F599" s="6" t="s">
        <v>2764</v>
      </c>
      <c r="G599" s="6" t="s">
        <v>1790</v>
      </c>
      <c r="H599" s="6" t="s">
        <v>2764</v>
      </c>
      <c r="I599" s="6">
        <v>6</v>
      </c>
      <c r="J599" s="6">
        <v>0</v>
      </c>
      <c r="K599" s="6">
        <v>0</v>
      </c>
      <c r="L599" s="6">
        <v>0</v>
      </c>
      <c r="M599" s="6">
        <v>0</v>
      </c>
      <c r="N599" s="6">
        <v>0.16670000000000001</v>
      </c>
      <c r="O599" s="6">
        <v>0.16670000000000001</v>
      </c>
    </row>
    <row r="600" spans="1:15" hidden="1">
      <c r="A600" s="6" t="s">
        <v>1786</v>
      </c>
      <c r="B600" s="6" t="s">
        <v>2656</v>
      </c>
      <c r="C600" s="6" t="s">
        <v>110</v>
      </c>
      <c r="D600" s="6" t="s">
        <v>1831</v>
      </c>
      <c r="E600" s="6" t="s">
        <v>2778</v>
      </c>
      <c r="F600" s="6" t="s">
        <v>2779</v>
      </c>
      <c r="G600" s="6" t="s">
        <v>1790</v>
      </c>
      <c r="H600" s="6" t="s">
        <v>2779</v>
      </c>
      <c r="I600" s="6">
        <v>4</v>
      </c>
      <c r="J600" s="6">
        <v>1</v>
      </c>
      <c r="K600" s="6">
        <v>0.25</v>
      </c>
      <c r="L600" s="6">
        <v>0.33</v>
      </c>
      <c r="M600" s="6">
        <v>0.33</v>
      </c>
      <c r="N600" s="6">
        <v>1</v>
      </c>
      <c r="O600" s="6">
        <v>1</v>
      </c>
    </row>
    <row r="601" spans="1:15" hidden="1">
      <c r="A601" s="6" t="s">
        <v>1786</v>
      </c>
      <c r="B601" s="6" t="s">
        <v>2656</v>
      </c>
      <c r="C601" s="6" t="s">
        <v>110</v>
      </c>
      <c r="D601" s="6" t="s">
        <v>1831</v>
      </c>
      <c r="E601" s="6" t="s">
        <v>2778</v>
      </c>
      <c r="F601" s="6" t="s">
        <v>2779</v>
      </c>
      <c r="G601" s="6" t="s">
        <v>1790</v>
      </c>
      <c r="H601" s="6" t="s">
        <v>2780</v>
      </c>
      <c r="I601" s="6">
        <v>4</v>
      </c>
      <c r="J601" s="6">
        <v>2</v>
      </c>
      <c r="K601" s="6">
        <v>0.5</v>
      </c>
      <c r="L601" s="6">
        <v>1.86</v>
      </c>
      <c r="M601" s="6">
        <v>3.72</v>
      </c>
      <c r="N601" s="6">
        <v>1</v>
      </c>
      <c r="O601" s="6">
        <v>1</v>
      </c>
    </row>
    <row r="602" spans="1:15" hidden="1">
      <c r="A602" s="6" t="s">
        <v>1786</v>
      </c>
      <c r="B602" s="6" t="s">
        <v>2656</v>
      </c>
      <c r="C602" s="6" t="s">
        <v>110</v>
      </c>
      <c r="D602" s="6" t="s">
        <v>2781</v>
      </c>
      <c r="F602" s="6" t="s">
        <v>2782</v>
      </c>
      <c r="G602" s="6" t="s">
        <v>1790</v>
      </c>
      <c r="H602" s="6" t="s">
        <v>2783</v>
      </c>
      <c r="I602" s="6">
        <v>2</v>
      </c>
      <c r="J602" s="6">
        <v>0</v>
      </c>
      <c r="K602" s="6">
        <v>0</v>
      </c>
      <c r="L602" s="6">
        <v>0</v>
      </c>
      <c r="M602" s="6">
        <v>0</v>
      </c>
      <c r="N602" s="6">
        <v>1</v>
      </c>
      <c r="O602" s="6">
        <v>1</v>
      </c>
    </row>
    <row r="603" spans="1:15" hidden="1">
      <c r="A603" s="6" t="s">
        <v>1786</v>
      </c>
      <c r="B603" s="6" t="s">
        <v>2656</v>
      </c>
      <c r="C603" s="6" t="s">
        <v>110</v>
      </c>
      <c r="D603" s="6" t="s">
        <v>2781</v>
      </c>
      <c r="E603" s="6" t="s">
        <v>2784</v>
      </c>
      <c r="F603" s="6" t="s">
        <v>2784</v>
      </c>
      <c r="G603" s="6" t="s">
        <v>1790</v>
      </c>
      <c r="H603" s="6" t="s">
        <v>2785</v>
      </c>
      <c r="I603" s="6">
        <v>1</v>
      </c>
      <c r="J603" s="6">
        <v>0</v>
      </c>
      <c r="K603" s="6">
        <v>0</v>
      </c>
      <c r="L603" s="6">
        <v>0</v>
      </c>
      <c r="M603" s="6">
        <v>0</v>
      </c>
      <c r="N603" s="6">
        <v>0</v>
      </c>
      <c r="O603" s="6">
        <v>0</v>
      </c>
    </row>
    <row r="604" spans="1:15" hidden="1">
      <c r="A604" s="6" t="s">
        <v>1786</v>
      </c>
      <c r="B604" s="6" t="s">
        <v>2656</v>
      </c>
      <c r="C604" s="6" t="s">
        <v>110</v>
      </c>
      <c r="D604" s="6" t="s">
        <v>2781</v>
      </c>
      <c r="E604" s="6" t="s">
        <v>2786</v>
      </c>
      <c r="G604" s="6" t="s">
        <v>1790</v>
      </c>
      <c r="H604" s="6" t="s">
        <v>2787</v>
      </c>
      <c r="I604" s="6">
        <v>1</v>
      </c>
      <c r="J604" s="6">
        <v>0</v>
      </c>
      <c r="K604" s="6">
        <v>0</v>
      </c>
      <c r="L604" s="6">
        <v>0</v>
      </c>
      <c r="M604" s="6">
        <v>0</v>
      </c>
      <c r="N604" s="6">
        <v>0</v>
      </c>
      <c r="O604" s="6">
        <v>0</v>
      </c>
    </row>
    <row r="605" spans="1:15" hidden="1">
      <c r="A605" s="6" t="s">
        <v>1786</v>
      </c>
      <c r="B605" s="6" t="s">
        <v>2656</v>
      </c>
      <c r="C605" s="6" t="s">
        <v>110</v>
      </c>
      <c r="D605" s="6" t="s">
        <v>2781</v>
      </c>
      <c r="E605" s="6" t="s">
        <v>2788</v>
      </c>
      <c r="F605" s="6" t="s">
        <v>2788</v>
      </c>
      <c r="G605" s="6" t="s">
        <v>1790</v>
      </c>
      <c r="H605" s="6" t="s">
        <v>2789</v>
      </c>
      <c r="I605" s="6">
        <v>1</v>
      </c>
      <c r="J605" s="6">
        <v>0</v>
      </c>
      <c r="K605" s="6">
        <v>0</v>
      </c>
      <c r="L605" s="6">
        <v>0</v>
      </c>
      <c r="M605" s="6">
        <v>0</v>
      </c>
      <c r="N605" s="6">
        <v>0</v>
      </c>
      <c r="O605" s="6">
        <v>0</v>
      </c>
    </row>
    <row r="606" spans="1:15" hidden="1">
      <c r="A606" s="6" t="s">
        <v>1786</v>
      </c>
      <c r="B606" s="6" t="s">
        <v>2656</v>
      </c>
      <c r="C606" s="6" t="s">
        <v>110</v>
      </c>
      <c r="D606" s="6" t="s">
        <v>2781</v>
      </c>
      <c r="E606" s="6" t="s">
        <v>2788</v>
      </c>
      <c r="F606" s="6" t="s">
        <v>2788</v>
      </c>
      <c r="G606" s="6" t="s">
        <v>1790</v>
      </c>
      <c r="H606" s="6" t="s">
        <v>2790</v>
      </c>
      <c r="I606" s="6">
        <v>1</v>
      </c>
      <c r="J606" s="6">
        <v>0</v>
      </c>
      <c r="K606" s="6">
        <v>0</v>
      </c>
      <c r="L606" s="6">
        <v>0</v>
      </c>
      <c r="M606" s="6">
        <v>0</v>
      </c>
      <c r="N606" s="6">
        <v>0</v>
      </c>
      <c r="O606" s="6">
        <v>0</v>
      </c>
    </row>
    <row r="607" spans="1:15" hidden="1">
      <c r="A607" s="6" t="s">
        <v>1786</v>
      </c>
      <c r="B607" s="6" t="s">
        <v>2656</v>
      </c>
      <c r="C607" s="6" t="s">
        <v>110</v>
      </c>
      <c r="D607" s="6" t="s">
        <v>2781</v>
      </c>
      <c r="E607" s="6" t="s">
        <v>2788</v>
      </c>
      <c r="F607" s="6" t="s">
        <v>2791</v>
      </c>
      <c r="G607" s="6" t="s">
        <v>1790</v>
      </c>
      <c r="H607" s="6" t="s">
        <v>2792</v>
      </c>
      <c r="I607" s="6">
        <v>1</v>
      </c>
      <c r="J607" s="6">
        <v>0</v>
      </c>
      <c r="K607" s="6">
        <v>0</v>
      </c>
      <c r="L607" s="6">
        <v>0</v>
      </c>
      <c r="M607" s="6">
        <v>0</v>
      </c>
      <c r="N607" s="6">
        <v>0</v>
      </c>
      <c r="O607" s="6">
        <v>0</v>
      </c>
    </row>
    <row r="608" spans="1:15" hidden="1">
      <c r="A608" s="6" t="s">
        <v>1786</v>
      </c>
      <c r="B608" s="6" t="s">
        <v>2656</v>
      </c>
      <c r="C608" s="6" t="s">
        <v>110</v>
      </c>
      <c r="D608" s="6" t="s">
        <v>2781</v>
      </c>
      <c r="E608" s="6" t="s">
        <v>2793</v>
      </c>
      <c r="F608" s="6" t="s">
        <v>2794</v>
      </c>
      <c r="G608" s="6" t="s">
        <v>1790</v>
      </c>
      <c r="H608" s="6" t="s">
        <v>2795</v>
      </c>
      <c r="I608" s="6">
        <v>1</v>
      </c>
      <c r="J608" s="6">
        <v>0</v>
      </c>
      <c r="K608" s="6">
        <v>0</v>
      </c>
      <c r="L608" s="6">
        <v>0</v>
      </c>
      <c r="M608" s="6">
        <v>0</v>
      </c>
      <c r="N608" s="6">
        <v>1</v>
      </c>
      <c r="O608" s="6">
        <v>0</v>
      </c>
    </row>
    <row r="609" spans="1:15" hidden="1">
      <c r="A609" s="6" t="s">
        <v>1786</v>
      </c>
      <c r="B609" s="6" t="s">
        <v>2656</v>
      </c>
      <c r="C609" s="6" t="s">
        <v>110</v>
      </c>
      <c r="D609" s="6" t="s">
        <v>2781</v>
      </c>
      <c r="E609" s="6" t="s">
        <v>2793</v>
      </c>
      <c r="F609" s="6" t="s">
        <v>2793</v>
      </c>
      <c r="G609" s="6" t="s">
        <v>1790</v>
      </c>
      <c r="H609" s="6" t="s">
        <v>2796</v>
      </c>
      <c r="I609" s="6">
        <v>2</v>
      </c>
      <c r="J609" s="6">
        <v>1</v>
      </c>
      <c r="K609" s="6">
        <v>0.5</v>
      </c>
      <c r="L609" s="6">
        <v>1.83</v>
      </c>
      <c r="M609" s="6">
        <v>1.83</v>
      </c>
      <c r="N609" s="6">
        <v>1</v>
      </c>
      <c r="O609" s="6">
        <v>1</v>
      </c>
    </row>
    <row r="610" spans="1:15" hidden="1">
      <c r="A610" s="6" t="s">
        <v>1786</v>
      </c>
      <c r="B610" s="6" t="s">
        <v>2656</v>
      </c>
      <c r="C610" s="6" t="s">
        <v>110</v>
      </c>
      <c r="D610" s="6" t="s">
        <v>2781</v>
      </c>
      <c r="E610" s="6" t="s">
        <v>2793</v>
      </c>
      <c r="F610" s="6" t="s">
        <v>2793</v>
      </c>
      <c r="G610" s="6" t="s">
        <v>1790</v>
      </c>
      <c r="H610" s="6" t="s">
        <v>2797</v>
      </c>
      <c r="I610" s="6">
        <v>2</v>
      </c>
      <c r="J610" s="6">
        <v>0</v>
      </c>
      <c r="K610" s="6">
        <v>0</v>
      </c>
      <c r="L610" s="6">
        <v>0</v>
      </c>
      <c r="M610" s="6">
        <v>0</v>
      </c>
      <c r="N610" s="6">
        <v>0</v>
      </c>
      <c r="O610" s="6">
        <v>0</v>
      </c>
    </row>
    <row r="611" spans="1:15" hidden="1">
      <c r="A611" s="6" t="s">
        <v>1786</v>
      </c>
      <c r="B611" s="6" t="s">
        <v>2656</v>
      </c>
      <c r="C611" s="6" t="s">
        <v>110</v>
      </c>
      <c r="D611" s="6" t="s">
        <v>2781</v>
      </c>
      <c r="E611" s="6" t="s">
        <v>2793</v>
      </c>
      <c r="F611" s="6" t="s">
        <v>2793</v>
      </c>
      <c r="G611" s="6" t="s">
        <v>1790</v>
      </c>
      <c r="H611" s="6" t="s">
        <v>2798</v>
      </c>
      <c r="I611" s="6">
        <v>1</v>
      </c>
      <c r="J611" s="6">
        <v>0</v>
      </c>
      <c r="K611" s="6">
        <v>0</v>
      </c>
      <c r="L611" s="6">
        <v>0</v>
      </c>
      <c r="M611" s="6">
        <v>0</v>
      </c>
      <c r="N611" s="6">
        <v>0</v>
      </c>
      <c r="O611" s="6">
        <v>0</v>
      </c>
    </row>
    <row r="612" spans="1:15" hidden="1">
      <c r="A612" s="6" t="s">
        <v>1786</v>
      </c>
      <c r="B612" s="6" t="s">
        <v>2656</v>
      </c>
      <c r="C612" s="6" t="s">
        <v>110</v>
      </c>
      <c r="D612" s="6" t="s">
        <v>2781</v>
      </c>
      <c r="E612" s="6" t="s">
        <v>2793</v>
      </c>
      <c r="F612" s="6" t="s">
        <v>2793</v>
      </c>
      <c r="G612" s="6" t="s">
        <v>1790</v>
      </c>
      <c r="H612" s="6" t="s">
        <v>2799</v>
      </c>
      <c r="I612" s="6">
        <v>1</v>
      </c>
      <c r="J612" s="6">
        <v>1</v>
      </c>
      <c r="K612" s="6">
        <v>1</v>
      </c>
      <c r="L612" s="6">
        <v>1.21</v>
      </c>
      <c r="M612" s="6">
        <v>1.21</v>
      </c>
      <c r="N612" s="6">
        <v>1</v>
      </c>
      <c r="O612" s="6">
        <v>1</v>
      </c>
    </row>
    <row r="613" spans="1:15" hidden="1">
      <c r="A613" s="6" t="s">
        <v>1786</v>
      </c>
      <c r="B613" s="6" t="s">
        <v>2656</v>
      </c>
      <c r="C613" s="6" t="s">
        <v>110</v>
      </c>
      <c r="D613" s="6" t="s">
        <v>2781</v>
      </c>
      <c r="E613" s="6" t="s">
        <v>2793</v>
      </c>
      <c r="F613" s="6" t="s">
        <v>2793</v>
      </c>
      <c r="G613" s="6" t="s">
        <v>1790</v>
      </c>
      <c r="H613" s="6" t="s">
        <v>2800</v>
      </c>
      <c r="I613" s="6">
        <v>1</v>
      </c>
      <c r="J613" s="6">
        <v>0</v>
      </c>
      <c r="K613" s="6">
        <v>0</v>
      </c>
      <c r="L613" s="6">
        <v>0</v>
      </c>
      <c r="M613" s="6">
        <v>0</v>
      </c>
      <c r="N613" s="6">
        <v>0</v>
      </c>
      <c r="O613" s="6">
        <v>0</v>
      </c>
    </row>
    <row r="614" spans="1:15" hidden="1">
      <c r="A614" s="6" t="s">
        <v>1786</v>
      </c>
      <c r="B614" s="6" t="s">
        <v>2656</v>
      </c>
      <c r="C614" s="6" t="s">
        <v>110</v>
      </c>
      <c r="D614" s="6" t="s">
        <v>2781</v>
      </c>
      <c r="E614" s="6" t="s">
        <v>2793</v>
      </c>
      <c r="F614" s="6" t="s">
        <v>2793</v>
      </c>
      <c r="G614" s="6" t="s">
        <v>1790</v>
      </c>
      <c r="H614" s="6" t="s">
        <v>2793</v>
      </c>
      <c r="I614" s="6">
        <v>8</v>
      </c>
      <c r="J614" s="6">
        <v>1</v>
      </c>
      <c r="K614" s="6">
        <v>0.125</v>
      </c>
      <c r="L614" s="6">
        <v>1.51</v>
      </c>
      <c r="M614" s="6">
        <v>1.51</v>
      </c>
      <c r="N614" s="6">
        <v>1</v>
      </c>
      <c r="O614" s="6">
        <v>1</v>
      </c>
    </row>
    <row r="615" spans="1:15" hidden="1">
      <c r="A615" s="6" t="s">
        <v>1786</v>
      </c>
      <c r="B615" s="6" t="s">
        <v>2656</v>
      </c>
      <c r="C615" s="6" t="s">
        <v>110</v>
      </c>
      <c r="D615" s="6" t="s">
        <v>2781</v>
      </c>
      <c r="E615" s="6" t="s">
        <v>2801</v>
      </c>
      <c r="F615" s="6" t="s">
        <v>2802</v>
      </c>
      <c r="G615" s="6" t="s">
        <v>1790</v>
      </c>
      <c r="H615" s="6" t="s">
        <v>2803</v>
      </c>
      <c r="I615" s="6">
        <v>1</v>
      </c>
      <c r="J615" s="6">
        <v>0</v>
      </c>
      <c r="K615" s="6">
        <v>0</v>
      </c>
      <c r="L615" s="6">
        <v>0</v>
      </c>
      <c r="M615" s="6">
        <v>0</v>
      </c>
      <c r="N615" s="6">
        <v>0</v>
      </c>
      <c r="O615" s="6">
        <v>0</v>
      </c>
    </row>
    <row r="616" spans="1:15" hidden="1">
      <c r="A616" s="6" t="s">
        <v>1786</v>
      </c>
      <c r="B616" s="6" t="s">
        <v>2656</v>
      </c>
      <c r="C616" s="6" t="s">
        <v>110</v>
      </c>
      <c r="D616" s="6" t="s">
        <v>2781</v>
      </c>
      <c r="E616" s="6" t="s">
        <v>2804</v>
      </c>
      <c r="F616" s="6" t="s">
        <v>2805</v>
      </c>
      <c r="G616" s="6" t="s">
        <v>1790</v>
      </c>
      <c r="H616" s="6" t="s">
        <v>2806</v>
      </c>
      <c r="I616" s="6">
        <v>1</v>
      </c>
      <c r="J616" s="6">
        <v>0</v>
      </c>
      <c r="K616" s="6">
        <v>0</v>
      </c>
      <c r="L616" s="6">
        <v>0</v>
      </c>
      <c r="M616" s="6">
        <v>0</v>
      </c>
      <c r="N616" s="6">
        <v>0</v>
      </c>
      <c r="O616" s="6">
        <v>0</v>
      </c>
    </row>
    <row r="617" spans="1:15" hidden="1">
      <c r="A617" s="6" t="s">
        <v>1786</v>
      </c>
      <c r="B617" s="6" t="s">
        <v>2656</v>
      </c>
      <c r="C617" s="6" t="s">
        <v>110</v>
      </c>
      <c r="D617" s="6" t="s">
        <v>2781</v>
      </c>
      <c r="E617" s="6" t="s">
        <v>2807</v>
      </c>
      <c r="F617" s="6" t="s">
        <v>2808</v>
      </c>
      <c r="G617" s="6" t="s">
        <v>1790</v>
      </c>
      <c r="H617" s="6" t="s">
        <v>2809</v>
      </c>
      <c r="I617" s="6">
        <v>1</v>
      </c>
      <c r="J617" s="6">
        <v>1</v>
      </c>
      <c r="K617" s="6">
        <v>1</v>
      </c>
      <c r="L617" s="6">
        <v>0.45</v>
      </c>
      <c r="M617" s="6">
        <v>0.45</v>
      </c>
      <c r="N617" s="6">
        <v>1</v>
      </c>
      <c r="O617" s="6">
        <v>1</v>
      </c>
    </row>
    <row r="618" spans="1:15" hidden="1">
      <c r="A618" s="6" t="s">
        <v>1786</v>
      </c>
      <c r="B618" s="6" t="s">
        <v>2810</v>
      </c>
      <c r="C618" s="6" t="s">
        <v>695</v>
      </c>
      <c r="D618" s="6" t="s">
        <v>2811</v>
      </c>
      <c r="E618" s="6" t="s">
        <v>2812</v>
      </c>
      <c r="F618" s="6" t="s">
        <v>2813</v>
      </c>
      <c r="G618" s="6" t="s">
        <v>1790</v>
      </c>
      <c r="H618" s="6" t="s">
        <v>2814</v>
      </c>
      <c r="I618" s="6">
        <v>2</v>
      </c>
      <c r="J618" s="6">
        <v>1</v>
      </c>
      <c r="K618" s="6">
        <v>0.5</v>
      </c>
      <c r="L618" s="6">
        <v>0.59</v>
      </c>
      <c r="M618" s="6">
        <v>0.59</v>
      </c>
      <c r="N618" s="6">
        <v>1</v>
      </c>
      <c r="O618" s="6">
        <v>1</v>
      </c>
    </row>
    <row r="619" spans="1:15" hidden="1">
      <c r="A619" s="6" t="s">
        <v>1786</v>
      </c>
      <c r="B619" s="6" t="s">
        <v>2810</v>
      </c>
      <c r="C619" s="6" t="s">
        <v>695</v>
      </c>
      <c r="D619" s="6" t="s">
        <v>2815</v>
      </c>
      <c r="E619" s="6" t="s">
        <v>2816</v>
      </c>
      <c r="F619" s="6" t="s">
        <v>2817</v>
      </c>
      <c r="G619" s="6" t="s">
        <v>1790</v>
      </c>
      <c r="H619" s="6" t="s">
        <v>2817</v>
      </c>
      <c r="I619" s="6">
        <v>2</v>
      </c>
      <c r="J619" s="6">
        <v>0</v>
      </c>
      <c r="K619" s="6">
        <v>0</v>
      </c>
      <c r="L619" s="6">
        <v>0</v>
      </c>
      <c r="M619" s="6">
        <v>0</v>
      </c>
      <c r="N619" s="6">
        <v>1</v>
      </c>
      <c r="O619" s="6">
        <v>1</v>
      </c>
    </row>
    <row r="620" spans="1:15" hidden="1">
      <c r="A620" s="6" t="s">
        <v>1786</v>
      </c>
      <c r="B620" s="6" t="s">
        <v>2810</v>
      </c>
      <c r="C620" s="6" t="s">
        <v>695</v>
      </c>
      <c r="D620" s="6" t="s">
        <v>2815</v>
      </c>
      <c r="E620" s="6" t="s">
        <v>2816</v>
      </c>
      <c r="F620" s="6" t="s">
        <v>2817</v>
      </c>
      <c r="G620" s="6" t="s">
        <v>1790</v>
      </c>
      <c r="H620" s="6" t="s">
        <v>2818</v>
      </c>
      <c r="I620" s="6">
        <v>4</v>
      </c>
      <c r="J620" s="6">
        <v>1</v>
      </c>
      <c r="K620" s="6">
        <v>0.25</v>
      </c>
      <c r="L620" s="6">
        <v>0.76</v>
      </c>
      <c r="M620" s="6">
        <v>0.76</v>
      </c>
      <c r="N620" s="6">
        <v>1</v>
      </c>
      <c r="O620" s="6">
        <v>1</v>
      </c>
    </row>
    <row r="621" spans="1:15" hidden="1">
      <c r="A621" s="6" t="s">
        <v>1786</v>
      </c>
      <c r="B621" s="6" t="s">
        <v>2819</v>
      </c>
      <c r="C621" s="6" t="s">
        <v>32</v>
      </c>
      <c r="D621" s="6" t="s">
        <v>2820</v>
      </c>
      <c r="G621" s="6" t="s">
        <v>1790</v>
      </c>
      <c r="H621" s="6" t="s">
        <v>2820</v>
      </c>
      <c r="I621" s="6">
        <v>2</v>
      </c>
      <c r="J621" s="6">
        <v>1</v>
      </c>
      <c r="K621" s="6">
        <v>0.5</v>
      </c>
      <c r="L621" s="6">
        <v>0.36</v>
      </c>
      <c r="M621" s="6">
        <v>0.36</v>
      </c>
      <c r="N621" s="6">
        <v>1</v>
      </c>
      <c r="O621" s="6">
        <v>1</v>
      </c>
    </row>
    <row r="622" spans="1:15">
      <c r="A622" s="6" t="s">
        <v>1786</v>
      </c>
      <c r="B622" s="6" t="s">
        <v>2821</v>
      </c>
      <c r="C622" s="6" t="s">
        <v>88</v>
      </c>
      <c r="G622" s="6" t="s">
        <v>1790</v>
      </c>
      <c r="H622" s="6" t="s">
        <v>88</v>
      </c>
      <c r="I622" s="6">
        <v>1</v>
      </c>
      <c r="J622" s="6">
        <v>0</v>
      </c>
      <c r="K622" s="6">
        <v>0</v>
      </c>
      <c r="L622" s="6">
        <v>0</v>
      </c>
      <c r="M622" s="6">
        <v>0</v>
      </c>
      <c r="N622" s="6">
        <v>0</v>
      </c>
      <c r="O622" s="6">
        <v>0</v>
      </c>
    </row>
    <row r="623" spans="1:15">
      <c r="A623" s="6" t="s">
        <v>1786</v>
      </c>
      <c r="B623" s="6" t="s">
        <v>2821</v>
      </c>
      <c r="C623" s="6" t="s">
        <v>88</v>
      </c>
      <c r="D623" s="6" t="s">
        <v>2822</v>
      </c>
      <c r="E623" s="6" t="s">
        <v>2823</v>
      </c>
      <c r="F623" s="6" t="s">
        <v>2824</v>
      </c>
      <c r="G623" s="6" t="s">
        <v>1790</v>
      </c>
      <c r="H623" s="6" t="s">
        <v>2825</v>
      </c>
      <c r="I623" s="6">
        <v>1</v>
      </c>
      <c r="J623" s="6">
        <v>0</v>
      </c>
      <c r="K623" s="6">
        <v>0</v>
      </c>
      <c r="L623" s="6">
        <v>0</v>
      </c>
      <c r="M623" s="6">
        <v>0</v>
      </c>
      <c r="N623" s="6">
        <v>0</v>
      </c>
      <c r="O623" s="6">
        <v>0</v>
      </c>
    </row>
    <row r="624" spans="1:15">
      <c r="A624" s="6" t="s">
        <v>1786</v>
      </c>
      <c r="B624" s="6" t="s">
        <v>2821</v>
      </c>
      <c r="C624" s="6" t="s">
        <v>88</v>
      </c>
      <c r="D624" s="6" t="s">
        <v>2822</v>
      </c>
      <c r="E624" s="6" t="s">
        <v>2826</v>
      </c>
      <c r="F624" s="6" t="s">
        <v>2827</v>
      </c>
      <c r="G624" s="6" t="s">
        <v>1790</v>
      </c>
      <c r="H624" s="6" t="s">
        <v>2828</v>
      </c>
      <c r="I624" s="6">
        <v>4</v>
      </c>
      <c r="J624" s="6">
        <v>1</v>
      </c>
      <c r="K624" s="6">
        <v>0.25</v>
      </c>
      <c r="L624" s="6">
        <v>0.96</v>
      </c>
      <c r="M624" s="6">
        <v>0.96</v>
      </c>
      <c r="N624" s="6">
        <v>1</v>
      </c>
      <c r="O624" s="6">
        <v>1</v>
      </c>
    </row>
    <row r="625" spans="1:15">
      <c r="A625" s="6" t="s">
        <v>1786</v>
      </c>
      <c r="B625" s="6" t="s">
        <v>2821</v>
      </c>
      <c r="C625" s="6" t="s">
        <v>88</v>
      </c>
      <c r="D625" s="6" t="s">
        <v>2822</v>
      </c>
      <c r="E625" s="6" t="s">
        <v>2829</v>
      </c>
      <c r="F625" s="6" t="s">
        <v>2830</v>
      </c>
      <c r="G625" s="6" t="s">
        <v>1790</v>
      </c>
      <c r="H625" s="6" t="s">
        <v>2831</v>
      </c>
      <c r="I625" s="6">
        <v>2</v>
      </c>
      <c r="J625" s="6">
        <v>0</v>
      </c>
      <c r="K625" s="6">
        <v>0</v>
      </c>
      <c r="L625" s="6">
        <v>0</v>
      </c>
      <c r="M625" s="6">
        <v>0</v>
      </c>
      <c r="N625" s="6">
        <v>1</v>
      </c>
      <c r="O625" s="6">
        <v>1</v>
      </c>
    </row>
    <row r="626" spans="1:15">
      <c r="A626" s="6" t="s">
        <v>1786</v>
      </c>
      <c r="B626" s="6" t="s">
        <v>2821</v>
      </c>
      <c r="C626" s="6" t="s">
        <v>88</v>
      </c>
      <c r="D626" s="6" t="s">
        <v>2832</v>
      </c>
      <c r="E626" s="6" t="s">
        <v>2833</v>
      </c>
      <c r="F626" s="6" t="s">
        <v>2834</v>
      </c>
      <c r="G626" s="6" t="s">
        <v>1790</v>
      </c>
      <c r="H626" s="6" t="s">
        <v>2835</v>
      </c>
      <c r="I626" s="6">
        <v>2</v>
      </c>
      <c r="J626" s="6">
        <v>0</v>
      </c>
      <c r="K626" s="6">
        <v>0</v>
      </c>
      <c r="L626" s="6">
        <v>0</v>
      </c>
      <c r="M626" s="6">
        <v>0</v>
      </c>
      <c r="N626" s="6">
        <v>1</v>
      </c>
      <c r="O626" s="6">
        <v>1</v>
      </c>
    </row>
    <row r="627" spans="1:15">
      <c r="A627" s="6" t="s">
        <v>1786</v>
      </c>
      <c r="B627" s="6" t="s">
        <v>2821</v>
      </c>
      <c r="C627" s="6" t="s">
        <v>88</v>
      </c>
      <c r="D627" s="6" t="s">
        <v>2836</v>
      </c>
      <c r="E627" s="6" t="s">
        <v>2837</v>
      </c>
      <c r="F627" s="6" t="s">
        <v>2838</v>
      </c>
      <c r="G627" s="6" t="s">
        <v>1790</v>
      </c>
      <c r="H627" s="6" t="s">
        <v>2839</v>
      </c>
      <c r="I627" s="6">
        <v>1</v>
      </c>
      <c r="J627" s="6">
        <v>0</v>
      </c>
      <c r="K627" s="6">
        <v>0</v>
      </c>
      <c r="L627" s="6">
        <v>0</v>
      </c>
      <c r="M627" s="6">
        <v>0</v>
      </c>
      <c r="N627" s="6">
        <v>0</v>
      </c>
      <c r="O627" s="6">
        <v>0</v>
      </c>
    </row>
    <row r="628" spans="1:15">
      <c r="A628" s="6" t="s">
        <v>1786</v>
      </c>
      <c r="B628" s="6" t="s">
        <v>2821</v>
      </c>
      <c r="C628" s="6" t="s">
        <v>88</v>
      </c>
      <c r="D628" s="6" t="s">
        <v>2836</v>
      </c>
      <c r="E628" s="6" t="s">
        <v>2837</v>
      </c>
      <c r="F628" s="6" t="s">
        <v>2840</v>
      </c>
      <c r="G628" s="6" t="s">
        <v>1790</v>
      </c>
      <c r="H628" s="6" t="s">
        <v>2841</v>
      </c>
      <c r="I628" s="6">
        <v>1</v>
      </c>
      <c r="J628" s="6">
        <v>0</v>
      </c>
      <c r="K628" s="6">
        <v>0</v>
      </c>
      <c r="L628" s="6">
        <v>0</v>
      </c>
      <c r="M628" s="6">
        <v>0</v>
      </c>
      <c r="N628" s="6">
        <v>0</v>
      </c>
      <c r="O628" s="6">
        <v>0</v>
      </c>
    </row>
    <row r="629" spans="1:15">
      <c r="A629" s="6" t="s">
        <v>1786</v>
      </c>
      <c r="B629" s="6" t="s">
        <v>2821</v>
      </c>
      <c r="C629" s="6" t="s">
        <v>88</v>
      </c>
      <c r="D629" s="6" t="s">
        <v>2836</v>
      </c>
      <c r="E629" s="6" t="s">
        <v>2837</v>
      </c>
      <c r="F629" s="6" t="s">
        <v>2842</v>
      </c>
      <c r="G629" s="6" t="s">
        <v>1790</v>
      </c>
      <c r="H629" s="6" t="s">
        <v>2843</v>
      </c>
      <c r="I629" s="6">
        <v>1</v>
      </c>
      <c r="J629" s="6">
        <v>0</v>
      </c>
      <c r="K629" s="6">
        <v>0</v>
      </c>
      <c r="L629" s="6">
        <v>0</v>
      </c>
      <c r="M629" s="6">
        <v>0</v>
      </c>
      <c r="N629" s="6">
        <v>1</v>
      </c>
      <c r="O629" s="6">
        <v>1</v>
      </c>
    </row>
    <row r="630" spans="1:15">
      <c r="A630" s="6" t="s">
        <v>1786</v>
      </c>
      <c r="B630" s="6" t="s">
        <v>2821</v>
      </c>
      <c r="C630" s="6" t="s">
        <v>88</v>
      </c>
      <c r="D630" s="6" t="s">
        <v>2836</v>
      </c>
      <c r="E630" s="6" t="s">
        <v>2837</v>
      </c>
      <c r="F630" s="6" t="s">
        <v>2842</v>
      </c>
      <c r="G630" s="6" t="s">
        <v>1790</v>
      </c>
      <c r="H630" s="6" t="s">
        <v>2844</v>
      </c>
      <c r="I630" s="6">
        <v>1</v>
      </c>
      <c r="J630" s="6">
        <v>0</v>
      </c>
      <c r="K630" s="6">
        <v>0</v>
      </c>
      <c r="L630" s="6">
        <v>0</v>
      </c>
      <c r="M630" s="6">
        <v>0</v>
      </c>
      <c r="N630" s="6">
        <v>0</v>
      </c>
      <c r="O630" s="6">
        <v>0</v>
      </c>
    </row>
    <row r="631" spans="1:15">
      <c r="A631" s="6" t="s">
        <v>1786</v>
      </c>
      <c r="B631" s="6" t="s">
        <v>2821</v>
      </c>
      <c r="C631" s="6" t="s">
        <v>88</v>
      </c>
      <c r="D631" s="6" t="s">
        <v>2836</v>
      </c>
      <c r="E631" s="6" t="s">
        <v>2837</v>
      </c>
      <c r="F631" s="6" t="s">
        <v>2842</v>
      </c>
      <c r="G631" s="6" t="s">
        <v>1790</v>
      </c>
      <c r="H631" s="6" t="s">
        <v>2845</v>
      </c>
      <c r="I631" s="6">
        <v>1</v>
      </c>
      <c r="J631" s="6">
        <v>0</v>
      </c>
      <c r="K631" s="6">
        <v>0</v>
      </c>
      <c r="L631" s="6">
        <v>0</v>
      </c>
      <c r="M631" s="6">
        <v>0</v>
      </c>
      <c r="N631" s="6">
        <v>1</v>
      </c>
      <c r="O631" s="6">
        <v>1</v>
      </c>
    </row>
    <row r="632" spans="1:15">
      <c r="A632" s="6" t="s">
        <v>1786</v>
      </c>
      <c r="B632" s="6" t="s">
        <v>2821</v>
      </c>
      <c r="C632" s="6" t="s">
        <v>88</v>
      </c>
      <c r="D632" s="6" t="s">
        <v>2836</v>
      </c>
      <c r="E632" s="6" t="s">
        <v>2837</v>
      </c>
      <c r="F632" s="6" t="s">
        <v>2842</v>
      </c>
      <c r="G632" s="6" t="s">
        <v>1790</v>
      </c>
      <c r="H632" s="6" t="s">
        <v>2846</v>
      </c>
      <c r="I632" s="6">
        <v>1</v>
      </c>
      <c r="J632" s="6">
        <v>0</v>
      </c>
      <c r="K632" s="6">
        <v>0</v>
      </c>
      <c r="L632" s="6">
        <v>0</v>
      </c>
      <c r="M632" s="6">
        <v>0</v>
      </c>
      <c r="N632" s="6">
        <v>1</v>
      </c>
      <c r="O632" s="6">
        <v>0</v>
      </c>
    </row>
    <row r="633" spans="1:15">
      <c r="A633" s="6" t="s">
        <v>1786</v>
      </c>
      <c r="B633" s="6" t="s">
        <v>2821</v>
      </c>
      <c r="C633" s="6" t="s">
        <v>88</v>
      </c>
      <c r="D633" s="6" t="s">
        <v>2836</v>
      </c>
      <c r="E633" s="6" t="s">
        <v>2837</v>
      </c>
      <c r="F633" s="6" t="s">
        <v>2847</v>
      </c>
      <c r="G633" s="6" t="s">
        <v>1790</v>
      </c>
      <c r="H633" s="6" t="s">
        <v>2848</v>
      </c>
      <c r="I633" s="6">
        <v>1</v>
      </c>
      <c r="J633" s="6">
        <v>0</v>
      </c>
      <c r="K633" s="6">
        <v>0</v>
      </c>
      <c r="L633" s="6">
        <v>0</v>
      </c>
      <c r="M633" s="6">
        <v>0</v>
      </c>
      <c r="N633" s="6">
        <v>0</v>
      </c>
      <c r="O633" s="6">
        <v>0</v>
      </c>
    </row>
    <row r="634" spans="1:15">
      <c r="A634" s="6" t="s">
        <v>1786</v>
      </c>
      <c r="B634" s="6" t="s">
        <v>2821</v>
      </c>
      <c r="C634" s="6" t="s">
        <v>88</v>
      </c>
      <c r="D634" s="6" t="s">
        <v>2836</v>
      </c>
      <c r="E634" s="6" t="s">
        <v>2837</v>
      </c>
      <c r="F634" s="6" t="s">
        <v>2849</v>
      </c>
      <c r="G634" s="6" t="s">
        <v>1790</v>
      </c>
      <c r="H634" s="6" t="s">
        <v>2850</v>
      </c>
      <c r="I634" s="6">
        <v>3</v>
      </c>
      <c r="J634" s="6">
        <v>1</v>
      </c>
      <c r="K634" s="6">
        <v>0.33329999999999999</v>
      </c>
      <c r="L634" s="6">
        <v>0.89</v>
      </c>
      <c r="M634" s="6">
        <v>0.89</v>
      </c>
      <c r="N634" s="6">
        <v>0.5</v>
      </c>
      <c r="O634" s="6">
        <v>0.5</v>
      </c>
    </row>
    <row r="635" spans="1:15">
      <c r="A635" s="6" t="s">
        <v>1786</v>
      </c>
      <c r="B635" s="6" t="s">
        <v>2821</v>
      </c>
      <c r="C635" s="6" t="s">
        <v>88</v>
      </c>
      <c r="D635" s="6" t="s">
        <v>2836</v>
      </c>
      <c r="E635" s="6" t="s">
        <v>2851</v>
      </c>
      <c r="F635" s="6" t="s">
        <v>2852</v>
      </c>
      <c r="G635" s="6" t="s">
        <v>1790</v>
      </c>
      <c r="H635" s="6" t="s">
        <v>2853</v>
      </c>
      <c r="I635" s="6">
        <v>1</v>
      </c>
      <c r="J635" s="6">
        <v>0</v>
      </c>
      <c r="K635" s="6">
        <v>0</v>
      </c>
      <c r="L635" s="6">
        <v>0</v>
      </c>
      <c r="M635" s="6">
        <v>0</v>
      </c>
      <c r="N635" s="6">
        <v>0</v>
      </c>
      <c r="O635" s="6">
        <v>0</v>
      </c>
    </row>
    <row r="636" spans="1:15">
      <c r="A636" s="6" t="s">
        <v>1786</v>
      </c>
      <c r="B636" s="6" t="s">
        <v>2821</v>
      </c>
      <c r="C636" s="6" t="s">
        <v>88</v>
      </c>
      <c r="D636" s="6" t="s">
        <v>2836</v>
      </c>
      <c r="E636" s="6" t="s">
        <v>2851</v>
      </c>
      <c r="F636" s="6" t="s">
        <v>2854</v>
      </c>
      <c r="G636" s="6" t="s">
        <v>1790</v>
      </c>
      <c r="H636" s="6" t="s">
        <v>2855</v>
      </c>
      <c r="I636" s="6">
        <v>1</v>
      </c>
      <c r="J636" s="6">
        <v>0</v>
      </c>
      <c r="K636" s="6">
        <v>0</v>
      </c>
      <c r="L636" s="6">
        <v>0</v>
      </c>
      <c r="M636" s="6">
        <v>0</v>
      </c>
      <c r="N636" s="6">
        <v>1</v>
      </c>
      <c r="O636" s="6">
        <v>1</v>
      </c>
    </row>
    <row r="637" spans="1:15">
      <c r="A637" s="6" t="s">
        <v>1786</v>
      </c>
      <c r="B637" s="6" t="s">
        <v>2821</v>
      </c>
      <c r="C637" s="6" t="s">
        <v>88</v>
      </c>
      <c r="D637" s="6" t="s">
        <v>2856</v>
      </c>
      <c r="E637" s="6" t="s">
        <v>2857</v>
      </c>
      <c r="F637" s="6" t="s">
        <v>2858</v>
      </c>
      <c r="G637" s="6" t="s">
        <v>1790</v>
      </c>
      <c r="H637" s="6" t="s">
        <v>2858</v>
      </c>
      <c r="I637" s="6">
        <v>1</v>
      </c>
      <c r="J637" s="6">
        <v>0</v>
      </c>
      <c r="K637" s="6">
        <v>0</v>
      </c>
      <c r="L637" s="6">
        <v>0</v>
      </c>
      <c r="M637" s="6">
        <v>0</v>
      </c>
      <c r="N637" s="6">
        <v>1</v>
      </c>
      <c r="O637" s="6">
        <v>0</v>
      </c>
    </row>
    <row r="638" spans="1:15">
      <c r="A638" s="6" t="s">
        <v>1786</v>
      </c>
      <c r="B638" s="6" t="s">
        <v>2821</v>
      </c>
      <c r="C638" s="6" t="s">
        <v>88</v>
      </c>
      <c r="D638" s="6" t="s">
        <v>1788</v>
      </c>
      <c r="E638" s="6" t="s">
        <v>1791</v>
      </c>
      <c r="F638" s="6" t="s">
        <v>1792</v>
      </c>
      <c r="G638" s="6" t="s">
        <v>1790</v>
      </c>
      <c r="H638" s="6" t="s">
        <v>2859</v>
      </c>
      <c r="I638" s="6">
        <v>1</v>
      </c>
      <c r="J638" s="6">
        <v>0</v>
      </c>
      <c r="K638" s="6">
        <v>0</v>
      </c>
      <c r="L638" s="6">
        <v>0</v>
      </c>
      <c r="M638" s="6">
        <v>0</v>
      </c>
      <c r="N638" s="6">
        <v>1</v>
      </c>
      <c r="O638" s="6">
        <v>0</v>
      </c>
    </row>
    <row r="639" spans="1:15">
      <c r="A639" s="6" t="s">
        <v>1786</v>
      </c>
      <c r="B639" s="6" t="s">
        <v>2821</v>
      </c>
      <c r="C639" s="6" t="s">
        <v>88</v>
      </c>
      <c r="D639" s="6" t="s">
        <v>1788</v>
      </c>
      <c r="E639" s="6" t="s">
        <v>1797</v>
      </c>
      <c r="F639" s="6" t="s">
        <v>2860</v>
      </c>
      <c r="G639" s="6" t="s">
        <v>1790</v>
      </c>
      <c r="H639" s="6" t="s">
        <v>2861</v>
      </c>
      <c r="I639" s="6">
        <v>1</v>
      </c>
      <c r="J639" s="6">
        <v>0</v>
      </c>
      <c r="K639" s="6">
        <v>0</v>
      </c>
      <c r="L639" s="6">
        <v>0</v>
      </c>
      <c r="M639" s="6">
        <v>0</v>
      </c>
      <c r="N639" s="6">
        <v>0</v>
      </c>
      <c r="O639" s="6">
        <v>0</v>
      </c>
    </row>
    <row r="640" spans="1:15">
      <c r="A640" s="6" t="s">
        <v>1786</v>
      </c>
      <c r="B640" s="6" t="s">
        <v>2821</v>
      </c>
      <c r="C640" s="6" t="s">
        <v>88</v>
      </c>
      <c r="D640" s="6" t="s">
        <v>1788</v>
      </c>
      <c r="E640" s="6" t="s">
        <v>1797</v>
      </c>
      <c r="F640" s="6" t="s">
        <v>2862</v>
      </c>
      <c r="G640" s="6" t="s">
        <v>1790</v>
      </c>
      <c r="H640" s="6" t="s">
        <v>2863</v>
      </c>
      <c r="I640" s="6">
        <v>2</v>
      </c>
      <c r="J640" s="6">
        <v>0</v>
      </c>
      <c r="K640" s="6">
        <v>0</v>
      </c>
      <c r="L640" s="6">
        <v>0</v>
      </c>
      <c r="M640" s="6">
        <v>0</v>
      </c>
      <c r="N640" s="6">
        <v>1</v>
      </c>
      <c r="O640" s="6">
        <v>1</v>
      </c>
    </row>
    <row r="641" spans="1:15">
      <c r="A641" s="6" t="s">
        <v>1786</v>
      </c>
      <c r="B641" s="6" t="s">
        <v>2821</v>
      </c>
      <c r="C641" s="6" t="s">
        <v>88</v>
      </c>
      <c r="D641" s="6" t="s">
        <v>1788</v>
      </c>
      <c r="E641" s="6" t="s">
        <v>1797</v>
      </c>
      <c r="F641" s="6" t="s">
        <v>2864</v>
      </c>
      <c r="G641" s="6" t="s">
        <v>1790</v>
      </c>
      <c r="H641" s="6" t="s">
        <v>2865</v>
      </c>
      <c r="I641" s="6">
        <v>1</v>
      </c>
      <c r="J641" s="6">
        <v>0</v>
      </c>
      <c r="K641" s="6">
        <v>0</v>
      </c>
      <c r="L641" s="6">
        <v>0</v>
      </c>
      <c r="M641" s="6">
        <v>0</v>
      </c>
      <c r="N641" s="6">
        <v>0</v>
      </c>
      <c r="O641" s="6">
        <v>0</v>
      </c>
    </row>
    <row r="642" spans="1:15">
      <c r="A642" s="6" t="s">
        <v>1786</v>
      </c>
      <c r="B642" s="6" t="s">
        <v>2821</v>
      </c>
      <c r="C642" s="6" t="s">
        <v>88</v>
      </c>
      <c r="D642" s="6" t="s">
        <v>1788</v>
      </c>
      <c r="E642" s="6" t="s">
        <v>1797</v>
      </c>
      <c r="F642" s="6" t="s">
        <v>2866</v>
      </c>
      <c r="G642" s="6" t="s">
        <v>1790</v>
      </c>
      <c r="H642" s="6" t="s">
        <v>2867</v>
      </c>
      <c r="I642" s="6">
        <v>1</v>
      </c>
      <c r="J642" s="6">
        <v>0</v>
      </c>
      <c r="K642" s="6">
        <v>0</v>
      </c>
      <c r="L642" s="6">
        <v>0</v>
      </c>
      <c r="M642" s="6">
        <v>0</v>
      </c>
      <c r="N642" s="6">
        <v>1</v>
      </c>
      <c r="O642" s="6">
        <v>1</v>
      </c>
    </row>
    <row r="643" spans="1:15">
      <c r="A643" s="6" t="s">
        <v>1786</v>
      </c>
      <c r="B643" s="6" t="s">
        <v>2821</v>
      </c>
      <c r="C643" s="6" t="s">
        <v>88</v>
      </c>
      <c r="D643" s="6" t="s">
        <v>1788</v>
      </c>
      <c r="E643" s="6" t="s">
        <v>1797</v>
      </c>
      <c r="F643" s="6" t="s">
        <v>2868</v>
      </c>
      <c r="G643" s="6" t="s">
        <v>1790</v>
      </c>
      <c r="H643" s="6" t="s">
        <v>2869</v>
      </c>
      <c r="I643" s="6">
        <v>1</v>
      </c>
      <c r="J643" s="6">
        <v>0</v>
      </c>
      <c r="K643" s="6">
        <v>0</v>
      </c>
      <c r="L643" s="6">
        <v>0</v>
      </c>
      <c r="M643" s="6">
        <v>0</v>
      </c>
      <c r="N643" s="6">
        <v>1</v>
      </c>
      <c r="O643" s="6">
        <v>1</v>
      </c>
    </row>
    <row r="644" spans="1:15">
      <c r="A644" s="6" t="s">
        <v>1786</v>
      </c>
      <c r="B644" s="6" t="s">
        <v>2821</v>
      </c>
      <c r="C644" s="6" t="s">
        <v>88</v>
      </c>
      <c r="D644" s="6" t="s">
        <v>1788</v>
      </c>
      <c r="E644" s="6" t="s">
        <v>1797</v>
      </c>
      <c r="F644" s="6" t="s">
        <v>1814</v>
      </c>
      <c r="G644" s="6" t="s">
        <v>1790</v>
      </c>
      <c r="H644" s="6" t="s">
        <v>2870</v>
      </c>
      <c r="I644" s="6">
        <v>1</v>
      </c>
      <c r="J644" s="6">
        <v>0</v>
      </c>
      <c r="K644" s="6">
        <v>0</v>
      </c>
      <c r="L644" s="6">
        <v>0</v>
      </c>
      <c r="M644" s="6">
        <v>0</v>
      </c>
      <c r="N644" s="6">
        <v>1</v>
      </c>
      <c r="O644" s="6">
        <v>1</v>
      </c>
    </row>
    <row r="645" spans="1:15">
      <c r="A645" s="6" t="s">
        <v>1786</v>
      </c>
      <c r="B645" s="6" t="s">
        <v>2821</v>
      </c>
      <c r="C645" s="6" t="s">
        <v>88</v>
      </c>
      <c r="D645" s="6" t="s">
        <v>1788</v>
      </c>
      <c r="E645" s="6" t="s">
        <v>1797</v>
      </c>
      <c r="F645" s="6" t="s">
        <v>1817</v>
      </c>
      <c r="G645" s="6" t="s">
        <v>1790</v>
      </c>
      <c r="H645" s="6" t="s">
        <v>1821</v>
      </c>
      <c r="I645" s="6">
        <v>1</v>
      </c>
      <c r="J645" s="6">
        <v>0</v>
      </c>
      <c r="K645" s="6">
        <v>0</v>
      </c>
      <c r="L645" s="6">
        <v>0</v>
      </c>
      <c r="M645" s="6">
        <v>0</v>
      </c>
      <c r="N645" s="6">
        <v>1</v>
      </c>
      <c r="O645" s="6">
        <v>1</v>
      </c>
    </row>
    <row r="646" spans="1:15">
      <c r="A646" s="6" t="s">
        <v>1786</v>
      </c>
      <c r="B646" s="6" t="s">
        <v>2821</v>
      </c>
      <c r="C646" s="6" t="s">
        <v>88</v>
      </c>
      <c r="D646" s="6" t="s">
        <v>1788</v>
      </c>
      <c r="E646" s="6" t="s">
        <v>1797</v>
      </c>
      <c r="F646" s="6" t="s">
        <v>1817</v>
      </c>
      <c r="G646" s="6" t="s">
        <v>1790</v>
      </c>
      <c r="H646" s="6" t="s">
        <v>2871</v>
      </c>
      <c r="I646" s="6">
        <v>1</v>
      </c>
      <c r="J646" s="6">
        <v>0</v>
      </c>
      <c r="K646" s="6">
        <v>0</v>
      </c>
      <c r="L646" s="6">
        <v>0</v>
      </c>
      <c r="M646" s="6">
        <v>0</v>
      </c>
      <c r="N646" s="6">
        <v>1</v>
      </c>
      <c r="O646" s="6">
        <v>1</v>
      </c>
    </row>
    <row r="647" spans="1:15">
      <c r="A647" s="6" t="s">
        <v>1786</v>
      </c>
      <c r="B647" s="6" t="s">
        <v>2821</v>
      </c>
      <c r="C647" s="6" t="s">
        <v>88</v>
      </c>
      <c r="D647" s="6" t="s">
        <v>1788</v>
      </c>
      <c r="E647" s="6" t="s">
        <v>1797</v>
      </c>
      <c r="F647" s="6" t="s">
        <v>1817</v>
      </c>
      <c r="G647" s="6" t="s">
        <v>1790</v>
      </c>
      <c r="H647" s="6" t="s">
        <v>2872</v>
      </c>
      <c r="I647" s="6">
        <v>3</v>
      </c>
      <c r="J647" s="6">
        <v>0</v>
      </c>
      <c r="K647" s="6">
        <v>0</v>
      </c>
      <c r="L647" s="6">
        <v>0</v>
      </c>
      <c r="M647" s="6">
        <v>0</v>
      </c>
      <c r="N647" s="6">
        <v>0.5</v>
      </c>
      <c r="O647" s="6">
        <v>0.5</v>
      </c>
    </row>
    <row r="648" spans="1:15">
      <c r="A648" s="6" t="s">
        <v>1786</v>
      </c>
      <c r="B648" s="6" t="s">
        <v>2821</v>
      </c>
      <c r="C648" s="6" t="s">
        <v>88</v>
      </c>
      <c r="D648" s="6" t="s">
        <v>1788</v>
      </c>
      <c r="E648" s="6" t="s">
        <v>1797</v>
      </c>
      <c r="F648" s="6" t="s">
        <v>1817</v>
      </c>
      <c r="G648" s="6" t="s">
        <v>1790</v>
      </c>
      <c r="H648" s="6" t="s">
        <v>2873</v>
      </c>
      <c r="I648" s="6">
        <v>2</v>
      </c>
      <c r="J648" s="6">
        <v>0</v>
      </c>
      <c r="K648" s="6">
        <v>0</v>
      </c>
      <c r="L648" s="6">
        <v>0</v>
      </c>
      <c r="M648" s="6">
        <v>0</v>
      </c>
      <c r="N648" s="6">
        <v>1</v>
      </c>
      <c r="O648" s="6">
        <v>1</v>
      </c>
    </row>
    <row r="649" spans="1:15">
      <c r="A649" s="6" t="s">
        <v>1786</v>
      </c>
      <c r="B649" s="6" t="s">
        <v>2821</v>
      </c>
      <c r="C649" s="6" t="s">
        <v>88</v>
      </c>
      <c r="D649" s="6" t="s">
        <v>1788</v>
      </c>
      <c r="E649" s="6" t="s">
        <v>1797</v>
      </c>
      <c r="F649" s="6" t="s">
        <v>1817</v>
      </c>
      <c r="G649" s="6" t="s">
        <v>1790</v>
      </c>
      <c r="H649" s="6" t="s">
        <v>2874</v>
      </c>
      <c r="I649" s="6">
        <v>2</v>
      </c>
      <c r="J649" s="6">
        <v>1</v>
      </c>
      <c r="K649" s="6">
        <v>0.5</v>
      </c>
      <c r="L649" s="6">
        <v>0.92</v>
      </c>
      <c r="M649" s="6">
        <v>0.92</v>
      </c>
      <c r="N649" s="6">
        <v>1</v>
      </c>
      <c r="O649" s="6">
        <v>1</v>
      </c>
    </row>
    <row r="650" spans="1:15">
      <c r="A650" s="6" t="s">
        <v>1786</v>
      </c>
      <c r="B650" s="6" t="s">
        <v>2821</v>
      </c>
      <c r="C650" s="6" t="s">
        <v>88</v>
      </c>
      <c r="D650" s="6" t="s">
        <v>1788</v>
      </c>
      <c r="E650" s="6" t="s">
        <v>1797</v>
      </c>
      <c r="F650" s="6" t="s">
        <v>2875</v>
      </c>
      <c r="G650" s="6" t="s">
        <v>1790</v>
      </c>
      <c r="H650" s="6" t="s">
        <v>2875</v>
      </c>
      <c r="I650" s="6">
        <v>2</v>
      </c>
      <c r="J650" s="6">
        <v>0</v>
      </c>
      <c r="K650" s="6">
        <v>0</v>
      </c>
      <c r="L650" s="6">
        <v>0</v>
      </c>
      <c r="M650" s="6">
        <v>0</v>
      </c>
      <c r="N650" s="6">
        <v>1</v>
      </c>
      <c r="O650" s="6">
        <v>0</v>
      </c>
    </row>
    <row r="651" spans="1:15">
      <c r="A651" s="6" t="s">
        <v>1786</v>
      </c>
      <c r="B651" s="6" t="s">
        <v>2821</v>
      </c>
      <c r="C651" s="6" t="s">
        <v>88</v>
      </c>
      <c r="D651" s="6" t="s">
        <v>1788</v>
      </c>
      <c r="E651" s="6" t="s">
        <v>1797</v>
      </c>
      <c r="F651" s="6" t="s">
        <v>2876</v>
      </c>
      <c r="G651" s="6" t="s">
        <v>1790</v>
      </c>
      <c r="H651" s="6" t="s">
        <v>2877</v>
      </c>
      <c r="I651" s="6">
        <v>1</v>
      </c>
      <c r="J651" s="6">
        <v>0</v>
      </c>
      <c r="K651" s="6">
        <v>0</v>
      </c>
      <c r="L651" s="6">
        <v>0</v>
      </c>
      <c r="M651" s="6">
        <v>0</v>
      </c>
      <c r="N651" s="6">
        <v>0</v>
      </c>
      <c r="O651" s="6">
        <v>0</v>
      </c>
    </row>
    <row r="652" spans="1:15">
      <c r="A652" s="6" t="s">
        <v>1786</v>
      </c>
      <c r="B652" s="6" t="s">
        <v>2821</v>
      </c>
      <c r="C652" s="6" t="s">
        <v>88</v>
      </c>
      <c r="D652" s="6" t="s">
        <v>1788</v>
      </c>
      <c r="E652" s="6" t="s">
        <v>1797</v>
      </c>
      <c r="F652" s="6" t="s">
        <v>2878</v>
      </c>
      <c r="G652" s="6" t="s">
        <v>1790</v>
      </c>
      <c r="H652" s="6" t="s">
        <v>2879</v>
      </c>
      <c r="I652" s="6">
        <v>1</v>
      </c>
      <c r="J652" s="6">
        <v>0</v>
      </c>
      <c r="K652" s="6">
        <v>0</v>
      </c>
      <c r="L652" s="6">
        <v>0</v>
      </c>
      <c r="M652" s="6">
        <v>0</v>
      </c>
      <c r="N652" s="6">
        <v>0</v>
      </c>
      <c r="O652" s="6">
        <v>0</v>
      </c>
    </row>
    <row r="653" spans="1:15">
      <c r="A653" s="6" t="s">
        <v>1786</v>
      </c>
      <c r="B653" s="6" t="s">
        <v>2821</v>
      </c>
      <c r="C653" s="6" t="s">
        <v>88</v>
      </c>
      <c r="D653" s="6" t="s">
        <v>1788</v>
      </c>
      <c r="E653" s="6" t="s">
        <v>1797</v>
      </c>
      <c r="F653" s="6" t="s">
        <v>2880</v>
      </c>
      <c r="G653" s="6" t="s">
        <v>1790</v>
      </c>
      <c r="H653" s="6" t="s">
        <v>2881</v>
      </c>
      <c r="I653" s="6">
        <v>1</v>
      </c>
      <c r="J653" s="6">
        <v>0</v>
      </c>
      <c r="K653" s="6">
        <v>0</v>
      </c>
      <c r="L653" s="6">
        <v>0</v>
      </c>
      <c r="M653" s="6">
        <v>0</v>
      </c>
      <c r="N653" s="6">
        <v>1</v>
      </c>
      <c r="O653" s="6">
        <v>1</v>
      </c>
    </row>
    <row r="654" spans="1:15">
      <c r="A654" s="6" t="s">
        <v>1786</v>
      </c>
      <c r="B654" s="6" t="s">
        <v>2821</v>
      </c>
      <c r="C654" s="6" t="s">
        <v>88</v>
      </c>
      <c r="D654" s="6" t="s">
        <v>1788</v>
      </c>
      <c r="E654" s="6" t="s">
        <v>1844</v>
      </c>
      <c r="F654" s="6" t="s">
        <v>2882</v>
      </c>
      <c r="G654" s="6" t="s">
        <v>1790</v>
      </c>
      <c r="H654" s="6" t="s">
        <v>2882</v>
      </c>
      <c r="I654" s="6">
        <v>1</v>
      </c>
      <c r="J654" s="6">
        <v>0</v>
      </c>
      <c r="K654" s="6">
        <v>0</v>
      </c>
      <c r="L654" s="6">
        <v>0</v>
      </c>
      <c r="M654" s="6">
        <v>0</v>
      </c>
      <c r="N654" s="6">
        <v>0</v>
      </c>
      <c r="O654" s="6">
        <v>0</v>
      </c>
    </row>
    <row r="655" spans="1:15">
      <c r="A655" s="6" t="s">
        <v>1786</v>
      </c>
      <c r="B655" s="6" t="s">
        <v>2821</v>
      </c>
      <c r="C655" s="6" t="s">
        <v>88</v>
      </c>
      <c r="D655" s="6" t="s">
        <v>1788</v>
      </c>
      <c r="E655" s="6" t="s">
        <v>1844</v>
      </c>
      <c r="F655" s="6" t="s">
        <v>2883</v>
      </c>
      <c r="G655" s="6" t="s">
        <v>1790</v>
      </c>
      <c r="H655" s="6" t="s">
        <v>2884</v>
      </c>
      <c r="I655" s="6">
        <v>1</v>
      </c>
      <c r="J655" s="6">
        <v>0</v>
      </c>
      <c r="K655" s="6">
        <v>0</v>
      </c>
      <c r="L655" s="6">
        <v>0</v>
      </c>
      <c r="M655" s="6">
        <v>0</v>
      </c>
      <c r="N655" s="6">
        <v>0</v>
      </c>
      <c r="O655" s="6">
        <v>0</v>
      </c>
    </row>
    <row r="656" spans="1:15">
      <c r="A656" s="6" t="s">
        <v>1786</v>
      </c>
      <c r="B656" s="6" t="s">
        <v>2821</v>
      </c>
      <c r="C656" s="6" t="s">
        <v>88</v>
      </c>
      <c r="D656" s="6" t="s">
        <v>1788</v>
      </c>
      <c r="E656" s="6" t="s">
        <v>1844</v>
      </c>
      <c r="F656" s="6" t="s">
        <v>2885</v>
      </c>
      <c r="G656" s="6" t="s">
        <v>1790</v>
      </c>
      <c r="H656" s="6" t="s">
        <v>2886</v>
      </c>
      <c r="I656" s="6">
        <v>1</v>
      </c>
      <c r="J656" s="6">
        <v>0</v>
      </c>
      <c r="K656" s="6">
        <v>0</v>
      </c>
      <c r="L656" s="6">
        <v>0</v>
      </c>
      <c r="M656" s="6">
        <v>0</v>
      </c>
      <c r="N656" s="6">
        <v>0</v>
      </c>
      <c r="O656" s="6">
        <v>0</v>
      </c>
    </row>
    <row r="657" spans="1:15">
      <c r="A657" s="6" t="s">
        <v>1786</v>
      </c>
      <c r="B657" s="6" t="s">
        <v>2821</v>
      </c>
      <c r="C657" s="6" t="s">
        <v>88</v>
      </c>
      <c r="D657" s="6" t="s">
        <v>1788</v>
      </c>
      <c r="E657" s="6" t="s">
        <v>1844</v>
      </c>
      <c r="F657" s="6" t="s">
        <v>2887</v>
      </c>
      <c r="G657" s="6" t="s">
        <v>1790</v>
      </c>
      <c r="H657" s="6" t="s">
        <v>2888</v>
      </c>
      <c r="I657" s="6">
        <v>1</v>
      </c>
      <c r="J657" s="6">
        <v>0</v>
      </c>
      <c r="K657" s="6">
        <v>0</v>
      </c>
      <c r="L657" s="6">
        <v>0</v>
      </c>
      <c r="M657" s="6">
        <v>0</v>
      </c>
      <c r="N657" s="6">
        <v>0</v>
      </c>
      <c r="O657" s="6">
        <v>0</v>
      </c>
    </row>
    <row r="658" spans="1:15">
      <c r="A658" s="6" t="s">
        <v>1786</v>
      </c>
      <c r="B658" s="6" t="s">
        <v>2821</v>
      </c>
      <c r="C658" s="6" t="s">
        <v>88</v>
      </c>
      <c r="D658" s="6" t="s">
        <v>1788</v>
      </c>
      <c r="E658" s="6" t="s">
        <v>1847</v>
      </c>
      <c r="F658" s="6" t="s">
        <v>1849</v>
      </c>
      <c r="G658" s="6" t="s">
        <v>1790</v>
      </c>
      <c r="H658" s="6" t="s">
        <v>1850</v>
      </c>
      <c r="I658" s="6">
        <v>1</v>
      </c>
      <c r="J658" s="6">
        <v>0</v>
      </c>
      <c r="K658" s="6">
        <v>0</v>
      </c>
      <c r="L658" s="6">
        <v>0</v>
      </c>
      <c r="M658" s="6">
        <v>0</v>
      </c>
      <c r="N658" s="6">
        <v>0</v>
      </c>
      <c r="O658" s="6">
        <v>0</v>
      </c>
    </row>
    <row r="659" spans="1:15">
      <c r="A659" s="6" t="s">
        <v>1786</v>
      </c>
      <c r="B659" s="6" t="s">
        <v>2821</v>
      </c>
      <c r="C659" s="6" t="s">
        <v>88</v>
      </c>
      <c r="D659" s="6" t="s">
        <v>1788</v>
      </c>
      <c r="E659" s="6" t="s">
        <v>1847</v>
      </c>
      <c r="F659" s="6" t="s">
        <v>1854</v>
      </c>
      <c r="G659" s="6" t="s">
        <v>1790</v>
      </c>
      <c r="H659" s="6" t="s">
        <v>2889</v>
      </c>
      <c r="I659" s="6">
        <v>1</v>
      </c>
      <c r="J659" s="6">
        <v>0</v>
      </c>
      <c r="K659" s="6">
        <v>0</v>
      </c>
      <c r="L659" s="6">
        <v>0</v>
      </c>
      <c r="M659" s="6">
        <v>0</v>
      </c>
      <c r="N659" s="6">
        <v>1</v>
      </c>
      <c r="O659" s="6">
        <v>1</v>
      </c>
    </row>
    <row r="660" spans="1:15">
      <c r="A660" s="6" t="s">
        <v>1786</v>
      </c>
      <c r="B660" s="6" t="s">
        <v>2821</v>
      </c>
      <c r="C660" s="6" t="s">
        <v>88</v>
      </c>
      <c r="D660" s="6" t="s">
        <v>1788</v>
      </c>
      <c r="E660" s="6" t="s">
        <v>1859</v>
      </c>
      <c r="F660" s="6" t="s">
        <v>1860</v>
      </c>
      <c r="G660" s="6" t="s">
        <v>1790</v>
      </c>
      <c r="H660" s="6" t="s">
        <v>2890</v>
      </c>
      <c r="I660" s="6">
        <v>1</v>
      </c>
      <c r="J660" s="6">
        <v>1</v>
      </c>
      <c r="K660" s="6">
        <v>1</v>
      </c>
      <c r="L660" s="6">
        <v>0.1</v>
      </c>
      <c r="M660" s="6">
        <v>0.1</v>
      </c>
      <c r="N660" s="6">
        <v>1</v>
      </c>
      <c r="O660" s="6">
        <v>1</v>
      </c>
    </row>
    <row r="661" spans="1:15">
      <c r="A661" s="6" t="s">
        <v>1786</v>
      </c>
      <c r="B661" s="6" t="s">
        <v>2821</v>
      </c>
      <c r="C661" s="6" t="s">
        <v>88</v>
      </c>
      <c r="D661" s="6" t="s">
        <v>1788</v>
      </c>
      <c r="E661" s="6" t="s">
        <v>1859</v>
      </c>
      <c r="F661" s="6" t="s">
        <v>2891</v>
      </c>
      <c r="G661" s="6" t="s">
        <v>1790</v>
      </c>
      <c r="H661" s="6" t="s">
        <v>2892</v>
      </c>
      <c r="I661" s="6">
        <v>1</v>
      </c>
      <c r="J661" s="6">
        <v>0</v>
      </c>
      <c r="K661" s="6">
        <v>0</v>
      </c>
      <c r="L661" s="6">
        <v>0</v>
      </c>
      <c r="M661" s="6">
        <v>0</v>
      </c>
      <c r="N661" s="6">
        <v>1</v>
      </c>
      <c r="O661" s="6">
        <v>1</v>
      </c>
    </row>
    <row r="662" spans="1:15">
      <c r="A662" s="6" t="s">
        <v>1786</v>
      </c>
      <c r="B662" s="6" t="s">
        <v>2821</v>
      </c>
      <c r="C662" s="6" t="s">
        <v>88</v>
      </c>
      <c r="D662" s="6" t="s">
        <v>1788</v>
      </c>
      <c r="E662" s="6" t="s">
        <v>1859</v>
      </c>
      <c r="F662" s="6" t="s">
        <v>1885</v>
      </c>
      <c r="G662" s="6" t="s">
        <v>1790</v>
      </c>
      <c r="H662" s="6" t="s">
        <v>2893</v>
      </c>
      <c r="I662" s="6">
        <v>1</v>
      </c>
      <c r="J662" s="6">
        <v>0</v>
      </c>
      <c r="K662" s="6">
        <v>0</v>
      </c>
      <c r="L662" s="6">
        <v>0</v>
      </c>
      <c r="M662" s="6">
        <v>0</v>
      </c>
      <c r="N662" s="6">
        <v>1</v>
      </c>
      <c r="O662" s="6">
        <v>1</v>
      </c>
    </row>
    <row r="663" spans="1:15">
      <c r="A663" s="6" t="s">
        <v>1786</v>
      </c>
      <c r="B663" s="6" t="s">
        <v>2821</v>
      </c>
      <c r="C663" s="6" t="s">
        <v>88</v>
      </c>
      <c r="D663" s="6" t="s">
        <v>1788</v>
      </c>
      <c r="E663" s="6" t="s">
        <v>1859</v>
      </c>
      <c r="F663" s="6" t="s">
        <v>1885</v>
      </c>
      <c r="G663" s="6" t="s">
        <v>1790</v>
      </c>
      <c r="H663" s="6" t="s">
        <v>2894</v>
      </c>
      <c r="I663" s="6">
        <v>1</v>
      </c>
      <c r="J663" s="6">
        <v>0</v>
      </c>
      <c r="K663" s="6">
        <v>0</v>
      </c>
      <c r="L663" s="6">
        <v>0</v>
      </c>
      <c r="M663" s="6">
        <v>0</v>
      </c>
      <c r="N663" s="6">
        <v>1</v>
      </c>
      <c r="O663" s="6">
        <v>1</v>
      </c>
    </row>
    <row r="664" spans="1:15">
      <c r="A664" s="6" t="s">
        <v>1786</v>
      </c>
      <c r="B664" s="6" t="s">
        <v>2821</v>
      </c>
      <c r="C664" s="6" t="s">
        <v>88</v>
      </c>
      <c r="D664" s="6" t="s">
        <v>1788</v>
      </c>
      <c r="E664" s="6" t="s">
        <v>1859</v>
      </c>
      <c r="F664" s="6" t="s">
        <v>1888</v>
      </c>
      <c r="G664" s="6" t="s">
        <v>1790</v>
      </c>
      <c r="H664" s="6" t="s">
        <v>2895</v>
      </c>
      <c r="I664" s="6">
        <v>1</v>
      </c>
      <c r="J664" s="6">
        <v>0</v>
      </c>
      <c r="K664" s="6">
        <v>0</v>
      </c>
      <c r="L664" s="6">
        <v>0</v>
      </c>
      <c r="M664" s="6">
        <v>0</v>
      </c>
      <c r="N664" s="6">
        <v>1</v>
      </c>
      <c r="O664" s="6">
        <v>1</v>
      </c>
    </row>
    <row r="665" spans="1:15">
      <c r="A665" s="6" t="s">
        <v>1786</v>
      </c>
      <c r="B665" s="6" t="s">
        <v>2821</v>
      </c>
      <c r="C665" s="6" t="s">
        <v>88</v>
      </c>
      <c r="D665" s="6" t="s">
        <v>1788</v>
      </c>
      <c r="E665" s="6" t="s">
        <v>1859</v>
      </c>
      <c r="F665" s="6" t="s">
        <v>2896</v>
      </c>
      <c r="G665" s="6" t="s">
        <v>1790</v>
      </c>
      <c r="H665" s="6" t="s">
        <v>2897</v>
      </c>
      <c r="I665" s="6">
        <v>1</v>
      </c>
      <c r="J665" s="6">
        <v>0</v>
      </c>
      <c r="K665" s="6">
        <v>0</v>
      </c>
      <c r="L665" s="6">
        <v>0</v>
      </c>
      <c r="M665" s="6">
        <v>0</v>
      </c>
      <c r="N665" s="6">
        <v>0</v>
      </c>
      <c r="O665" s="6">
        <v>0</v>
      </c>
    </row>
    <row r="666" spans="1:15">
      <c r="A666" s="6" t="s">
        <v>1786</v>
      </c>
      <c r="B666" s="6" t="s">
        <v>2821</v>
      </c>
      <c r="C666" s="6" t="s">
        <v>88</v>
      </c>
      <c r="D666" s="6" t="s">
        <v>2898</v>
      </c>
      <c r="E666" s="6" t="s">
        <v>2899</v>
      </c>
      <c r="F666" s="6" t="s">
        <v>2900</v>
      </c>
      <c r="G666" s="6" t="s">
        <v>1790</v>
      </c>
      <c r="H666" s="6" t="s">
        <v>2901</v>
      </c>
      <c r="I666" s="6">
        <v>2</v>
      </c>
      <c r="J666" s="6">
        <v>1</v>
      </c>
      <c r="K666" s="6">
        <v>0.5</v>
      </c>
      <c r="L666" s="6">
        <v>0.9</v>
      </c>
      <c r="M666" s="6">
        <v>0.9</v>
      </c>
      <c r="N666" s="6">
        <v>1</v>
      </c>
      <c r="O666" s="6">
        <v>1</v>
      </c>
    </row>
    <row r="667" spans="1:15">
      <c r="A667" s="6" t="s">
        <v>1786</v>
      </c>
      <c r="B667" s="6" t="s">
        <v>2821</v>
      </c>
      <c r="C667" s="6" t="s">
        <v>88</v>
      </c>
      <c r="D667" s="6" t="s">
        <v>2898</v>
      </c>
      <c r="E667" s="6" t="s">
        <v>2902</v>
      </c>
      <c r="F667" s="6" t="s">
        <v>2018</v>
      </c>
      <c r="G667" s="6" t="s">
        <v>1790</v>
      </c>
      <c r="H667" s="6" t="s">
        <v>2903</v>
      </c>
      <c r="I667" s="6">
        <v>1</v>
      </c>
      <c r="J667" s="6">
        <v>0</v>
      </c>
      <c r="K667" s="6">
        <v>0</v>
      </c>
      <c r="L667" s="6">
        <v>0</v>
      </c>
      <c r="M667" s="6">
        <v>0</v>
      </c>
      <c r="N667" s="6">
        <v>0</v>
      </c>
      <c r="O667" s="6">
        <v>0</v>
      </c>
    </row>
    <row r="668" spans="1:15">
      <c r="A668" s="6" t="s">
        <v>1786</v>
      </c>
      <c r="B668" s="6" t="s">
        <v>2821</v>
      </c>
      <c r="C668" s="6" t="s">
        <v>88</v>
      </c>
      <c r="D668" s="6" t="s">
        <v>2898</v>
      </c>
      <c r="E668" s="6" t="s">
        <v>2902</v>
      </c>
      <c r="F668" s="6" t="s">
        <v>2904</v>
      </c>
      <c r="G668" s="6" t="s">
        <v>1790</v>
      </c>
      <c r="H668" s="6" t="s">
        <v>2904</v>
      </c>
      <c r="I668" s="6">
        <v>2</v>
      </c>
      <c r="J668" s="6">
        <v>0</v>
      </c>
      <c r="K668" s="6">
        <v>0</v>
      </c>
      <c r="L668" s="6">
        <v>0</v>
      </c>
      <c r="M668" s="6">
        <v>0</v>
      </c>
      <c r="N668" s="6">
        <v>1</v>
      </c>
      <c r="O668" s="6">
        <v>1</v>
      </c>
    </row>
    <row r="669" spans="1:15">
      <c r="A669" s="6" t="s">
        <v>1786</v>
      </c>
      <c r="B669" s="6" t="s">
        <v>2821</v>
      </c>
      <c r="C669" s="6" t="s">
        <v>88</v>
      </c>
      <c r="D669" s="6" t="s">
        <v>2898</v>
      </c>
      <c r="E669" s="6" t="s">
        <v>2902</v>
      </c>
      <c r="F669" s="6" t="s">
        <v>2905</v>
      </c>
      <c r="G669" s="6" t="s">
        <v>1790</v>
      </c>
      <c r="H669" s="6" t="s">
        <v>2906</v>
      </c>
      <c r="I669" s="6">
        <v>3</v>
      </c>
      <c r="J669" s="6">
        <v>0</v>
      </c>
      <c r="K669" s="6">
        <v>0</v>
      </c>
      <c r="L669" s="6">
        <v>0</v>
      </c>
      <c r="M669" s="6">
        <v>0</v>
      </c>
      <c r="N669" s="6">
        <v>1</v>
      </c>
      <c r="O669" s="6">
        <v>1</v>
      </c>
    </row>
    <row r="670" spans="1:15">
      <c r="A670" s="6" t="s">
        <v>1786</v>
      </c>
      <c r="B670" s="6" t="s">
        <v>2821</v>
      </c>
      <c r="C670" s="6" t="s">
        <v>88</v>
      </c>
      <c r="D670" s="6" t="s">
        <v>2898</v>
      </c>
      <c r="E670" s="6" t="s">
        <v>2902</v>
      </c>
      <c r="F670" s="6" t="s">
        <v>2905</v>
      </c>
      <c r="G670" s="6" t="s">
        <v>1790</v>
      </c>
      <c r="H670" s="6" t="s">
        <v>2907</v>
      </c>
      <c r="I670" s="6">
        <v>1</v>
      </c>
      <c r="J670" s="6">
        <v>0</v>
      </c>
      <c r="K670" s="6">
        <v>0</v>
      </c>
      <c r="L670" s="6">
        <v>0</v>
      </c>
      <c r="M670" s="6">
        <v>0</v>
      </c>
      <c r="N670" s="6">
        <v>1</v>
      </c>
      <c r="O670" s="6">
        <v>1</v>
      </c>
    </row>
    <row r="671" spans="1:15">
      <c r="A671" s="6" t="s">
        <v>1786</v>
      </c>
      <c r="B671" s="6" t="s">
        <v>2821</v>
      </c>
      <c r="C671" s="6" t="s">
        <v>88</v>
      </c>
      <c r="D671" s="6" t="s">
        <v>2898</v>
      </c>
      <c r="E671" s="6" t="s">
        <v>2902</v>
      </c>
      <c r="F671" s="6" t="s">
        <v>2905</v>
      </c>
      <c r="G671" s="6" t="s">
        <v>1790</v>
      </c>
      <c r="H671" s="6" t="s">
        <v>2908</v>
      </c>
      <c r="I671" s="6">
        <v>1</v>
      </c>
      <c r="J671" s="6">
        <v>0</v>
      </c>
      <c r="K671" s="6">
        <v>0</v>
      </c>
      <c r="L671" s="6">
        <v>0</v>
      </c>
      <c r="M671" s="6">
        <v>0</v>
      </c>
      <c r="N671" s="6">
        <v>1</v>
      </c>
      <c r="O671" s="6">
        <v>1</v>
      </c>
    </row>
    <row r="672" spans="1:15">
      <c r="A672" s="6" t="s">
        <v>1786</v>
      </c>
      <c r="B672" s="6" t="s">
        <v>2821</v>
      </c>
      <c r="C672" s="6" t="s">
        <v>88</v>
      </c>
      <c r="D672" s="6" t="s">
        <v>2898</v>
      </c>
      <c r="E672" s="6" t="s">
        <v>2902</v>
      </c>
      <c r="F672" s="6" t="s">
        <v>2905</v>
      </c>
      <c r="G672" s="6" t="s">
        <v>1790</v>
      </c>
      <c r="H672" s="6" t="s">
        <v>2909</v>
      </c>
      <c r="I672" s="6">
        <v>4</v>
      </c>
      <c r="J672" s="6">
        <v>0</v>
      </c>
      <c r="K672" s="6">
        <v>0</v>
      </c>
      <c r="L672" s="6">
        <v>0</v>
      </c>
      <c r="M672" s="6">
        <v>0</v>
      </c>
      <c r="N672" s="6">
        <v>1</v>
      </c>
      <c r="O672" s="6">
        <v>0.5</v>
      </c>
    </row>
    <row r="673" spans="1:15">
      <c r="A673" s="6" t="s">
        <v>1786</v>
      </c>
      <c r="B673" s="6" t="s">
        <v>2821</v>
      </c>
      <c r="C673" s="6" t="s">
        <v>88</v>
      </c>
      <c r="D673" s="6" t="s">
        <v>2898</v>
      </c>
      <c r="E673" s="6" t="s">
        <v>2902</v>
      </c>
      <c r="F673" s="6" t="s">
        <v>2910</v>
      </c>
      <c r="G673" s="6" t="s">
        <v>1790</v>
      </c>
      <c r="H673" s="6" t="s">
        <v>2911</v>
      </c>
      <c r="I673" s="6">
        <v>1</v>
      </c>
      <c r="J673" s="6">
        <v>0</v>
      </c>
      <c r="K673" s="6">
        <v>0</v>
      </c>
      <c r="L673" s="6">
        <v>0</v>
      </c>
      <c r="M673" s="6">
        <v>0</v>
      </c>
      <c r="N673" s="6">
        <v>0</v>
      </c>
      <c r="O673" s="6">
        <v>0</v>
      </c>
    </row>
    <row r="674" spans="1:15">
      <c r="A674" s="6" t="s">
        <v>1786</v>
      </c>
      <c r="B674" s="6" t="s">
        <v>2821</v>
      </c>
      <c r="C674" s="6" t="s">
        <v>88</v>
      </c>
      <c r="D674" s="6" t="s">
        <v>2898</v>
      </c>
      <c r="E674" s="6" t="s">
        <v>2902</v>
      </c>
      <c r="F674" s="6" t="s">
        <v>2912</v>
      </c>
      <c r="G674" s="6" t="s">
        <v>1790</v>
      </c>
      <c r="H674" s="6" t="s">
        <v>2913</v>
      </c>
      <c r="I674" s="6">
        <v>1</v>
      </c>
      <c r="J674" s="6">
        <v>0</v>
      </c>
      <c r="K674" s="6">
        <v>0</v>
      </c>
      <c r="L674" s="6">
        <v>0</v>
      </c>
      <c r="M674" s="6">
        <v>0</v>
      </c>
      <c r="N674" s="6">
        <v>1</v>
      </c>
      <c r="O674" s="6">
        <v>1</v>
      </c>
    </row>
    <row r="675" spans="1:15">
      <c r="A675" s="6" t="s">
        <v>1786</v>
      </c>
      <c r="B675" s="6" t="s">
        <v>2821</v>
      </c>
      <c r="C675" s="6" t="s">
        <v>88</v>
      </c>
      <c r="D675" s="6" t="s">
        <v>2898</v>
      </c>
      <c r="E675" s="6" t="s">
        <v>2902</v>
      </c>
      <c r="F675" s="6" t="s">
        <v>2914</v>
      </c>
      <c r="G675" s="6" t="s">
        <v>1790</v>
      </c>
      <c r="H675" s="6" t="s">
        <v>2915</v>
      </c>
      <c r="I675" s="6">
        <v>2</v>
      </c>
      <c r="J675" s="6">
        <v>0</v>
      </c>
      <c r="K675" s="6">
        <v>0</v>
      </c>
      <c r="L675" s="6">
        <v>0</v>
      </c>
      <c r="M675" s="6">
        <v>0</v>
      </c>
      <c r="N675" s="6">
        <v>1</v>
      </c>
      <c r="O675" s="6">
        <v>1</v>
      </c>
    </row>
    <row r="676" spans="1:15">
      <c r="A676" s="6" t="s">
        <v>1786</v>
      </c>
      <c r="B676" s="6" t="s">
        <v>2821</v>
      </c>
      <c r="C676" s="6" t="s">
        <v>88</v>
      </c>
      <c r="D676" s="6" t="s">
        <v>2898</v>
      </c>
      <c r="E676" s="6" t="s">
        <v>2916</v>
      </c>
      <c r="F676" s="6" t="s">
        <v>2917</v>
      </c>
      <c r="G676" s="6" t="s">
        <v>1790</v>
      </c>
      <c r="H676" s="6" t="s">
        <v>2918</v>
      </c>
      <c r="I676" s="6">
        <v>1</v>
      </c>
      <c r="J676" s="6">
        <v>0</v>
      </c>
      <c r="K676" s="6">
        <v>0</v>
      </c>
      <c r="L676" s="6">
        <v>0</v>
      </c>
      <c r="M676" s="6">
        <v>0</v>
      </c>
      <c r="N676" s="6">
        <v>1</v>
      </c>
      <c r="O676" s="6">
        <v>1</v>
      </c>
    </row>
    <row r="677" spans="1:15">
      <c r="A677" s="6" t="s">
        <v>1786</v>
      </c>
      <c r="B677" s="6" t="s">
        <v>2821</v>
      </c>
      <c r="C677" s="6" t="s">
        <v>88</v>
      </c>
      <c r="D677" s="6" t="s">
        <v>1905</v>
      </c>
      <c r="E677" s="6" t="s">
        <v>1906</v>
      </c>
      <c r="F677" s="6" t="s">
        <v>1907</v>
      </c>
      <c r="G677" s="6" t="s">
        <v>1790</v>
      </c>
      <c r="H677" s="6" t="s">
        <v>1908</v>
      </c>
      <c r="I677" s="6">
        <v>1</v>
      </c>
      <c r="J677" s="6">
        <v>0</v>
      </c>
      <c r="K677" s="6">
        <v>0</v>
      </c>
      <c r="L677" s="6">
        <v>0</v>
      </c>
      <c r="M677" s="6">
        <v>0</v>
      </c>
      <c r="N677" s="6">
        <v>1</v>
      </c>
      <c r="O677" s="6">
        <v>1</v>
      </c>
    </row>
    <row r="678" spans="1:15">
      <c r="A678" s="6" t="s">
        <v>1786</v>
      </c>
      <c r="B678" s="6" t="s">
        <v>2821</v>
      </c>
      <c r="C678" s="6" t="s">
        <v>88</v>
      </c>
      <c r="D678" s="6" t="s">
        <v>1905</v>
      </c>
      <c r="E678" s="6" t="s">
        <v>1906</v>
      </c>
      <c r="F678" s="6" t="s">
        <v>1907</v>
      </c>
      <c r="G678" s="6" t="s">
        <v>1790</v>
      </c>
      <c r="H678" s="6" t="s">
        <v>2919</v>
      </c>
      <c r="I678" s="6">
        <v>1</v>
      </c>
      <c r="J678" s="6">
        <v>0</v>
      </c>
      <c r="K678" s="6">
        <v>0</v>
      </c>
      <c r="L678" s="6">
        <v>0</v>
      </c>
      <c r="M678" s="6">
        <v>0</v>
      </c>
      <c r="N678" s="6">
        <v>1</v>
      </c>
      <c r="O678" s="6">
        <v>1</v>
      </c>
    </row>
    <row r="679" spans="1:15">
      <c r="A679" s="6" t="s">
        <v>1786</v>
      </c>
      <c r="B679" s="6" t="s">
        <v>2821</v>
      </c>
      <c r="C679" s="6" t="s">
        <v>88</v>
      </c>
      <c r="D679" s="6" t="s">
        <v>1905</v>
      </c>
      <c r="E679" s="6" t="s">
        <v>1906</v>
      </c>
      <c r="F679" s="6" t="s">
        <v>2720</v>
      </c>
      <c r="G679" s="6" t="s">
        <v>1790</v>
      </c>
      <c r="H679" s="6" t="s">
        <v>2920</v>
      </c>
      <c r="I679" s="6">
        <v>1</v>
      </c>
      <c r="J679" s="6">
        <v>0</v>
      </c>
      <c r="K679" s="6">
        <v>0</v>
      </c>
      <c r="L679" s="6">
        <v>0</v>
      </c>
      <c r="M679" s="6">
        <v>0</v>
      </c>
      <c r="N679" s="6">
        <v>1</v>
      </c>
      <c r="O679" s="6">
        <v>1</v>
      </c>
    </row>
    <row r="680" spans="1:15">
      <c r="A680" s="6" t="s">
        <v>1786</v>
      </c>
      <c r="B680" s="6" t="s">
        <v>2821</v>
      </c>
      <c r="C680" s="6" t="s">
        <v>88</v>
      </c>
      <c r="D680" s="6" t="s">
        <v>1905</v>
      </c>
      <c r="E680" s="6" t="s">
        <v>1906</v>
      </c>
      <c r="F680" s="6" t="s">
        <v>2921</v>
      </c>
      <c r="G680" s="6" t="s">
        <v>1790</v>
      </c>
      <c r="H680" s="6" t="s">
        <v>2922</v>
      </c>
      <c r="I680" s="6">
        <v>3</v>
      </c>
      <c r="J680" s="6">
        <v>1</v>
      </c>
      <c r="K680" s="6">
        <v>0.33329999999999999</v>
      </c>
      <c r="L680" s="6">
        <v>0.96</v>
      </c>
      <c r="M680" s="6">
        <v>0.96</v>
      </c>
      <c r="N680" s="6">
        <v>0.5</v>
      </c>
      <c r="O680" s="6">
        <v>0.5</v>
      </c>
    </row>
    <row r="681" spans="1:15">
      <c r="A681" s="6" t="s">
        <v>1786</v>
      </c>
      <c r="B681" s="6" t="s">
        <v>2821</v>
      </c>
      <c r="C681" s="6" t="s">
        <v>88</v>
      </c>
      <c r="D681" s="6" t="s">
        <v>1905</v>
      </c>
      <c r="E681" s="6" t="s">
        <v>1906</v>
      </c>
      <c r="F681" s="6" t="s">
        <v>2923</v>
      </c>
      <c r="G681" s="6" t="s">
        <v>1790</v>
      </c>
      <c r="H681" s="6" t="s">
        <v>2924</v>
      </c>
      <c r="I681" s="6">
        <v>1</v>
      </c>
      <c r="J681" s="6">
        <v>0</v>
      </c>
      <c r="K681" s="6">
        <v>0</v>
      </c>
      <c r="L681" s="6">
        <v>0</v>
      </c>
      <c r="M681" s="6">
        <v>0</v>
      </c>
      <c r="N681" s="6">
        <v>0</v>
      </c>
      <c r="O681" s="6">
        <v>0</v>
      </c>
    </row>
    <row r="682" spans="1:15">
      <c r="A682" s="6" t="s">
        <v>1786</v>
      </c>
      <c r="B682" s="6" t="s">
        <v>2821</v>
      </c>
      <c r="C682" s="6" t="s">
        <v>88</v>
      </c>
      <c r="D682" s="6" t="s">
        <v>1905</v>
      </c>
      <c r="E682" s="6" t="s">
        <v>1918</v>
      </c>
      <c r="F682" s="6" t="s">
        <v>1919</v>
      </c>
      <c r="G682" s="6" t="s">
        <v>1790</v>
      </c>
      <c r="H682" s="6" t="s">
        <v>2925</v>
      </c>
      <c r="I682" s="6">
        <v>2</v>
      </c>
      <c r="J682" s="6">
        <v>0</v>
      </c>
      <c r="K682" s="6">
        <v>0</v>
      </c>
      <c r="L682" s="6">
        <v>0</v>
      </c>
      <c r="M682" s="6">
        <v>0</v>
      </c>
      <c r="N682" s="6">
        <v>1</v>
      </c>
      <c r="O682" s="6">
        <v>1</v>
      </c>
    </row>
    <row r="683" spans="1:15">
      <c r="A683" s="6" t="s">
        <v>1786</v>
      </c>
      <c r="B683" s="6" t="s">
        <v>2821</v>
      </c>
      <c r="C683" s="6" t="s">
        <v>88</v>
      </c>
      <c r="D683" s="6" t="s">
        <v>1905</v>
      </c>
      <c r="E683" s="6" t="s">
        <v>1918</v>
      </c>
      <c r="F683" s="6" t="s">
        <v>1919</v>
      </c>
      <c r="G683" s="6" t="s">
        <v>1790</v>
      </c>
      <c r="H683" s="6" t="s">
        <v>2926</v>
      </c>
      <c r="I683" s="6">
        <v>1</v>
      </c>
      <c r="J683" s="6">
        <v>0</v>
      </c>
      <c r="K683" s="6">
        <v>0</v>
      </c>
      <c r="L683" s="6">
        <v>0</v>
      </c>
      <c r="M683" s="6">
        <v>0</v>
      </c>
      <c r="N683" s="6">
        <v>1</v>
      </c>
      <c r="O683" s="6">
        <v>1</v>
      </c>
    </row>
    <row r="684" spans="1:15">
      <c r="A684" s="6" t="s">
        <v>1786</v>
      </c>
      <c r="B684" s="6" t="s">
        <v>2821</v>
      </c>
      <c r="C684" s="6" t="s">
        <v>88</v>
      </c>
      <c r="D684" s="6" t="s">
        <v>1905</v>
      </c>
      <c r="E684" s="6" t="s">
        <v>1918</v>
      </c>
      <c r="F684" s="6" t="s">
        <v>2927</v>
      </c>
      <c r="G684" s="6" t="s">
        <v>1790</v>
      </c>
      <c r="H684" s="6" t="s">
        <v>2928</v>
      </c>
      <c r="I684" s="6">
        <v>1</v>
      </c>
      <c r="J684" s="6">
        <v>0</v>
      </c>
      <c r="K684" s="6">
        <v>0</v>
      </c>
      <c r="L684" s="6">
        <v>0</v>
      </c>
      <c r="M684" s="6">
        <v>0</v>
      </c>
      <c r="N684" s="6">
        <v>1</v>
      </c>
      <c r="O684" s="6">
        <v>1</v>
      </c>
    </row>
    <row r="685" spans="1:15">
      <c r="A685" s="6" t="s">
        <v>1786</v>
      </c>
      <c r="B685" s="6" t="s">
        <v>2821</v>
      </c>
      <c r="C685" s="6" t="s">
        <v>88</v>
      </c>
      <c r="D685" s="6" t="s">
        <v>1905</v>
      </c>
      <c r="E685" s="6" t="s">
        <v>1918</v>
      </c>
      <c r="F685" s="6" t="s">
        <v>2927</v>
      </c>
      <c r="G685" s="6" t="s">
        <v>1790</v>
      </c>
      <c r="H685" s="6" t="s">
        <v>2927</v>
      </c>
      <c r="I685" s="6">
        <v>4</v>
      </c>
      <c r="J685" s="6">
        <v>0</v>
      </c>
      <c r="K685" s="6">
        <v>0</v>
      </c>
      <c r="L685" s="6">
        <v>0</v>
      </c>
      <c r="M685" s="6">
        <v>0</v>
      </c>
      <c r="N685" s="6">
        <v>1</v>
      </c>
      <c r="O685" s="6">
        <v>1</v>
      </c>
    </row>
    <row r="686" spans="1:15">
      <c r="A686" s="6" t="s">
        <v>1786</v>
      </c>
      <c r="B686" s="6" t="s">
        <v>2821</v>
      </c>
      <c r="C686" s="6" t="s">
        <v>88</v>
      </c>
      <c r="D686" s="6" t="s">
        <v>2929</v>
      </c>
      <c r="E686" s="6" t="s">
        <v>2358</v>
      </c>
      <c r="F686" s="6" t="s">
        <v>2349</v>
      </c>
      <c r="G686" s="6" t="s">
        <v>1790</v>
      </c>
      <c r="H686" s="6" t="s">
        <v>2930</v>
      </c>
      <c r="I686" s="6">
        <v>1</v>
      </c>
      <c r="J686" s="6">
        <v>0</v>
      </c>
      <c r="K686" s="6">
        <v>0</v>
      </c>
      <c r="L686" s="6">
        <v>0</v>
      </c>
      <c r="M686" s="6">
        <v>0</v>
      </c>
      <c r="N686" s="6">
        <v>1</v>
      </c>
      <c r="O686" s="6">
        <v>1</v>
      </c>
    </row>
    <row r="687" spans="1:15">
      <c r="A687" s="6" t="s">
        <v>1786</v>
      </c>
      <c r="B687" s="6" t="s">
        <v>2821</v>
      </c>
      <c r="C687" s="6" t="s">
        <v>88</v>
      </c>
      <c r="D687" s="6" t="s">
        <v>1924</v>
      </c>
      <c r="E687" s="6" t="s">
        <v>1925</v>
      </c>
      <c r="F687" s="6" t="s">
        <v>1926</v>
      </c>
      <c r="G687" s="6" t="s">
        <v>1790</v>
      </c>
      <c r="H687" s="6" t="s">
        <v>1927</v>
      </c>
      <c r="I687" s="6">
        <v>3</v>
      </c>
      <c r="J687" s="6">
        <v>0</v>
      </c>
      <c r="K687" s="6">
        <v>0</v>
      </c>
      <c r="L687" s="6">
        <v>0</v>
      </c>
      <c r="M687" s="6">
        <v>0</v>
      </c>
      <c r="N687" s="6">
        <v>0.5</v>
      </c>
      <c r="O687" s="6">
        <v>0.5</v>
      </c>
    </row>
    <row r="688" spans="1:15">
      <c r="A688" s="6" t="s">
        <v>1786</v>
      </c>
      <c r="B688" s="6" t="s">
        <v>2821</v>
      </c>
      <c r="C688" s="6" t="s">
        <v>88</v>
      </c>
      <c r="D688" s="6" t="s">
        <v>1924</v>
      </c>
      <c r="E688" s="6" t="s">
        <v>1925</v>
      </c>
      <c r="F688" s="6" t="s">
        <v>1926</v>
      </c>
      <c r="G688" s="6" t="s">
        <v>1790</v>
      </c>
      <c r="H688" s="6" t="s">
        <v>1933</v>
      </c>
      <c r="I688" s="6">
        <v>2</v>
      </c>
      <c r="J688" s="6">
        <v>0</v>
      </c>
      <c r="K688" s="6">
        <v>0</v>
      </c>
      <c r="L688" s="6">
        <v>0</v>
      </c>
      <c r="M688" s="6">
        <v>0</v>
      </c>
      <c r="N688" s="6">
        <v>1</v>
      </c>
      <c r="O688" s="6">
        <v>1</v>
      </c>
    </row>
    <row r="689" spans="1:15">
      <c r="A689" s="6" t="s">
        <v>1786</v>
      </c>
      <c r="B689" s="6" t="s">
        <v>2821</v>
      </c>
      <c r="C689" s="6" t="s">
        <v>88</v>
      </c>
      <c r="D689" s="6" t="s">
        <v>1936</v>
      </c>
      <c r="E689" s="6" t="s">
        <v>1944</v>
      </c>
      <c r="F689" s="6" t="s">
        <v>1945</v>
      </c>
      <c r="G689" s="6" t="s">
        <v>1790</v>
      </c>
      <c r="H689" s="6" t="s">
        <v>2931</v>
      </c>
      <c r="I689" s="6">
        <v>1</v>
      </c>
      <c r="J689" s="6">
        <v>0</v>
      </c>
      <c r="K689" s="6">
        <v>0</v>
      </c>
      <c r="L689" s="6">
        <v>0</v>
      </c>
      <c r="M689" s="6">
        <v>0</v>
      </c>
      <c r="N689" s="6">
        <v>1</v>
      </c>
      <c r="O689" s="6">
        <v>1</v>
      </c>
    </row>
    <row r="690" spans="1:15">
      <c r="A690" s="6" t="s">
        <v>1786</v>
      </c>
      <c r="B690" s="6" t="s">
        <v>2821</v>
      </c>
      <c r="C690" s="6" t="s">
        <v>88</v>
      </c>
      <c r="D690" s="6" t="s">
        <v>1936</v>
      </c>
      <c r="E690" s="6" t="s">
        <v>1944</v>
      </c>
      <c r="F690" s="6" t="s">
        <v>1945</v>
      </c>
      <c r="G690" s="6" t="s">
        <v>1790</v>
      </c>
      <c r="H690" s="6" t="s">
        <v>2932</v>
      </c>
      <c r="I690" s="6">
        <v>2</v>
      </c>
      <c r="J690" s="6">
        <v>0</v>
      </c>
      <c r="K690" s="6">
        <v>0</v>
      </c>
      <c r="L690" s="6">
        <v>0</v>
      </c>
      <c r="M690" s="6">
        <v>0</v>
      </c>
      <c r="N690" s="6">
        <v>1</v>
      </c>
      <c r="O690" s="6">
        <v>1</v>
      </c>
    </row>
    <row r="691" spans="1:15">
      <c r="A691" s="6" t="s">
        <v>1786</v>
      </c>
      <c r="B691" s="6" t="s">
        <v>2821</v>
      </c>
      <c r="C691" s="6" t="s">
        <v>88</v>
      </c>
      <c r="D691" s="6" t="s">
        <v>1936</v>
      </c>
      <c r="E691" s="6" t="s">
        <v>1944</v>
      </c>
      <c r="F691" s="6" t="s">
        <v>1945</v>
      </c>
      <c r="G691" s="6" t="s">
        <v>1790</v>
      </c>
      <c r="H691" s="6" t="s">
        <v>1948</v>
      </c>
      <c r="I691" s="6">
        <v>1</v>
      </c>
      <c r="J691" s="6">
        <v>0</v>
      </c>
      <c r="K691" s="6">
        <v>0</v>
      </c>
      <c r="L691" s="6">
        <v>0</v>
      </c>
      <c r="M691" s="6">
        <v>0</v>
      </c>
      <c r="N691" s="6">
        <v>0</v>
      </c>
      <c r="O691" s="6">
        <v>0</v>
      </c>
    </row>
    <row r="692" spans="1:15">
      <c r="A692" s="6" t="s">
        <v>1786</v>
      </c>
      <c r="B692" s="6" t="s">
        <v>2821</v>
      </c>
      <c r="C692" s="6" t="s">
        <v>88</v>
      </c>
      <c r="D692" s="6" t="s">
        <v>1936</v>
      </c>
      <c r="E692" s="6" t="s">
        <v>1944</v>
      </c>
      <c r="F692" s="6" t="s">
        <v>2933</v>
      </c>
      <c r="G692" s="6" t="s">
        <v>1790</v>
      </c>
      <c r="H692" s="6" t="s">
        <v>2934</v>
      </c>
      <c r="I692" s="6">
        <v>3</v>
      </c>
      <c r="J692" s="6">
        <v>1</v>
      </c>
      <c r="K692" s="6">
        <v>0.33329999999999999</v>
      </c>
      <c r="L692" s="6">
        <v>0.86</v>
      </c>
      <c r="M692" s="6">
        <v>0.86</v>
      </c>
      <c r="N692" s="6">
        <v>0</v>
      </c>
      <c r="O692" s="6">
        <v>0</v>
      </c>
    </row>
    <row r="693" spans="1:15">
      <c r="A693" s="6" t="s">
        <v>1786</v>
      </c>
      <c r="B693" s="6" t="s">
        <v>2821</v>
      </c>
      <c r="C693" s="6" t="s">
        <v>88</v>
      </c>
      <c r="D693" s="6" t="s">
        <v>1936</v>
      </c>
      <c r="E693" s="6" t="s">
        <v>1951</v>
      </c>
      <c r="F693" s="6" t="s">
        <v>1952</v>
      </c>
      <c r="G693" s="6" t="s">
        <v>1790</v>
      </c>
      <c r="H693" s="6" t="s">
        <v>1952</v>
      </c>
      <c r="I693" s="6">
        <v>2</v>
      </c>
      <c r="J693" s="6">
        <v>1</v>
      </c>
      <c r="K693" s="6">
        <v>0.5</v>
      </c>
      <c r="L693" s="6">
        <v>0.45</v>
      </c>
      <c r="M693" s="6">
        <v>0.45</v>
      </c>
      <c r="N693" s="6">
        <v>1</v>
      </c>
      <c r="O693" s="6">
        <v>0</v>
      </c>
    </row>
    <row r="694" spans="1:15">
      <c r="A694" s="6" t="s">
        <v>1786</v>
      </c>
      <c r="B694" s="6" t="s">
        <v>2821</v>
      </c>
      <c r="C694" s="6" t="s">
        <v>88</v>
      </c>
      <c r="D694" s="6" t="s">
        <v>1936</v>
      </c>
      <c r="E694" s="6" t="s">
        <v>1951</v>
      </c>
      <c r="F694" s="6" t="s">
        <v>2935</v>
      </c>
      <c r="G694" s="6" t="s">
        <v>1790</v>
      </c>
      <c r="H694" s="6" t="s">
        <v>2936</v>
      </c>
      <c r="I694" s="6">
        <v>2</v>
      </c>
      <c r="J694" s="6">
        <v>0</v>
      </c>
      <c r="K694" s="6">
        <v>0</v>
      </c>
      <c r="L694" s="6">
        <v>0</v>
      </c>
      <c r="M694" s="6">
        <v>0</v>
      </c>
      <c r="N694" s="6">
        <v>1</v>
      </c>
      <c r="O694" s="6">
        <v>1</v>
      </c>
    </row>
    <row r="695" spans="1:15">
      <c r="A695" s="6" t="s">
        <v>1786</v>
      </c>
      <c r="B695" s="6" t="s">
        <v>2821</v>
      </c>
      <c r="C695" s="6" t="s">
        <v>88</v>
      </c>
      <c r="D695" s="6" t="s">
        <v>1936</v>
      </c>
      <c r="E695" s="6" t="s">
        <v>1951</v>
      </c>
      <c r="F695" s="6" t="s">
        <v>2937</v>
      </c>
      <c r="G695" s="6" t="s">
        <v>1790</v>
      </c>
      <c r="H695" s="6" t="s">
        <v>2938</v>
      </c>
      <c r="I695" s="6">
        <v>5</v>
      </c>
      <c r="J695" s="6">
        <v>0</v>
      </c>
      <c r="K695" s="6">
        <v>0</v>
      </c>
      <c r="L695" s="6">
        <v>0</v>
      </c>
      <c r="M695" s="6">
        <v>0</v>
      </c>
      <c r="N695" s="6">
        <v>0.66670000000000007</v>
      </c>
      <c r="O695" s="6">
        <v>0.66670000000000007</v>
      </c>
    </row>
    <row r="696" spans="1:15">
      <c r="A696" s="6" t="s">
        <v>1786</v>
      </c>
      <c r="B696" s="6" t="s">
        <v>2821</v>
      </c>
      <c r="C696" s="6" t="s">
        <v>88</v>
      </c>
      <c r="D696" s="6" t="s">
        <v>1936</v>
      </c>
      <c r="E696" s="6" t="s">
        <v>1951</v>
      </c>
      <c r="F696" s="6" t="s">
        <v>1954</v>
      </c>
      <c r="G696" s="6" t="s">
        <v>1790</v>
      </c>
      <c r="H696" s="6" t="s">
        <v>1957</v>
      </c>
      <c r="I696" s="6">
        <v>4</v>
      </c>
      <c r="J696" s="6">
        <v>0</v>
      </c>
      <c r="K696" s="6">
        <v>0</v>
      </c>
      <c r="L696" s="6">
        <v>0</v>
      </c>
      <c r="M696" s="6">
        <v>0</v>
      </c>
      <c r="N696" s="6">
        <v>1</v>
      </c>
      <c r="O696" s="6">
        <v>1</v>
      </c>
    </row>
    <row r="697" spans="1:15">
      <c r="A697" s="6" t="s">
        <v>1786</v>
      </c>
      <c r="B697" s="6" t="s">
        <v>2821</v>
      </c>
      <c r="C697" s="6" t="s">
        <v>88</v>
      </c>
      <c r="D697" s="6" t="s">
        <v>1936</v>
      </c>
      <c r="E697" s="6" t="s">
        <v>1967</v>
      </c>
      <c r="F697" s="6" t="s">
        <v>2939</v>
      </c>
      <c r="G697" s="6" t="s">
        <v>1790</v>
      </c>
      <c r="H697" s="6" t="s">
        <v>2940</v>
      </c>
      <c r="I697" s="6">
        <v>1</v>
      </c>
      <c r="J697" s="6">
        <v>0</v>
      </c>
      <c r="K697" s="6">
        <v>0</v>
      </c>
      <c r="L697" s="6">
        <v>0</v>
      </c>
      <c r="M697" s="6">
        <v>0</v>
      </c>
      <c r="N697" s="6">
        <v>1</v>
      </c>
      <c r="O697" s="6">
        <v>1</v>
      </c>
    </row>
    <row r="698" spans="1:15">
      <c r="A698" s="6" t="s">
        <v>1786</v>
      </c>
      <c r="B698" s="6" t="s">
        <v>2821</v>
      </c>
      <c r="C698" s="6" t="s">
        <v>88</v>
      </c>
      <c r="D698" s="6" t="s">
        <v>1936</v>
      </c>
      <c r="E698" s="6" t="s">
        <v>1967</v>
      </c>
      <c r="F698" s="6" t="s">
        <v>2941</v>
      </c>
      <c r="G698" s="6" t="s">
        <v>1790</v>
      </c>
      <c r="H698" s="6" t="s">
        <v>2942</v>
      </c>
      <c r="I698" s="6">
        <v>3</v>
      </c>
      <c r="J698" s="6">
        <v>1</v>
      </c>
      <c r="K698" s="6">
        <v>0.33329999999999999</v>
      </c>
      <c r="L698" s="6">
        <v>0.86</v>
      </c>
      <c r="M698" s="6">
        <v>0.86</v>
      </c>
      <c r="N698" s="6">
        <v>0.5</v>
      </c>
      <c r="O698" s="6">
        <v>0.5</v>
      </c>
    </row>
    <row r="699" spans="1:15">
      <c r="A699" s="6" t="s">
        <v>1786</v>
      </c>
      <c r="B699" s="6" t="s">
        <v>2821</v>
      </c>
      <c r="C699" s="6" t="s">
        <v>88</v>
      </c>
      <c r="D699" s="6" t="s">
        <v>1936</v>
      </c>
      <c r="E699" s="6" t="s">
        <v>1967</v>
      </c>
      <c r="F699" s="6" t="s">
        <v>1978</v>
      </c>
      <c r="G699" s="6" t="s">
        <v>1790</v>
      </c>
      <c r="H699" s="6" t="s">
        <v>2943</v>
      </c>
      <c r="I699" s="6">
        <v>1</v>
      </c>
      <c r="J699" s="6">
        <v>1</v>
      </c>
      <c r="K699" s="6">
        <v>1</v>
      </c>
      <c r="L699" s="6">
        <v>0.09</v>
      </c>
      <c r="M699" s="6">
        <v>0.09</v>
      </c>
      <c r="N699" s="6">
        <v>1</v>
      </c>
      <c r="O699" s="6">
        <v>1</v>
      </c>
    </row>
    <row r="700" spans="1:15">
      <c r="A700" s="6" t="s">
        <v>1786</v>
      </c>
      <c r="B700" s="6" t="s">
        <v>2821</v>
      </c>
      <c r="C700" s="6" t="s">
        <v>88</v>
      </c>
      <c r="D700" s="6" t="s">
        <v>1936</v>
      </c>
      <c r="E700" s="6" t="s">
        <v>1967</v>
      </c>
      <c r="F700" s="6" t="s">
        <v>1978</v>
      </c>
      <c r="G700" s="6" t="s">
        <v>1790</v>
      </c>
      <c r="H700" s="6" t="s">
        <v>1981</v>
      </c>
      <c r="I700" s="6">
        <v>2</v>
      </c>
      <c r="J700" s="6">
        <v>0</v>
      </c>
      <c r="K700" s="6">
        <v>0</v>
      </c>
      <c r="L700" s="6">
        <v>0</v>
      </c>
      <c r="M700" s="6">
        <v>0</v>
      </c>
      <c r="N700" s="6">
        <v>0.5</v>
      </c>
      <c r="O700" s="6">
        <v>0.5</v>
      </c>
    </row>
    <row r="701" spans="1:15">
      <c r="A701" s="6" t="s">
        <v>1786</v>
      </c>
      <c r="B701" s="6" t="s">
        <v>2821</v>
      </c>
      <c r="C701" s="6" t="s">
        <v>88</v>
      </c>
      <c r="D701" s="6" t="s">
        <v>1936</v>
      </c>
      <c r="E701" s="6" t="s">
        <v>1967</v>
      </c>
      <c r="F701" s="6" t="s">
        <v>1978</v>
      </c>
      <c r="G701" s="6" t="s">
        <v>1790</v>
      </c>
      <c r="H701" s="6" t="s">
        <v>1978</v>
      </c>
      <c r="I701" s="6">
        <v>1</v>
      </c>
      <c r="J701" s="6">
        <v>0</v>
      </c>
      <c r="K701" s="6">
        <v>0</v>
      </c>
      <c r="L701" s="6">
        <v>0</v>
      </c>
      <c r="M701" s="6">
        <v>0</v>
      </c>
      <c r="N701" s="6">
        <v>0</v>
      </c>
      <c r="O701" s="6">
        <v>0</v>
      </c>
    </row>
    <row r="702" spans="1:15">
      <c r="A702" s="6" t="s">
        <v>1786</v>
      </c>
      <c r="B702" s="6" t="s">
        <v>2821</v>
      </c>
      <c r="C702" s="6" t="s">
        <v>88</v>
      </c>
      <c r="D702" s="6" t="s">
        <v>1936</v>
      </c>
      <c r="E702" s="6" t="s">
        <v>1990</v>
      </c>
      <c r="F702" s="6" t="s">
        <v>2944</v>
      </c>
      <c r="G702" s="6" t="s">
        <v>1790</v>
      </c>
      <c r="H702" s="6" t="s">
        <v>2945</v>
      </c>
      <c r="I702" s="6">
        <v>2</v>
      </c>
      <c r="J702" s="6">
        <v>0</v>
      </c>
      <c r="K702" s="6">
        <v>0</v>
      </c>
      <c r="L702" s="6">
        <v>0</v>
      </c>
      <c r="M702" s="6">
        <v>0</v>
      </c>
      <c r="N702" s="6">
        <v>0.5</v>
      </c>
      <c r="O702" s="6">
        <v>0.5</v>
      </c>
    </row>
    <row r="703" spans="1:15">
      <c r="A703" s="6" t="s">
        <v>1786</v>
      </c>
      <c r="B703" s="6" t="s">
        <v>2821</v>
      </c>
      <c r="C703" s="6" t="s">
        <v>88</v>
      </c>
      <c r="D703" s="6" t="s">
        <v>1936</v>
      </c>
      <c r="E703" s="6" t="s">
        <v>1990</v>
      </c>
      <c r="F703" s="6" t="s">
        <v>2946</v>
      </c>
      <c r="G703" s="6" t="s">
        <v>1790</v>
      </c>
      <c r="H703" s="6" t="s">
        <v>2947</v>
      </c>
      <c r="I703" s="6">
        <v>1</v>
      </c>
      <c r="J703" s="6">
        <v>0</v>
      </c>
      <c r="K703" s="6">
        <v>0</v>
      </c>
      <c r="L703" s="6">
        <v>0</v>
      </c>
      <c r="M703" s="6">
        <v>0</v>
      </c>
      <c r="N703" s="6">
        <v>0</v>
      </c>
      <c r="O703" s="6">
        <v>0</v>
      </c>
    </row>
    <row r="704" spans="1:15">
      <c r="A704" s="6" t="s">
        <v>1786</v>
      </c>
      <c r="B704" s="6" t="s">
        <v>2821</v>
      </c>
      <c r="C704" s="6" t="s">
        <v>88</v>
      </c>
      <c r="D704" s="6" t="s">
        <v>1936</v>
      </c>
      <c r="E704" s="6" t="s">
        <v>1990</v>
      </c>
      <c r="F704" s="6" t="s">
        <v>2948</v>
      </c>
      <c r="G704" s="6" t="s">
        <v>1790</v>
      </c>
      <c r="H704" s="6" t="s">
        <v>2949</v>
      </c>
      <c r="I704" s="6">
        <v>1</v>
      </c>
      <c r="J704" s="6">
        <v>0</v>
      </c>
      <c r="K704" s="6">
        <v>0</v>
      </c>
      <c r="L704" s="6">
        <v>0</v>
      </c>
      <c r="M704" s="6">
        <v>0</v>
      </c>
      <c r="N704" s="6">
        <v>1</v>
      </c>
      <c r="O704" s="6">
        <v>0</v>
      </c>
    </row>
    <row r="705" spans="1:15">
      <c r="A705" s="6" t="s">
        <v>1786</v>
      </c>
      <c r="B705" s="6" t="s">
        <v>2821</v>
      </c>
      <c r="C705" s="6" t="s">
        <v>88</v>
      </c>
      <c r="D705" s="6" t="s">
        <v>1936</v>
      </c>
      <c r="E705" s="6" t="s">
        <v>1990</v>
      </c>
      <c r="F705" s="6" t="s">
        <v>2002</v>
      </c>
      <c r="G705" s="6" t="s">
        <v>1790</v>
      </c>
      <c r="H705" s="6" t="s">
        <v>2950</v>
      </c>
      <c r="I705" s="6">
        <v>1</v>
      </c>
      <c r="J705" s="6">
        <v>0</v>
      </c>
      <c r="K705" s="6">
        <v>0</v>
      </c>
      <c r="L705" s="6">
        <v>0</v>
      </c>
      <c r="M705" s="6">
        <v>0</v>
      </c>
      <c r="N705" s="6">
        <v>0</v>
      </c>
      <c r="O705" s="6">
        <v>0</v>
      </c>
    </row>
    <row r="706" spans="1:15">
      <c r="A706" s="6" t="s">
        <v>1786</v>
      </c>
      <c r="B706" s="6" t="s">
        <v>2821</v>
      </c>
      <c r="C706" s="6" t="s">
        <v>88</v>
      </c>
      <c r="D706" s="6" t="s">
        <v>1936</v>
      </c>
      <c r="E706" s="6" t="s">
        <v>1990</v>
      </c>
      <c r="F706" s="6" t="s">
        <v>2004</v>
      </c>
      <c r="G706" s="6" t="s">
        <v>1790</v>
      </c>
      <c r="H706" s="6" t="s">
        <v>2951</v>
      </c>
      <c r="I706" s="6">
        <v>1</v>
      </c>
      <c r="J706" s="6">
        <v>0</v>
      </c>
      <c r="K706" s="6">
        <v>0</v>
      </c>
      <c r="L706" s="6">
        <v>0</v>
      </c>
      <c r="M706" s="6">
        <v>0</v>
      </c>
      <c r="N706" s="6">
        <v>0</v>
      </c>
      <c r="O706" s="6">
        <v>0</v>
      </c>
    </row>
    <row r="707" spans="1:15">
      <c r="A707" s="6" t="s">
        <v>1786</v>
      </c>
      <c r="B707" s="6" t="s">
        <v>2821</v>
      </c>
      <c r="C707" s="6" t="s">
        <v>88</v>
      </c>
      <c r="D707" s="6" t="s">
        <v>1936</v>
      </c>
      <c r="E707" s="6" t="s">
        <v>1990</v>
      </c>
      <c r="F707" s="6" t="s">
        <v>2004</v>
      </c>
      <c r="G707" s="6" t="s">
        <v>1790</v>
      </c>
      <c r="H707" s="6" t="s">
        <v>2952</v>
      </c>
      <c r="I707" s="6">
        <v>1</v>
      </c>
      <c r="J707" s="6">
        <v>0</v>
      </c>
      <c r="K707" s="6">
        <v>0</v>
      </c>
      <c r="L707" s="6">
        <v>0</v>
      </c>
      <c r="M707" s="6">
        <v>0</v>
      </c>
      <c r="N707" s="6">
        <v>1</v>
      </c>
      <c r="O707" s="6">
        <v>0</v>
      </c>
    </row>
    <row r="708" spans="1:15">
      <c r="A708" s="6" t="s">
        <v>1786</v>
      </c>
      <c r="B708" s="6" t="s">
        <v>2821</v>
      </c>
      <c r="C708" s="6" t="s">
        <v>88</v>
      </c>
      <c r="D708" s="6" t="s">
        <v>1936</v>
      </c>
      <c r="E708" s="6" t="s">
        <v>2009</v>
      </c>
      <c r="F708" s="6" t="s">
        <v>2953</v>
      </c>
      <c r="G708" s="6" t="s">
        <v>1790</v>
      </c>
      <c r="H708" s="6" t="s">
        <v>2954</v>
      </c>
      <c r="I708" s="6">
        <v>1</v>
      </c>
      <c r="J708" s="6">
        <v>1</v>
      </c>
      <c r="K708" s="6">
        <v>1</v>
      </c>
      <c r="L708" s="6">
        <v>0.94</v>
      </c>
      <c r="M708" s="6">
        <v>0.94</v>
      </c>
      <c r="N708" s="6">
        <v>0</v>
      </c>
      <c r="O708" s="6">
        <v>0</v>
      </c>
    </row>
    <row r="709" spans="1:15">
      <c r="A709" s="6" t="s">
        <v>1786</v>
      </c>
      <c r="B709" s="6" t="s">
        <v>2821</v>
      </c>
      <c r="C709" s="6" t="s">
        <v>88</v>
      </c>
      <c r="D709" s="6" t="s">
        <v>2955</v>
      </c>
      <c r="E709" s="6" t="s">
        <v>2956</v>
      </c>
      <c r="F709" s="6" t="s">
        <v>2957</v>
      </c>
      <c r="G709" s="6" t="s">
        <v>1790</v>
      </c>
      <c r="H709" s="6" t="s">
        <v>2958</v>
      </c>
      <c r="I709" s="6">
        <v>1</v>
      </c>
      <c r="J709" s="6">
        <v>0</v>
      </c>
      <c r="K709" s="6">
        <v>0</v>
      </c>
      <c r="L709" s="6">
        <v>0</v>
      </c>
      <c r="M709" s="6">
        <v>0</v>
      </c>
      <c r="N709" s="6">
        <v>1</v>
      </c>
      <c r="O709" s="6">
        <v>1</v>
      </c>
    </row>
    <row r="710" spans="1:15">
      <c r="A710" s="6" t="s">
        <v>1786</v>
      </c>
      <c r="B710" s="6" t="s">
        <v>2821</v>
      </c>
      <c r="C710" s="6" t="s">
        <v>88</v>
      </c>
      <c r="D710" s="6" t="s">
        <v>2955</v>
      </c>
      <c r="E710" s="6" t="s">
        <v>2956</v>
      </c>
      <c r="F710" s="6" t="s">
        <v>2957</v>
      </c>
      <c r="G710" s="6" t="s">
        <v>1790</v>
      </c>
      <c r="H710" s="6" t="s">
        <v>2959</v>
      </c>
      <c r="I710" s="6">
        <v>2</v>
      </c>
      <c r="J710" s="6">
        <v>0</v>
      </c>
      <c r="K710" s="6">
        <v>0</v>
      </c>
      <c r="L710" s="6">
        <v>0</v>
      </c>
      <c r="M710" s="6">
        <v>0</v>
      </c>
      <c r="N710" s="6">
        <v>1</v>
      </c>
      <c r="O710" s="6">
        <v>1</v>
      </c>
    </row>
    <row r="711" spans="1:15">
      <c r="A711" s="6" t="s">
        <v>1786</v>
      </c>
      <c r="B711" s="6" t="s">
        <v>2821</v>
      </c>
      <c r="C711" s="6" t="s">
        <v>88</v>
      </c>
      <c r="D711" s="6" t="s">
        <v>2955</v>
      </c>
      <c r="E711" s="6" t="s">
        <v>2956</v>
      </c>
      <c r="F711" s="6" t="s">
        <v>2957</v>
      </c>
      <c r="G711" s="6" t="s">
        <v>1790</v>
      </c>
      <c r="H711" s="6" t="s">
        <v>2960</v>
      </c>
      <c r="I711" s="6">
        <v>2</v>
      </c>
      <c r="J711" s="6">
        <v>0</v>
      </c>
      <c r="K711" s="6">
        <v>0</v>
      </c>
      <c r="L711" s="6">
        <v>0</v>
      </c>
      <c r="M711" s="6">
        <v>0</v>
      </c>
      <c r="N711" s="6">
        <v>1</v>
      </c>
      <c r="O711" s="6">
        <v>1</v>
      </c>
    </row>
    <row r="712" spans="1:15">
      <c r="A712" s="6" t="s">
        <v>1786</v>
      </c>
      <c r="B712" s="6" t="s">
        <v>2821</v>
      </c>
      <c r="C712" s="6" t="s">
        <v>88</v>
      </c>
      <c r="D712" s="6" t="s">
        <v>2955</v>
      </c>
      <c r="E712" s="6" t="s">
        <v>2956</v>
      </c>
      <c r="F712" s="6" t="s">
        <v>2961</v>
      </c>
      <c r="G712" s="6" t="s">
        <v>1790</v>
      </c>
      <c r="H712" s="6" t="s">
        <v>2962</v>
      </c>
      <c r="I712" s="6">
        <v>1</v>
      </c>
      <c r="J712" s="6">
        <v>0</v>
      </c>
      <c r="K712" s="6">
        <v>0</v>
      </c>
      <c r="L712" s="6">
        <v>0</v>
      </c>
      <c r="M712" s="6">
        <v>0</v>
      </c>
      <c r="N712" s="6">
        <v>0</v>
      </c>
      <c r="O712" s="6">
        <v>0</v>
      </c>
    </row>
    <row r="713" spans="1:15">
      <c r="A713" s="6" t="s">
        <v>1786</v>
      </c>
      <c r="B713" s="6" t="s">
        <v>2821</v>
      </c>
      <c r="C713" s="6" t="s">
        <v>88</v>
      </c>
      <c r="D713" s="6" t="s">
        <v>2955</v>
      </c>
      <c r="E713" s="6" t="s">
        <v>2956</v>
      </c>
      <c r="F713" s="6" t="s">
        <v>2963</v>
      </c>
      <c r="G713" s="6" t="s">
        <v>1790</v>
      </c>
      <c r="H713" s="6" t="s">
        <v>2964</v>
      </c>
      <c r="I713" s="6">
        <v>1</v>
      </c>
      <c r="J713" s="6">
        <v>0</v>
      </c>
      <c r="K713" s="6">
        <v>0</v>
      </c>
      <c r="L713" s="6">
        <v>0</v>
      </c>
      <c r="M713" s="6">
        <v>0</v>
      </c>
      <c r="N713" s="6">
        <v>1</v>
      </c>
      <c r="O713" s="6">
        <v>1</v>
      </c>
    </row>
    <row r="714" spans="1:15">
      <c r="A714" s="6" t="s">
        <v>1786</v>
      </c>
      <c r="B714" s="6" t="s">
        <v>2821</v>
      </c>
      <c r="C714" s="6" t="s">
        <v>88</v>
      </c>
      <c r="D714" s="6" t="s">
        <v>2955</v>
      </c>
      <c r="E714" s="6" t="s">
        <v>2956</v>
      </c>
      <c r="F714" s="6" t="s">
        <v>2965</v>
      </c>
      <c r="G714" s="6" t="s">
        <v>1790</v>
      </c>
      <c r="H714" s="6" t="s">
        <v>2966</v>
      </c>
      <c r="I714" s="6">
        <v>1</v>
      </c>
      <c r="J714" s="6">
        <v>0</v>
      </c>
      <c r="K714" s="6">
        <v>0</v>
      </c>
      <c r="L714" s="6">
        <v>0</v>
      </c>
      <c r="M714" s="6">
        <v>0</v>
      </c>
      <c r="N714" s="6">
        <v>0</v>
      </c>
      <c r="O714" s="6">
        <v>0</v>
      </c>
    </row>
    <row r="715" spans="1:15">
      <c r="A715" s="6" t="s">
        <v>1786</v>
      </c>
      <c r="B715" s="6" t="s">
        <v>2821</v>
      </c>
      <c r="C715" s="6" t="s">
        <v>88</v>
      </c>
      <c r="D715" s="6" t="s">
        <v>2967</v>
      </c>
      <c r="E715" s="6" t="s">
        <v>2968</v>
      </c>
      <c r="F715" s="6" t="s">
        <v>2969</v>
      </c>
      <c r="G715" s="6" t="s">
        <v>1790</v>
      </c>
      <c r="H715" s="6" t="s">
        <v>2970</v>
      </c>
      <c r="I715" s="6">
        <v>1</v>
      </c>
      <c r="J715" s="6">
        <v>0</v>
      </c>
      <c r="K715" s="6">
        <v>0</v>
      </c>
      <c r="L715" s="6">
        <v>0</v>
      </c>
      <c r="M715" s="6">
        <v>0</v>
      </c>
      <c r="N715" s="6">
        <v>1</v>
      </c>
      <c r="O715" s="6">
        <v>1</v>
      </c>
    </row>
    <row r="716" spans="1:15">
      <c r="A716" s="6" t="s">
        <v>1786</v>
      </c>
      <c r="B716" s="6" t="s">
        <v>2821</v>
      </c>
      <c r="C716" s="6" t="s">
        <v>88</v>
      </c>
      <c r="D716" s="6" t="s">
        <v>2967</v>
      </c>
      <c r="E716" s="6" t="s">
        <v>2968</v>
      </c>
      <c r="F716" s="6" t="s">
        <v>2969</v>
      </c>
      <c r="G716" s="6" t="s">
        <v>1790</v>
      </c>
      <c r="H716" s="6" t="s">
        <v>2971</v>
      </c>
      <c r="I716" s="6">
        <v>1</v>
      </c>
      <c r="J716" s="6">
        <v>0</v>
      </c>
      <c r="K716" s="6">
        <v>0</v>
      </c>
      <c r="L716" s="6">
        <v>0</v>
      </c>
      <c r="M716" s="6">
        <v>0</v>
      </c>
      <c r="N716" s="6">
        <v>0</v>
      </c>
      <c r="O716" s="6">
        <v>0</v>
      </c>
    </row>
    <row r="717" spans="1:15">
      <c r="A717" s="6" t="s">
        <v>1786</v>
      </c>
      <c r="B717" s="6" t="s">
        <v>2821</v>
      </c>
      <c r="C717" s="6" t="s">
        <v>88</v>
      </c>
      <c r="D717" s="6" t="s">
        <v>2012</v>
      </c>
      <c r="G717" s="6" t="s">
        <v>1790</v>
      </c>
      <c r="H717" s="6" t="s">
        <v>2972</v>
      </c>
      <c r="I717" s="6">
        <v>1</v>
      </c>
      <c r="J717" s="6">
        <v>0</v>
      </c>
      <c r="K717" s="6">
        <v>0</v>
      </c>
      <c r="L717" s="6">
        <v>0</v>
      </c>
      <c r="M717" s="6">
        <v>0</v>
      </c>
      <c r="N717" s="6">
        <v>1</v>
      </c>
      <c r="O717" s="6">
        <v>1</v>
      </c>
    </row>
    <row r="718" spans="1:15">
      <c r="A718" s="6" t="s">
        <v>1786</v>
      </c>
      <c r="B718" s="6" t="s">
        <v>2821</v>
      </c>
      <c r="C718" s="6" t="s">
        <v>88</v>
      </c>
      <c r="D718" s="6" t="s">
        <v>2012</v>
      </c>
      <c r="E718" s="6" t="s">
        <v>2016</v>
      </c>
      <c r="F718" s="6" t="s">
        <v>2973</v>
      </c>
      <c r="G718" s="6" t="s">
        <v>1790</v>
      </c>
      <c r="H718" s="6" t="s">
        <v>2974</v>
      </c>
      <c r="I718" s="6">
        <v>1</v>
      </c>
      <c r="J718" s="6">
        <v>0</v>
      </c>
      <c r="K718" s="6">
        <v>0</v>
      </c>
      <c r="L718" s="6">
        <v>0</v>
      </c>
      <c r="M718" s="6">
        <v>0</v>
      </c>
      <c r="N718" s="6">
        <v>1</v>
      </c>
      <c r="O718" s="6">
        <v>1</v>
      </c>
    </row>
    <row r="719" spans="1:15">
      <c r="A719" s="6" t="s">
        <v>1786</v>
      </c>
      <c r="B719" s="6" t="s">
        <v>2821</v>
      </c>
      <c r="C719" s="6" t="s">
        <v>88</v>
      </c>
      <c r="D719" s="6" t="s">
        <v>2012</v>
      </c>
      <c r="E719" s="6" t="s">
        <v>2016</v>
      </c>
      <c r="F719" s="6" t="s">
        <v>2023</v>
      </c>
      <c r="G719" s="6" t="s">
        <v>1790</v>
      </c>
      <c r="H719" s="6" t="s">
        <v>2024</v>
      </c>
      <c r="I719" s="6">
        <v>1</v>
      </c>
      <c r="J719" s="6">
        <v>0</v>
      </c>
      <c r="K719" s="6">
        <v>0</v>
      </c>
      <c r="L719" s="6">
        <v>0</v>
      </c>
      <c r="M719" s="6">
        <v>0</v>
      </c>
      <c r="N719" s="6">
        <v>1</v>
      </c>
      <c r="O719" s="6">
        <v>0</v>
      </c>
    </row>
    <row r="720" spans="1:15">
      <c r="A720" s="6" t="s">
        <v>1786</v>
      </c>
      <c r="B720" s="6" t="s">
        <v>2821</v>
      </c>
      <c r="C720" s="6" t="s">
        <v>88</v>
      </c>
      <c r="D720" s="6" t="s">
        <v>2012</v>
      </c>
      <c r="E720" s="6" t="s">
        <v>2016</v>
      </c>
      <c r="F720" s="6" t="s">
        <v>2023</v>
      </c>
      <c r="G720" s="6" t="s">
        <v>1790</v>
      </c>
      <c r="H720" s="6" t="s">
        <v>2025</v>
      </c>
      <c r="I720" s="6">
        <v>2</v>
      </c>
      <c r="J720" s="6">
        <v>0</v>
      </c>
      <c r="K720" s="6">
        <v>0</v>
      </c>
      <c r="L720" s="6">
        <v>0</v>
      </c>
      <c r="M720" s="6">
        <v>0</v>
      </c>
      <c r="N720" s="6">
        <v>1</v>
      </c>
      <c r="O720" s="6">
        <v>1</v>
      </c>
    </row>
    <row r="721" spans="1:15">
      <c r="A721" s="6" t="s">
        <v>1786</v>
      </c>
      <c r="B721" s="6" t="s">
        <v>2821</v>
      </c>
      <c r="C721" s="6" t="s">
        <v>88</v>
      </c>
      <c r="D721" s="6" t="s">
        <v>2012</v>
      </c>
      <c r="E721" s="6" t="s">
        <v>2016</v>
      </c>
      <c r="F721" s="6" t="s">
        <v>2023</v>
      </c>
      <c r="G721" s="6" t="s">
        <v>1790</v>
      </c>
      <c r="H721" s="6" t="s">
        <v>2027</v>
      </c>
      <c r="I721" s="6">
        <v>1</v>
      </c>
      <c r="J721" s="6">
        <v>0</v>
      </c>
      <c r="K721" s="6">
        <v>0</v>
      </c>
      <c r="L721" s="6">
        <v>0</v>
      </c>
      <c r="M721" s="6">
        <v>0</v>
      </c>
      <c r="N721" s="6">
        <v>1</v>
      </c>
      <c r="O721" s="6">
        <v>1</v>
      </c>
    </row>
    <row r="722" spans="1:15">
      <c r="A722" s="6" t="s">
        <v>1786</v>
      </c>
      <c r="B722" s="6" t="s">
        <v>2821</v>
      </c>
      <c r="C722" s="6" t="s">
        <v>88</v>
      </c>
      <c r="D722" s="6" t="s">
        <v>2012</v>
      </c>
      <c r="E722" s="6" t="s">
        <v>2016</v>
      </c>
      <c r="F722" s="6" t="s">
        <v>2023</v>
      </c>
      <c r="G722" s="6" t="s">
        <v>1790</v>
      </c>
      <c r="H722" s="6" t="s">
        <v>2975</v>
      </c>
      <c r="I722" s="6">
        <v>1</v>
      </c>
      <c r="J722" s="6">
        <v>0</v>
      </c>
      <c r="K722" s="6">
        <v>0</v>
      </c>
      <c r="L722" s="6">
        <v>0</v>
      </c>
      <c r="M722" s="6">
        <v>0</v>
      </c>
      <c r="N722" s="6">
        <v>1</v>
      </c>
      <c r="O722" s="6">
        <v>1</v>
      </c>
    </row>
    <row r="723" spans="1:15">
      <c r="A723" s="6" t="s">
        <v>1786</v>
      </c>
      <c r="B723" s="6" t="s">
        <v>2821</v>
      </c>
      <c r="C723" s="6" t="s">
        <v>88</v>
      </c>
      <c r="D723" s="6" t="s">
        <v>2012</v>
      </c>
      <c r="E723" s="6" t="s">
        <v>2016</v>
      </c>
      <c r="F723" s="6" t="s">
        <v>2976</v>
      </c>
      <c r="G723" s="6" t="s">
        <v>1790</v>
      </c>
      <c r="H723" s="6" t="s">
        <v>2976</v>
      </c>
      <c r="I723" s="6">
        <v>2</v>
      </c>
      <c r="J723" s="6">
        <v>1</v>
      </c>
      <c r="K723" s="6">
        <v>0.5</v>
      </c>
      <c r="L723" s="6">
        <v>0.82</v>
      </c>
      <c r="M723" s="6">
        <v>0.82</v>
      </c>
      <c r="N723" s="6">
        <v>1</v>
      </c>
      <c r="O723" s="6">
        <v>1</v>
      </c>
    </row>
    <row r="724" spans="1:15">
      <c r="A724" s="6" t="s">
        <v>1786</v>
      </c>
      <c r="B724" s="6" t="s">
        <v>2821</v>
      </c>
      <c r="C724" s="6" t="s">
        <v>88</v>
      </c>
      <c r="D724" s="6" t="s">
        <v>2012</v>
      </c>
      <c r="E724" s="6" t="s">
        <v>2016</v>
      </c>
      <c r="F724" s="6" t="s">
        <v>2047</v>
      </c>
      <c r="G724" s="6" t="s">
        <v>1790</v>
      </c>
      <c r="H724" s="6" t="s">
        <v>2977</v>
      </c>
      <c r="I724" s="6">
        <v>1</v>
      </c>
      <c r="J724" s="6">
        <v>0</v>
      </c>
      <c r="K724" s="6">
        <v>0</v>
      </c>
      <c r="L724" s="6">
        <v>0</v>
      </c>
      <c r="M724" s="6">
        <v>0</v>
      </c>
      <c r="N724" s="6">
        <v>1</v>
      </c>
      <c r="O724" s="6">
        <v>1</v>
      </c>
    </row>
    <row r="725" spans="1:15">
      <c r="A725" s="6" t="s">
        <v>1786</v>
      </c>
      <c r="B725" s="6" t="s">
        <v>2821</v>
      </c>
      <c r="C725" s="6" t="s">
        <v>88</v>
      </c>
      <c r="D725" s="6" t="s">
        <v>2012</v>
      </c>
      <c r="E725" s="6" t="s">
        <v>2016</v>
      </c>
      <c r="F725" s="6" t="s">
        <v>2978</v>
      </c>
      <c r="G725" s="6" t="s">
        <v>1790</v>
      </c>
      <c r="H725" s="6" t="s">
        <v>2979</v>
      </c>
      <c r="I725" s="6">
        <v>2</v>
      </c>
      <c r="J725" s="6">
        <v>0</v>
      </c>
      <c r="K725" s="6">
        <v>0</v>
      </c>
      <c r="L725" s="6">
        <v>0</v>
      </c>
      <c r="M725" s="6">
        <v>0</v>
      </c>
      <c r="N725" s="6">
        <v>0</v>
      </c>
      <c r="O725" s="6">
        <v>0</v>
      </c>
    </row>
    <row r="726" spans="1:15">
      <c r="A726" s="6" t="s">
        <v>1786</v>
      </c>
      <c r="B726" s="6" t="s">
        <v>2821</v>
      </c>
      <c r="C726" s="6" t="s">
        <v>88</v>
      </c>
      <c r="D726" s="6" t="s">
        <v>2012</v>
      </c>
      <c r="E726" s="6" t="s">
        <v>2016</v>
      </c>
      <c r="F726" s="6" t="s">
        <v>2980</v>
      </c>
      <c r="G726" s="6" t="s">
        <v>1790</v>
      </c>
      <c r="H726" s="6" t="s">
        <v>2981</v>
      </c>
      <c r="I726" s="6">
        <v>2</v>
      </c>
      <c r="J726" s="6">
        <v>1</v>
      </c>
      <c r="K726" s="6">
        <v>0.5</v>
      </c>
      <c r="L726" s="6">
        <v>0.96</v>
      </c>
      <c r="M726" s="6">
        <v>0.96</v>
      </c>
      <c r="N726" s="6">
        <v>1</v>
      </c>
      <c r="O726" s="6">
        <v>1</v>
      </c>
    </row>
    <row r="727" spans="1:15">
      <c r="A727" s="6" t="s">
        <v>1786</v>
      </c>
      <c r="B727" s="6" t="s">
        <v>2821</v>
      </c>
      <c r="C727" s="6" t="s">
        <v>88</v>
      </c>
      <c r="D727" s="6" t="s">
        <v>2012</v>
      </c>
      <c r="E727" s="6" t="s">
        <v>2016</v>
      </c>
      <c r="F727" s="6" t="s">
        <v>2982</v>
      </c>
      <c r="G727" s="6" t="s">
        <v>1790</v>
      </c>
      <c r="H727" s="6" t="s">
        <v>2983</v>
      </c>
      <c r="I727" s="6">
        <v>1</v>
      </c>
      <c r="J727" s="6">
        <v>0</v>
      </c>
      <c r="K727" s="6">
        <v>0</v>
      </c>
      <c r="L727" s="6">
        <v>0</v>
      </c>
      <c r="M727" s="6">
        <v>0</v>
      </c>
      <c r="N727" s="6">
        <v>1</v>
      </c>
      <c r="O727" s="6">
        <v>0</v>
      </c>
    </row>
    <row r="728" spans="1:15">
      <c r="A728" s="6" t="s">
        <v>1786</v>
      </c>
      <c r="B728" s="6" t="s">
        <v>2821</v>
      </c>
      <c r="C728" s="6" t="s">
        <v>88</v>
      </c>
      <c r="D728" s="6" t="s">
        <v>2012</v>
      </c>
      <c r="E728" s="6" t="s">
        <v>2016</v>
      </c>
      <c r="F728" s="6" t="s">
        <v>2984</v>
      </c>
      <c r="G728" s="6" t="s">
        <v>1790</v>
      </c>
      <c r="H728" s="6" t="s">
        <v>2985</v>
      </c>
      <c r="I728" s="6">
        <v>5</v>
      </c>
      <c r="J728" s="6">
        <v>2</v>
      </c>
      <c r="K728" s="6">
        <v>0.4</v>
      </c>
      <c r="L728" s="6">
        <v>0.88</v>
      </c>
      <c r="M728" s="6">
        <v>1.76</v>
      </c>
      <c r="N728" s="6">
        <v>0.66670000000000007</v>
      </c>
      <c r="O728" s="6">
        <v>0.66670000000000007</v>
      </c>
    </row>
    <row r="729" spans="1:15">
      <c r="A729" s="6" t="s">
        <v>1786</v>
      </c>
      <c r="B729" s="6" t="s">
        <v>2821</v>
      </c>
      <c r="C729" s="6" t="s">
        <v>88</v>
      </c>
      <c r="D729" s="6" t="s">
        <v>2012</v>
      </c>
      <c r="E729" s="6" t="s">
        <v>2986</v>
      </c>
      <c r="F729" s="6" t="s">
        <v>2987</v>
      </c>
      <c r="G729" s="6" t="s">
        <v>1790</v>
      </c>
      <c r="H729" s="6" t="s">
        <v>2988</v>
      </c>
      <c r="I729" s="6">
        <v>1</v>
      </c>
      <c r="J729" s="6">
        <v>0</v>
      </c>
      <c r="K729" s="6">
        <v>0</v>
      </c>
      <c r="L729" s="6">
        <v>0</v>
      </c>
      <c r="M729" s="6">
        <v>0</v>
      </c>
      <c r="N729" s="6">
        <v>0</v>
      </c>
      <c r="O729" s="6">
        <v>0</v>
      </c>
    </row>
    <row r="730" spans="1:15">
      <c r="A730" s="6" t="s">
        <v>1786</v>
      </c>
      <c r="B730" s="6" t="s">
        <v>2821</v>
      </c>
      <c r="C730" s="6" t="s">
        <v>88</v>
      </c>
      <c r="D730" s="6" t="s">
        <v>2080</v>
      </c>
      <c r="E730" s="6" t="s">
        <v>2086</v>
      </c>
      <c r="F730" s="6" t="s">
        <v>2087</v>
      </c>
      <c r="G730" s="6" t="s">
        <v>1790</v>
      </c>
      <c r="H730" s="6" t="s">
        <v>2088</v>
      </c>
      <c r="I730" s="6">
        <v>2</v>
      </c>
      <c r="J730" s="6">
        <v>1</v>
      </c>
      <c r="K730" s="6">
        <v>0.5</v>
      </c>
      <c r="L730" s="6">
        <v>0.96</v>
      </c>
      <c r="M730" s="6">
        <v>0.96</v>
      </c>
      <c r="N730" s="6">
        <v>1</v>
      </c>
      <c r="O730" s="6">
        <v>1</v>
      </c>
    </row>
    <row r="731" spans="1:15">
      <c r="A731" s="6" t="s">
        <v>1786</v>
      </c>
      <c r="B731" s="6" t="s">
        <v>2821</v>
      </c>
      <c r="C731" s="6" t="s">
        <v>88</v>
      </c>
      <c r="D731" s="6" t="s">
        <v>2080</v>
      </c>
      <c r="E731" s="6" t="s">
        <v>2091</v>
      </c>
      <c r="F731" s="6" t="s">
        <v>2581</v>
      </c>
      <c r="G731" s="6" t="s">
        <v>1790</v>
      </c>
      <c r="H731" s="6" t="s">
        <v>2989</v>
      </c>
      <c r="I731" s="6">
        <v>1</v>
      </c>
      <c r="J731" s="6">
        <v>0</v>
      </c>
      <c r="K731" s="6">
        <v>0</v>
      </c>
      <c r="L731" s="6">
        <v>0</v>
      </c>
      <c r="M731" s="6">
        <v>0</v>
      </c>
      <c r="N731" s="6">
        <v>0</v>
      </c>
      <c r="O731" s="6">
        <v>0</v>
      </c>
    </row>
    <row r="732" spans="1:15">
      <c r="A732" s="6" t="s">
        <v>1786</v>
      </c>
      <c r="B732" s="6" t="s">
        <v>2821</v>
      </c>
      <c r="C732" s="6" t="s">
        <v>88</v>
      </c>
      <c r="D732" s="6" t="s">
        <v>2106</v>
      </c>
      <c r="E732" s="6" t="s">
        <v>2107</v>
      </c>
      <c r="F732" s="6" t="s">
        <v>2108</v>
      </c>
      <c r="G732" s="6" t="s">
        <v>1790</v>
      </c>
      <c r="H732" s="6" t="s">
        <v>2108</v>
      </c>
      <c r="I732" s="6">
        <v>4</v>
      </c>
      <c r="J732" s="6">
        <v>2</v>
      </c>
      <c r="K732" s="6">
        <v>0.5</v>
      </c>
      <c r="L732" s="6">
        <v>0.85</v>
      </c>
      <c r="M732" s="6">
        <v>1.7</v>
      </c>
      <c r="N732" s="6">
        <v>1</v>
      </c>
      <c r="O732" s="6">
        <v>1</v>
      </c>
    </row>
    <row r="733" spans="1:15">
      <c r="A733" s="6" t="s">
        <v>1786</v>
      </c>
      <c r="B733" s="6" t="s">
        <v>2821</v>
      </c>
      <c r="C733" s="6" t="s">
        <v>88</v>
      </c>
      <c r="D733" s="6" t="s">
        <v>2120</v>
      </c>
      <c r="G733" s="6" t="s">
        <v>1790</v>
      </c>
      <c r="H733" s="6" t="s">
        <v>2121</v>
      </c>
      <c r="I733" s="6">
        <v>1</v>
      </c>
      <c r="J733" s="6">
        <v>0</v>
      </c>
      <c r="K733" s="6">
        <v>0</v>
      </c>
      <c r="L733" s="6">
        <v>0</v>
      </c>
      <c r="M733" s="6">
        <v>0</v>
      </c>
      <c r="N733" s="6">
        <v>1</v>
      </c>
      <c r="O733" s="6">
        <v>1</v>
      </c>
    </row>
    <row r="734" spans="1:15">
      <c r="A734" s="6" t="s">
        <v>1786</v>
      </c>
      <c r="B734" s="6" t="s">
        <v>2821</v>
      </c>
      <c r="C734" s="6" t="s">
        <v>88</v>
      </c>
      <c r="D734" s="6" t="s">
        <v>2120</v>
      </c>
      <c r="E734" s="6" t="s">
        <v>2129</v>
      </c>
      <c r="F734" s="6" t="s">
        <v>2130</v>
      </c>
      <c r="G734" s="6" t="s">
        <v>1790</v>
      </c>
      <c r="H734" s="6" t="s">
        <v>2131</v>
      </c>
      <c r="I734" s="6">
        <v>6</v>
      </c>
      <c r="J734" s="6">
        <v>0</v>
      </c>
      <c r="K734" s="6">
        <v>0</v>
      </c>
      <c r="L734" s="6">
        <v>0</v>
      </c>
      <c r="M734" s="6">
        <v>0</v>
      </c>
      <c r="N734" s="6">
        <v>1</v>
      </c>
      <c r="O734" s="6">
        <v>1</v>
      </c>
    </row>
    <row r="735" spans="1:15">
      <c r="A735" s="6" t="s">
        <v>1786</v>
      </c>
      <c r="B735" s="6" t="s">
        <v>2821</v>
      </c>
      <c r="C735" s="6" t="s">
        <v>88</v>
      </c>
      <c r="D735" s="6" t="s">
        <v>2120</v>
      </c>
      <c r="E735" s="6" t="s">
        <v>2129</v>
      </c>
      <c r="F735" s="6" t="s">
        <v>2990</v>
      </c>
      <c r="G735" s="6" t="s">
        <v>1790</v>
      </c>
      <c r="H735" s="6" t="s">
        <v>2991</v>
      </c>
      <c r="I735" s="6">
        <v>1</v>
      </c>
      <c r="J735" s="6">
        <v>0</v>
      </c>
      <c r="K735" s="6">
        <v>0</v>
      </c>
      <c r="L735" s="6">
        <v>0</v>
      </c>
      <c r="M735" s="6">
        <v>0</v>
      </c>
      <c r="N735" s="6">
        <v>0</v>
      </c>
      <c r="O735" s="6">
        <v>0</v>
      </c>
    </row>
    <row r="736" spans="1:15">
      <c r="A736" s="6" t="s">
        <v>1786</v>
      </c>
      <c r="B736" s="6" t="s">
        <v>2821</v>
      </c>
      <c r="C736" s="6" t="s">
        <v>88</v>
      </c>
      <c r="D736" s="6" t="s">
        <v>2992</v>
      </c>
      <c r="E736" s="6" t="s">
        <v>2993</v>
      </c>
      <c r="F736" s="6" t="s">
        <v>2994</v>
      </c>
      <c r="G736" s="6" t="s">
        <v>1790</v>
      </c>
      <c r="H736" s="6" t="s">
        <v>2994</v>
      </c>
      <c r="I736" s="6">
        <v>2</v>
      </c>
      <c r="J736" s="6">
        <v>0</v>
      </c>
      <c r="K736" s="6">
        <v>0</v>
      </c>
      <c r="L736" s="6">
        <v>0</v>
      </c>
      <c r="M736" s="6">
        <v>0</v>
      </c>
      <c r="N736" s="6">
        <v>1</v>
      </c>
      <c r="O736" s="6">
        <v>1</v>
      </c>
    </row>
    <row r="737" spans="1:15">
      <c r="A737" s="6" t="s">
        <v>1786</v>
      </c>
      <c r="B737" s="6" t="s">
        <v>2821</v>
      </c>
      <c r="C737" s="6" t="s">
        <v>88</v>
      </c>
      <c r="D737" s="6" t="s">
        <v>2992</v>
      </c>
      <c r="E737" s="6" t="s">
        <v>2995</v>
      </c>
      <c r="F737" s="6" t="s">
        <v>2996</v>
      </c>
      <c r="G737" s="6" t="s">
        <v>1790</v>
      </c>
      <c r="H737" s="6" t="s">
        <v>2997</v>
      </c>
      <c r="I737" s="6">
        <v>2</v>
      </c>
      <c r="J737" s="6">
        <v>0</v>
      </c>
      <c r="K737" s="6">
        <v>0</v>
      </c>
      <c r="L737" s="6">
        <v>0</v>
      </c>
      <c r="M737" s="6">
        <v>0</v>
      </c>
      <c r="N737" s="6">
        <v>0</v>
      </c>
      <c r="O737" s="6">
        <v>0</v>
      </c>
    </row>
    <row r="738" spans="1:15">
      <c r="A738" s="6" t="s">
        <v>1786</v>
      </c>
      <c r="B738" s="6" t="s">
        <v>2821</v>
      </c>
      <c r="C738" s="6" t="s">
        <v>88</v>
      </c>
      <c r="D738" s="6" t="s">
        <v>2992</v>
      </c>
      <c r="E738" s="6" t="s">
        <v>2998</v>
      </c>
      <c r="F738" s="6" t="s">
        <v>2999</v>
      </c>
      <c r="G738" s="6" t="s">
        <v>1790</v>
      </c>
      <c r="H738" s="6" t="s">
        <v>3000</v>
      </c>
      <c r="I738" s="6">
        <v>1</v>
      </c>
      <c r="J738" s="6">
        <v>0</v>
      </c>
      <c r="K738" s="6">
        <v>0</v>
      </c>
      <c r="L738" s="6">
        <v>0</v>
      </c>
      <c r="M738" s="6">
        <v>0</v>
      </c>
      <c r="N738" s="6">
        <v>1</v>
      </c>
      <c r="O738" s="6">
        <v>1</v>
      </c>
    </row>
    <row r="739" spans="1:15">
      <c r="A739" s="6" t="s">
        <v>1786</v>
      </c>
      <c r="B739" s="6" t="s">
        <v>2821</v>
      </c>
      <c r="C739" s="6" t="s">
        <v>88</v>
      </c>
      <c r="D739" s="6" t="s">
        <v>2992</v>
      </c>
      <c r="E739" s="6" t="s">
        <v>3001</v>
      </c>
      <c r="F739" s="6" t="s">
        <v>3002</v>
      </c>
      <c r="G739" s="6" t="s">
        <v>1790</v>
      </c>
      <c r="H739" s="6" t="s">
        <v>3003</v>
      </c>
      <c r="I739" s="6">
        <v>1</v>
      </c>
      <c r="J739" s="6">
        <v>0</v>
      </c>
      <c r="K739" s="6">
        <v>0</v>
      </c>
      <c r="L739" s="6">
        <v>0</v>
      </c>
      <c r="M739" s="6">
        <v>0</v>
      </c>
      <c r="N739" s="6">
        <v>0</v>
      </c>
      <c r="O739" s="6">
        <v>0</v>
      </c>
    </row>
    <row r="740" spans="1:15">
      <c r="A740" s="6" t="s">
        <v>1786</v>
      </c>
      <c r="B740" s="6" t="s">
        <v>2821</v>
      </c>
      <c r="C740" s="6" t="s">
        <v>88</v>
      </c>
      <c r="D740" s="6" t="s">
        <v>2992</v>
      </c>
      <c r="E740" s="6" t="s">
        <v>2099</v>
      </c>
      <c r="G740" s="6" t="s">
        <v>1790</v>
      </c>
      <c r="H740" s="6" t="s">
        <v>3004</v>
      </c>
      <c r="I740" s="6">
        <v>2</v>
      </c>
      <c r="J740" s="6">
        <v>0</v>
      </c>
      <c r="K740" s="6">
        <v>0</v>
      </c>
      <c r="L740" s="6">
        <v>0</v>
      </c>
      <c r="M740" s="6">
        <v>0</v>
      </c>
      <c r="N740" s="6">
        <v>1</v>
      </c>
      <c r="O740" s="6">
        <v>0</v>
      </c>
    </row>
    <row r="741" spans="1:15">
      <c r="A741" s="6" t="s">
        <v>1786</v>
      </c>
      <c r="B741" s="6" t="s">
        <v>2821</v>
      </c>
      <c r="C741" s="6" t="s">
        <v>88</v>
      </c>
      <c r="D741" s="6" t="s">
        <v>3005</v>
      </c>
      <c r="E741" s="6" t="s">
        <v>3006</v>
      </c>
      <c r="F741" s="6" t="s">
        <v>3007</v>
      </c>
      <c r="G741" s="6" t="s">
        <v>1790</v>
      </c>
      <c r="H741" s="6" t="s">
        <v>3008</v>
      </c>
      <c r="I741" s="6">
        <v>1</v>
      </c>
      <c r="J741" s="6">
        <v>0</v>
      </c>
      <c r="K741" s="6">
        <v>0</v>
      </c>
      <c r="L741" s="6">
        <v>0</v>
      </c>
      <c r="M741" s="6">
        <v>0</v>
      </c>
      <c r="N741" s="6">
        <v>1</v>
      </c>
      <c r="O741" s="6">
        <v>1</v>
      </c>
    </row>
    <row r="742" spans="1:15">
      <c r="A742" s="6" t="s">
        <v>1786</v>
      </c>
      <c r="B742" s="6" t="s">
        <v>2821</v>
      </c>
      <c r="C742" s="6" t="s">
        <v>88</v>
      </c>
      <c r="D742" s="6" t="s">
        <v>2132</v>
      </c>
      <c r="F742" s="6" t="s">
        <v>2139</v>
      </c>
      <c r="G742" s="6" t="s">
        <v>1790</v>
      </c>
      <c r="H742" s="6" t="s">
        <v>3009</v>
      </c>
      <c r="I742" s="6">
        <v>1</v>
      </c>
      <c r="J742" s="6">
        <v>0</v>
      </c>
      <c r="K742" s="6">
        <v>0</v>
      </c>
      <c r="L742" s="6">
        <v>0</v>
      </c>
      <c r="M742" s="6">
        <v>0</v>
      </c>
      <c r="N742" s="6">
        <v>1</v>
      </c>
      <c r="O742" s="6">
        <v>1</v>
      </c>
    </row>
    <row r="743" spans="1:15">
      <c r="A743" s="6" t="s">
        <v>1786</v>
      </c>
      <c r="B743" s="6" t="s">
        <v>2821</v>
      </c>
      <c r="C743" s="6" t="s">
        <v>88</v>
      </c>
      <c r="D743" s="6" t="s">
        <v>2144</v>
      </c>
      <c r="E743" s="6" t="s">
        <v>2145</v>
      </c>
      <c r="F743" s="6" t="s">
        <v>2146</v>
      </c>
      <c r="G743" s="6" t="s">
        <v>1790</v>
      </c>
      <c r="H743" s="6" t="s">
        <v>3010</v>
      </c>
      <c r="I743" s="6">
        <v>1</v>
      </c>
      <c r="J743" s="6">
        <v>1</v>
      </c>
      <c r="K743" s="6">
        <v>1</v>
      </c>
      <c r="L743" s="6">
        <v>0.8</v>
      </c>
      <c r="M743" s="6">
        <v>0.8</v>
      </c>
      <c r="N743" s="6">
        <v>1</v>
      </c>
      <c r="O743" s="6">
        <v>1</v>
      </c>
    </row>
    <row r="744" spans="1:15">
      <c r="A744" s="6" t="s">
        <v>1786</v>
      </c>
      <c r="B744" s="6" t="s">
        <v>2821</v>
      </c>
      <c r="C744" s="6" t="s">
        <v>88</v>
      </c>
      <c r="D744" s="6" t="s">
        <v>2144</v>
      </c>
      <c r="E744" s="6" t="s">
        <v>2145</v>
      </c>
      <c r="F744" s="6" t="s">
        <v>2146</v>
      </c>
      <c r="G744" s="6" t="s">
        <v>1790</v>
      </c>
      <c r="H744" s="6" t="s">
        <v>2148</v>
      </c>
      <c r="I744" s="6">
        <v>1</v>
      </c>
      <c r="J744" s="6">
        <v>0</v>
      </c>
      <c r="K744" s="6">
        <v>0</v>
      </c>
      <c r="L744" s="6">
        <v>0</v>
      </c>
      <c r="M744" s="6">
        <v>0</v>
      </c>
      <c r="N744" s="6">
        <v>1</v>
      </c>
      <c r="O744" s="6">
        <v>1</v>
      </c>
    </row>
    <row r="745" spans="1:15">
      <c r="A745" s="6" t="s">
        <v>1786</v>
      </c>
      <c r="B745" s="6" t="s">
        <v>2821</v>
      </c>
      <c r="C745" s="6" t="s">
        <v>88</v>
      </c>
      <c r="D745" s="6" t="s">
        <v>2144</v>
      </c>
      <c r="E745" s="6" t="s">
        <v>2145</v>
      </c>
      <c r="F745" s="6" t="s">
        <v>3011</v>
      </c>
      <c r="G745" s="6" t="s">
        <v>1790</v>
      </c>
      <c r="H745" s="6" t="s">
        <v>3012</v>
      </c>
      <c r="I745" s="6">
        <v>6</v>
      </c>
      <c r="J745" s="6">
        <v>1</v>
      </c>
      <c r="K745" s="6">
        <v>0.16670000000000001</v>
      </c>
      <c r="L745" s="6">
        <v>0.95</v>
      </c>
      <c r="M745" s="6">
        <v>0.95</v>
      </c>
      <c r="N745" s="6">
        <v>1</v>
      </c>
      <c r="O745" s="6">
        <v>1</v>
      </c>
    </row>
    <row r="746" spans="1:15">
      <c r="A746" s="6" t="s">
        <v>1786</v>
      </c>
      <c r="B746" s="6" t="s">
        <v>2821</v>
      </c>
      <c r="C746" s="6" t="s">
        <v>88</v>
      </c>
      <c r="D746" s="6" t="s">
        <v>2144</v>
      </c>
      <c r="E746" s="6" t="s">
        <v>1925</v>
      </c>
      <c r="F746" s="6" t="s">
        <v>3013</v>
      </c>
      <c r="G746" s="6" t="s">
        <v>1790</v>
      </c>
      <c r="H746" s="6" t="s">
        <v>3014</v>
      </c>
      <c r="I746" s="6">
        <v>2</v>
      </c>
      <c r="J746" s="6">
        <v>0</v>
      </c>
      <c r="K746" s="6">
        <v>0</v>
      </c>
      <c r="L746" s="6">
        <v>0</v>
      </c>
      <c r="M746" s="6">
        <v>0</v>
      </c>
      <c r="N746" s="6">
        <v>1</v>
      </c>
      <c r="O746" s="6">
        <v>1</v>
      </c>
    </row>
    <row r="747" spans="1:15">
      <c r="A747" s="6" t="s">
        <v>1786</v>
      </c>
      <c r="B747" s="6" t="s">
        <v>2821</v>
      </c>
      <c r="C747" s="6" t="s">
        <v>88</v>
      </c>
      <c r="D747" s="6" t="s">
        <v>2144</v>
      </c>
      <c r="E747" s="6" t="s">
        <v>1925</v>
      </c>
      <c r="F747" s="6" t="s">
        <v>3015</v>
      </c>
      <c r="G747" s="6" t="s">
        <v>1790</v>
      </c>
      <c r="H747" s="6" t="s">
        <v>3016</v>
      </c>
      <c r="I747" s="6">
        <v>4</v>
      </c>
      <c r="J747" s="6">
        <v>0</v>
      </c>
      <c r="K747" s="6">
        <v>0</v>
      </c>
      <c r="L747" s="6">
        <v>0</v>
      </c>
      <c r="M747" s="6">
        <v>0</v>
      </c>
      <c r="N747" s="6">
        <v>1</v>
      </c>
      <c r="O747" s="6">
        <v>1</v>
      </c>
    </row>
    <row r="748" spans="1:15">
      <c r="A748" s="6" t="s">
        <v>1786</v>
      </c>
      <c r="B748" s="6" t="s">
        <v>2821</v>
      </c>
      <c r="C748" s="6" t="s">
        <v>88</v>
      </c>
      <c r="D748" s="6" t="s">
        <v>2144</v>
      </c>
      <c r="E748" s="6" t="s">
        <v>1925</v>
      </c>
      <c r="F748" s="6" t="s">
        <v>2171</v>
      </c>
      <c r="G748" s="6" t="s">
        <v>1790</v>
      </c>
      <c r="H748" s="6" t="s">
        <v>3017</v>
      </c>
      <c r="I748" s="6">
        <v>4</v>
      </c>
      <c r="J748" s="6">
        <v>0</v>
      </c>
      <c r="K748" s="6">
        <v>0</v>
      </c>
      <c r="L748" s="6">
        <v>0</v>
      </c>
      <c r="M748" s="6">
        <v>0</v>
      </c>
      <c r="N748" s="6">
        <v>1</v>
      </c>
      <c r="O748" s="6">
        <v>1</v>
      </c>
    </row>
    <row r="749" spans="1:15">
      <c r="A749" s="6" t="s">
        <v>1786</v>
      </c>
      <c r="B749" s="6" t="s">
        <v>2821</v>
      </c>
      <c r="C749" s="6" t="s">
        <v>88</v>
      </c>
      <c r="D749" s="6" t="s">
        <v>2144</v>
      </c>
      <c r="E749" s="6" t="s">
        <v>1925</v>
      </c>
      <c r="F749" s="6" t="s">
        <v>2171</v>
      </c>
      <c r="G749" s="6" t="s">
        <v>1790</v>
      </c>
      <c r="H749" s="6" t="s">
        <v>3018</v>
      </c>
      <c r="I749" s="6">
        <v>4</v>
      </c>
      <c r="J749" s="6">
        <v>1</v>
      </c>
      <c r="K749" s="6">
        <v>0.25</v>
      </c>
      <c r="L749" s="6">
        <v>0.95</v>
      </c>
      <c r="M749" s="6">
        <v>0.95</v>
      </c>
      <c r="N749" s="6">
        <v>1</v>
      </c>
      <c r="O749" s="6">
        <v>1</v>
      </c>
    </row>
    <row r="750" spans="1:15">
      <c r="A750" s="6" t="s">
        <v>1786</v>
      </c>
      <c r="B750" s="6" t="s">
        <v>2821</v>
      </c>
      <c r="C750" s="6" t="s">
        <v>88</v>
      </c>
      <c r="D750" s="6" t="s">
        <v>2144</v>
      </c>
      <c r="E750" s="6" t="s">
        <v>1925</v>
      </c>
      <c r="F750" s="6" t="s">
        <v>3019</v>
      </c>
      <c r="G750" s="6" t="s">
        <v>1790</v>
      </c>
      <c r="H750" s="6" t="s">
        <v>3020</v>
      </c>
      <c r="I750" s="6">
        <v>3</v>
      </c>
      <c r="J750" s="6">
        <v>0</v>
      </c>
      <c r="K750" s="6">
        <v>0</v>
      </c>
      <c r="L750" s="6">
        <v>0</v>
      </c>
      <c r="M750" s="6">
        <v>0</v>
      </c>
      <c r="N750" s="6">
        <v>0.5</v>
      </c>
      <c r="O750" s="6">
        <v>0.5</v>
      </c>
    </row>
    <row r="751" spans="1:15">
      <c r="A751" s="6" t="s">
        <v>1786</v>
      </c>
      <c r="B751" s="6" t="s">
        <v>2821</v>
      </c>
      <c r="C751" s="6" t="s">
        <v>88</v>
      </c>
      <c r="D751" s="6" t="s">
        <v>2144</v>
      </c>
      <c r="E751" s="6" t="s">
        <v>1925</v>
      </c>
      <c r="F751" s="6" t="s">
        <v>3021</v>
      </c>
      <c r="G751" s="6" t="s">
        <v>1790</v>
      </c>
      <c r="H751" s="6" t="s">
        <v>3022</v>
      </c>
      <c r="I751" s="6">
        <v>1</v>
      </c>
      <c r="J751" s="6">
        <v>0</v>
      </c>
      <c r="K751" s="6">
        <v>0</v>
      </c>
      <c r="L751" s="6">
        <v>0</v>
      </c>
      <c r="M751" s="6">
        <v>0</v>
      </c>
      <c r="N751" s="6">
        <v>1</v>
      </c>
      <c r="O751" s="6">
        <v>1</v>
      </c>
    </row>
    <row r="752" spans="1:15">
      <c r="A752" s="6" t="s">
        <v>1786</v>
      </c>
      <c r="B752" s="6" t="s">
        <v>2821</v>
      </c>
      <c r="C752" s="6" t="s">
        <v>88</v>
      </c>
      <c r="D752" s="6" t="s">
        <v>2178</v>
      </c>
      <c r="E752" s="6" t="s">
        <v>2179</v>
      </c>
      <c r="F752" s="6" t="s">
        <v>2181</v>
      </c>
      <c r="G752" s="6" t="s">
        <v>1790</v>
      </c>
      <c r="H752" s="6" t="s">
        <v>2182</v>
      </c>
      <c r="I752" s="6">
        <v>1</v>
      </c>
      <c r="J752" s="6">
        <v>0</v>
      </c>
      <c r="K752" s="6">
        <v>0</v>
      </c>
      <c r="L752" s="6">
        <v>0</v>
      </c>
      <c r="M752" s="6">
        <v>0</v>
      </c>
      <c r="N752" s="6">
        <v>1</v>
      </c>
      <c r="O752" s="6">
        <v>1</v>
      </c>
    </row>
    <row r="753" spans="1:15">
      <c r="A753" s="6" t="s">
        <v>1786</v>
      </c>
      <c r="B753" s="6" t="s">
        <v>2821</v>
      </c>
      <c r="C753" s="6" t="s">
        <v>88</v>
      </c>
      <c r="D753" s="6" t="s">
        <v>2178</v>
      </c>
      <c r="E753" s="6" t="s">
        <v>2179</v>
      </c>
      <c r="F753" s="6" t="s">
        <v>3023</v>
      </c>
      <c r="G753" s="6" t="s">
        <v>1790</v>
      </c>
      <c r="H753" s="6" t="s">
        <v>3023</v>
      </c>
      <c r="I753" s="6">
        <v>2</v>
      </c>
      <c r="J753" s="6">
        <v>0</v>
      </c>
      <c r="K753" s="6">
        <v>0</v>
      </c>
      <c r="L753" s="6">
        <v>0</v>
      </c>
      <c r="M753" s="6">
        <v>0</v>
      </c>
      <c r="N753" s="6">
        <v>1</v>
      </c>
      <c r="O753" s="6">
        <v>1</v>
      </c>
    </row>
    <row r="754" spans="1:15">
      <c r="A754" s="6" t="s">
        <v>1786</v>
      </c>
      <c r="B754" s="6" t="s">
        <v>2821</v>
      </c>
      <c r="C754" s="6" t="s">
        <v>88</v>
      </c>
      <c r="D754" s="6" t="s">
        <v>2178</v>
      </c>
      <c r="E754" s="6" t="s">
        <v>2179</v>
      </c>
      <c r="F754" s="6" t="s">
        <v>2191</v>
      </c>
      <c r="G754" s="6" t="s">
        <v>1790</v>
      </c>
      <c r="H754" s="6" t="s">
        <v>3024</v>
      </c>
      <c r="I754" s="6">
        <v>1</v>
      </c>
      <c r="J754" s="6">
        <v>0</v>
      </c>
      <c r="K754" s="6">
        <v>0</v>
      </c>
      <c r="L754" s="6">
        <v>0</v>
      </c>
      <c r="M754" s="6">
        <v>0</v>
      </c>
      <c r="N754" s="6">
        <v>1</v>
      </c>
      <c r="O754" s="6">
        <v>1</v>
      </c>
    </row>
    <row r="755" spans="1:15">
      <c r="A755" s="6" t="s">
        <v>1786</v>
      </c>
      <c r="B755" s="6" t="s">
        <v>2821</v>
      </c>
      <c r="C755" s="6" t="s">
        <v>88</v>
      </c>
      <c r="D755" s="6" t="s">
        <v>2178</v>
      </c>
      <c r="E755" s="6" t="s">
        <v>2179</v>
      </c>
      <c r="F755" s="6" t="s">
        <v>3025</v>
      </c>
      <c r="G755" s="6" t="s">
        <v>1790</v>
      </c>
      <c r="H755" s="6" t="s">
        <v>3026</v>
      </c>
      <c r="I755" s="6">
        <v>2</v>
      </c>
      <c r="J755" s="6">
        <v>1</v>
      </c>
      <c r="K755" s="6">
        <v>0.5</v>
      </c>
      <c r="L755" s="6">
        <v>0.98</v>
      </c>
      <c r="M755" s="6">
        <v>0.98</v>
      </c>
      <c r="N755" s="6">
        <v>1</v>
      </c>
      <c r="O755" s="6">
        <v>1</v>
      </c>
    </row>
    <row r="756" spans="1:15">
      <c r="A756" s="6" t="s">
        <v>1786</v>
      </c>
      <c r="B756" s="6" t="s">
        <v>2821</v>
      </c>
      <c r="C756" s="6" t="s">
        <v>88</v>
      </c>
      <c r="D756" s="6" t="s">
        <v>2178</v>
      </c>
      <c r="E756" s="6" t="s">
        <v>2179</v>
      </c>
      <c r="F756" s="6" t="s">
        <v>3027</v>
      </c>
      <c r="G756" s="6" t="s">
        <v>1790</v>
      </c>
      <c r="H756" s="6" t="s">
        <v>3028</v>
      </c>
      <c r="I756" s="6">
        <v>1</v>
      </c>
      <c r="J756" s="6">
        <v>0</v>
      </c>
      <c r="K756" s="6">
        <v>0</v>
      </c>
      <c r="L756" s="6">
        <v>0</v>
      </c>
      <c r="M756" s="6">
        <v>0</v>
      </c>
      <c r="N756" s="6">
        <v>0</v>
      </c>
      <c r="O756" s="6">
        <v>0</v>
      </c>
    </row>
    <row r="757" spans="1:15">
      <c r="A757" s="6" t="s">
        <v>1786</v>
      </c>
      <c r="B757" s="6" t="s">
        <v>2821</v>
      </c>
      <c r="C757" s="6" t="s">
        <v>88</v>
      </c>
      <c r="D757" s="6" t="s">
        <v>2178</v>
      </c>
      <c r="E757" s="6" t="s">
        <v>2179</v>
      </c>
      <c r="F757" s="6" t="s">
        <v>3029</v>
      </c>
      <c r="G757" s="6" t="s">
        <v>1790</v>
      </c>
      <c r="H757" s="6" t="s">
        <v>3030</v>
      </c>
      <c r="I757" s="6">
        <v>1</v>
      </c>
      <c r="J757" s="6">
        <v>0</v>
      </c>
      <c r="K757" s="6">
        <v>0</v>
      </c>
      <c r="L757" s="6">
        <v>0</v>
      </c>
      <c r="M757" s="6">
        <v>0</v>
      </c>
      <c r="N757" s="6">
        <v>0</v>
      </c>
      <c r="O757" s="6">
        <v>0</v>
      </c>
    </row>
    <row r="758" spans="1:15">
      <c r="A758" s="6" t="s">
        <v>1786</v>
      </c>
      <c r="B758" s="6" t="s">
        <v>2821</v>
      </c>
      <c r="C758" s="6" t="s">
        <v>88</v>
      </c>
      <c r="D758" s="6" t="s">
        <v>2178</v>
      </c>
      <c r="E758" s="6" t="s">
        <v>2179</v>
      </c>
      <c r="F758" s="6" t="s">
        <v>3031</v>
      </c>
      <c r="G758" s="6" t="s">
        <v>1790</v>
      </c>
      <c r="H758" s="6" t="s">
        <v>3031</v>
      </c>
      <c r="I758" s="6">
        <v>1</v>
      </c>
      <c r="J758" s="6">
        <v>0</v>
      </c>
      <c r="K758" s="6">
        <v>0</v>
      </c>
      <c r="L758" s="6">
        <v>0</v>
      </c>
      <c r="M758" s="6">
        <v>0</v>
      </c>
      <c r="N758" s="6">
        <v>1</v>
      </c>
      <c r="O758" s="6">
        <v>1</v>
      </c>
    </row>
    <row r="759" spans="1:15">
      <c r="A759" s="6" t="s">
        <v>1786</v>
      </c>
      <c r="B759" s="6" t="s">
        <v>2821</v>
      </c>
      <c r="C759" s="6" t="s">
        <v>88</v>
      </c>
      <c r="D759" s="6" t="s">
        <v>2178</v>
      </c>
      <c r="E759" s="6" t="s">
        <v>2233</v>
      </c>
      <c r="F759" s="6" t="s">
        <v>3032</v>
      </c>
      <c r="G759" s="6" t="s">
        <v>1790</v>
      </c>
      <c r="H759" s="6" t="s">
        <v>3033</v>
      </c>
      <c r="I759" s="6">
        <v>2</v>
      </c>
      <c r="J759" s="6">
        <v>1</v>
      </c>
      <c r="K759" s="6">
        <v>0.5</v>
      </c>
      <c r="L759" s="6">
        <v>1</v>
      </c>
      <c r="M759" s="6">
        <v>1</v>
      </c>
      <c r="N759" s="6">
        <v>1</v>
      </c>
      <c r="O759" s="6">
        <v>1</v>
      </c>
    </row>
    <row r="760" spans="1:15">
      <c r="A760" s="6" t="s">
        <v>1786</v>
      </c>
      <c r="B760" s="6" t="s">
        <v>2821</v>
      </c>
      <c r="C760" s="6" t="s">
        <v>88</v>
      </c>
      <c r="D760" s="6" t="s">
        <v>2241</v>
      </c>
      <c r="E760" s="6" t="s">
        <v>2242</v>
      </c>
      <c r="F760" s="6" t="s">
        <v>2252</v>
      </c>
      <c r="G760" s="6" t="s">
        <v>1790</v>
      </c>
      <c r="H760" s="6" t="s">
        <v>2253</v>
      </c>
      <c r="I760" s="6">
        <v>1</v>
      </c>
      <c r="J760" s="6">
        <v>0</v>
      </c>
      <c r="K760" s="6">
        <v>0</v>
      </c>
      <c r="L760" s="6">
        <v>0</v>
      </c>
      <c r="M760" s="6">
        <v>0</v>
      </c>
      <c r="N760" s="6">
        <v>0</v>
      </c>
      <c r="O760" s="6">
        <v>0</v>
      </c>
    </row>
    <row r="761" spans="1:15">
      <c r="A761" s="6" t="s">
        <v>1786</v>
      </c>
      <c r="B761" s="6" t="s">
        <v>2821</v>
      </c>
      <c r="C761" s="6" t="s">
        <v>88</v>
      </c>
      <c r="D761" s="6" t="s">
        <v>2241</v>
      </c>
      <c r="E761" s="6" t="s">
        <v>2242</v>
      </c>
      <c r="F761" s="6" t="s">
        <v>2252</v>
      </c>
      <c r="G761" s="6" t="s">
        <v>1790</v>
      </c>
      <c r="H761" s="6" t="s">
        <v>3034</v>
      </c>
      <c r="I761" s="6">
        <v>1</v>
      </c>
      <c r="J761" s="6">
        <v>0</v>
      </c>
      <c r="K761" s="6">
        <v>0</v>
      </c>
      <c r="L761" s="6">
        <v>0</v>
      </c>
      <c r="M761" s="6">
        <v>0</v>
      </c>
      <c r="N761" s="6">
        <v>1</v>
      </c>
      <c r="O761" s="6">
        <v>0</v>
      </c>
    </row>
    <row r="762" spans="1:15">
      <c r="A762" s="6" t="s">
        <v>1786</v>
      </c>
      <c r="B762" s="6" t="s">
        <v>2821</v>
      </c>
      <c r="C762" s="6" t="s">
        <v>88</v>
      </c>
      <c r="D762" s="6" t="s">
        <v>2241</v>
      </c>
      <c r="E762" s="6" t="s">
        <v>2242</v>
      </c>
      <c r="F762" s="6" t="s">
        <v>3035</v>
      </c>
      <c r="G762" s="6" t="s">
        <v>1790</v>
      </c>
      <c r="H762" s="6" t="s">
        <v>3035</v>
      </c>
      <c r="I762" s="6">
        <v>2</v>
      </c>
      <c r="J762" s="6">
        <v>1</v>
      </c>
      <c r="K762" s="6">
        <v>0.5</v>
      </c>
      <c r="L762" s="6">
        <v>0.45</v>
      </c>
      <c r="M762" s="6">
        <v>0.45</v>
      </c>
      <c r="N762" s="6">
        <v>1</v>
      </c>
      <c r="O762" s="6">
        <v>1</v>
      </c>
    </row>
    <row r="763" spans="1:15">
      <c r="A763" s="6" t="s">
        <v>1786</v>
      </c>
      <c r="B763" s="6" t="s">
        <v>2821</v>
      </c>
      <c r="C763" s="6" t="s">
        <v>88</v>
      </c>
      <c r="D763" s="6" t="s">
        <v>2241</v>
      </c>
      <c r="E763" s="6" t="s">
        <v>2242</v>
      </c>
      <c r="F763" s="6" t="s">
        <v>3036</v>
      </c>
      <c r="G763" s="6" t="s">
        <v>1790</v>
      </c>
      <c r="H763" s="6" t="s">
        <v>3037</v>
      </c>
      <c r="I763" s="6">
        <v>1</v>
      </c>
      <c r="J763" s="6">
        <v>0</v>
      </c>
      <c r="K763" s="6">
        <v>0</v>
      </c>
      <c r="L763" s="6">
        <v>0</v>
      </c>
      <c r="M763" s="6">
        <v>0</v>
      </c>
      <c r="N763" s="6">
        <v>1</v>
      </c>
      <c r="O763" s="6">
        <v>1</v>
      </c>
    </row>
    <row r="764" spans="1:15">
      <c r="A764" s="6" t="s">
        <v>1786</v>
      </c>
      <c r="B764" s="6" t="s">
        <v>2821</v>
      </c>
      <c r="C764" s="6" t="s">
        <v>88</v>
      </c>
      <c r="D764" s="6" t="s">
        <v>2241</v>
      </c>
      <c r="E764" s="6" t="s">
        <v>2242</v>
      </c>
      <c r="F764" s="6" t="s">
        <v>1926</v>
      </c>
      <c r="G764" s="6" t="s">
        <v>1790</v>
      </c>
      <c r="H764" s="6" t="s">
        <v>3038</v>
      </c>
      <c r="I764" s="6">
        <v>1</v>
      </c>
      <c r="J764" s="6">
        <v>0</v>
      </c>
      <c r="K764" s="6">
        <v>0</v>
      </c>
      <c r="L764" s="6">
        <v>0</v>
      </c>
      <c r="M764" s="6">
        <v>0</v>
      </c>
      <c r="N764" s="6">
        <v>1</v>
      </c>
      <c r="O764" s="6">
        <v>1</v>
      </c>
    </row>
    <row r="765" spans="1:15">
      <c r="A765" s="6" t="s">
        <v>1786</v>
      </c>
      <c r="B765" s="6" t="s">
        <v>2821</v>
      </c>
      <c r="C765" s="6" t="s">
        <v>88</v>
      </c>
      <c r="D765" s="6" t="s">
        <v>2241</v>
      </c>
      <c r="E765" s="6" t="s">
        <v>3039</v>
      </c>
      <c r="F765" s="6" t="s">
        <v>3040</v>
      </c>
      <c r="G765" s="6" t="s">
        <v>1790</v>
      </c>
      <c r="H765" s="6" t="s">
        <v>3041</v>
      </c>
      <c r="I765" s="6">
        <v>1</v>
      </c>
      <c r="J765" s="6">
        <v>0</v>
      </c>
      <c r="K765" s="6">
        <v>0</v>
      </c>
      <c r="L765" s="6">
        <v>0</v>
      </c>
      <c r="M765" s="6">
        <v>0</v>
      </c>
      <c r="N765" s="6">
        <v>0</v>
      </c>
      <c r="O765" s="6">
        <v>0</v>
      </c>
    </row>
    <row r="766" spans="1:15">
      <c r="A766" s="6" t="s">
        <v>1786</v>
      </c>
      <c r="B766" s="6" t="s">
        <v>2821</v>
      </c>
      <c r="C766" s="6" t="s">
        <v>88</v>
      </c>
      <c r="D766" s="6" t="s">
        <v>2241</v>
      </c>
      <c r="E766" s="6" t="s">
        <v>3042</v>
      </c>
      <c r="G766" s="6" t="s">
        <v>1790</v>
      </c>
      <c r="H766" s="6" t="s">
        <v>3043</v>
      </c>
      <c r="I766" s="6">
        <v>2</v>
      </c>
      <c r="J766" s="6">
        <v>0</v>
      </c>
      <c r="K766" s="6">
        <v>0</v>
      </c>
      <c r="L766" s="6">
        <v>0</v>
      </c>
      <c r="M766" s="6">
        <v>0</v>
      </c>
      <c r="N766" s="6">
        <v>1</v>
      </c>
      <c r="O766" s="6">
        <v>1</v>
      </c>
    </row>
    <row r="767" spans="1:15">
      <c r="A767" s="6" t="s">
        <v>1786</v>
      </c>
      <c r="B767" s="6" t="s">
        <v>2821</v>
      </c>
      <c r="C767" s="6" t="s">
        <v>88</v>
      </c>
      <c r="D767" s="6" t="s">
        <v>2241</v>
      </c>
      <c r="E767" s="6" t="s">
        <v>2274</v>
      </c>
      <c r="F767" s="6" t="s">
        <v>3044</v>
      </c>
      <c r="G767" s="6" t="s">
        <v>1790</v>
      </c>
      <c r="H767" s="6" t="s">
        <v>3045</v>
      </c>
      <c r="I767" s="6">
        <v>1</v>
      </c>
      <c r="J767" s="6">
        <v>0</v>
      </c>
      <c r="K767" s="6">
        <v>0</v>
      </c>
      <c r="L767" s="6">
        <v>0</v>
      </c>
      <c r="M767" s="6">
        <v>0</v>
      </c>
      <c r="N767" s="6">
        <v>0</v>
      </c>
      <c r="O767" s="6">
        <v>0</v>
      </c>
    </row>
    <row r="768" spans="1:15">
      <c r="A768" s="6" t="s">
        <v>1786</v>
      </c>
      <c r="B768" s="6" t="s">
        <v>2821</v>
      </c>
      <c r="C768" s="6" t="s">
        <v>88</v>
      </c>
      <c r="D768" s="6" t="s">
        <v>2277</v>
      </c>
      <c r="E768" s="6" t="s">
        <v>2278</v>
      </c>
      <c r="F768" s="6" t="s">
        <v>3046</v>
      </c>
      <c r="G768" s="6" t="s">
        <v>1790</v>
      </c>
      <c r="H768" s="6" t="s">
        <v>3047</v>
      </c>
      <c r="I768" s="6">
        <v>1</v>
      </c>
      <c r="J768" s="6">
        <v>0</v>
      </c>
      <c r="K768" s="6">
        <v>0</v>
      </c>
      <c r="L768" s="6">
        <v>0</v>
      </c>
      <c r="M768" s="6">
        <v>0</v>
      </c>
      <c r="N768" s="6">
        <v>1</v>
      </c>
      <c r="O768" s="6">
        <v>0</v>
      </c>
    </row>
    <row r="769" spans="1:15">
      <c r="A769" s="6" t="s">
        <v>1786</v>
      </c>
      <c r="B769" s="6" t="s">
        <v>2821</v>
      </c>
      <c r="C769" s="6" t="s">
        <v>88</v>
      </c>
      <c r="D769" s="6" t="s">
        <v>2277</v>
      </c>
      <c r="E769" s="6" t="s">
        <v>2281</v>
      </c>
      <c r="F769" s="6" t="s">
        <v>2376</v>
      </c>
      <c r="G769" s="6" t="s">
        <v>1790</v>
      </c>
      <c r="H769" s="6" t="s">
        <v>3048</v>
      </c>
      <c r="I769" s="6">
        <v>1</v>
      </c>
      <c r="J769" s="6">
        <v>0</v>
      </c>
      <c r="K769" s="6">
        <v>0</v>
      </c>
      <c r="L769" s="6">
        <v>0</v>
      </c>
      <c r="M769" s="6">
        <v>0</v>
      </c>
      <c r="N769" s="6">
        <v>1</v>
      </c>
      <c r="O769" s="6">
        <v>1</v>
      </c>
    </row>
    <row r="770" spans="1:15">
      <c r="A770" s="6" t="s">
        <v>1786</v>
      </c>
      <c r="B770" s="6" t="s">
        <v>2821</v>
      </c>
      <c r="C770" s="6" t="s">
        <v>88</v>
      </c>
      <c r="D770" s="6" t="s">
        <v>2277</v>
      </c>
      <c r="E770" s="6" t="s">
        <v>2281</v>
      </c>
      <c r="F770" s="6" t="s">
        <v>2290</v>
      </c>
      <c r="G770" s="6" t="s">
        <v>1790</v>
      </c>
      <c r="H770" s="6" t="s">
        <v>2291</v>
      </c>
      <c r="I770" s="6">
        <v>3</v>
      </c>
      <c r="J770" s="6">
        <v>1</v>
      </c>
      <c r="K770" s="6">
        <v>0.33329999999999999</v>
      </c>
      <c r="L770" s="6">
        <v>0.05</v>
      </c>
      <c r="M770" s="6">
        <v>0.05</v>
      </c>
      <c r="N770" s="6">
        <v>1</v>
      </c>
      <c r="O770" s="6">
        <v>1</v>
      </c>
    </row>
    <row r="771" spans="1:15">
      <c r="A771" s="6" t="s">
        <v>1786</v>
      </c>
      <c r="B771" s="6" t="s">
        <v>2821</v>
      </c>
      <c r="C771" s="6" t="s">
        <v>88</v>
      </c>
      <c r="D771" s="6" t="s">
        <v>2277</v>
      </c>
      <c r="E771" s="6" t="s">
        <v>2281</v>
      </c>
      <c r="F771" s="6" t="s">
        <v>2290</v>
      </c>
      <c r="G771" s="6" t="s">
        <v>1790</v>
      </c>
      <c r="H771" s="6" t="s">
        <v>2290</v>
      </c>
      <c r="I771" s="6">
        <v>2</v>
      </c>
      <c r="J771" s="6">
        <v>0</v>
      </c>
      <c r="K771" s="6">
        <v>0</v>
      </c>
      <c r="L771" s="6">
        <v>0</v>
      </c>
      <c r="M771" s="6">
        <v>0</v>
      </c>
      <c r="N771" s="6">
        <v>1</v>
      </c>
      <c r="O771" s="6">
        <v>1</v>
      </c>
    </row>
    <row r="772" spans="1:15">
      <c r="A772" s="6" t="s">
        <v>1786</v>
      </c>
      <c r="B772" s="6" t="s">
        <v>2821</v>
      </c>
      <c r="C772" s="6" t="s">
        <v>88</v>
      </c>
      <c r="D772" s="6" t="s">
        <v>2277</v>
      </c>
      <c r="E772" s="6" t="s">
        <v>2281</v>
      </c>
      <c r="F772" s="6" t="s">
        <v>3049</v>
      </c>
      <c r="G772" s="6" t="s">
        <v>1790</v>
      </c>
      <c r="H772" s="6" t="s">
        <v>3049</v>
      </c>
      <c r="I772" s="6">
        <v>1</v>
      </c>
      <c r="J772" s="6">
        <v>0</v>
      </c>
      <c r="K772" s="6">
        <v>0</v>
      </c>
      <c r="L772" s="6">
        <v>0</v>
      </c>
      <c r="M772" s="6">
        <v>0</v>
      </c>
      <c r="N772" s="6">
        <v>0</v>
      </c>
      <c r="O772" s="6">
        <v>0</v>
      </c>
    </row>
    <row r="773" spans="1:15">
      <c r="A773" s="6" t="s">
        <v>1786</v>
      </c>
      <c r="B773" s="6" t="s">
        <v>2821</v>
      </c>
      <c r="C773" s="6" t="s">
        <v>88</v>
      </c>
      <c r="D773" s="6" t="s">
        <v>2277</v>
      </c>
      <c r="E773" s="6" t="s">
        <v>2281</v>
      </c>
      <c r="F773" s="6" t="s">
        <v>2300</v>
      </c>
      <c r="G773" s="6" t="s">
        <v>1790</v>
      </c>
      <c r="H773" s="6" t="s">
        <v>3050</v>
      </c>
      <c r="I773" s="6">
        <v>1</v>
      </c>
      <c r="J773" s="6">
        <v>0</v>
      </c>
      <c r="K773" s="6">
        <v>0</v>
      </c>
      <c r="L773" s="6">
        <v>0</v>
      </c>
      <c r="M773" s="6">
        <v>0</v>
      </c>
      <c r="N773" s="6">
        <v>1</v>
      </c>
      <c r="O773" s="6">
        <v>1</v>
      </c>
    </row>
    <row r="774" spans="1:15">
      <c r="A774" s="6" t="s">
        <v>1786</v>
      </c>
      <c r="B774" s="6" t="s">
        <v>2821</v>
      </c>
      <c r="C774" s="6" t="s">
        <v>88</v>
      </c>
      <c r="D774" s="6" t="s">
        <v>2277</v>
      </c>
      <c r="E774" s="6" t="s">
        <v>2281</v>
      </c>
      <c r="F774" s="6" t="s">
        <v>2300</v>
      </c>
      <c r="G774" s="6" t="s">
        <v>1790</v>
      </c>
      <c r="H774" s="6" t="s">
        <v>3051</v>
      </c>
      <c r="I774" s="6">
        <v>1</v>
      </c>
      <c r="J774" s="6">
        <v>0</v>
      </c>
      <c r="K774" s="6">
        <v>0</v>
      </c>
      <c r="L774" s="6">
        <v>0</v>
      </c>
      <c r="M774" s="6">
        <v>0</v>
      </c>
      <c r="N774" s="6">
        <v>1</v>
      </c>
      <c r="O774" s="6">
        <v>1</v>
      </c>
    </row>
    <row r="775" spans="1:15">
      <c r="A775" s="6" t="s">
        <v>1786</v>
      </c>
      <c r="B775" s="6" t="s">
        <v>2821</v>
      </c>
      <c r="C775" s="6" t="s">
        <v>88</v>
      </c>
      <c r="D775" s="6" t="s">
        <v>2277</v>
      </c>
      <c r="E775" s="6" t="s">
        <v>2281</v>
      </c>
      <c r="F775" s="6" t="s">
        <v>2300</v>
      </c>
      <c r="G775" s="6" t="s">
        <v>1790</v>
      </c>
      <c r="H775" s="6" t="s">
        <v>3052</v>
      </c>
      <c r="I775" s="6">
        <v>6</v>
      </c>
      <c r="J775" s="6">
        <v>1</v>
      </c>
      <c r="K775" s="6">
        <v>0.16670000000000001</v>
      </c>
      <c r="L775" s="6">
        <v>0.95</v>
      </c>
      <c r="M775" s="6">
        <v>0.95</v>
      </c>
      <c r="N775" s="6">
        <v>1</v>
      </c>
      <c r="O775" s="6">
        <v>1</v>
      </c>
    </row>
    <row r="776" spans="1:15">
      <c r="A776" s="6" t="s">
        <v>1786</v>
      </c>
      <c r="B776" s="6" t="s">
        <v>2821</v>
      </c>
      <c r="C776" s="6" t="s">
        <v>88</v>
      </c>
      <c r="D776" s="6" t="s">
        <v>2277</v>
      </c>
      <c r="E776" s="6" t="s">
        <v>2305</v>
      </c>
      <c r="F776" s="6" t="s">
        <v>2306</v>
      </c>
      <c r="G776" s="6" t="s">
        <v>1790</v>
      </c>
      <c r="H776" s="6" t="s">
        <v>2307</v>
      </c>
      <c r="I776" s="6">
        <v>1</v>
      </c>
      <c r="J776" s="6">
        <v>0</v>
      </c>
      <c r="K776" s="6">
        <v>0</v>
      </c>
      <c r="L776" s="6">
        <v>0</v>
      </c>
      <c r="M776" s="6">
        <v>0</v>
      </c>
      <c r="N776" s="6">
        <v>0</v>
      </c>
      <c r="O776" s="6">
        <v>0</v>
      </c>
    </row>
    <row r="777" spans="1:15">
      <c r="A777" s="6" t="s">
        <v>1786</v>
      </c>
      <c r="B777" s="6" t="s">
        <v>2821</v>
      </c>
      <c r="C777" s="6" t="s">
        <v>88</v>
      </c>
      <c r="D777" s="6" t="s">
        <v>3053</v>
      </c>
      <c r="E777" s="6" t="s">
        <v>3054</v>
      </c>
      <c r="F777" s="6" t="s">
        <v>3055</v>
      </c>
      <c r="G777" s="6" t="s">
        <v>1790</v>
      </c>
      <c r="H777" s="6" t="s">
        <v>3056</v>
      </c>
      <c r="I777" s="6">
        <v>1</v>
      </c>
      <c r="J777" s="6">
        <v>0</v>
      </c>
      <c r="K777" s="6">
        <v>0</v>
      </c>
      <c r="L777" s="6">
        <v>0</v>
      </c>
      <c r="M777" s="6">
        <v>0</v>
      </c>
      <c r="N777" s="6">
        <v>1</v>
      </c>
      <c r="O777" s="6">
        <v>1</v>
      </c>
    </row>
    <row r="778" spans="1:15">
      <c r="A778" s="6" t="s">
        <v>1786</v>
      </c>
      <c r="B778" s="6" t="s">
        <v>2821</v>
      </c>
      <c r="C778" s="6" t="s">
        <v>88</v>
      </c>
      <c r="D778" s="6" t="s">
        <v>2308</v>
      </c>
      <c r="E778" s="6" t="s">
        <v>2309</v>
      </c>
      <c r="F778" s="6" t="s">
        <v>2310</v>
      </c>
      <c r="G778" s="6" t="s">
        <v>1790</v>
      </c>
      <c r="H778" s="6" t="s">
        <v>3057</v>
      </c>
      <c r="I778" s="6">
        <v>1</v>
      </c>
      <c r="J778" s="6">
        <v>0</v>
      </c>
      <c r="K778" s="6">
        <v>0</v>
      </c>
      <c r="L778" s="6">
        <v>0</v>
      </c>
      <c r="M778" s="6">
        <v>0</v>
      </c>
      <c r="N778" s="6">
        <v>0</v>
      </c>
      <c r="O778" s="6">
        <v>0</v>
      </c>
    </row>
    <row r="779" spans="1:15">
      <c r="A779" s="6" t="s">
        <v>1786</v>
      </c>
      <c r="B779" s="6" t="s">
        <v>2821</v>
      </c>
      <c r="C779" s="6" t="s">
        <v>88</v>
      </c>
      <c r="D779" s="6" t="s">
        <v>3058</v>
      </c>
      <c r="E779" s="6" t="s">
        <v>3059</v>
      </c>
      <c r="F779" s="6" t="s">
        <v>3060</v>
      </c>
      <c r="G779" s="6" t="s">
        <v>1790</v>
      </c>
      <c r="H779" s="6" t="s">
        <v>3061</v>
      </c>
      <c r="I779" s="6">
        <v>1</v>
      </c>
      <c r="J779" s="6">
        <v>0</v>
      </c>
      <c r="K779" s="6">
        <v>0</v>
      </c>
      <c r="L779" s="6">
        <v>0</v>
      </c>
      <c r="M779" s="6">
        <v>0</v>
      </c>
      <c r="N779" s="6">
        <v>0</v>
      </c>
      <c r="O779" s="6">
        <v>0</v>
      </c>
    </row>
    <row r="780" spans="1:15">
      <c r="A780" s="6" t="s">
        <v>1786</v>
      </c>
      <c r="B780" s="6" t="s">
        <v>2821</v>
      </c>
      <c r="C780" s="6" t="s">
        <v>88</v>
      </c>
      <c r="D780" s="6" t="s">
        <v>3058</v>
      </c>
      <c r="E780" s="6" t="s">
        <v>3062</v>
      </c>
      <c r="F780" s="6" t="s">
        <v>3063</v>
      </c>
      <c r="G780" s="6" t="s">
        <v>1790</v>
      </c>
      <c r="H780" s="6" t="s">
        <v>3063</v>
      </c>
      <c r="I780" s="6">
        <v>2</v>
      </c>
      <c r="J780" s="6">
        <v>1</v>
      </c>
      <c r="K780" s="6">
        <v>0.5</v>
      </c>
      <c r="L780" s="6">
        <v>0.45</v>
      </c>
      <c r="M780" s="6">
        <v>0.45</v>
      </c>
      <c r="N780" s="6">
        <v>1</v>
      </c>
      <c r="O780" s="6">
        <v>1</v>
      </c>
    </row>
    <row r="781" spans="1:15">
      <c r="A781" s="6" t="s">
        <v>1786</v>
      </c>
      <c r="B781" s="6" t="s">
        <v>2821</v>
      </c>
      <c r="C781" s="6" t="s">
        <v>88</v>
      </c>
      <c r="D781" s="6" t="s">
        <v>3058</v>
      </c>
      <c r="E781" s="6" t="s">
        <v>3062</v>
      </c>
      <c r="F781" s="6" t="s">
        <v>3064</v>
      </c>
      <c r="G781" s="6" t="s">
        <v>1790</v>
      </c>
      <c r="H781" s="6" t="s">
        <v>3065</v>
      </c>
      <c r="I781" s="6">
        <v>1</v>
      </c>
      <c r="J781" s="6">
        <v>0</v>
      </c>
      <c r="K781" s="6">
        <v>0</v>
      </c>
      <c r="L781" s="6">
        <v>0</v>
      </c>
      <c r="M781" s="6">
        <v>0</v>
      </c>
      <c r="N781" s="6">
        <v>1</v>
      </c>
      <c r="O781" s="6">
        <v>1</v>
      </c>
    </row>
    <row r="782" spans="1:15">
      <c r="A782" s="6" t="s">
        <v>1786</v>
      </c>
      <c r="B782" s="6" t="s">
        <v>2821</v>
      </c>
      <c r="C782" s="6" t="s">
        <v>88</v>
      </c>
      <c r="D782" s="6" t="s">
        <v>2317</v>
      </c>
      <c r="E782" s="6" t="s">
        <v>2323</v>
      </c>
      <c r="F782" s="6" t="s">
        <v>2324</v>
      </c>
      <c r="G782" s="6" t="s">
        <v>1790</v>
      </c>
      <c r="H782" s="6" t="s">
        <v>3066</v>
      </c>
      <c r="I782" s="6">
        <v>1</v>
      </c>
      <c r="J782" s="6">
        <v>0</v>
      </c>
      <c r="K782" s="6">
        <v>0</v>
      </c>
      <c r="L782" s="6">
        <v>0</v>
      </c>
      <c r="M782" s="6">
        <v>0</v>
      </c>
      <c r="N782" s="6">
        <v>1</v>
      </c>
      <c r="O782" s="6">
        <v>1</v>
      </c>
    </row>
    <row r="783" spans="1:15">
      <c r="A783" s="6" t="s">
        <v>1786</v>
      </c>
      <c r="B783" s="6" t="s">
        <v>2821</v>
      </c>
      <c r="C783" s="6" t="s">
        <v>88</v>
      </c>
      <c r="D783" s="6" t="s">
        <v>2317</v>
      </c>
      <c r="E783" s="6" t="s">
        <v>2323</v>
      </c>
      <c r="F783" s="6" t="s">
        <v>2324</v>
      </c>
      <c r="G783" s="6" t="s">
        <v>1790</v>
      </c>
      <c r="H783" s="6" t="s">
        <v>2326</v>
      </c>
      <c r="I783" s="6">
        <v>2</v>
      </c>
      <c r="J783" s="6">
        <v>2</v>
      </c>
      <c r="K783" s="6">
        <v>1</v>
      </c>
      <c r="L783" s="6">
        <v>0.59</v>
      </c>
      <c r="M783" s="6">
        <v>1.17</v>
      </c>
      <c r="N783" s="6">
        <v>0</v>
      </c>
      <c r="O783" s="6">
        <v>0</v>
      </c>
    </row>
    <row r="784" spans="1:15">
      <c r="A784" s="6" t="s">
        <v>1786</v>
      </c>
      <c r="B784" s="6" t="s">
        <v>2821</v>
      </c>
      <c r="C784" s="6" t="s">
        <v>88</v>
      </c>
      <c r="D784" s="6" t="s">
        <v>3067</v>
      </c>
      <c r="E784" s="6" t="s">
        <v>3068</v>
      </c>
      <c r="F784" s="6" t="s">
        <v>3069</v>
      </c>
      <c r="G784" s="6" t="s">
        <v>1790</v>
      </c>
      <c r="H784" s="6" t="s">
        <v>3070</v>
      </c>
      <c r="I784" s="6">
        <v>4</v>
      </c>
      <c r="J784" s="6">
        <v>0</v>
      </c>
      <c r="K784" s="6">
        <v>0</v>
      </c>
      <c r="L784" s="6">
        <v>0</v>
      </c>
      <c r="M784" s="6">
        <v>0</v>
      </c>
      <c r="N784" s="6">
        <v>1</v>
      </c>
      <c r="O784" s="6">
        <v>1</v>
      </c>
    </row>
    <row r="785" spans="1:15">
      <c r="A785" s="6" t="s">
        <v>1786</v>
      </c>
      <c r="B785" s="6" t="s">
        <v>2821</v>
      </c>
      <c r="C785" s="6" t="s">
        <v>88</v>
      </c>
      <c r="D785" s="6" t="s">
        <v>3067</v>
      </c>
      <c r="E785" s="6" t="s">
        <v>3068</v>
      </c>
      <c r="F785" s="6" t="s">
        <v>3069</v>
      </c>
      <c r="G785" s="6" t="s">
        <v>1790</v>
      </c>
      <c r="H785" s="6" t="s">
        <v>3071</v>
      </c>
      <c r="I785" s="6">
        <v>1</v>
      </c>
      <c r="J785" s="6">
        <v>0</v>
      </c>
      <c r="K785" s="6">
        <v>0</v>
      </c>
      <c r="L785" s="6">
        <v>0</v>
      </c>
      <c r="M785" s="6">
        <v>0</v>
      </c>
      <c r="N785" s="6">
        <v>1</v>
      </c>
      <c r="O785" s="6">
        <v>1</v>
      </c>
    </row>
    <row r="786" spans="1:15">
      <c r="A786" s="6" t="s">
        <v>1786</v>
      </c>
      <c r="B786" s="6" t="s">
        <v>2821</v>
      </c>
      <c r="C786" s="6" t="s">
        <v>88</v>
      </c>
      <c r="D786" s="6" t="s">
        <v>2327</v>
      </c>
      <c r="E786" s="6" t="s">
        <v>2179</v>
      </c>
      <c r="F786" s="6" t="s">
        <v>3072</v>
      </c>
      <c r="G786" s="6" t="s">
        <v>1790</v>
      </c>
      <c r="H786" s="6" t="s">
        <v>3073</v>
      </c>
      <c r="I786" s="6">
        <v>1</v>
      </c>
      <c r="J786" s="6">
        <v>0</v>
      </c>
      <c r="K786" s="6">
        <v>0</v>
      </c>
      <c r="L786" s="6">
        <v>0</v>
      </c>
      <c r="M786" s="6">
        <v>0</v>
      </c>
      <c r="N786" s="6">
        <v>0</v>
      </c>
      <c r="O786" s="6">
        <v>0</v>
      </c>
    </row>
    <row r="787" spans="1:15">
      <c r="A787" s="6" t="s">
        <v>1786</v>
      </c>
      <c r="B787" s="6" t="s">
        <v>2821</v>
      </c>
      <c r="C787" s="6" t="s">
        <v>88</v>
      </c>
      <c r="D787" s="6" t="s">
        <v>2327</v>
      </c>
      <c r="E787" s="6" t="s">
        <v>2564</v>
      </c>
      <c r="F787" s="6" t="s">
        <v>2206</v>
      </c>
      <c r="G787" s="6" t="s">
        <v>1790</v>
      </c>
      <c r="H787" s="6" t="s">
        <v>2206</v>
      </c>
      <c r="I787" s="6">
        <v>2</v>
      </c>
      <c r="J787" s="6">
        <v>0</v>
      </c>
      <c r="K787" s="6">
        <v>0</v>
      </c>
      <c r="L787" s="6">
        <v>0</v>
      </c>
      <c r="M787" s="6">
        <v>0</v>
      </c>
      <c r="N787" s="6">
        <v>1</v>
      </c>
      <c r="O787" s="6">
        <v>1</v>
      </c>
    </row>
    <row r="788" spans="1:15">
      <c r="A788" s="6" t="s">
        <v>1786</v>
      </c>
      <c r="B788" s="6" t="s">
        <v>2821</v>
      </c>
      <c r="C788" s="6" t="s">
        <v>88</v>
      </c>
      <c r="D788" s="6" t="s">
        <v>2335</v>
      </c>
      <c r="E788" s="6" t="s">
        <v>1918</v>
      </c>
      <c r="G788" s="6" t="s">
        <v>1790</v>
      </c>
      <c r="H788" s="6" t="s">
        <v>3074</v>
      </c>
      <c r="I788" s="6">
        <v>1</v>
      </c>
      <c r="J788" s="6">
        <v>0</v>
      </c>
      <c r="K788" s="6">
        <v>0</v>
      </c>
      <c r="L788" s="6">
        <v>0</v>
      </c>
      <c r="M788" s="6">
        <v>0</v>
      </c>
      <c r="N788" s="6">
        <v>0</v>
      </c>
      <c r="O788" s="6">
        <v>0</v>
      </c>
    </row>
    <row r="789" spans="1:15">
      <c r="A789" s="6" t="s">
        <v>1786</v>
      </c>
      <c r="B789" s="6" t="s">
        <v>2821</v>
      </c>
      <c r="C789" s="6" t="s">
        <v>88</v>
      </c>
      <c r="D789" s="6" t="s">
        <v>2335</v>
      </c>
      <c r="E789" s="6" t="s">
        <v>1918</v>
      </c>
      <c r="F789" s="6" t="s">
        <v>2349</v>
      </c>
      <c r="G789" s="6" t="s">
        <v>1790</v>
      </c>
      <c r="H789" s="6" t="s">
        <v>3075</v>
      </c>
      <c r="I789" s="6">
        <v>1</v>
      </c>
      <c r="J789" s="6">
        <v>1</v>
      </c>
      <c r="K789" s="6">
        <v>1</v>
      </c>
      <c r="L789" s="6">
        <v>0.08</v>
      </c>
      <c r="M789" s="6">
        <v>0.08</v>
      </c>
      <c r="N789" s="6">
        <v>1</v>
      </c>
      <c r="O789" s="6">
        <v>1</v>
      </c>
    </row>
    <row r="790" spans="1:15">
      <c r="A790" s="6" t="s">
        <v>1786</v>
      </c>
      <c r="B790" s="6" t="s">
        <v>2821</v>
      </c>
      <c r="C790" s="6" t="s">
        <v>88</v>
      </c>
      <c r="D790" s="6" t="s">
        <v>2335</v>
      </c>
      <c r="E790" s="6" t="s">
        <v>1918</v>
      </c>
      <c r="F790" s="6" t="s">
        <v>3076</v>
      </c>
      <c r="G790" s="6" t="s">
        <v>1790</v>
      </c>
      <c r="H790" s="6" t="s">
        <v>3077</v>
      </c>
      <c r="I790" s="6">
        <v>1</v>
      </c>
      <c r="J790" s="6">
        <v>0</v>
      </c>
      <c r="K790" s="6">
        <v>0</v>
      </c>
      <c r="L790" s="6">
        <v>0</v>
      </c>
      <c r="M790" s="6">
        <v>0</v>
      </c>
      <c r="N790" s="6">
        <v>0</v>
      </c>
      <c r="O790" s="6">
        <v>0</v>
      </c>
    </row>
    <row r="791" spans="1:15">
      <c r="A791" s="6" t="s">
        <v>1786</v>
      </c>
      <c r="B791" s="6" t="s">
        <v>2821</v>
      </c>
      <c r="C791" s="6" t="s">
        <v>88</v>
      </c>
      <c r="D791" s="6" t="s">
        <v>2335</v>
      </c>
      <c r="E791" s="6" t="s">
        <v>1918</v>
      </c>
      <c r="F791" s="6" t="s">
        <v>2351</v>
      </c>
      <c r="G791" s="6" t="s">
        <v>1790</v>
      </c>
      <c r="H791" s="6" t="s">
        <v>2352</v>
      </c>
      <c r="I791" s="6">
        <v>4</v>
      </c>
      <c r="J791" s="6">
        <v>1</v>
      </c>
      <c r="K791" s="6">
        <v>0.25</v>
      </c>
      <c r="L791" s="6">
        <v>0.1</v>
      </c>
      <c r="M791" s="6">
        <v>0.1</v>
      </c>
      <c r="N791" s="6">
        <v>1</v>
      </c>
      <c r="O791" s="6">
        <v>1</v>
      </c>
    </row>
    <row r="792" spans="1:15">
      <c r="A792" s="6" t="s">
        <v>1786</v>
      </c>
      <c r="B792" s="6" t="s">
        <v>2821</v>
      </c>
      <c r="C792" s="6" t="s">
        <v>88</v>
      </c>
      <c r="D792" s="6" t="s">
        <v>2335</v>
      </c>
      <c r="E792" s="6" t="s">
        <v>1918</v>
      </c>
      <c r="F792" s="6" t="s">
        <v>2353</v>
      </c>
      <c r="G792" s="6" t="s">
        <v>1790</v>
      </c>
      <c r="H792" s="6" t="s">
        <v>3078</v>
      </c>
      <c r="I792" s="6">
        <v>1</v>
      </c>
      <c r="J792" s="6">
        <v>0</v>
      </c>
      <c r="K792" s="6">
        <v>0</v>
      </c>
      <c r="L792" s="6">
        <v>0</v>
      </c>
      <c r="M792" s="6">
        <v>0</v>
      </c>
      <c r="N792" s="6">
        <v>0</v>
      </c>
      <c r="O792" s="6">
        <v>0</v>
      </c>
    </row>
    <row r="793" spans="1:15">
      <c r="A793" s="6" t="s">
        <v>1786</v>
      </c>
      <c r="B793" s="6" t="s">
        <v>2821</v>
      </c>
      <c r="C793" s="6" t="s">
        <v>88</v>
      </c>
      <c r="D793" s="6" t="s">
        <v>2335</v>
      </c>
      <c r="E793" s="6" t="s">
        <v>2358</v>
      </c>
      <c r="F793" s="6" t="s">
        <v>3079</v>
      </c>
      <c r="G793" s="6" t="s">
        <v>1790</v>
      </c>
      <c r="H793" s="6" t="s">
        <v>3080</v>
      </c>
      <c r="I793" s="6">
        <v>1</v>
      </c>
      <c r="J793" s="6">
        <v>0</v>
      </c>
      <c r="K793" s="6">
        <v>0</v>
      </c>
      <c r="L793" s="6">
        <v>0</v>
      </c>
      <c r="M793" s="6">
        <v>0</v>
      </c>
      <c r="N793" s="6">
        <v>0</v>
      </c>
      <c r="O793" s="6">
        <v>0</v>
      </c>
    </row>
    <row r="794" spans="1:15">
      <c r="A794" s="6" t="s">
        <v>1786</v>
      </c>
      <c r="B794" s="6" t="s">
        <v>2821</v>
      </c>
      <c r="C794" s="6" t="s">
        <v>88</v>
      </c>
      <c r="D794" s="6" t="s">
        <v>2335</v>
      </c>
      <c r="E794" s="6" t="s">
        <v>2358</v>
      </c>
      <c r="F794" s="6" t="s">
        <v>3081</v>
      </c>
      <c r="G794" s="6" t="s">
        <v>1790</v>
      </c>
      <c r="H794" s="6" t="s">
        <v>3081</v>
      </c>
      <c r="I794" s="6">
        <v>2</v>
      </c>
      <c r="J794" s="6">
        <v>0</v>
      </c>
      <c r="K794" s="6">
        <v>0</v>
      </c>
      <c r="L794" s="6">
        <v>0</v>
      </c>
      <c r="M794" s="6">
        <v>0</v>
      </c>
      <c r="N794" s="6">
        <v>0</v>
      </c>
      <c r="O794" s="6">
        <v>0</v>
      </c>
    </row>
    <row r="795" spans="1:15">
      <c r="A795" s="6" t="s">
        <v>1786</v>
      </c>
      <c r="B795" s="6" t="s">
        <v>2821</v>
      </c>
      <c r="C795" s="6" t="s">
        <v>88</v>
      </c>
      <c r="D795" s="6" t="s">
        <v>3082</v>
      </c>
      <c r="E795" s="6" t="s">
        <v>3083</v>
      </c>
      <c r="F795" s="6" t="s">
        <v>3084</v>
      </c>
      <c r="G795" s="6" t="s">
        <v>1790</v>
      </c>
      <c r="H795" s="6" t="s">
        <v>3085</v>
      </c>
      <c r="I795" s="6">
        <v>1</v>
      </c>
      <c r="J795" s="6">
        <v>0</v>
      </c>
      <c r="K795" s="6">
        <v>0</v>
      </c>
      <c r="L795" s="6">
        <v>0</v>
      </c>
      <c r="M795" s="6">
        <v>0</v>
      </c>
      <c r="N795" s="6">
        <v>1</v>
      </c>
      <c r="O795" s="6">
        <v>1</v>
      </c>
    </row>
    <row r="796" spans="1:15">
      <c r="A796" s="6" t="s">
        <v>1786</v>
      </c>
      <c r="B796" s="6" t="s">
        <v>2821</v>
      </c>
      <c r="C796" s="6" t="s">
        <v>88</v>
      </c>
      <c r="D796" s="6" t="s">
        <v>2364</v>
      </c>
      <c r="F796" s="6" t="s">
        <v>3086</v>
      </c>
      <c r="G796" s="6" t="s">
        <v>1790</v>
      </c>
      <c r="H796" s="6" t="s">
        <v>3086</v>
      </c>
      <c r="I796" s="6">
        <v>6</v>
      </c>
      <c r="J796" s="6">
        <v>0</v>
      </c>
      <c r="K796" s="6">
        <v>0</v>
      </c>
      <c r="L796" s="6">
        <v>0</v>
      </c>
      <c r="M796" s="6">
        <v>0</v>
      </c>
      <c r="N796" s="6">
        <v>1</v>
      </c>
      <c r="O796" s="6">
        <v>1</v>
      </c>
    </row>
    <row r="797" spans="1:15">
      <c r="A797" s="6" t="s">
        <v>1786</v>
      </c>
      <c r="B797" s="6" t="s">
        <v>2821</v>
      </c>
      <c r="C797" s="6" t="s">
        <v>88</v>
      </c>
      <c r="D797" s="6" t="s">
        <v>2364</v>
      </c>
      <c r="E797" s="6" t="s">
        <v>2375</v>
      </c>
      <c r="F797" s="6" t="s">
        <v>2376</v>
      </c>
      <c r="G797" s="6" t="s">
        <v>1790</v>
      </c>
      <c r="H797" s="6" t="s">
        <v>3087</v>
      </c>
      <c r="I797" s="6">
        <v>1</v>
      </c>
      <c r="J797" s="6">
        <v>0</v>
      </c>
      <c r="K797" s="6">
        <v>0</v>
      </c>
      <c r="L797" s="6">
        <v>0</v>
      </c>
      <c r="M797" s="6">
        <v>0</v>
      </c>
      <c r="N797" s="6">
        <v>1</v>
      </c>
      <c r="O797" s="6">
        <v>1</v>
      </c>
    </row>
    <row r="798" spans="1:15">
      <c r="A798" s="6" t="s">
        <v>1786</v>
      </c>
      <c r="B798" s="6" t="s">
        <v>2821</v>
      </c>
      <c r="C798" s="6" t="s">
        <v>88</v>
      </c>
      <c r="D798" s="6" t="s">
        <v>2364</v>
      </c>
      <c r="E798" s="6" t="s">
        <v>2375</v>
      </c>
      <c r="F798" s="6" t="s">
        <v>2376</v>
      </c>
      <c r="G798" s="6" t="s">
        <v>1790</v>
      </c>
      <c r="H798" s="6" t="s">
        <v>3088</v>
      </c>
      <c r="I798" s="6">
        <v>1</v>
      </c>
      <c r="J798" s="6">
        <v>0</v>
      </c>
      <c r="K798" s="6">
        <v>0</v>
      </c>
      <c r="L798" s="6">
        <v>0</v>
      </c>
      <c r="M798" s="6">
        <v>0</v>
      </c>
      <c r="N798" s="6">
        <v>0</v>
      </c>
      <c r="O798" s="6">
        <v>0</v>
      </c>
    </row>
    <row r="799" spans="1:15">
      <c r="A799" s="6" t="s">
        <v>1786</v>
      </c>
      <c r="B799" s="6" t="s">
        <v>2821</v>
      </c>
      <c r="C799" s="6" t="s">
        <v>88</v>
      </c>
      <c r="D799" s="6" t="s">
        <v>2364</v>
      </c>
      <c r="E799" s="6" t="s">
        <v>1918</v>
      </c>
      <c r="F799" s="6" t="s">
        <v>2387</v>
      </c>
      <c r="G799" s="6" t="s">
        <v>1790</v>
      </c>
      <c r="H799" s="6" t="s">
        <v>2388</v>
      </c>
      <c r="I799" s="6">
        <v>1</v>
      </c>
      <c r="J799" s="6">
        <v>0</v>
      </c>
      <c r="K799" s="6">
        <v>0</v>
      </c>
      <c r="L799" s="6">
        <v>0</v>
      </c>
      <c r="M799" s="6">
        <v>0</v>
      </c>
      <c r="N799" s="6">
        <v>1</v>
      </c>
      <c r="O799" s="6">
        <v>1</v>
      </c>
    </row>
    <row r="800" spans="1:15">
      <c r="A800" s="6" t="s">
        <v>1786</v>
      </c>
      <c r="B800" s="6" t="s">
        <v>2821</v>
      </c>
      <c r="C800" s="6" t="s">
        <v>88</v>
      </c>
      <c r="D800" s="6" t="s">
        <v>2364</v>
      </c>
      <c r="E800" s="6" t="s">
        <v>1918</v>
      </c>
      <c r="F800" s="6" t="s">
        <v>2338</v>
      </c>
      <c r="G800" s="6" t="s">
        <v>1790</v>
      </c>
      <c r="H800" s="6" t="s">
        <v>2338</v>
      </c>
      <c r="I800" s="6">
        <v>2</v>
      </c>
      <c r="J800" s="6">
        <v>0</v>
      </c>
      <c r="K800" s="6">
        <v>0</v>
      </c>
      <c r="L800" s="6">
        <v>0</v>
      </c>
      <c r="M800" s="6">
        <v>0</v>
      </c>
      <c r="N800" s="6">
        <v>0</v>
      </c>
      <c r="O800" s="6">
        <v>0</v>
      </c>
    </row>
    <row r="801" spans="1:15">
      <c r="A801" s="6" t="s">
        <v>1786</v>
      </c>
      <c r="B801" s="6" t="s">
        <v>2821</v>
      </c>
      <c r="C801" s="6" t="s">
        <v>88</v>
      </c>
      <c r="D801" s="6" t="s">
        <v>2364</v>
      </c>
      <c r="E801" s="6" t="s">
        <v>1918</v>
      </c>
      <c r="F801" s="6" t="s">
        <v>3089</v>
      </c>
      <c r="G801" s="6" t="s">
        <v>1790</v>
      </c>
      <c r="H801" s="6" t="s">
        <v>3090</v>
      </c>
      <c r="I801" s="6">
        <v>1</v>
      </c>
      <c r="J801" s="6">
        <v>0</v>
      </c>
      <c r="K801" s="6">
        <v>0</v>
      </c>
      <c r="L801" s="6">
        <v>0</v>
      </c>
      <c r="M801" s="6">
        <v>0</v>
      </c>
      <c r="N801" s="6">
        <v>0</v>
      </c>
      <c r="O801" s="6">
        <v>0</v>
      </c>
    </row>
    <row r="802" spans="1:15">
      <c r="A802" s="6" t="s">
        <v>1786</v>
      </c>
      <c r="B802" s="6" t="s">
        <v>2821</v>
      </c>
      <c r="C802" s="6" t="s">
        <v>88</v>
      </c>
      <c r="D802" s="6" t="s">
        <v>2364</v>
      </c>
      <c r="E802" s="6" t="s">
        <v>1918</v>
      </c>
      <c r="F802" s="6" t="s">
        <v>2364</v>
      </c>
      <c r="G802" s="6" t="s">
        <v>1790</v>
      </c>
      <c r="H802" s="6" t="s">
        <v>2402</v>
      </c>
      <c r="I802" s="6">
        <v>1</v>
      </c>
      <c r="J802" s="6">
        <v>0</v>
      </c>
      <c r="K802" s="6">
        <v>0</v>
      </c>
      <c r="L802" s="6">
        <v>0</v>
      </c>
      <c r="M802" s="6">
        <v>0</v>
      </c>
      <c r="N802" s="6">
        <v>1</v>
      </c>
      <c r="O802" s="6">
        <v>1</v>
      </c>
    </row>
    <row r="803" spans="1:15">
      <c r="A803" s="6" t="s">
        <v>1786</v>
      </c>
      <c r="B803" s="6" t="s">
        <v>2821</v>
      </c>
      <c r="C803" s="6" t="s">
        <v>88</v>
      </c>
      <c r="D803" s="6" t="s">
        <v>2364</v>
      </c>
      <c r="E803" s="6" t="s">
        <v>1918</v>
      </c>
      <c r="F803" s="6" t="s">
        <v>2364</v>
      </c>
      <c r="G803" s="6" t="s">
        <v>1790</v>
      </c>
      <c r="H803" s="6" t="s">
        <v>3091</v>
      </c>
      <c r="I803" s="6">
        <v>1</v>
      </c>
      <c r="J803" s="6">
        <v>0</v>
      </c>
      <c r="K803" s="6">
        <v>0</v>
      </c>
      <c r="L803" s="6">
        <v>0</v>
      </c>
      <c r="M803" s="6">
        <v>0</v>
      </c>
      <c r="N803" s="6">
        <v>1</v>
      </c>
      <c r="O803" s="6">
        <v>1</v>
      </c>
    </row>
    <row r="804" spans="1:15">
      <c r="A804" s="6" t="s">
        <v>1786</v>
      </c>
      <c r="B804" s="6" t="s">
        <v>2821</v>
      </c>
      <c r="C804" s="6" t="s">
        <v>88</v>
      </c>
      <c r="D804" s="6" t="s">
        <v>2364</v>
      </c>
      <c r="E804" s="6" t="s">
        <v>1918</v>
      </c>
      <c r="F804" s="6" t="s">
        <v>2364</v>
      </c>
      <c r="G804" s="6" t="s">
        <v>1790</v>
      </c>
      <c r="H804" s="6" t="s">
        <v>2404</v>
      </c>
      <c r="I804" s="6">
        <v>4</v>
      </c>
      <c r="J804" s="6">
        <v>0</v>
      </c>
      <c r="K804" s="6">
        <v>0</v>
      </c>
      <c r="L804" s="6">
        <v>0</v>
      </c>
      <c r="M804" s="6">
        <v>0</v>
      </c>
      <c r="N804" s="6">
        <v>1</v>
      </c>
      <c r="O804" s="6">
        <v>1</v>
      </c>
    </row>
    <row r="805" spans="1:15">
      <c r="A805" s="6" t="s">
        <v>1786</v>
      </c>
      <c r="B805" s="6" t="s">
        <v>2821</v>
      </c>
      <c r="C805" s="6" t="s">
        <v>88</v>
      </c>
      <c r="D805" s="6" t="s">
        <v>2364</v>
      </c>
      <c r="E805" s="6" t="s">
        <v>1918</v>
      </c>
      <c r="F805" s="6" t="s">
        <v>2364</v>
      </c>
      <c r="G805" s="6" t="s">
        <v>1790</v>
      </c>
      <c r="H805" s="6" t="s">
        <v>2364</v>
      </c>
      <c r="I805" s="6">
        <v>6</v>
      </c>
      <c r="J805" s="6">
        <v>1</v>
      </c>
      <c r="K805" s="6">
        <v>0.16670000000000001</v>
      </c>
      <c r="L805" s="6">
        <v>0.87</v>
      </c>
      <c r="M805" s="6">
        <v>0.87</v>
      </c>
      <c r="N805" s="6">
        <v>1</v>
      </c>
      <c r="O805" s="6">
        <v>1</v>
      </c>
    </row>
    <row r="806" spans="1:15">
      <c r="A806" s="6" t="s">
        <v>1786</v>
      </c>
      <c r="B806" s="6" t="s">
        <v>2821</v>
      </c>
      <c r="C806" s="6" t="s">
        <v>88</v>
      </c>
      <c r="D806" s="6" t="s">
        <v>2364</v>
      </c>
      <c r="E806" s="6" t="s">
        <v>1918</v>
      </c>
      <c r="F806" s="6" t="s">
        <v>3092</v>
      </c>
      <c r="G806" s="6" t="s">
        <v>1790</v>
      </c>
      <c r="H806" s="6" t="s">
        <v>3093</v>
      </c>
      <c r="I806" s="6">
        <v>2</v>
      </c>
      <c r="J806" s="6">
        <v>1</v>
      </c>
      <c r="K806" s="6">
        <v>0.5</v>
      </c>
      <c r="L806" s="6">
        <v>0.99</v>
      </c>
      <c r="M806" s="6">
        <v>0.99</v>
      </c>
      <c r="N806" s="6">
        <v>1</v>
      </c>
      <c r="O806" s="6">
        <v>1</v>
      </c>
    </row>
    <row r="807" spans="1:15">
      <c r="A807" s="6" t="s">
        <v>1786</v>
      </c>
      <c r="B807" s="6" t="s">
        <v>2821</v>
      </c>
      <c r="C807" s="6" t="s">
        <v>88</v>
      </c>
      <c r="D807" s="6" t="s">
        <v>2364</v>
      </c>
      <c r="E807" s="6" t="s">
        <v>2419</v>
      </c>
      <c r="G807" s="6" t="s">
        <v>1790</v>
      </c>
      <c r="H807" s="6" t="s">
        <v>3094</v>
      </c>
      <c r="I807" s="6">
        <v>1</v>
      </c>
      <c r="J807" s="6">
        <v>0</v>
      </c>
      <c r="K807" s="6">
        <v>0</v>
      </c>
      <c r="L807" s="6">
        <v>0</v>
      </c>
      <c r="M807" s="6">
        <v>0</v>
      </c>
      <c r="N807" s="6">
        <v>1</v>
      </c>
      <c r="O807" s="6">
        <v>1</v>
      </c>
    </row>
    <row r="808" spans="1:15">
      <c r="A808" s="6" t="s">
        <v>1786</v>
      </c>
      <c r="B808" s="6" t="s">
        <v>2821</v>
      </c>
      <c r="C808" s="6" t="s">
        <v>88</v>
      </c>
      <c r="D808" s="6" t="s">
        <v>2364</v>
      </c>
      <c r="E808" s="6" t="s">
        <v>2419</v>
      </c>
      <c r="F808" s="6" t="s">
        <v>3095</v>
      </c>
      <c r="G808" s="6" t="s">
        <v>1790</v>
      </c>
      <c r="H808" s="6" t="s">
        <v>3096</v>
      </c>
      <c r="I808" s="6">
        <v>7</v>
      </c>
      <c r="J808" s="6">
        <v>0</v>
      </c>
      <c r="K808" s="6">
        <v>0</v>
      </c>
      <c r="L808" s="6">
        <v>0</v>
      </c>
      <c r="M808" s="6">
        <v>0</v>
      </c>
      <c r="N808" s="6">
        <v>1</v>
      </c>
      <c r="O808" s="6">
        <v>1</v>
      </c>
    </row>
    <row r="809" spans="1:15">
      <c r="A809" s="6" t="s">
        <v>1786</v>
      </c>
      <c r="B809" s="6" t="s">
        <v>2821</v>
      </c>
      <c r="C809" s="6" t="s">
        <v>88</v>
      </c>
      <c r="D809" s="6" t="s">
        <v>2364</v>
      </c>
      <c r="E809" s="6" t="s">
        <v>2419</v>
      </c>
      <c r="F809" s="6" t="s">
        <v>3097</v>
      </c>
      <c r="G809" s="6" t="s">
        <v>1790</v>
      </c>
      <c r="H809" s="6" t="s">
        <v>3098</v>
      </c>
      <c r="I809" s="6">
        <v>2</v>
      </c>
      <c r="J809" s="6">
        <v>0</v>
      </c>
      <c r="K809" s="6">
        <v>0</v>
      </c>
      <c r="L809" s="6">
        <v>0</v>
      </c>
      <c r="M809" s="6">
        <v>0</v>
      </c>
      <c r="N809" s="6">
        <v>1</v>
      </c>
      <c r="O809" s="6">
        <v>1</v>
      </c>
    </row>
    <row r="810" spans="1:15">
      <c r="A810" s="6" t="s">
        <v>1786</v>
      </c>
      <c r="B810" s="6" t="s">
        <v>2821</v>
      </c>
      <c r="C810" s="6" t="s">
        <v>88</v>
      </c>
      <c r="D810" s="6" t="s">
        <v>2364</v>
      </c>
      <c r="E810" s="6" t="s">
        <v>2419</v>
      </c>
      <c r="F810" s="6" t="s">
        <v>2306</v>
      </c>
      <c r="G810" s="6" t="s">
        <v>1790</v>
      </c>
      <c r="H810" s="6" t="s">
        <v>3099</v>
      </c>
      <c r="I810" s="6">
        <v>1</v>
      </c>
      <c r="J810" s="6">
        <v>0</v>
      </c>
      <c r="K810" s="6">
        <v>0</v>
      </c>
      <c r="L810" s="6">
        <v>0</v>
      </c>
      <c r="M810" s="6">
        <v>0</v>
      </c>
      <c r="N810" s="6">
        <v>1</v>
      </c>
      <c r="O810" s="6">
        <v>1</v>
      </c>
    </row>
    <row r="811" spans="1:15">
      <c r="A811" s="6" t="s">
        <v>1786</v>
      </c>
      <c r="B811" s="6" t="s">
        <v>2821</v>
      </c>
      <c r="C811" s="6" t="s">
        <v>88</v>
      </c>
      <c r="D811" s="6" t="s">
        <v>2364</v>
      </c>
      <c r="E811" s="6" t="s">
        <v>2419</v>
      </c>
      <c r="F811" s="6" t="s">
        <v>2306</v>
      </c>
      <c r="G811" s="6" t="s">
        <v>1790</v>
      </c>
      <c r="H811" s="6" t="s">
        <v>3100</v>
      </c>
      <c r="I811" s="6">
        <v>1</v>
      </c>
      <c r="J811" s="6">
        <v>0</v>
      </c>
      <c r="K811" s="6">
        <v>0</v>
      </c>
      <c r="L811" s="6">
        <v>0</v>
      </c>
      <c r="M811" s="6">
        <v>0</v>
      </c>
      <c r="N811" s="6">
        <v>1</v>
      </c>
      <c r="O811" s="6">
        <v>1</v>
      </c>
    </row>
    <row r="812" spans="1:15">
      <c r="A812" s="6" t="s">
        <v>1786</v>
      </c>
      <c r="B812" s="6" t="s">
        <v>2821</v>
      </c>
      <c r="C812" s="6" t="s">
        <v>88</v>
      </c>
      <c r="D812" s="6" t="s">
        <v>3101</v>
      </c>
      <c r="E812" s="6" t="s">
        <v>3102</v>
      </c>
      <c r="F812" s="6" t="s">
        <v>3103</v>
      </c>
      <c r="G812" s="6" t="s">
        <v>1790</v>
      </c>
      <c r="H812" s="6" t="s">
        <v>3104</v>
      </c>
      <c r="I812" s="6">
        <v>1</v>
      </c>
      <c r="J812" s="6">
        <v>0</v>
      </c>
      <c r="K812" s="6">
        <v>0</v>
      </c>
      <c r="L812" s="6">
        <v>0</v>
      </c>
      <c r="M812" s="6">
        <v>0</v>
      </c>
      <c r="N812" s="6">
        <v>1</v>
      </c>
      <c r="O812" s="6">
        <v>1</v>
      </c>
    </row>
    <row r="813" spans="1:15">
      <c r="A813" s="6" t="s">
        <v>1786</v>
      </c>
      <c r="B813" s="6" t="s">
        <v>2821</v>
      </c>
      <c r="C813" s="6" t="s">
        <v>88</v>
      </c>
      <c r="D813" s="6" t="s">
        <v>3101</v>
      </c>
      <c r="E813" s="6" t="s">
        <v>2577</v>
      </c>
      <c r="F813" s="6" t="s">
        <v>3105</v>
      </c>
      <c r="G813" s="6" t="s">
        <v>1790</v>
      </c>
      <c r="H813" s="6" t="s">
        <v>3106</v>
      </c>
      <c r="I813" s="6">
        <v>1</v>
      </c>
      <c r="J813" s="6">
        <v>0</v>
      </c>
      <c r="K813" s="6">
        <v>0</v>
      </c>
      <c r="L813" s="6">
        <v>0</v>
      </c>
      <c r="M813" s="6">
        <v>0</v>
      </c>
      <c r="N813" s="6">
        <v>0</v>
      </c>
      <c r="O813" s="6">
        <v>0</v>
      </c>
    </row>
    <row r="814" spans="1:15">
      <c r="A814" s="6" t="s">
        <v>1786</v>
      </c>
      <c r="B814" s="6" t="s">
        <v>2821</v>
      </c>
      <c r="C814" s="6" t="s">
        <v>88</v>
      </c>
      <c r="D814" s="6" t="s">
        <v>3101</v>
      </c>
      <c r="E814" s="6" t="s">
        <v>2577</v>
      </c>
      <c r="F814" s="6" t="s">
        <v>3107</v>
      </c>
      <c r="G814" s="6" t="s">
        <v>1790</v>
      </c>
      <c r="H814" s="6" t="s">
        <v>3108</v>
      </c>
      <c r="I814" s="6">
        <v>1</v>
      </c>
      <c r="J814" s="6">
        <v>0</v>
      </c>
      <c r="K814" s="6">
        <v>0</v>
      </c>
      <c r="L814" s="6">
        <v>0</v>
      </c>
      <c r="M814" s="6">
        <v>0</v>
      </c>
      <c r="N814" s="6">
        <v>0</v>
      </c>
      <c r="O814" s="6">
        <v>0</v>
      </c>
    </row>
    <row r="815" spans="1:15">
      <c r="A815" s="6" t="s">
        <v>1786</v>
      </c>
      <c r="B815" s="6" t="s">
        <v>2821</v>
      </c>
      <c r="C815" s="6" t="s">
        <v>88</v>
      </c>
      <c r="D815" s="6" t="s">
        <v>3101</v>
      </c>
      <c r="E815" s="6" t="s">
        <v>2577</v>
      </c>
      <c r="F815" s="6" t="s">
        <v>3109</v>
      </c>
      <c r="G815" s="6" t="s">
        <v>1790</v>
      </c>
      <c r="H815" s="6" t="s">
        <v>3110</v>
      </c>
      <c r="I815" s="6">
        <v>2</v>
      </c>
      <c r="J815" s="6">
        <v>0</v>
      </c>
      <c r="K815" s="6">
        <v>0</v>
      </c>
      <c r="L815" s="6">
        <v>0</v>
      </c>
      <c r="M815" s="6">
        <v>0</v>
      </c>
      <c r="N815" s="6">
        <v>1</v>
      </c>
      <c r="O815" s="6">
        <v>0</v>
      </c>
    </row>
    <row r="816" spans="1:15">
      <c r="A816" s="6" t="s">
        <v>1786</v>
      </c>
      <c r="B816" s="6" t="s">
        <v>2821</v>
      </c>
      <c r="C816" s="6" t="s">
        <v>88</v>
      </c>
      <c r="D816" s="6" t="s">
        <v>3101</v>
      </c>
      <c r="E816" s="6" t="s">
        <v>2577</v>
      </c>
      <c r="F816" s="6" t="s">
        <v>3109</v>
      </c>
      <c r="G816" s="6" t="s">
        <v>1790</v>
      </c>
      <c r="H816" s="6" t="s">
        <v>3109</v>
      </c>
      <c r="I816" s="6">
        <v>1</v>
      </c>
      <c r="J816" s="6">
        <v>0</v>
      </c>
      <c r="K816" s="6">
        <v>0</v>
      </c>
      <c r="L816" s="6">
        <v>0</v>
      </c>
      <c r="M816" s="6">
        <v>0</v>
      </c>
      <c r="N816" s="6">
        <v>0</v>
      </c>
      <c r="O816" s="6">
        <v>0</v>
      </c>
    </row>
    <row r="817" spans="1:15">
      <c r="A817" s="6" t="s">
        <v>1786</v>
      </c>
      <c r="B817" s="6" t="s">
        <v>2821</v>
      </c>
      <c r="C817" s="6" t="s">
        <v>88</v>
      </c>
      <c r="D817" s="6" t="s">
        <v>3101</v>
      </c>
      <c r="E817" s="6" t="s">
        <v>2577</v>
      </c>
      <c r="F817" s="6" t="s">
        <v>3111</v>
      </c>
      <c r="G817" s="6" t="s">
        <v>1790</v>
      </c>
      <c r="H817" s="6" t="s">
        <v>3111</v>
      </c>
      <c r="I817" s="6">
        <v>1</v>
      </c>
      <c r="J817" s="6">
        <v>0</v>
      </c>
      <c r="K817" s="6">
        <v>0</v>
      </c>
      <c r="L817" s="6">
        <v>0</v>
      </c>
      <c r="M817" s="6">
        <v>0</v>
      </c>
      <c r="N817" s="6">
        <v>0</v>
      </c>
      <c r="O817" s="6">
        <v>0</v>
      </c>
    </row>
    <row r="818" spans="1:15">
      <c r="A818" s="6" t="s">
        <v>1786</v>
      </c>
      <c r="B818" s="6" t="s">
        <v>2821</v>
      </c>
      <c r="C818" s="6" t="s">
        <v>88</v>
      </c>
      <c r="D818" s="6" t="s">
        <v>3101</v>
      </c>
      <c r="E818" s="6" t="s">
        <v>2577</v>
      </c>
      <c r="F818" s="6" t="s">
        <v>3112</v>
      </c>
      <c r="G818" s="6" t="s">
        <v>1790</v>
      </c>
      <c r="H818" s="6" t="s">
        <v>3113</v>
      </c>
      <c r="I818" s="6">
        <v>1</v>
      </c>
      <c r="J818" s="6">
        <v>0</v>
      </c>
      <c r="K818" s="6">
        <v>0</v>
      </c>
      <c r="L818" s="6">
        <v>0</v>
      </c>
      <c r="M818" s="6">
        <v>0</v>
      </c>
      <c r="N818" s="6">
        <v>1</v>
      </c>
      <c r="O818" s="6">
        <v>1</v>
      </c>
    </row>
    <row r="819" spans="1:15">
      <c r="A819" s="6" t="s">
        <v>1786</v>
      </c>
      <c r="B819" s="6" t="s">
        <v>2821</v>
      </c>
      <c r="C819" s="6" t="s">
        <v>88</v>
      </c>
      <c r="D819" s="6" t="s">
        <v>3101</v>
      </c>
      <c r="E819" s="6" t="s">
        <v>3114</v>
      </c>
      <c r="F819" s="6" t="s">
        <v>2562</v>
      </c>
      <c r="G819" s="6" t="s">
        <v>1790</v>
      </c>
      <c r="H819" s="6" t="s">
        <v>3115</v>
      </c>
      <c r="I819" s="6">
        <v>1</v>
      </c>
      <c r="J819" s="6">
        <v>0</v>
      </c>
      <c r="K819" s="6">
        <v>0</v>
      </c>
      <c r="L819" s="6">
        <v>0</v>
      </c>
      <c r="M819" s="6">
        <v>0</v>
      </c>
      <c r="N819" s="6">
        <v>1</v>
      </c>
      <c r="O819" s="6">
        <v>1</v>
      </c>
    </row>
    <row r="820" spans="1:15">
      <c r="A820" s="6" t="s">
        <v>1786</v>
      </c>
      <c r="B820" s="6" t="s">
        <v>2821</v>
      </c>
      <c r="C820" s="6" t="s">
        <v>88</v>
      </c>
      <c r="D820" s="6" t="s">
        <v>3116</v>
      </c>
      <c r="G820" s="6" t="s">
        <v>1790</v>
      </c>
      <c r="H820" s="6" t="s">
        <v>3117</v>
      </c>
      <c r="I820" s="6">
        <v>2</v>
      </c>
      <c r="J820" s="6">
        <v>0</v>
      </c>
      <c r="K820" s="6">
        <v>0</v>
      </c>
      <c r="L820" s="6">
        <v>0</v>
      </c>
      <c r="M820" s="6">
        <v>0</v>
      </c>
      <c r="N820" s="6">
        <v>1</v>
      </c>
      <c r="O820" s="6">
        <v>1</v>
      </c>
    </row>
    <row r="821" spans="1:15">
      <c r="A821" s="6" t="s">
        <v>1786</v>
      </c>
      <c r="B821" s="6" t="s">
        <v>2821</v>
      </c>
      <c r="C821" s="6" t="s">
        <v>88</v>
      </c>
      <c r="D821" s="6" t="s">
        <v>3116</v>
      </c>
      <c r="E821" s="6" t="s">
        <v>2995</v>
      </c>
      <c r="F821" s="6" t="s">
        <v>2348</v>
      </c>
      <c r="G821" s="6" t="s">
        <v>1790</v>
      </c>
      <c r="H821" s="6" t="s">
        <v>3118</v>
      </c>
      <c r="I821" s="6">
        <v>1</v>
      </c>
      <c r="J821" s="6">
        <v>0</v>
      </c>
      <c r="K821" s="6">
        <v>0</v>
      </c>
      <c r="L821" s="6">
        <v>0</v>
      </c>
      <c r="M821" s="6">
        <v>0</v>
      </c>
      <c r="N821" s="6">
        <v>0</v>
      </c>
      <c r="O821" s="6">
        <v>0</v>
      </c>
    </row>
    <row r="822" spans="1:15">
      <c r="A822" s="6" t="s">
        <v>1786</v>
      </c>
      <c r="B822" s="6" t="s">
        <v>2821</v>
      </c>
      <c r="C822" s="6" t="s">
        <v>88</v>
      </c>
      <c r="D822" s="6" t="s">
        <v>3116</v>
      </c>
      <c r="E822" s="6" t="s">
        <v>3119</v>
      </c>
      <c r="F822" s="6" t="s">
        <v>3120</v>
      </c>
      <c r="G822" s="6" t="s">
        <v>1790</v>
      </c>
      <c r="H822" s="6" t="s">
        <v>3120</v>
      </c>
      <c r="I822" s="6">
        <v>1</v>
      </c>
      <c r="J822" s="6">
        <v>0</v>
      </c>
      <c r="K822" s="6">
        <v>0</v>
      </c>
      <c r="L822" s="6">
        <v>0</v>
      </c>
      <c r="M822" s="6">
        <v>0</v>
      </c>
      <c r="N822" s="6">
        <v>0</v>
      </c>
      <c r="O822" s="6">
        <v>0</v>
      </c>
    </row>
    <row r="823" spans="1:15">
      <c r="A823" s="6" t="s">
        <v>1786</v>
      </c>
      <c r="B823" s="6" t="s">
        <v>2821</v>
      </c>
      <c r="C823" s="6" t="s">
        <v>88</v>
      </c>
      <c r="D823" s="6" t="s">
        <v>3116</v>
      </c>
      <c r="E823" s="6" t="s">
        <v>3121</v>
      </c>
      <c r="F823" s="6" t="s">
        <v>3122</v>
      </c>
      <c r="G823" s="6" t="s">
        <v>1790</v>
      </c>
      <c r="H823" s="6" t="s">
        <v>3123</v>
      </c>
      <c r="I823" s="6">
        <v>1</v>
      </c>
      <c r="J823" s="6">
        <v>0</v>
      </c>
      <c r="K823" s="6">
        <v>0</v>
      </c>
      <c r="L823" s="6">
        <v>0</v>
      </c>
      <c r="M823" s="6">
        <v>0</v>
      </c>
      <c r="N823" s="6">
        <v>0</v>
      </c>
      <c r="O823" s="6">
        <v>0</v>
      </c>
    </row>
    <row r="824" spans="1:15">
      <c r="A824" s="6" t="s">
        <v>1786</v>
      </c>
      <c r="B824" s="6" t="s">
        <v>2821</v>
      </c>
      <c r="C824" s="6" t="s">
        <v>88</v>
      </c>
      <c r="D824" s="6" t="s">
        <v>3116</v>
      </c>
      <c r="E824" s="6" t="s">
        <v>3121</v>
      </c>
      <c r="F824" s="6" t="s">
        <v>3122</v>
      </c>
      <c r="G824" s="6" t="s">
        <v>1790</v>
      </c>
      <c r="H824" s="6" t="s">
        <v>3124</v>
      </c>
      <c r="I824" s="6">
        <v>1</v>
      </c>
      <c r="J824" s="6">
        <v>0</v>
      </c>
      <c r="K824" s="6">
        <v>0</v>
      </c>
      <c r="L824" s="6">
        <v>0</v>
      </c>
      <c r="M824" s="6">
        <v>0</v>
      </c>
      <c r="N824" s="6">
        <v>1</v>
      </c>
      <c r="O824" s="6">
        <v>1</v>
      </c>
    </row>
    <row r="825" spans="1:15">
      <c r="A825" s="6" t="s">
        <v>1786</v>
      </c>
      <c r="B825" s="6" t="s">
        <v>2821</v>
      </c>
      <c r="C825" s="6" t="s">
        <v>88</v>
      </c>
      <c r="D825" s="6" t="s">
        <v>3116</v>
      </c>
      <c r="E825" s="6" t="s">
        <v>3121</v>
      </c>
      <c r="F825" s="6" t="s">
        <v>3122</v>
      </c>
      <c r="G825" s="6" t="s">
        <v>1790</v>
      </c>
      <c r="H825" s="6" t="s">
        <v>3125</v>
      </c>
      <c r="I825" s="6">
        <v>2</v>
      </c>
      <c r="J825" s="6">
        <v>0</v>
      </c>
      <c r="K825" s="6">
        <v>0</v>
      </c>
      <c r="L825" s="6">
        <v>0</v>
      </c>
      <c r="M825" s="6">
        <v>0</v>
      </c>
      <c r="N825" s="6">
        <v>1</v>
      </c>
      <c r="O825" s="6">
        <v>1</v>
      </c>
    </row>
    <row r="826" spans="1:15">
      <c r="A826" s="6" t="s">
        <v>1786</v>
      </c>
      <c r="B826" s="6" t="s">
        <v>2821</v>
      </c>
      <c r="C826" s="6" t="s">
        <v>88</v>
      </c>
      <c r="D826" s="6" t="s">
        <v>3116</v>
      </c>
      <c r="E826" s="6" t="s">
        <v>3121</v>
      </c>
      <c r="F826" s="6" t="s">
        <v>3126</v>
      </c>
      <c r="G826" s="6" t="s">
        <v>1790</v>
      </c>
      <c r="H826" s="6" t="s">
        <v>3127</v>
      </c>
      <c r="I826" s="6">
        <v>1</v>
      </c>
      <c r="J826" s="6">
        <v>0</v>
      </c>
      <c r="K826" s="6">
        <v>0</v>
      </c>
      <c r="L826" s="6">
        <v>0</v>
      </c>
      <c r="M826" s="6">
        <v>0</v>
      </c>
      <c r="N826" s="6">
        <v>1</v>
      </c>
      <c r="O826" s="6">
        <v>1</v>
      </c>
    </row>
    <row r="827" spans="1:15">
      <c r="A827" s="6" t="s">
        <v>1786</v>
      </c>
      <c r="B827" s="6" t="s">
        <v>2821</v>
      </c>
      <c r="C827" s="6" t="s">
        <v>88</v>
      </c>
      <c r="D827" s="6" t="s">
        <v>3116</v>
      </c>
      <c r="E827" s="6" t="s">
        <v>3128</v>
      </c>
      <c r="F827" s="6" t="s">
        <v>3129</v>
      </c>
      <c r="G827" s="6" t="s">
        <v>1790</v>
      </c>
      <c r="H827" s="6" t="s">
        <v>3130</v>
      </c>
      <c r="I827" s="6">
        <v>2</v>
      </c>
      <c r="J827" s="6">
        <v>0</v>
      </c>
      <c r="K827" s="6">
        <v>0</v>
      </c>
      <c r="L827" s="6">
        <v>0</v>
      </c>
      <c r="M827" s="6">
        <v>0</v>
      </c>
      <c r="N827" s="6">
        <v>0.5</v>
      </c>
      <c r="O827" s="6">
        <v>0.5</v>
      </c>
    </row>
    <row r="828" spans="1:15">
      <c r="A828" s="6" t="s">
        <v>1786</v>
      </c>
      <c r="B828" s="6" t="s">
        <v>2821</v>
      </c>
      <c r="C828" s="6" t="s">
        <v>88</v>
      </c>
      <c r="D828" s="6" t="s">
        <v>3116</v>
      </c>
      <c r="E828" s="6" t="s">
        <v>3128</v>
      </c>
      <c r="F828" s="6" t="s">
        <v>3131</v>
      </c>
      <c r="G828" s="6" t="s">
        <v>1790</v>
      </c>
      <c r="H828" s="6" t="s">
        <v>3132</v>
      </c>
      <c r="I828" s="6">
        <v>1</v>
      </c>
      <c r="J828" s="6">
        <v>0</v>
      </c>
      <c r="K828" s="6">
        <v>0</v>
      </c>
      <c r="L828" s="6">
        <v>0</v>
      </c>
      <c r="M828" s="6">
        <v>0</v>
      </c>
      <c r="N828" s="6">
        <v>0</v>
      </c>
      <c r="O828" s="6">
        <v>0</v>
      </c>
    </row>
    <row r="829" spans="1:15">
      <c r="A829" s="6" t="s">
        <v>1786</v>
      </c>
      <c r="B829" s="6" t="s">
        <v>2821</v>
      </c>
      <c r="C829" s="6" t="s">
        <v>88</v>
      </c>
      <c r="D829" s="6" t="s">
        <v>3133</v>
      </c>
      <c r="E829" s="6" t="s">
        <v>3134</v>
      </c>
      <c r="F829" s="6" t="s">
        <v>3135</v>
      </c>
      <c r="G829" s="6" t="s">
        <v>1790</v>
      </c>
      <c r="H829" s="6" t="s">
        <v>3136</v>
      </c>
      <c r="I829" s="6">
        <v>1</v>
      </c>
      <c r="J829" s="6">
        <v>0</v>
      </c>
      <c r="K829" s="6">
        <v>0</v>
      </c>
      <c r="L829" s="6">
        <v>0</v>
      </c>
      <c r="M829" s="6">
        <v>0</v>
      </c>
      <c r="N829" s="6">
        <v>1</v>
      </c>
      <c r="O829" s="6">
        <v>1</v>
      </c>
    </row>
    <row r="830" spans="1:15">
      <c r="A830" s="6" t="s">
        <v>1786</v>
      </c>
      <c r="B830" s="6" t="s">
        <v>2821</v>
      </c>
      <c r="C830" s="6" t="s">
        <v>88</v>
      </c>
      <c r="D830" s="6" t="s">
        <v>3133</v>
      </c>
      <c r="E830" s="6" t="s">
        <v>3134</v>
      </c>
      <c r="F830" s="6" t="s">
        <v>3137</v>
      </c>
      <c r="G830" s="6" t="s">
        <v>1790</v>
      </c>
      <c r="H830" s="6" t="s">
        <v>3138</v>
      </c>
      <c r="I830" s="6">
        <v>2</v>
      </c>
      <c r="J830" s="6">
        <v>1</v>
      </c>
      <c r="K830" s="6">
        <v>0.5</v>
      </c>
      <c r="L830" s="6">
        <v>0.88</v>
      </c>
      <c r="M830" s="6">
        <v>0.88</v>
      </c>
      <c r="N830" s="6">
        <v>1</v>
      </c>
      <c r="O830" s="6">
        <v>1</v>
      </c>
    </row>
    <row r="831" spans="1:15">
      <c r="A831" s="6" t="s">
        <v>1786</v>
      </c>
      <c r="B831" s="6" t="s">
        <v>2821</v>
      </c>
      <c r="C831" s="6" t="s">
        <v>88</v>
      </c>
      <c r="D831" s="6" t="s">
        <v>3133</v>
      </c>
      <c r="E831" s="6" t="s">
        <v>3139</v>
      </c>
      <c r="F831" s="6" t="s">
        <v>3140</v>
      </c>
      <c r="G831" s="6" t="s">
        <v>1790</v>
      </c>
      <c r="H831" s="6" t="s">
        <v>3141</v>
      </c>
      <c r="I831" s="6">
        <v>9</v>
      </c>
      <c r="J831" s="6">
        <v>1</v>
      </c>
      <c r="K831" s="6">
        <v>0.11109999999999999</v>
      </c>
      <c r="L831" s="6">
        <v>0.95</v>
      </c>
      <c r="M831" s="6">
        <v>0.95</v>
      </c>
      <c r="N831" s="6">
        <v>0.28570000000000001</v>
      </c>
      <c r="O831" s="6">
        <v>0.28570000000000001</v>
      </c>
    </row>
    <row r="832" spans="1:15">
      <c r="A832" s="6" t="s">
        <v>1786</v>
      </c>
      <c r="B832" s="6" t="s">
        <v>2821</v>
      </c>
      <c r="C832" s="6" t="s">
        <v>88</v>
      </c>
      <c r="D832" s="6" t="s">
        <v>3133</v>
      </c>
      <c r="E832" s="6" t="s">
        <v>3139</v>
      </c>
      <c r="F832" s="6" t="s">
        <v>3142</v>
      </c>
      <c r="G832" s="6" t="s">
        <v>1790</v>
      </c>
      <c r="H832" s="6" t="s">
        <v>3143</v>
      </c>
      <c r="I832" s="6">
        <v>2</v>
      </c>
      <c r="J832" s="6">
        <v>0</v>
      </c>
      <c r="K832" s="6">
        <v>0</v>
      </c>
      <c r="L832" s="6">
        <v>0</v>
      </c>
      <c r="M832" s="6">
        <v>0</v>
      </c>
      <c r="N832" s="6">
        <v>1</v>
      </c>
      <c r="O832" s="6">
        <v>0</v>
      </c>
    </row>
    <row r="833" spans="1:15">
      <c r="A833" s="6" t="s">
        <v>1786</v>
      </c>
      <c r="B833" s="6" t="s">
        <v>2821</v>
      </c>
      <c r="C833" s="6" t="s">
        <v>88</v>
      </c>
      <c r="D833" s="6" t="s">
        <v>3133</v>
      </c>
      <c r="E833" s="6" t="s">
        <v>3139</v>
      </c>
      <c r="F833" s="6" t="s">
        <v>3142</v>
      </c>
      <c r="G833" s="6" t="s">
        <v>1790</v>
      </c>
      <c r="H833" s="6" t="s">
        <v>3142</v>
      </c>
      <c r="I833" s="6">
        <v>1</v>
      </c>
      <c r="J833" s="6">
        <v>0</v>
      </c>
      <c r="K833" s="6">
        <v>0</v>
      </c>
      <c r="L833" s="6">
        <v>0</v>
      </c>
      <c r="M833" s="6">
        <v>0</v>
      </c>
      <c r="N833" s="6">
        <v>0</v>
      </c>
      <c r="O833" s="6">
        <v>0</v>
      </c>
    </row>
    <row r="834" spans="1:15">
      <c r="A834" s="6" t="s">
        <v>1786</v>
      </c>
      <c r="B834" s="6" t="s">
        <v>2821</v>
      </c>
      <c r="C834" s="6" t="s">
        <v>88</v>
      </c>
      <c r="D834" s="6" t="s">
        <v>3144</v>
      </c>
      <c r="E834" s="6" t="s">
        <v>3145</v>
      </c>
      <c r="F834" s="6" t="s">
        <v>3146</v>
      </c>
      <c r="G834" s="6" t="s">
        <v>1790</v>
      </c>
      <c r="H834" s="6" t="s">
        <v>3147</v>
      </c>
      <c r="I834" s="6">
        <v>5</v>
      </c>
      <c r="J834" s="6">
        <v>0</v>
      </c>
      <c r="K834" s="6">
        <v>0</v>
      </c>
      <c r="L834" s="6">
        <v>0</v>
      </c>
      <c r="M834" s="6">
        <v>0</v>
      </c>
      <c r="N834" s="6">
        <v>0</v>
      </c>
      <c r="O834" s="6">
        <v>0</v>
      </c>
    </row>
    <row r="835" spans="1:15">
      <c r="A835" s="6" t="s">
        <v>1786</v>
      </c>
      <c r="B835" s="6" t="s">
        <v>2821</v>
      </c>
      <c r="C835" s="6" t="s">
        <v>88</v>
      </c>
      <c r="D835" s="6" t="s">
        <v>3144</v>
      </c>
      <c r="E835" s="6" t="s">
        <v>3148</v>
      </c>
      <c r="F835" s="6" t="s">
        <v>3149</v>
      </c>
      <c r="G835" s="6" t="s">
        <v>1790</v>
      </c>
      <c r="H835" s="6" t="s">
        <v>3150</v>
      </c>
      <c r="I835" s="6">
        <v>1</v>
      </c>
      <c r="J835" s="6">
        <v>0</v>
      </c>
      <c r="K835" s="6">
        <v>0</v>
      </c>
      <c r="L835" s="6">
        <v>0</v>
      </c>
      <c r="M835" s="6">
        <v>0</v>
      </c>
      <c r="N835" s="6">
        <v>0</v>
      </c>
      <c r="O835" s="6">
        <v>0</v>
      </c>
    </row>
    <row r="836" spans="1:15">
      <c r="A836" s="6" t="s">
        <v>1786</v>
      </c>
      <c r="B836" s="6" t="s">
        <v>2821</v>
      </c>
      <c r="C836" s="6" t="s">
        <v>88</v>
      </c>
      <c r="D836" s="6" t="s">
        <v>3144</v>
      </c>
      <c r="E836" s="6" t="s">
        <v>3148</v>
      </c>
      <c r="F836" s="6" t="s">
        <v>3151</v>
      </c>
      <c r="G836" s="6" t="s">
        <v>1790</v>
      </c>
      <c r="H836" s="6" t="s">
        <v>3152</v>
      </c>
      <c r="I836" s="6">
        <v>1</v>
      </c>
      <c r="J836" s="6">
        <v>0</v>
      </c>
      <c r="K836" s="6">
        <v>0</v>
      </c>
      <c r="L836" s="6">
        <v>0</v>
      </c>
      <c r="M836" s="6">
        <v>0</v>
      </c>
      <c r="N836" s="6">
        <v>1</v>
      </c>
      <c r="O836" s="6">
        <v>1</v>
      </c>
    </row>
    <row r="837" spans="1:15">
      <c r="A837" s="6" t="s">
        <v>1786</v>
      </c>
      <c r="B837" s="6" t="s">
        <v>2821</v>
      </c>
      <c r="C837" s="6" t="s">
        <v>88</v>
      </c>
      <c r="D837" s="6" t="s">
        <v>3144</v>
      </c>
      <c r="E837" s="6" t="s">
        <v>3148</v>
      </c>
      <c r="F837" s="6" t="s">
        <v>2139</v>
      </c>
      <c r="G837" s="6" t="s">
        <v>1790</v>
      </c>
      <c r="H837" s="6" t="s">
        <v>3153</v>
      </c>
      <c r="I837" s="6">
        <v>1</v>
      </c>
      <c r="J837" s="6">
        <v>0</v>
      </c>
      <c r="K837" s="6">
        <v>0</v>
      </c>
      <c r="L837" s="6">
        <v>0</v>
      </c>
      <c r="M837" s="6">
        <v>0</v>
      </c>
      <c r="N837" s="6">
        <v>0</v>
      </c>
      <c r="O837" s="6">
        <v>0</v>
      </c>
    </row>
    <row r="838" spans="1:15">
      <c r="A838" s="6" t="s">
        <v>1786</v>
      </c>
      <c r="B838" s="6" t="s">
        <v>2821</v>
      </c>
      <c r="C838" s="6" t="s">
        <v>88</v>
      </c>
      <c r="D838" s="6" t="s">
        <v>3144</v>
      </c>
      <c r="E838" s="6" t="s">
        <v>3148</v>
      </c>
      <c r="F838" s="6" t="s">
        <v>2139</v>
      </c>
      <c r="G838" s="6" t="s">
        <v>1790</v>
      </c>
      <c r="H838" s="6" t="s">
        <v>3154</v>
      </c>
      <c r="I838" s="6">
        <v>2</v>
      </c>
      <c r="J838" s="6">
        <v>0</v>
      </c>
      <c r="K838" s="6">
        <v>0</v>
      </c>
      <c r="L838" s="6">
        <v>0</v>
      </c>
      <c r="M838" s="6">
        <v>0</v>
      </c>
      <c r="N838" s="6">
        <v>1</v>
      </c>
      <c r="O838" s="6">
        <v>1</v>
      </c>
    </row>
    <row r="839" spans="1:15">
      <c r="A839" s="6" t="s">
        <v>1786</v>
      </c>
      <c r="B839" s="6" t="s">
        <v>2821</v>
      </c>
      <c r="C839" s="6" t="s">
        <v>88</v>
      </c>
      <c r="D839" s="6" t="s">
        <v>3144</v>
      </c>
      <c r="E839" s="6" t="s">
        <v>3148</v>
      </c>
      <c r="F839" s="6" t="s">
        <v>2139</v>
      </c>
      <c r="G839" s="6" t="s">
        <v>1790</v>
      </c>
      <c r="H839" s="6" t="s">
        <v>3155</v>
      </c>
      <c r="I839" s="6">
        <v>3</v>
      </c>
      <c r="J839" s="6">
        <v>1</v>
      </c>
      <c r="K839" s="6">
        <v>0.33329999999999999</v>
      </c>
      <c r="L839" s="6">
        <v>0.87</v>
      </c>
      <c r="M839" s="6">
        <v>0.87</v>
      </c>
      <c r="N839" s="6">
        <v>0.5</v>
      </c>
      <c r="O839" s="6">
        <v>0.5</v>
      </c>
    </row>
    <row r="840" spans="1:15">
      <c r="A840" s="6" t="s">
        <v>1786</v>
      </c>
      <c r="B840" s="6" t="s">
        <v>2821</v>
      </c>
      <c r="C840" s="6" t="s">
        <v>88</v>
      </c>
      <c r="D840" s="6" t="s">
        <v>3144</v>
      </c>
      <c r="E840" s="6" t="s">
        <v>3148</v>
      </c>
      <c r="F840" s="6" t="s">
        <v>2139</v>
      </c>
      <c r="G840" s="6" t="s">
        <v>1790</v>
      </c>
      <c r="H840" s="6" t="s">
        <v>3156</v>
      </c>
      <c r="I840" s="6">
        <v>1</v>
      </c>
      <c r="J840" s="6">
        <v>0</v>
      </c>
      <c r="K840" s="6">
        <v>0</v>
      </c>
      <c r="L840" s="6">
        <v>0</v>
      </c>
      <c r="M840" s="6">
        <v>0</v>
      </c>
      <c r="N840" s="6">
        <v>0</v>
      </c>
      <c r="O840" s="6">
        <v>0</v>
      </c>
    </row>
    <row r="841" spans="1:15">
      <c r="A841" s="6" t="s">
        <v>1786</v>
      </c>
      <c r="B841" s="6" t="s">
        <v>2821</v>
      </c>
      <c r="C841" s="6" t="s">
        <v>88</v>
      </c>
      <c r="D841" s="6" t="s">
        <v>3144</v>
      </c>
      <c r="E841" s="6" t="s">
        <v>3148</v>
      </c>
      <c r="F841" s="6" t="s">
        <v>2139</v>
      </c>
      <c r="G841" s="6" t="s">
        <v>1790</v>
      </c>
      <c r="H841" s="6" t="s">
        <v>3157</v>
      </c>
      <c r="I841" s="6">
        <v>1</v>
      </c>
      <c r="J841" s="6">
        <v>0</v>
      </c>
      <c r="K841" s="6">
        <v>0</v>
      </c>
      <c r="L841" s="6">
        <v>0</v>
      </c>
      <c r="M841" s="6">
        <v>0</v>
      </c>
      <c r="N841" s="6">
        <v>0</v>
      </c>
      <c r="O841" s="6">
        <v>0</v>
      </c>
    </row>
    <row r="842" spans="1:15">
      <c r="A842" s="6" t="s">
        <v>1786</v>
      </c>
      <c r="B842" s="6" t="s">
        <v>2821</v>
      </c>
      <c r="C842" s="6" t="s">
        <v>88</v>
      </c>
      <c r="D842" s="6" t="s">
        <v>3144</v>
      </c>
      <c r="E842" s="6" t="s">
        <v>3148</v>
      </c>
      <c r="F842" s="6" t="s">
        <v>2139</v>
      </c>
      <c r="G842" s="6" t="s">
        <v>1790</v>
      </c>
      <c r="H842" s="6" t="s">
        <v>3158</v>
      </c>
      <c r="I842" s="6">
        <v>4</v>
      </c>
      <c r="J842" s="6">
        <v>0</v>
      </c>
      <c r="K842" s="6">
        <v>0</v>
      </c>
      <c r="L842" s="6">
        <v>0</v>
      </c>
      <c r="M842" s="6">
        <v>0</v>
      </c>
      <c r="N842" s="6">
        <v>1</v>
      </c>
      <c r="O842" s="6">
        <v>0.5</v>
      </c>
    </row>
    <row r="843" spans="1:15">
      <c r="A843" s="6" t="s">
        <v>1786</v>
      </c>
      <c r="B843" s="6" t="s">
        <v>2821</v>
      </c>
      <c r="C843" s="6" t="s">
        <v>88</v>
      </c>
      <c r="D843" s="6" t="s">
        <v>3144</v>
      </c>
      <c r="E843" s="6" t="s">
        <v>3148</v>
      </c>
      <c r="F843" s="6" t="s">
        <v>3159</v>
      </c>
      <c r="G843" s="6" t="s">
        <v>1790</v>
      </c>
      <c r="H843" s="6" t="s">
        <v>3160</v>
      </c>
      <c r="I843" s="6">
        <v>1</v>
      </c>
      <c r="J843" s="6">
        <v>0</v>
      </c>
      <c r="K843" s="6">
        <v>0</v>
      </c>
      <c r="L843" s="6">
        <v>0</v>
      </c>
      <c r="M843" s="6">
        <v>0</v>
      </c>
      <c r="N843" s="6">
        <v>1</v>
      </c>
      <c r="O843" s="6">
        <v>1</v>
      </c>
    </row>
    <row r="844" spans="1:15">
      <c r="A844" s="6" t="s">
        <v>1786</v>
      </c>
      <c r="B844" s="6" t="s">
        <v>2821</v>
      </c>
      <c r="C844" s="6" t="s">
        <v>88</v>
      </c>
      <c r="D844" s="6" t="s">
        <v>3144</v>
      </c>
      <c r="E844" s="6" t="s">
        <v>3148</v>
      </c>
      <c r="F844" s="6" t="s">
        <v>3161</v>
      </c>
      <c r="G844" s="6" t="s">
        <v>1790</v>
      </c>
      <c r="H844" s="6" t="s">
        <v>3162</v>
      </c>
      <c r="I844" s="6">
        <v>4</v>
      </c>
      <c r="J844" s="6">
        <v>1</v>
      </c>
      <c r="K844" s="6">
        <v>0.25</v>
      </c>
      <c r="L844" s="6">
        <v>0.99</v>
      </c>
      <c r="M844" s="6">
        <v>0.99</v>
      </c>
      <c r="N844" s="6">
        <v>1</v>
      </c>
      <c r="O844" s="6">
        <v>1</v>
      </c>
    </row>
    <row r="845" spans="1:15">
      <c r="A845" s="6" t="s">
        <v>1786</v>
      </c>
      <c r="B845" s="6" t="s">
        <v>2821</v>
      </c>
      <c r="C845" s="6" t="s">
        <v>88</v>
      </c>
      <c r="D845" s="6" t="s">
        <v>2432</v>
      </c>
      <c r="E845" s="6" t="s">
        <v>2435</v>
      </c>
      <c r="F845" s="6" t="s">
        <v>3163</v>
      </c>
      <c r="G845" s="6" t="s">
        <v>1790</v>
      </c>
      <c r="H845" s="6" t="s">
        <v>3164</v>
      </c>
      <c r="I845" s="6">
        <v>1</v>
      </c>
      <c r="J845" s="6">
        <v>0</v>
      </c>
      <c r="K845" s="6">
        <v>0</v>
      </c>
      <c r="L845" s="6">
        <v>0</v>
      </c>
      <c r="M845" s="6">
        <v>0</v>
      </c>
      <c r="N845" s="6">
        <v>1</v>
      </c>
      <c r="O845" s="6">
        <v>0</v>
      </c>
    </row>
    <row r="846" spans="1:15">
      <c r="A846" s="6" t="s">
        <v>1786</v>
      </c>
      <c r="B846" s="6" t="s">
        <v>2821</v>
      </c>
      <c r="C846" s="6" t="s">
        <v>88</v>
      </c>
      <c r="D846" s="6" t="s">
        <v>2432</v>
      </c>
      <c r="E846" s="6" t="s">
        <v>2358</v>
      </c>
      <c r="F846" s="6" t="s">
        <v>2458</v>
      </c>
      <c r="G846" s="6" t="s">
        <v>1790</v>
      </c>
      <c r="H846" s="6" t="s">
        <v>2459</v>
      </c>
      <c r="I846" s="6">
        <v>1</v>
      </c>
      <c r="J846" s="6">
        <v>0</v>
      </c>
      <c r="K846" s="6">
        <v>0</v>
      </c>
      <c r="L846" s="6">
        <v>0</v>
      </c>
      <c r="M846" s="6">
        <v>0</v>
      </c>
      <c r="N846" s="6">
        <v>0</v>
      </c>
      <c r="O846" s="6">
        <v>0</v>
      </c>
    </row>
    <row r="847" spans="1:15">
      <c r="A847" s="6" t="s">
        <v>1786</v>
      </c>
      <c r="B847" s="6" t="s">
        <v>2821</v>
      </c>
      <c r="C847" s="6" t="s">
        <v>88</v>
      </c>
      <c r="D847" s="6" t="s">
        <v>2432</v>
      </c>
      <c r="E847" s="6" t="s">
        <v>2358</v>
      </c>
      <c r="F847" s="6" t="s">
        <v>2464</v>
      </c>
      <c r="G847" s="6" t="s">
        <v>1790</v>
      </c>
      <c r="H847" s="6" t="s">
        <v>2465</v>
      </c>
      <c r="I847" s="6">
        <v>1</v>
      </c>
      <c r="J847" s="6">
        <v>0</v>
      </c>
      <c r="K847" s="6">
        <v>0</v>
      </c>
      <c r="L847" s="6">
        <v>0</v>
      </c>
      <c r="M847" s="6">
        <v>0</v>
      </c>
      <c r="N847" s="6">
        <v>0</v>
      </c>
      <c r="O847" s="6">
        <v>0</v>
      </c>
    </row>
    <row r="848" spans="1:15">
      <c r="A848" s="6" t="s">
        <v>1786</v>
      </c>
      <c r="B848" s="6" t="s">
        <v>2821</v>
      </c>
      <c r="C848" s="6" t="s">
        <v>88</v>
      </c>
      <c r="D848" s="6" t="s">
        <v>2432</v>
      </c>
      <c r="E848" s="6" t="s">
        <v>2358</v>
      </c>
      <c r="F848" s="6" t="s">
        <v>2466</v>
      </c>
      <c r="G848" s="6" t="s">
        <v>1790</v>
      </c>
      <c r="H848" s="6" t="s">
        <v>2467</v>
      </c>
      <c r="I848" s="6">
        <v>1</v>
      </c>
      <c r="J848" s="6">
        <v>0</v>
      </c>
      <c r="K848" s="6">
        <v>0</v>
      </c>
      <c r="L848" s="6">
        <v>0</v>
      </c>
      <c r="M848" s="6">
        <v>0</v>
      </c>
      <c r="N848" s="6">
        <v>1</v>
      </c>
      <c r="O848" s="6">
        <v>1</v>
      </c>
    </row>
    <row r="849" spans="1:15">
      <c r="A849" s="6" t="s">
        <v>1786</v>
      </c>
      <c r="B849" s="6" t="s">
        <v>2821</v>
      </c>
      <c r="C849" s="6" t="s">
        <v>88</v>
      </c>
      <c r="D849" s="6" t="s">
        <v>2432</v>
      </c>
      <c r="E849" s="6" t="s">
        <v>2358</v>
      </c>
      <c r="F849" s="6" t="s">
        <v>2466</v>
      </c>
      <c r="G849" s="6" t="s">
        <v>1790</v>
      </c>
      <c r="H849" s="6" t="s">
        <v>2468</v>
      </c>
      <c r="I849" s="6">
        <v>1</v>
      </c>
      <c r="J849" s="6">
        <v>1</v>
      </c>
      <c r="K849" s="6">
        <v>1</v>
      </c>
      <c r="L849" s="6">
        <v>0.1</v>
      </c>
      <c r="M849" s="6">
        <v>0.1</v>
      </c>
      <c r="N849" s="6">
        <v>1</v>
      </c>
      <c r="O849" s="6">
        <v>1</v>
      </c>
    </row>
    <row r="850" spans="1:15">
      <c r="A850" s="6" t="s">
        <v>1786</v>
      </c>
      <c r="B850" s="6" t="s">
        <v>2821</v>
      </c>
      <c r="C850" s="6" t="s">
        <v>88</v>
      </c>
      <c r="D850" s="6" t="s">
        <v>2432</v>
      </c>
      <c r="E850" s="6" t="s">
        <v>2358</v>
      </c>
      <c r="F850" s="6" t="s">
        <v>2466</v>
      </c>
      <c r="G850" s="6" t="s">
        <v>1790</v>
      </c>
      <c r="H850" s="6" t="s">
        <v>2470</v>
      </c>
      <c r="I850" s="6">
        <v>1</v>
      </c>
      <c r="J850" s="6">
        <v>0</v>
      </c>
      <c r="K850" s="6">
        <v>0</v>
      </c>
      <c r="L850" s="6">
        <v>0</v>
      </c>
      <c r="M850" s="6">
        <v>0</v>
      </c>
      <c r="N850" s="6">
        <v>1</v>
      </c>
      <c r="O850" s="6">
        <v>1</v>
      </c>
    </row>
    <row r="851" spans="1:15">
      <c r="A851" s="6" t="s">
        <v>1786</v>
      </c>
      <c r="B851" s="6" t="s">
        <v>2821</v>
      </c>
      <c r="C851" s="6" t="s">
        <v>88</v>
      </c>
      <c r="D851" s="6" t="s">
        <v>2432</v>
      </c>
      <c r="E851" s="6" t="s">
        <v>2475</v>
      </c>
      <c r="G851" s="6" t="s">
        <v>1790</v>
      </c>
      <c r="H851" s="6" t="s">
        <v>3165</v>
      </c>
      <c r="I851" s="6">
        <v>2</v>
      </c>
      <c r="J851" s="6">
        <v>0</v>
      </c>
      <c r="K851" s="6">
        <v>0</v>
      </c>
      <c r="L851" s="6">
        <v>0</v>
      </c>
      <c r="M851" s="6">
        <v>0</v>
      </c>
      <c r="N851" s="6">
        <v>1</v>
      </c>
      <c r="O851" s="6">
        <v>1</v>
      </c>
    </row>
    <row r="852" spans="1:15">
      <c r="A852" s="6" t="s">
        <v>1786</v>
      </c>
      <c r="B852" s="6" t="s">
        <v>2821</v>
      </c>
      <c r="C852" s="6" t="s">
        <v>88</v>
      </c>
      <c r="D852" s="6" t="s">
        <v>2432</v>
      </c>
      <c r="E852" s="6" t="s">
        <v>2475</v>
      </c>
      <c r="F852" s="6" t="s">
        <v>3166</v>
      </c>
      <c r="G852" s="6" t="s">
        <v>1790</v>
      </c>
      <c r="H852" s="6" t="s">
        <v>3167</v>
      </c>
      <c r="I852" s="6">
        <v>1</v>
      </c>
      <c r="J852" s="6">
        <v>0</v>
      </c>
      <c r="K852" s="6">
        <v>0</v>
      </c>
      <c r="L852" s="6">
        <v>0</v>
      </c>
      <c r="M852" s="6">
        <v>0</v>
      </c>
      <c r="N852" s="6">
        <v>0</v>
      </c>
      <c r="O852" s="6">
        <v>0</v>
      </c>
    </row>
    <row r="853" spans="1:15">
      <c r="A853" s="6" t="s">
        <v>1786</v>
      </c>
      <c r="B853" s="6" t="s">
        <v>2821</v>
      </c>
      <c r="C853" s="6" t="s">
        <v>88</v>
      </c>
      <c r="D853" s="6" t="s">
        <v>2432</v>
      </c>
      <c r="E853" s="6" t="s">
        <v>2475</v>
      </c>
      <c r="F853" s="6" t="s">
        <v>2478</v>
      </c>
      <c r="G853" s="6" t="s">
        <v>1790</v>
      </c>
      <c r="H853" s="6" t="s">
        <v>3168</v>
      </c>
      <c r="I853" s="6">
        <v>1</v>
      </c>
      <c r="J853" s="6">
        <v>0</v>
      </c>
      <c r="K853" s="6">
        <v>0</v>
      </c>
      <c r="L853" s="6">
        <v>0</v>
      </c>
      <c r="M853" s="6">
        <v>0</v>
      </c>
      <c r="N853" s="6">
        <v>1</v>
      </c>
      <c r="O853" s="6">
        <v>1</v>
      </c>
    </row>
    <row r="854" spans="1:15">
      <c r="A854" s="6" t="s">
        <v>1786</v>
      </c>
      <c r="B854" s="6" t="s">
        <v>2821</v>
      </c>
      <c r="C854" s="6" t="s">
        <v>88</v>
      </c>
      <c r="D854" s="6" t="s">
        <v>2432</v>
      </c>
      <c r="E854" s="6" t="s">
        <v>2475</v>
      </c>
      <c r="F854" s="6" t="s">
        <v>2478</v>
      </c>
      <c r="G854" s="6" t="s">
        <v>1790</v>
      </c>
      <c r="H854" s="6" t="s">
        <v>3169</v>
      </c>
      <c r="I854" s="6">
        <v>2</v>
      </c>
      <c r="J854" s="6">
        <v>1</v>
      </c>
      <c r="K854" s="6">
        <v>0.5</v>
      </c>
      <c r="L854" s="6">
        <v>0.82</v>
      </c>
      <c r="M854" s="6">
        <v>0.82</v>
      </c>
      <c r="N854" s="6">
        <v>1</v>
      </c>
      <c r="O854" s="6">
        <v>1</v>
      </c>
    </row>
    <row r="855" spans="1:15">
      <c r="A855" s="6" t="s">
        <v>1786</v>
      </c>
      <c r="B855" s="6" t="s">
        <v>2821</v>
      </c>
      <c r="C855" s="6" t="s">
        <v>88</v>
      </c>
      <c r="D855" s="6" t="s">
        <v>2432</v>
      </c>
      <c r="E855" s="6" t="s">
        <v>2484</v>
      </c>
      <c r="F855" s="6" t="s">
        <v>3170</v>
      </c>
      <c r="G855" s="6" t="s">
        <v>1790</v>
      </c>
      <c r="H855" s="6" t="s">
        <v>3171</v>
      </c>
      <c r="I855" s="6">
        <v>2</v>
      </c>
      <c r="J855" s="6">
        <v>1</v>
      </c>
      <c r="K855" s="6">
        <v>0.5</v>
      </c>
      <c r="L855" s="6">
        <v>0.69</v>
      </c>
      <c r="M855" s="6">
        <v>0.69</v>
      </c>
      <c r="N855" s="6">
        <v>1</v>
      </c>
      <c r="O855" s="6">
        <v>1</v>
      </c>
    </row>
    <row r="856" spans="1:15">
      <c r="A856" s="6" t="s">
        <v>1786</v>
      </c>
      <c r="B856" s="6" t="s">
        <v>2821</v>
      </c>
      <c r="C856" s="6" t="s">
        <v>88</v>
      </c>
      <c r="D856" s="6" t="s">
        <v>2497</v>
      </c>
      <c r="E856" s="6" t="s">
        <v>2233</v>
      </c>
      <c r="G856" s="6" t="s">
        <v>1790</v>
      </c>
      <c r="H856" s="6" t="s">
        <v>3172</v>
      </c>
      <c r="I856" s="6">
        <v>1</v>
      </c>
      <c r="J856" s="6">
        <v>0</v>
      </c>
      <c r="K856" s="6">
        <v>0</v>
      </c>
      <c r="L856" s="6">
        <v>0</v>
      </c>
      <c r="M856" s="6">
        <v>0</v>
      </c>
      <c r="N856" s="6">
        <v>1</v>
      </c>
      <c r="O856" s="6">
        <v>1</v>
      </c>
    </row>
    <row r="857" spans="1:15">
      <c r="A857" s="6" t="s">
        <v>1786</v>
      </c>
      <c r="B857" s="6" t="s">
        <v>2821</v>
      </c>
      <c r="C857" s="6" t="s">
        <v>88</v>
      </c>
      <c r="D857" s="6" t="s">
        <v>2497</v>
      </c>
      <c r="E857" s="6" t="s">
        <v>2233</v>
      </c>
      <c r="F857" s="6" t="s">
        <v>3173</v>
      </c>
      <c r="G857" s="6" t="s">
        <v>1790</v>
      </c>
      <c r="H857" s="6" t="s">
        <v>3174</v>
      </c>
      <c r="I857" s="6">
        <v>1</v>
      </c>
      <c r="J857" s="6">
        <v>0</v>
      </c>
      <c r="K857" s="6">
        <v>0</v>
      </c>
      <c r="L857" s="6">
        <v>0</v>
      </c>
      <c r="M857" s="6">
        <v>0</v>
      </c>
      <c r="N857" s="6">
        <v>0</v>
      </c>
      <c r="O857" s="6">
        <v>0</v>
      </c>
    </row>
    <row r="858" spans="1:15">
      <c r="A858" s="6" t="s">
        <v>1786</v>
      </c>
      <c r="B858" s="6" t="s">
        <v>2821</v>
      </c>
      <c r="C858" s="6" t="s">
        <v>88</v>
      </c>
      <c r="D858" s="6" t="s">
        <v>3175</v>
      </c>
      <c r="E858" s="6" t="s">
        <v>3176</v>
      </c>
      <c r="F858" s="6" t="s">
        <v>3177</v>
      </c>
      <c r="G858" s="6" t="s">
        <v>1790</v>
      </c>
      <c r="H858" s="6" t="s">
        <v>3178</v>
      </c>
      <c r="I858" s="6">
        <v>2</v>
      </c>
      <c r="J858" s="6">
        <v>0</v>
      </c>
      <c r="K858" s="6">
        <v>0</v>
      </c>
      <c r="L858" s="6">
        <v>0</v>
      </c>
      <c r="M858" s="6">
        <v>0</v>
      </c>
      <c r="N858" s="6">
        <v>1</v>
      </c>
      <c r="O858" s="6">
        <v>1</v>
      </c>
    </row>
    <row r="859" spans="1:15">
      <c r="A859" s="6" t="s">
        <v>1786</v>
      </c>
      <c r="B859" s="6" t="s">
        <v>2821</v>
      </c>
      <c r="C859" s="6" t="s">
        <v>88</v>
      </c>
      <c r="D859" s="6" t="s">
        <v>3175</v>
      </c>
      <c r="E859" s="6" t="s">
        <v>3176</v>
      </c>
      <c r="F859" s="6" t="s">
        <v>3177</v>
      </c>
      <c r="G859" s="6" t="s">
        <v>1790</v>
      </c>
      <c r="H859" s="6" t="s">
        <v>3179</v>
      </c>
      <c r="I859" s="6">
        <v>1</v>
      </c>
      <c r="J859" s="6">
        <v>0</v>
      </c>
      <c r="K859" s="6">
        <v>0</v>
      </c>
      <c r="L859" s="6">
        <v>0</v>
      </c>
      <c r="M859" s="6">
        <v>0</v>
      </c>
      <c r="N859" s="6">
        <v>0</v>
      </c>
      <c r="O859" s="6">
        <v>0</v>
      </c>
    </row>
    <row r="860" spans="1:15">
      <c r="A860" s="6" t="s">
        <v>1786</v>
      </c>
      <c r="B860" s="6" t="s">
        <v>2821</v>
      </c>
      <c r="C860" s="6" t="s">
        <v>88</v>
      </c>
      <c r="D860" s="6" t="s">
        <v>3175</v>
      </c>
      <c r="E860" s="6" t="s">
        <v>3180</v>
      </c>
      <c r="F860" s="6" t="s">
        <v>3181</v>
      </c>
      <c r="G860" s="6" t="s">
        <v>1790</v>
      </c>
      <c r="H860" s="6" t="s">
        <v>3182</v>
      </c>
      <c r="I860" s="6">
        <v>1</v>
      </c>
      <c r="J860" s="6">
        <v>0</v>
      </c>
      <c r="K860" s="6">
        <v>0</v>
      </c>
      <c r="L860" s="6">
        <v>0</v>
      </c>
      <c r="M860" s="6">
        <v>0</v>
      </c>
      <c r="N860" s="6">
        <v>1</v>
      </c>
      <c r="O860" s="6">
        <v>0</v>
      </c>
    </row>
    <row r="861" spans="1:15">
      <c r="A861" s="6" t="s">
        <v>1786</v>
      </c>
      <c r="B861" s="6" t="s">
        <v>2821</v>
      </c>
      <c r="C861" s="6" t="s">
        <v>88</v>
      </c>
      <c r="D861" s="6" t="s">
        <v>3175</v>
      </c>
      <c r="E861" s="6" t="s">
        <v>3180</v>
      </c>
      <c r="F861" s="6" t="s">
        <v>3183</v>
      </c>
      <c r="G861" s="6" t="s">
        <v>1790</v>
      </c>
      <c r="H861" s="6" t="s">
        <v>3184</v>
      </c>
      <c r="I861" s="6">
        <v>4</v>
      </c>
      <c r="J861" s="6">
        <v>0</v>
      </c>
      <c r="K861" s="6">
        <v>0</v>
      </c>
      <c r="L861" s="6">
        <v>0</v>
      </c>
      <c r="M861" s="6">
        <v>0</v>
      </c>
      <c r="N861" s="6">
        <v>1</v>
      </c>
      <c r="O861" s="6">
        <v>1</v>
      </c>
    </row>
    <row r="862" spans="1:15">
      <c r="A862" s="6" t="s">
        <v>1786</v>
      </c>
      <c r="B862" s="6" t="s">
        <v>2821</v>
      </c>
      <c r="C862" s="6" t="s">
        <v>88</v>
      </c>
      <c r="D862" s="6" t="s">
        <v>3175</v>
      </c>
      <c r="E862" s="6" t="s">
        <v>3185</v>
      </c>
      <c r="F862" s="6" t="s">
        <v>3186</v>
      </c>
      <c r="G862" s="6" t="s">
        <v>1790</v>
      </c>
      <c r="H862" s="6" t="s">
        <v>3187</v>
      </c>
      <c r="I862" s="6">
        <v>2</v>
      </c>
      <c r="J862" s="6">
        <v>0</v>
      </c>
      <c r="K862" s="6">
        <v>0</v>
      </c>
      <c r="L862" s="6">
        <v>0</v>
      </c>
      <c r="M862" s="6">
        <v>0</v>
      </c>
      <c r="N862" s="6">
        <v>1</v>
      </c>
      <c r="O862" s="6">
        <v>1</v>
      </c>
    </row>
    <row r="863" spans="1:15">
      <c r="A863" s="6" t="s">
        <v>1786</v>
      </c>
      <c r="B863" s="6" t="s">
        <v>2821</v>
      </c>
      <c r="C863" s="6" t="s">
        <v>88</v>
      </c>
      <c r="D863" s="6" t="s">
        <v>3188</v>
      </c>
      <c r="E863" s="6" t="s">
        <v>3189</v>
      </c>
      <c r="F863" s="6" t="s">
        <v>3190</v>
      </c>
      <c r="G863" s="6" t="s">
        <v>1790</v>
      </c>
      <c r="H863" s="6" t="s">
        <v>3191</v>
      </c>
      <c r="I863" s="6">
        <v>1</v>
      </c>
      <c r="J863" s="6">
        <v>0</v>
      </c>
      <c r="K863" s="6">
        <v>0</v>
      </c>
      <c r="L863" s="6">
        <v>0</v>
      </c>
      <c r="M863" s="6">
        <v>0</v>
      </c>
      <c r="N863" s="6">
        <v>1</v>
      </c>
      <c r="O863" s="6">
        <v>1</v>
      </c>
    </row>
    <row r="864" spans="1:15">
      <c r="A864" s="6" t="s">
        <v>1786</v>
      </c>
      <c r="B864" s="6" t="s">
        <v>2821</v>
      </c>
      <c r="C864" s="6" t="s">
        <v>88</v>
      </c>
      <c r="D864" s="6" t="s">
        <v>3188</v>
      </c>
      <c r="E864" s="6" t="s">
        <v>3189</v>
      </c>
      <c r="F864" s="6" t="s">
        <v>3192</v>
      </c>
      <c r="G864" s="6" t="s">
        <v>1790</v>
      </c>
      <c r="H864" s="6" t="s">
        <v>3193</v>
      </c>
      <c r="I864" s="6">
        <v>1</v>
      </c>
      <c r="J864" s="6">
        <v>0</v>
      </c>
      <c r="K864" s="6">
        <v>0</v>
      </c>
      <c r="L864" s="6">
        <v>0</v>
      </c>
      <c r="M864" s="6">
        <v>0</v>
      </c>
      <c r="N864" s="6">
        <v>1</v>
      </c>
      <c r="O864" s="6">
        <v>1</v>
      </c>
    </row>
    <row r="865" spans="1:15">
      <c r="A865" s="6" t="s">
        <v>1786</v>
      </c>
      <c r="B865" s="6" t="s">
        <v>2821</v>
      </c>
      <c r="C865" s="6" t="s">
        <v>88</v>
      </c>
      <c r="D865" s="6" t="s">
        <v>3194</v>
      </c>
      <c r="E865" s="6" t="s">
        <v>2998</v>
      </c>
      <c r="F865" s="6" t="s">
        <v>3195</v>
      </c>
      <c r="G865" s="6" t="s">
        <v>1790</v>
      </c>
      <c r="H865" s="6" t="s">
        <v>3196</v>
      </c>
      <c r="I865" s="6">
        <v>1</v>
      </c>
      <c r="J865" s="6">
        <v>0</v>
      </c>
      <c r="K865" s="6">
        <v>0</v>
      </c>
      <c r="L865" s="6">
        <v>0</v>
      </c>
      <c r="M865" s="6">
        <v>0</v>
      </c>
      <c r="N865" s="6">
        <v>1</v>
      </c>
      <c r="O865" s="6">
        <v>1</v>
      </c>
    </row>
    <row r="866" spans="1:15">
      <c r="A866" s="6" t="s">
        <v>1786</v>
      </c>
      <c r="B866" s="6" t="s">
        <v>2821</v>
      </c>
      <c r="C866" s="6" t="s">
        <v>88</v>
      </c>
      <c r="D866" s="6" t="s">
        <v>3194</v>
      </c>
      <c r="E866" s="6" t="s">
        <v>3197</v>
      </c>
      <c r="F866" s="6" t="s">
        <v>3198</v>
      </c>
      <c r="G866" s="6" t="s">
        <v>1790</v>
      </c>
      <c r="H866" s="6" t="s">
        <v>3199</v>
      </c>
      <c r="I866" s="6">
        <v>2</v>
      </c>
      <c r="J866" s="6">
        <v>1</v>
      </c>
      <c r="K866" s="6">
        <v>0.5</v>
      </c>
      <c r="L866" s="6">
        <v>0.97</v>
      </c>
      <c r="M866" s="6">
        <v>0.97</v>
      </c>
      <c r="N866" s="6">
        <v>1</v>
      </c>
      <c r="O866" s="6">
        <v>0</v>
      </c>
    </row>
    <row r="867" spans="1:15">
      <c r="A867" s="6" t="s">
        <v>1786</v>
      </c>
      <c r="B867" s="6" t="s">
        <v>2821</v>
      </c>
      <c r="C867" s="6" t="s">
        <v>88</v>
      </c>
      <c r="D867" s="6" t="s">
        <v>3194</v>
      </c>
      <c r="E867" s="6" t="s">
        <v>3200</v>
      </c>
      <c r="F867" s="6" t="s">
        <v>3201</v>
      </c>
      <c r="G867" s="6" t="s">
        <v>1790</v>
      </c>
      <c r="H867" s="6" t="s">
        <v>3202</v>
      </c>
      <c r="I867" s="6">
        <v>2</v>
      </c>
      <c r="J867" s="6">
        <v>0</v>
      </c>
      <c r="K867" s="6">
        <v>0</v>
      </c>
      <c r="L867" s="6">
        <v>0</v>
      </c>
      <c r="M867" s="6">
        <v>0</v>
      </c>
      <c r="N867" s="6">
        <v>0</v>
      </c>
      <c r="O867" s="6">
        <v>0</v>
      </c>
    </row>
    <row r="868" spans="1:15">
      <c r="A868" s="6" t="s">
        <v>1786</v>
      </c>
      <c r="B868" s="6" t="s">
        <v>2821</v>
      </c>
      <c r="C868" s="6" t="s">
        <v>88</v>
      </c>
      <c r="D868" s="6" t="s">
        <v>2501</v>
      </c>
      <c r="E868" s="6" t="s">
        <v>2502</v>
      </c>
      <c r="F868" s="6" t="s">
        <v>2503</v>
      </c>
      <c r="G868" s="6" t="s">
        <v>1790</v>
      </c>
      <c r="H868" s="6" t="s">
        <v>3203</v>
      </c>
      <c r="I868" s="6">
        <v>1</v>
      </c>
      <c r="J868" s="6">
        <v>0</v>
      </c>
      <c r="K868" s="6">
        <v>0</v>
      </c>
      <c r="L868" s="6">
        <v>0</v>
      </c>
      <c r="M868" s="6">
        <v>0</v>
      </c>
      <c r="N868" s="6">
        <v>1</v>
      </c>
      <c r="O868" s="6">
        <v>1</v>
      </c>
    </row>
    <row r="869" spans="1:15">
      <c r="A869" s="6" t="s">
        <v>1786</v>
      </c>
      <c r="B869" s="6" t="s">
        <v>2821</v>
      </c>
      <c r="C869" s="6" t="s">
        <v>88</v>
      </c>
      <c r="D869" s="6" t="s">
        <v>2501</v>
      </c>
      <c r="E869" s="6" t="s">
        <v>2502</v>
      </c>
      <c r="F869" s="6" t="s">
        <v>2503</v>
      </c>
      <c r="G869" s="6" t="s">
        <v>1790</v>
      </c>
      <c r="H869" s="6" t="s">
        <v>3204</v>
      </c>
      <c r="I869" s="6">
        <v>1</v>
      </c>
      <c r="J869" s="6">
        <v>0</v>
      </c>
      <c r="K869" s="6">
        <v>0</v>
      </c>
      <c r="L869" s="6">
        <v>0</v>
      </c>
      <c r="M869" s="6">
        <v>0</v>
      </c>
      <c r="N869" s="6">
        <v>0</v>
      </c>
      <c r="O869" s="6">
        <v>0</v>
      </c>
    </row>
    <row r="870" spans="1:15">
      <c r="A870" s="6" t="s">
        <v>1786</v>
      </c>
      <c r="B870" s="6" t="s">
        <v>2821</v>
      </c>
      <c r="C870" s="6" t="s">
        <v>88</v>
      </c>
      <c r="D870" s="6" t="s">
        <v>2501</v>
      </c>
      <c r="E870" s="6" t="s">
        <v>2502</v>
      </c>
      <c r="F870" s="6" t="s">
        <v>2503</v>
      </c>
      <c r="G870" s="6" t="s">
        <v>1790</v>
      </c>
      <c r="H870" s="6" t="s">
        <v>3205</v>
      </c>
      <c r="I870" s="6">
        <v>2</v>
      </c>
      <c r="J870" s="6">
        <v>1</v>
      </c>
      <c r="K870" s="6">
        <v>0.5</v>
      </c>
      <c r="L870" s="6">
        <v>0.81</v>
      </c>
      <c r="M870" s="6">
        <v>0.81</v>
      </c>
      <c r="N870" s="6">
        <v>1</v>
      </c>
      <c r="O870" s="6">
        <v>1</v>
      </c>
    </row>
    <row r="871" spans="1:15">
      <c r="A871" s="6" t="s">
        <v>1786</v>
      </c>
      <c r="B871" s="6" t="s">
        <v>2821</v>
      </c>
      <c r="C871" s="6" t="s">
        <v>88</v>
      </c>
      <c r="D871" s="6" t="s">
        <v>2501</v>
      </c>
      <c r="E871" s="6" t="s">
        <v>2502</v>
      </c>
      <c r="F871" s="6" t="s">
        <v>2503</v>
      </c>
      <c r="G871" s="6" t="s">
        <v>1790</v>
      </c>
      <c r="H871" s="6" t="s">
        <v>3206</v>
      </c>
      <c r="I871" s="6">
        <v>1</v>
      </c>
      <c r="J871" s="6">
        <v>0</v>
      </c>
      <c r="K871" s="6">
        <v>0</v>
      </c>
      <c r="L871" s="6">
        <v>0</v>
      </c>
      <c r="M871" s="6">
        <v>0</v>
      </c>
      <c r="N871" s="6">
        <v>1</v>
      </c>
      <c r="O871" s="6">
        <v>1</v>
      </c>
    </row>
    <row r="872" spans="1:15">
      <c r="A872" s="6" t="s">
        <v>1786</v>
      </c>
      <c r="B872" s="6" t="s">
        <v>2821</v>
      </c>
      <c r="C872" s="6" t="s">
        <v>88</v>
      </c>
      <c r="D872" s="6" t="s">
        <v>2501</v>
      </c>
      <c r="E872" s="6" t="s">
        <v>2508</v>
      </c>
      <c r="F872" s="6" t="s">
        <v>2181</v>
      </c>
      <c r="G872" s="6" t="s">
        <v>1790</v>
      </c>
      <c r="H872" s="6" t="s">
        <v>2181</v>
      </c>
      <c r="I872" s="6">
        <v>2</v>
      </c>
      <c r="J872" s="6">
        <v>0</v>
      </c>
      <c r="K872" s="6">
        <v>0</v>
      </c>
      <c r="L872" s="6">
        <v>0</v>
      </c>
      <c r="M872" s="6">
        <v>0</v>
      </c>
      <c r="N872" s="6">
        <v>1</v>
      </c>
      <c r="O872" s="6">
        <v>0</v>
      </c>
    </row>
    <row r="873" spans="1:15">
      <c r="A873" s="6" t="s">
        <v>1786</v>
      </c>
      <c r="B873" s="6" t="s">
        <v>2821</v>
      </c>
      <c r="C873" s="6" t="s">
        <v>88</v>
      </c>
      <c r="D873" s="6" t="s">
        <v>2501</v>
      </c>
      <c r="E873" s="6" t="s">
        <v>2508</v>
      </c>
      <c r="F873" s="6" t="s">
        <v>3207</v>
      </c>
      <c r="G873" s="6" t="s">
        <v>1790</v>
      </c>
      <c r="H873" s="6" t="s">
        <v>3208</v>
      </c>
      <c r="I873" s="6">
        <v>1</v>
      </c>
      <c r="J873" s="6">
        <v>0</v>
      </c>
      <c r="K873" s="6">
        <v>0</v>
      </c>
      <c r="L873" s="6">
        <v>0</v>
      </c>
      <c r="M873" s="6">
        <v>0</v>
      </c>
      <c r="N873" s="6">
        <v>1</v>
      </c>
      <c r="O873" s="6">
        <v>1</v>
      </c>
    </row>
    <row r="874" spans="1:15">
      <c r="A874" s="6" t="s">
        <v>1786</v>
      </c>
      <c r="B874" s="6" t="s">
        <v>2821</v>
      </c>
      <c r="C874" s="6" t="s">
        <v>88</v>
      </c>
      <c r="D874" s="6" t="s">
        <v>2501</v>
      </c>
      <c r="E874" s="6" t="s">
        <v>2508</v>
      </c>
      <c r="F874" s="6" t="s">
        <v>2509</v>
      </c>
      <c r="G874" s="6" t="s">
        <v>1790</v>
      </c>
      <c r="H874" s="6" t="s">
        <v>3209</v>
      </c>
      <c r="I874" s="6">
        <v>1</v>
      </c>
      <c r="J874" s="6">
        <v>0</v>
      </c>
      <c r="K874" s="6">
        <v>0</v>
      </c>
      <c r="L874" s="6">
        <v>0</v>
      </c>
      <c r="M874" s="6">
        <v>0</v>
      </c>
      <c r="N874" s="6">
        <v>1</v>
      </c>
      <c r="O874" s="6">
        <v>1</v>
      </c>
    </row>
    <row r="875" spans="1:15">
      <c r="A875" s="6" t="s">
        <v>1786</v>
      </c>
      <c r="B875" s="6" t="s">
        <v>2821</v>
      </c>
      <c r="C875" s="6" t="s">
        <v>88</v>
      </c>
      <c r="D875" s="6" t="s">
        <v>2501</v>
      </c>
      <c r="E875" s="6" t="s">
        <v>2508</v>
      </c>
      <c r="F875" s="6" t="s">
        <v>2509</v>
      </c>
      <c r="G875" s="6" t="s">
        <v>1790</v>
      </c>
      <c r="H875" s="6" t="s">
        <v>2512</v>
      </c>
      <c r="I875" s="6">
        <v>1</v>
      </c>
      <c r="J875" s="6">
        <v>1</v>
      </c>
      <c r="K875" s="6">
        <v>1</v>
      </c>
      <c r="L875" s="6">
        <v>0.43</v>
      </c>
      <c r="M875" s="6">
        <v>0.43</v>
      </c>
      <c r="N875" s="6">
        <v>1</v>
      </c>
      <c r="O875" s="6">
        <v>0</v>
      </c>
    </row>
    <row r="876" spans="1:15">
      <c r="A876" s="6" t="s">
        <v>1786</v>
      </c>
      <c r="B876" s="6" t="s">
        <v>2821</v>
      </c>
      <c r="C876" s="6" t="s">
        <v>88</v>
      </c>
      <c r="D876" s="6" t="s">
        <v>2501</v>
      </c>
      <c r="E876" s="6" t="s">
        <v>2508</v>
      </c>
      <c r="F876" s="6" t="s">
        <v>2509</v>
      </c>
      <c r="G876" s="6" t="s">
        <v>1790</v>
      </c>
      <c r="H876" s="6" t="s">
        <v>2509</v>
      </c>
      <c r="I876" s="6">
        <v>2</v>
      </c>
      <c r="J876" s="6">
        <v>0</v>
      </c>
      <c r="K876" s="6">
        <v>0</v>
      </c>
      <c r="L876" s="6">
        <v>0</v>
      </c>
      <c r="M876" s="6">
        <v>0</v>
      </c>
      <c r="N876" s="6">
        <v>0</v>
      </c>
      <c r="O876" s="6">
        <v>0</v>
      </c>
    </row>
    <row r="877" spans="1:15">
      <c r="A877" s="6" t="s">
        <v>1786</v>
      </c>
      <c r="B877" s="6" t="s">
        <v>2821</v>
      </c>
      <c r="C877" s="6" t="s">
        <v>88</v>
      </c>
      <c r="D877" s="6" t="s">
        <v>2501</v>
      </c>
      <c r="E877" s="6" t="s">
        <v>2508</v>
      </c>
      <c r="F877" s="6" t="s">
        <v>2524</v>
      </c>
      <c r="G877" s="6" t="s">
        <v>1790</v>
      </c>
      <c r="H877" s="6" t="s">
        <v>2524</v>
      </c>
      <c r="I877" s="6">
        <v>2</v>
      </c>
      <c r="J877" s="6">
        <v>0</v>
      </c>
      <c r="K877" s="6">
        <v>0</v>
      </c>
      <c r="L877" s="6">
        <v>0</v>
      </c>
      <c r="M877" s="6">
        <v>0</v>
      </c>
      <c r="N877" s="6">
        <v>1</v>
      </c>
      <c r="O877" s="6">
        <v>1</v>
      </c>
    </row>
    <row r="878" spans="1:15">
      <c r="A878" s="6" t="s">
        <v>1786</v>
      </c>
      <c r="B878" s="6" t="s">
        <v>2821</v>
      </c>
      <c r="C878" s="6" t="s">
        <v>88</v>
      </c>
      <c r="D878" s="6" t="s">
        <v>2501</v>
      </c>
      <c r="E878" s="6" t="s">
        <v>2508</v>
      </c>
      <c r="F878" s="6" t="s">
        <v>3210</v>
      </c>
      <c r="G878" s="6" t="s">
        <v>1790</v>
      </c>
      <c r="H878" s="6" t="s">
        <v>3211</v>
      </c>
      <c r="I878" s="6">
        <v>1</v>
      </c>
      <c r="J878" s="6">
        <v>0</v>
      </c>
      <c r="K878" s="6">
        <v>0</v>
      </c>
      <c r="L878" s="6">
        <v>0</v>
      </c>
      <c r="M878" s="6">
        <v>0</v>
      </c>
      <c r="N878" s="6">
        <v>0</v>
      </c>
      <c r="O878" s="6">
        <v>0</v>
      </c>
    </row>
    <row r="879" spans="1:15">
      <c r="A879" s="6" t="s">
        <v>1786</v>
      </c>
      <c r="B879" s="6" t="s">
        <v>2821</v>
      </c>
      <c r="C879" s="6" t="s">
        <v>88</v>
      </c>
      <c r="D879" s="6" t="s">
        <v>2501</v>
      </c>
      <c r="E879" s="6" t="s">
        <v>2508</v>
      </c>
      <c r="F879" s="6" t="s">
        <v>3210</v>
      </c>
      <c r="G879" s="6" t="s">
        <v>1790</v>
      </c>
      <c r="H879" s="6" t="s">
        <v>3212</v>
      </c>
      <c r="I879" s="6">
        <v>2</v>
      </c>
      <c r="J879" s="6">
        <v>0</v>
      </c>
      <c r="K879" s="6">
        <v>0</v>
      </c>
      <c r="L879" s="6">
        <v>0</v>
      </c>
      <c r="M879" s="6">
        <v>0</v>
      </c>
      <c r="N879" s="6">
        <v>1</v>
      </c>
      <c r="O879" s="6">
        <v>0</v>
      </c>
    </row>
    <row r="880" spans="1:15">
      <c r="A880" s="6" t="s">
        <v>1786</v>
      </c>
      <c r="B880" s="6" t="s">
        <v>2821</v>
      </c>
      <c r="C880" s="6" t="s">
        <v>88</v>
      </c>
      <c r="D880" s="6" t="s">
        <v>2501</v>
      </c>
      <c r="E880" s="6" t="s">
        <v>3213</v>
      </c>
      <c r="F880" s="6" t="s">
        <v>3214</v>
      </c>
      <c r="G880" s="6" t="s">
        <v>1790</v>
      </c>
      <c r="H880" s="6" t="s">
        <v>3215</v>
      </c>
      <c r="I880" s="6">
        <v>2</v>
      </c>
      <c r="J880" s="6">
        <v>0</v>
      </c>
      <c r="K880" s="6">
        <v>0</v>
      </c>
      <c r="L880" s="6">
        <v>0</v>
      </c>
      <c r="M880" s="6">
        <v>0</v>
      </c>
      <c r="N880" s="6">
        <v>1</v>
      </c>
      <c r="O880" s="6">
        <v>1</v>
      </c>
    </row>
    <row r="881" spans="1:15">
      <c r="A881" s="6" t="s">
        <v>1786</v>
      </c>
      <c r="B881" s="6" t="s">
        <v>2821</v>
      </c>
      <c r="C881" s="6" t="s">
        <v>88</v>
      </c>
      <c r="D881" s="6" t="s">
        <v>3216</v>
      </c>
      <c r="E881" s="6" t="s">
        <v>3217</v>
      </c>
      <c r="F881" s="6" t="s">
        <v>3218</v>
      </c>
      <c r="G881" s="6" t="s">
        <v>1790</v>
      </c>
      <c r="H881" s="6" t="s">
        <v>3218</v>
      </c>
      <c r="I881" s="6">
        <v>2</v>
      </c>
      <c r="J881" s="6">
        <v>0</v>
      </c>
      <c r="K881" s="6">
        <v>0</v>
      </c>
      <c r="L881" s="6">
        <v>0</v>
      </c>
      <c r="M881" s="6">
        <v>0</v>
      </c>
      <c r="N881" s="6">
        <v>1</v>
      </c>
      <c r="O881" s="6">
        <v>0</v>
      </c>
    </row>
    <row r="882" spans="1:15">
      <c r="A882" s="6" t="s">
        <v>1786</v>
      </c>
      <c r="B882" s="6" t="s">
        <v>2821</v>
      </c>
      <c r="C882" s="6" t="s">
        <v>88</v>
      </c>
      <c r="D882" s="6" t="s">
        <v>3216</v>
      </c>
      <c r="E882" s="6" t="s">
        <v>3217</v>
      </c>
      <c r="F882" s="6" t="s">
        <v>3219</v>
      </c>
      <c r="G882" s="6" t="s">
        <v>1790</v>
      </c>
      <c r="H882" s="6" t="s">
        <v>3220</v>
      </c>
      <c r="I882" s="6">
        <v>3</v>
      </c>
      <c r="J882" s="6">
        <v>0</v>
      </c>
      <c r="K882" s="6">
        <v>0</v>
      </c>
      <c r="L882" s="6">
        <v>0</v>
      </c>
      <c r="M882" s="6">
        <v>0</v>
      </c>
      <c r="N882" s="6">
        <v>1</v>
      </c>
      <c r="O882" s="6">
        <v>1</v>
      </c>
    </row>
    <row r="883" spans="1:15">
      <c r="A883" s="6" t="s">
        <v>1786</v>
      </c>
      <c r="B883" s="6" t="s">
        <v>2821</v>
      </c>
      <c r="C883" s="6" t="s">
        <v>88</v>
      </c>
      <c r="D883" s="6" t="s">
        <v>3216</v>
      </c>
      <c r="E883" s="6" t="s">
        <v>3217</v>
      </c>
      <c r="F883" s="6" t="s">
        <v>3221</v>
      </c>
      <c r="G883" s="6" t="s">
        <v>1790</v>
      </c>
      <c r="H883" s="6" t="s">
        <v>3222</v>
      </c>
      <c r="I883" s="6">
        <v>1</v>
      </c>
      <c r="J883" s="6">
        <v>0</v>
      </c>
      <c r="K883" s="6">
        <v>0</v>
      </c>
      <c r="L883" s="6">
        <v>0</v>
      </c>
      <c r="M883" s="6">
        <v>0</v>
      </c>
      <c r="N883" s="6">
        <v>0</v>
      </c>
      <c r="O883" s="6">
        <v>0</v>
      </c>
    </row>
    <row r="884" spans="1:15">
      <c r="A884" s="6" t="s">
        <v>1786</v>
      </c>
      <c r="B884" s="6" t="s">
        <v>2821</v>
      </c>
      <c r="C884" s="6" t="s">
        <v>88</v>
      </c>
      <c r="D884" s="6" t="s">
        <v>2561</v>
      </c>
      <c r="E884" s="6" t="s">
        <v>2564</v>
      </c>
      <c r="G884" s="6" t="s">
        <v>1790</v>
      </c>
      <c r="H884" s="6" t="s">
        <v>3223</v>
      </c>
      <c r="I884" s="6">
        <v>1</v>
      </c>
      <c r="J884" s="6">
        <v>0</v>
      </c>
      <c r="K884" s="6">
        <v>0</v>
      </c>
      <c r="L884" s="6">
        <v>0</v>
      </c>
      <c r="M884" s="6">
        <v>0</v>
      </c>
      <c r="N884" s="6">
        <v>1</v>
      </c>
      <c r="O884" s="6">
        <v>1</v>
      </c>
    </row>
    <row r="885" spans="1:15">
      <c r="A885" s="6" t="s">
        <v>1786</v>
      </c>
      <c r="B885" s="6" t="s">
        <v>2821</v>
      </c>
      <c r="C885" s="6" t="s">
        <v>88</v>
      </c>
      <c r="D885" s="6" t="s">
        <v>2561</v>
      </c>
      <c r="E885" s="6" t="s">
        <v>2564</v>
      </c>
      <c r="F885" s="6" t="s">
        <v>3224</v>
      </c>
      <c r="G885" s="6" t="s">
        <v>1790</v>
      </c>
      <c r="H885" s="6" t="s">
        <v>3225</v>
      </c>
      <c r="I885" s="6">
        <v>1</v>
      </c>
      <c r="J885" s="6">
        <v>0</v>
      </c>
      <c r="K885" s="6">
        <v>0</v>
      </c>
      <c r="L885" s="6">
        <v>0</v>
      </c>
      <c r="M885" s="6">
        <v>0</v>
      </c>
      <c r="N885" s="6">
        <v>1</v>
      </c>
      <c r="O885" s="6">
        <v>1</v>
      </c>
    </row>
    <row r="886" spans="1:15">
      <c r="A886" s="6" t="s">
        <v>1786</v>
      </c>
      <c r="B886" s="6" t="s">
        <v>2821</v>
      </c>
      <c r="C886" s="6" t="s">
        <v>88</v>
      </c>
      <c r="D886" s="6" t="s">
        <v>2569</v>
      </c>
      <c r="E886" s="6" t="s">
        <v>2573</v>
      </c>
      <c r="F886" s="6" t="s">
        <v>2574</v>
      </c>
      <c r="G886" s="6" t="s">
        <v>1790</v>
      </c>
      <c r="H886" s="6" t="s">
        <v>3226</v>
      </c>
      <c r="I886" s="6">
        <v>2</v>
      </c>
      <c r="J886" s="6">
        <v>0</v>
      </c>
      <c r="K886" s="6">
        <v>0</v>
      </c>
      <c r="L886" s="6">
        <v>0</v>
      </c>
      <c r="M886" s="6">
        <v>0</v>
      </c>
      <c r="N886" s="6">
        <v>1</v>
      </c>
      <c r="O886" s="6">
        <v>1</v>
      </c>
    </row>
    <row r="887" spans="1:15">
      <c r="A887" s="6" t="s">
        <v>1786</v>
      </c>
      <c r="B887" s="6" t="s">
        <v>2821</v>
      </c>
      <c r="C887" s="6" t="s">
        <v>88</v>
      </c>
      <c r="D887" s="6" t="s">
        <v>2569</v>
      </c>
      <c r="E887" s="6" t="s">
        <v>2573</v>
      </c>
      <c r="F887" s="6" t="s">
        <v>2574</v>
      </c>
      <c r="G887" s="6" t="s">
        <v>1790</v>
      </c>
      <c r="H887" s="6" t="s">
        <v>3227</v>
      </c>
      <c r="I887" s="6">
        <v>1</v>
      </c>
      <c r="J887" s="6">
        <v>0</v>
      </c>
      <c r="K887" s="6">
        <v>0</v>
      </c>
      <c r="L887" s="6">
        <v>0</v>
      </c>
      <c r="M887" s="6">
        <v>0</v>
      </c>
      <c r="N887" s="6">
        <v>0</v>
      </c>
      <c r="O887" s="6">
        <v>0</v>
      </c>
    </row>
    <row r="888" spans="1:15">
      <c r="A888" s="6" t="s">
        <v>1786</v>
      </c>
      <c r="B888" s="6" t="s">
        <v>2821</v>
      </c>
      <c r="C888" s="6" t="s">
        <v>88</v>
      </c>
      <c r="D888" s="6" t="s">
        <v>2569</v>
      </c>
      <c r="E888" s="6" t="s">
        <v>3228</v>
      </c>
      <c r="F888" s="6" t="s">
        <v>3229</v>
      </c>
      <c r="G888" s="6" t="s">
        <v>1790</v>
      </c>
      <c r="H888" s="6" t="s">
        <v>3230</v>
      </c>
      <c r="I888" s="6">
        <v>1</v>
      </c>
      <c r="J888" s="6">
        <v>0</v>
      </c>
      <c r="K888" s="6">
        <v>0</v>
      </c>
      <c r="L888" s="6">
        <v>0</v>
      </c>
      <c r="M888" s="6">
        <v>0</v>
      </c>
      <c r="N888" s="6">
        <v>1</v>
      </c>
      <c r="O888" s="6">
        <v>1</v>
      </c>
    </row>
    <row r="889" spans="1:15">
      <c r="A889" s="6" t="s">
        <v>1786</v>
      </c>
      <c r="B889" s="6" t="s">
        <v>2821</v>
      </c>
      <c r="C889" s="6" t="s">
        <v>88</v>
      </c>
      <c r="D889" s="6" t="s">
        <v>2569</v>
      </c>
      <c r="E889" s="6" t="s">
        <v>3228</v>
      </c>
      <c r="F889" s="6" t="s">
        <v>3229</v>
      </c>
      <c r="G889" s="6" t="s">
        <v>1790</v>
      </c>
      <c r="H889" s="6" t="s">
        <v>3231</v>
      </c>
      <c r="I889" s="6">
        <v>1</v>
      </c>
      <c r="J889" s="6">
        <v>0</v>
      </c>
      <c r="K889" s="6">
        <v>0</v>
      </c>
      <c r="L889" s="6">
        <v>0</v>
      </c>
      <c r="M889" s="6">
        <v>0</v>
      </c>
      <c r="N889" s="6">
        <v>1</v>
      </c>
      <c r="O889" s="6">
        <v>1</v>
      </c>
    </row>
    <row r="890" spans="1:15">
      <c r="A890" s="6" t="s">
        <v>1786</v>
      </c>
      <c r="B890" s="6" t="s">
        <v>2821</v>
      </c>
      <c r="C890" s="6" t="s">
        <v>88</v>
      </c>
      <c r="D890" s="6" t="s">
        <v>2569</v>
      </c>
      <c r="E890" s="6" t="s">
        <v>3228</v>
      </c>
      <c r="F890" s="6" t="s">
        <v>3229</v>
      </c>
      <c r="G890" s="6" t="s">
        <v>1790</v>
      </c>
      <c r="H890" s="6" t="s">
        <v>3232</v>
      </c>
      <c r="I890" s="6">
        <v>1</v>
      </c>
      <c r="J890" s="6">
        <v>1</v>
      </c>
      <c r="K890" s="6">
        <v>1</v>
      </c>
      <c r="L890" s="6">
        <v>0.25</v>
      </c>
      <c r="M890" s="6">
        <v>0.25</v>
      </c>
      <c r="N890" s="6">
        <v>1</v>
      </c>
      <c r="O890" s="6">
        <v>1</v>
      </c>
    </row>
    <row r="891" spans="1:15">
      <c r="A891" s="6" t="s">
        <v>1786</v>
      </c>
      <c r="B891" s="6" t="s">
        <v>2821</v>
      </c>
      <c r="C891" s="6" t="s">
        <v>88</v>
      </c>
      <c r="D891" s="6" t="s">
        <v>2569</v>
      </c>
      <c r="E891" s="6" t="s">
        <v>3228</v>
      </c>
      <c r="F891" s="6" t="s">
        <v>3229</v>
      </c>
      <c r="G891" s="6" t="s">
        <v>1790</v>
      </c>
      <c r="H891" s="6" t="s">
        <v>3233</v>
      </c>
      <c r="I891" s="6">
        <v>1</v>
      </c>
      <c r="J891" s="6">
        <v>0</v>
      </c>
      <c r="K891" s="6">
        <v>0</v>
      </c>
      <c r="L891" s="6">
        <v>0</v>
      </c>
      <c r="M891" s="6">
        <v>0</v>
      </c>
      <c r="N891" s="6">
        <v>1</v>
      </c>
      <c r="O891" s="6">
        <v>1</v>
      </c>
    </row>
    <row r="892" spans="1:15">
      <c r="A892" s="6" t="s">
        <v>1786</v>
      </c>
      <c r="B892" s="6" t="s">
        <v>2821</v>
      </c>
      <c r="C892" s="6" t="s">
        <v>88</v>
      </c>
      <c r="D892" s="6" t="s">
        <v>2569</v>
      </c>
      <c r="E892" s="6" t="s">
        <v>1925</v>
      </c>
      <c r="F892" s="6" t="s">
        <v>2181</v>
      </c>
      <c r="G892" s="6" t="s">
        <v>1790</v>
      </c>
      <c r="H892" s="6" t="s">
        <v>2181</v>
      </c>
      <c r="I892" s="6">
        <v>2</v>
      </c>
      <c r="J892" s="6">
        <v>1</v>
      </c>
      <c r="K892" s="6">
        <v>0.5</v>
      </c>
      <c r="L892" s="6">
        <v>0.15</v>
      </c>
      <c r="M892" s="6">
        <v>0.15</v>
      </c>
      <c r="N892" s="6">
        <v>1</v>
      </c>
      <c r="O892" s="6">
        <v>1</v>
      </c>
    </row>
    <row r="893" spans="1:15">
      <c r="A893" s="6" t="s">
        <v>1786</v>
      </c>
      <c r="B893" s="6" t="s">
        <v>2821</v>
      </c>
      <c r="C893" s="6" t="s">
        <v>88</v>
      </c>
      <c r="D893" s="6" t="s">
        <v>2569</v>
      </c>
      <c r="E893" s="6" t="s">
        <v>1925</v>
      </c>
      <c r="F893" s="6" t="s">
        <v>2587</v>
      </c>
      <c r="G893" s="6" t="s">
        <v>1790</v>
      </c>
      <c r="H893" s="6" t="s">
        <v>2588</v>
      </c>
      <c r="I893" s="6">
        <v>4</v>
      </c>
      <c r="J893" s="6">
        <v>0</v>
      </c>
      <c r="K893" s="6">
        <v>0</v>
      </c>
      <c r="L893" s="6">
        <v>0</v>
      </c>
      <c r="M893" s="6">
        <v>0</v>
      </c>
      <c r="N893" s="6">
        <v>0.75</v>
      </c>
      <c r="O893" s="6">
        <v>0.75</v>
      </c>
    </row>
    <row r="894" spans="1:15">
      <c r="A894" s="6" t="s">
        <v>1786</v>
      </c>
      <c r="B894" s="6" t="s">
        <v>2821</v>
      </c>
      <c r="C894" s="6" t="s">
        <v>88</v>
      </c>
      <c r="D894" s="6" t="s">
        <v>2569</v>
      </c>
      <c r="E894" s="6" t="s">
        <v>1925</v>
      </c>
      <c r="F894" s="6" t="s">
        <v>2592</v>
      </c>
      <c r="G894" s="6" t="s">
        <v>1790</v>
      </c>
      <c r="H894" s="6" t="s">
        <v>3234</v>
      </c>
      <c r="I894" s="6">
        <v>2</v>
      </c>
      <c r="J894" s="6">
        <v>1</v>
      </c>
      <c r="K894" s="6">
        <v>0.5</v>
      </c>
      <c r="L894" s="6">
        <v>0.7</v>
      </c>
      <c r="M894" s="6">
        <v>0.7</v>
      </c>
      <c r="N894" s="6">
        <v>1</v>
      </c>
      <c r="O894" s="6">
        <v>0</v>
      </c>
    </row>
    <row r="895" spans="1:15">
      <c r="A895" s="6" t="s">
        <v>1786</v>
      </c>
      <c r="B895" s="6" t="s">
        <v>2821</v>
      </c>
      <c r="C895" s="6" t="s">
        <v>88</v>
      </c>
      <c r="D895" s="6" t="s">
        <v>2569</v>
      </c>
      <c r="E895" s="6" t="s">
        <v>1925</v>
      </c>
      <c r="F895" s="6" t="s">
        <v>3235</v>
      </c>
      <c r="G895" s="6" t="s">
        <v>1790</v>
      </c>
      <c r="H895" s="6" t="s">
        <v>3236</v>
      </c>
      <c r="I895" s="6">
        <v>1</v>
      </c>
      <c r="J895" s="6">
        <v>0</v>
      </c>
      <c r="K895" s="6">
        <v>0</v>
      </c>
      <c r="L895" s="6">
        <v>0</v>
      </c>
      <c r="M895" s="6">
        <v>0</v>
      </c>
      <c r="N895" s="6">
        <v>0</v>
      </c>
      <c r="O895" s="6">
        <v>0</v>
      </c>
    </row>
    <row r="896" spans="1:15">
      <c r="A896" s="6" t="s">
        <v>1786</v>
      </c>
      <c r="B896" s="6" t="s">
        <v>2821</v>
      </c>
      <c r="C896" s="6" t="s">
        <v>88</v>
      </c>
      <c r="D896" s="6" t="s">
        <v>2569</v>
      </c>
      <c r="E896" s="6" t="s">
        <v>1925</v>
      </c>
      <c r="F896" s="6" t="s">
        <v>3237</v>
      </c>
      <c r="G896" s="6" t="s">
        <v>1790</v>
      </c>
      <c r="H896" s="6" t="s">
        <v>3238</v>
      </c>
      <c r="I896" s="6">
        <v>1</v>
      </c>
      <c r="J896" s="6">
        <v>0</v>
      </c>
      <c r="K896" s="6">
        <v>0</v>
      </c>
      <c r="L896" s="6">
        <v>0</v>
      </c>
      <c r="M896" s="6">
        <v>0</v>
      </c>
      <c r="N896" s="6">
        <v>0</v>
      </c>
      <c r="O896" s="6">
        <v>0</v>
      </c>
    </row>
    <row r="897" spans="1:15">
      <c r="A897" s="6" t="s">
        <v>1786</v>
      </c>
      <c r="B897" s="6" t="s">
        <v>2821</v>
      </c>
      <c r="C897" s="6" t="s">
        <v>88</v>
      </c>
      <c r="D897" s="6" t="s">
        <v>2569</v>
      </c>
      <c r="E897" s="6" t="s">
        <v>1925</v>
      </c>
      <c r="F897" s="6" t="s">
        <v>3239</v>
      </c>
      <c r="G897" s="6" t="s">
        <v>1790</v>
      </c>
      <c r="H897" s="6" t="s">
        <v>3240</v>
      </c>
      <c r="I897" s="6">
        <v>4</v>
      </c>
      <c r="J897" s="6">
        <v>0</v>
      </c>
      <c r="K897" s="6">
        <v>0</v>
      </c>
      <c r="L897" s="6">
        <v>0</v>
      </c>
      <c r="M897" s="6">
        <v>0</v>
      </c>
      <c r="N897" s="6">
        <v>0.5</v>
      </c>
      <c r="O897" s="6">
        <v>0.5</v>
      </c>
    </row>
    <row r="898" spans="1:15">
      <c r="A898" s="6" t="s">
        <v>1786</v>
      </c>
      <c r="B898" s="6" t="s">
        <v>2821</v>
      </c>
      <c r="C898" s="6" t="s">
        <v>88</v>
      </c>
      <c r="D898" s="6" t="s">
        <v>1926</v>
      </c>
      <c r="F898" s="6" t="s">
        <v>3241</v>
      </c>
      <c r="G898" s="6" t="s">
        <v>1790</v>
      </c>
      <c r="H898" s="6" t="s">
        <v>3242</v>
      </c>
      <c r="I898" s="6">
        <v>1</v>
      </c>
      <c r="J898" s="6">
        <v>0</v>
      </c>
      <c r="K898" s="6">
        <v>0</v>
      </c>
      <c r="L898" s="6">
        <v>0</v>
      </c>
      <c r="M898" s="6">
        <v>0</v>
      </c>
      <c r="N898" s="6">
        <v>0</v>
      </c>
      <c r="O898" s="6">
        <v>0</v>
      </c>
    </row>
    <row r="899" spans="1:15">
      <c r="A899" s="6" t="s">
        <v>1786</v>
      </c>
      <c r="B899" s="6" t="s">
        <v>2821</v>
      </c>
      <c r="C899" s="6" t="s">
        <v>88</v>
      </c>
      <c r="D899" s="6" t="s">
        <v>1926</v>
      </c>
      <c r="E899" s="6" t="s">
        <v>3148</v>
      </c>
      <c r="F899" s="6" t="s">
        <v>2693</v>
      </c>
      <c r="G899" s="6" t="s">
        <v>1790</v>
      </c>
      <c r="H899" s="6" t="s">
        <v>3243</v>
      </c>
      <c r="I899" s="6">
        <v>1</v>
      </c>
      <c r="J899" s="6">
        <v>0</v>
      </c>
      <c r="K899" s="6">
        <v>0</v>
      </c>
      <c r="L899" s="6">
        <v>0</v>
      </c>
      <c r="M899" s="6">
        <v>0</v>
      </c>
      <c r="N899" s="6">
        <v>1</v>
      </c>
      <c r="O899" s="6">
        <v>1</v>
      </c>
    </row>
    <row r="900" spans="1:15">
      <c r="A900" s="6" t="s">
        <v>1786</v>
      </c>
      <c r="B900" s="6" t="s">
        <v>2821</v>
      </c>
      <c r="C900" s="6" t="s">
        <v>88</v>
      </c>
      <c r="D900" s="6" t="s">
        <v>1926</v>
      </c>
      <c r="E900" s="6" t="s">
        <v>3244</v>
      </c>
      <c r="F900" s="6" t="s">
        <v>3245</v>
      </c>
      <c r="G900" s="6" t="s">
        <v>1790</v>
      </c>
      <c r="H900" s="6" t="s">
        <v>3246</v>
      </c>
      <c r="I900" s="6">
        <v>1</v>
      </c>
      <c r="J900" s="6">
        <v>0</v>
      </c>
      <c r="K900" s="6">
        <v>0</v>
      </c>
      <c r="L900" s="6">
        <v>0</v>
      </c>
      <c r="M900" s="6">
        <v>0</v>
      </c>
      <c r="N900" s="6">
        <v>1</v>
      </c>
      <c r="O900" s="6">
        <v>1</v>
      </c>
    </row>
    <row r="901" spans="1:15">
      <c r="A901" s="6" t="s">
        <v>1786</v>
      </c>
      <c r="B901" s="6" t="s">
        <v>2821</v>
      </c>
      <c r="C901" s="6" t="s">
        <v>88</v>
      </c>
      <c r="D901" s="6" t="s">
        <v>1926</v>
      </c>
      <c r="E901" s="6" t="s">
        <v>3244</v>
      </c>
      <c r="F901" s="6" t="s">
        <v>3247</v>
      </c>
      <c r="G901" s="6" t="s">
        <v>1790</v>
      </c>
      <c r="H901" s="6" t="s">
        <v>3248</v>
      </c>
      <c r="I901" s="6">
        <v>3</v>
      </c>
      <c r="J901" s="6">
        <v>1</v>
      </c>
      <c r="K901" s="6">
        <v>0.33329999999999999</v>
      </c>
      <c r="L901" s="6">
        <v>0.95</v>
      </c>
      <c r="M901" s="6">
        <v>0.95</v>
      </c>
      <c r="N901" s="6">
        <v>0.5</v>
      </c>
      <c r="O901" s="6">
        <v>0.5</v>
      </c>
    </row>
    <row r="902" spans="1:15">
      <c r="A902" s="6" t="s">
        <v>1786</v>
      </c>
      <c r="B902" s="6" t="s">
        <v>2821</v>
      </c>
      <c r="C902" s="6" t="s">
        <v>88</v>
      </c>
      <c r="D902" s="6" t="s">
        <v>1926</v>
      </c>
      <c r="E902" s="6" t="s">
        <v>3244</v>
      </c>
      <c r="F902" s="6" t="s">
        <v>3249</v>
      </c>
      <c r="G902" s="6" t="s">
        <v>1790</v>
      </c>
      <c r="H902" s="6" t="s">
        <v>3250</v>
      </c>
      <c r="I902" s="6">
        <v>1</v>
      </c>
      <c r="J902" s="6">
        <v>0</v>
      </c>
      <c r="K902" s="6">
        <v>0</v>
      </c>
      <c r="L902" s="6">
        <v>0</v>
      </c>
      <c r="M902" s="6">
        <v>0</v>
      </c>
      <c r="N902" s="6">
        <v>0</v>
      </c>
      <c r="O902" s="6">
        <v>0</v>
      </c>
    </row>
    <row r="903" spans="1:15">
      <c r="A903" s="6" t="s">
        <v>1786</v>
      </c>
      <c r="B903" s="6" t="s">
        <v>2821</v>
      </c>
      <c r="C903" s="6" t="s">
        <v>88</v>
      </c>
      <c r="D903" s="6" t="s">
        <v>1926</v>
      </c>
      <c r="E903" s="6" t="s">
        <v>3244</v>
      </c>
      <c r="F903" s="6" t="s">
        <v>3251</v>
      </c>
      <c r="G903" s="6" t="s">
        <v>1790</v>
      </c>
      <c r="H903" s="6" t="s">
        <v>3252</v>
      </c>
      <c r="I903" s="6">
        <v>1</v>
      </c>
      <c r="J903" s="6">
        <v>0</v>
      </c>
      <c r="K903" s="6">
        <v>0</v>
      </c>
      <c r="L903" s="6">
        <v>0</v>
      </c>
      <c r="M903" s="6">
        <v>0</v>
      </c>
      <c r="N903" s="6">
        <v>0</v>
      </c>
      <c r="O903" s="6">
        <v>0</v>
      </c>
    </row>
    <row r="904" spans="1:15">
      <c r="A904" s="6" t="s">
        <v>1786</v>
      </c>
      <c r="B904" s="6" t="s">
        <v>2821</v>
      </c>
      <c r="C904" s="6" t="s">
        <v>88</v>
      </c>
      <c r="D904" s="6" t="s">
        <v>1926</v>
      </c>
      <c r="E904" s="6" t="s">
        <v>3244</v>
      </c>
      <c r="F904" s="6" t="s">
        <v>1815</v>
      </c>
      <c r="G904" s="6" t="s">
        <v>1790</v>
      </c>
      <c r="H904" s="6" t="s">
        <v>3253</v>
      </c>
      <c r="I904" s="6">
        <v>1</v>
      </c>
      <c r="J904" s="6">
        <v>1</v>
      </c>
      <c r="K904" s="6">
        <v>1</v>
      </c>
      <c r="L904" s="6">
        <v>0.48</v>
      </c>
      <c r="M904" s="6">
        <v>0.48</v>
      </c>
      <c r="N904" s="6">
        <v>1</v>
      </c>
      <c r="O904" s="6">
        <v>1</v>
      </c>
    </row>
    <row r="905" spans="1:15">
      <c r="A905" s="6" t="s">
        <v>1786</v>
      </c>
      <c r="B905" s="6" t="s">
        <v>2821</v>
      </c>
      <c r="C905" s="6" t="s">
        <v>88</v>
      </c>
      <c r="D905" s="6" t="s">
        <v>1926</v>
      </c>
      <c r="E905" s="6" t="s">
        <v>3244</v>
      </c>
      <c r="F905" s="6" t="s">
        <v>3254</v>
      </c>
      <c r="G905" s="6" t="s">
        <v>1790</v>
      </c>
      <c r="H905" s="6" t="s">
        <v>3255</v>
      </c>
      <c r="I905" s="6">
        <v>1</v>
      </c>
      <c r="J905" s="6">
        <v>0</v>
      </c>
      <c r="K905" s="6">
        <v>0</v>
      </c>
      <c r="L905" s="6">
        <v>0</v>
      </c>
      <c r="M905" s="6">
        <v>0</v>
      </c>
      <c r="N905" s="6">
        <v>0</v>
      </c>
      <c r="O905" s="6">
        <v>0</v>
      </c>
    </row>
    <row r="906" spans="1:15">
      <c r="A906" s="6" t="s">
        <v>1786</v>
      </c>
      <c r="B906" s="6" t="s">
        <v>2821</v>
      </c>
      <c r="C906" s="6" t="s">
        <v>88</v>
      </c>
      <c r="D906" s="6" t="s">
        <v>1926</v>
      </c>
      <c r="E906" s="6" t="s">
        <v>3244</v>
      </c>
      <c r="F906" s="6" t="s">
        <v>3256</v>
      </c>
      <c r="G906" s="6" t="s">
        <v>1790</v>
      </c>
      <c r="H906" s="6" t="s">
        <v>3257</v>
      </c>
      <c r="I906" s="6">
        <v>1</v>
      </c>
      <c r="J906" s="6">
        <v>0</v>
      </c>
      <c r="K906" s="6">
        <v>0</v>
      </c>
      <c r="L906" s="6">
        <v>0</v>
      </c>
      <c r="M906" s="6">
        <v>0</v>
      </c>
      <c r="N906" s="6">
        <v>0</v>
      </c>
      <c r="O906" s="6">
        <v>0</v>
      </c>
    </row>
    <row r="907" spans="1:15">
      <c r="A907" s="6" t="s">
        <v>1786</v>
      </c>
      <c r="B907" s="6" t="s">
        <v>2821</v>
      </c>
      <c r="C907" s="6" t="s">
        <v>88</v>
      </c>
      <c r="D907" s="6" t="s">
        <v>1926</v>
      </c>
      <c r="E907" s="6" t="s">
        <v>3244</v>
      </c>
      <c r="F907" s="6" t="s">
        <v>3241</v>
      </c>
      <c r="G907" s="6" t="s">
        <v>1790</v>
      </c>
      <c r="H907" s="6" t="s">
        <v>3258</v>
      </c>
      <c r="I907" s="6">
        <v>4</v>
      </c>
      <c r="J907" s="6">
        <v>0</v>
      </c>
      <c r="K907" s="6">
        <v>0</v>
      </c>
      <c r="L907" s="6">
        <v>0</v>
      </c>
      <c r="M907" s="6">
        <v>0</v>
      </c>
      <c r="N907" s="6">
        <v>1</v>
      </c>
      <c r="O907" s="6">
        <v>1</v>
      </c>
    </row>
    <row r="908" spans="1:15">
      <c r="A908" s="6" t="s">
        <v>1786</v>
      </c>
      <c r="B908" s="6" t="s">
        <v>2821</v>
      </c>
      <c r="C908" s="6" t="s">
        <v>88</v>
      </c>
      <c r="D908" s="6" t="s">
        <v>1926</v>
      </c>
      <c r="E908" s="6" t="s">
        <v>3244</v>
      </c>
      <c r="F908" s="6" t="s">
        <v>3241</v>
      </c>
      <c r="G908" s="6" t="s">
        <v>1790</v>
      </c>
      <c r="H908" s="6" t="s">
        <v>3259</v>
      </c>
      <c r="I908" s="6">
        <v>2</v>
      </c>
      <c r="J908" s="6">
        <v>0</v>
      </c>
      <c r="K908" s="6">
        <v>0</v>
      </c>
      <c r="L908" s="6">
        <v>0</v>
      </c>
      <c r="M908" s="6">
        <v>0</v>
      </c>
      <c r="N908" s="6">
        <v>0</v>
      </c>
      <c r="O908" s="6">
        <v>0</v>
      </c>
    </row>
    <row r="909" spans="1:15">
      <c r="A909" s="6" t="s">
        <v>1786</v>
      </c>
      <c r="B909" s="6" t="s">
        <v>2821</v>
      </c>
      <c r="C909" s="6" t="s">
        <v>88</v>
      </c>
      <c r="D909" s="6" t="s">
        <v>1926</v>
      </c>
      <c r="E909" s="6" t="s">
        <v>3244</v>
      </c>
      <c r="F909" s="6" t="s">
        <v>3241</v>
      </c>
      <c r="G909" s="6" t="s">
        <v>1790</v>
      </c>
      <c r="H909" s="6" t="s">
        <v>3260</v>
      </c>
      <c r="I909" s="6">
        <v>1</v>
      </c>
      <c r="J909" s="6">
        <v>0</v>
      </c>
      <c r="K909" s="6">
        <v>0</v>
      </c>
      <c r="L909" s="6">
        <v>0</v>
      </c>
      <c r="M909" s="6">
        <v>0</v>
      </c>
      <c r="N909" s="6">
        <v>1</v>
      </c>
      <c r="O909" s="6">
        <v>1</v>
      </c>
    </row>
    <row r="910" spans="1:15">
      <c r="A910" s="6" t="s">
        <v>1786</v>
      </c>
      <c r="B910" s="6" t="s">
        <v>2821</v>
      </c>
      <c r="C910" s="6" t="s">
        <v>88</v>
      </c>
      <c r="D910" s="6" t="s">
        <v>1926</v>
      </c>
      <c r="E910" s="6" t="s">
        <v>3244</v>
      </c>
      <c r="F910" s="6" t="s">
        <v>3241</v>
      </c>
      <c r="G910" s="6" t="s">
        <v>1790</v>
      </c>
      <c r="H910" s="6" t="s">
        <v>3261</v>
      </c>
      <c r="I910" s="6">
        <v>2</v>
      </c>
      <c r="J910" s="6">
        <v>0</v>
      </c>
      <c r="K910" s="6">
        <v>0</v>
      </c>
      <c r="L910" s="6">
        <v>0</v>
      </c>
      <c r="M910" s="6">
        <v>0</v>
      </c>
      <c r="N910" s="6">
        <v>1</v>
      </c>
      <c r="O910" s="6">
        <v>1</v>
      </c>
    </row>
    <row r="911" spans="1:15">
      <c r="A911" s="6" t="s">
        <v>1786</v>
      </c>
      <c r="B911" s="6" t="s">
        <v>2821</v>
      </c>
      <c r="C911" s="6" t="s">
        <v>88</v>
      </c>
      <c r="D911" s="6" t="s">
        <v>1926</v>
      </c>
      <c r="E911" s="6" t="s">
        <v>3244</v>
      </c>
      <c r="F911" s="6" t="s">
        <v>3241</v>
      </c>
      <c r="G911" s="6" t="s">
        <v>1790</v>
      </c>
      <c r="H911" s="6" t="s">
        <v>3262</v>
      </c>
      <c r="I911" s="6">
        <v>1</v>
      </c>
      <c r="J911" s="6">
        <v>0</v>
      </c>
      <c r="K911" s="6">
        <v>0</v>
      </c>
      <c r="L911" s="6">
        <v>0</v>
      </c>
      <c r="M911" s="6">
        <v>0</v>
      </c>
      <c r="N911" s="6">
        <v>0</v>
      </c>
      <c r="O911" s="6">
        <v>0</v>
      </c>
    </row>
    <row r="912" spans="1:15">
      <c r="A912" s="6" t="s">
        <v>1786</v>
      </c>
      <c r="B912" s="6" t="s">
        <v>2821</v>
      </c>
      <c r="C912" s="6" t="s">
        <v>88</v>
      </c>
      <c r="D912" s="6" t="s">
        <v>1926</v>
      </c>
      <c r="E912" s="6" t="s">
        <v>3244</v>
      </c>
      <c r="F912" s="6" t="s">
        <v>3241</v>
      </c>
      <c r="G912" s="6" t="s">
        <v>1790</v>
      </c>
      <c r="H912" s="6" t="s">
        <v>3263</v>
      </c>
      <c r="I912" s="6">
        <v>1</v>
      </c>
      <c r="J912" s="6">
        <v>0</v>
      </c>
      <c r="K912" s="6">
        <v>0</v>
      </c>
      <c r="L912" s="6">
        <v>0</v>
      </c>
      <c r="M912" s="6">
        <v>0</v>
      </c>
      <c r="N912" s="6">
        <v>1</v>
      </c>
      <c r="O912" s="6">
        <v>1</v>
      </c>
    </row>
    <row r="913" spans="1:15">
      <c r="A913" s="6" t="s">
        <v>1786</v>
      </c>
      <c r="B913" s="6" t="s">
        <v>2821</v>
      </c>
      <c r="C913" s="6" t="s">
        <v>88</v>
      </c>
      <c r="D913" s="6" t="s">
        <v>1926</v>
      </c>
      <c r="E913" s="6" t="s">
        <v>3244</v>
      </c>
      <c r="F913" s="6" t="s">
        <v>3264</v>
      </c>
      <c r="G913" s="6" t="s">
        <v>1790</v>
      </c>
      <c r="H913" s="6" t="s">
        <v>3264</v>
      </c>
      <c r="I913" s="6">
        <v>2</v>
      </c>
      <c r="J913" s="6">
        <v>0</v>
      </c>
      <c r="K913" s="6">
        <v>0</v>
      </c>
      <c r="L913" s="6">
        <v>0</v>
      </c>
      <c r="M913" s="6">
        <v>0</v>
      </c>
      <c r="N913" s="6">
        <v>1</v>
      </c>
      <c r="O913" s="6">
        <v>0</v>
      </c>
    </row>
    <row r="914" spans="1:15">
      <c r="A914" s="6" t="s">
        <v>1786</v>
      </c>
      <c r="B914" s="6" t="s">
        <v>2821</v>
      </c>
      <c r="C914" s="6" t="s">
        <v>88</v>
      </c>
      <c r="D914" s="6" t="s">
        <v>1926</v>
      </c>
      <c r="E914" s="6" t="s">
        <v>3265</v>
      </c>
      <c r="F914" s="6" t="s">
        <v>3266</v>
      </c>
      <c r="G914" s="6" t="s">
        <v>1790</v>
      </c>
      <c r="H914" s="6" t="s">
        <v>3267</v>
      </c>
      <c r="I914" s="6">
        <v>1</v>
      </c>
      <c r="J914" s="6">
        <v>0</v>
      </c>
      <c r="K914" s="6">
        <v>0</v>
      </c>
      <c r="L914" s="6">
        <v>0</v>
      </c>
      <c r="M914" s="6">
        <v>0</v>
      </c>
      <c r="N914" s="6">
        <v>0</v>
      </c>
      <c r="O914" s="6">
        <v>0</v>
      </c>
    </row>
    <row r="915" spans="1:15">
      <c r="A915" s="6" t="s">
        <v>1786</v>
      </c>
      <c r="B915" s="6" t="s">
        <v>2821</v>
      </c>
      <c r="C915" s="6" t="s">
        <v>88</v>
      </c>
      <c r="D915" s="6" t="s">
        <v>2604</v>
      </c>
      <c r="E915" s="6" t="s">
        <v>1925</v>
      </c>
      <c r="F915" s="6" t="s">
        <v>2611</v>
      </c>
      <c r="G915" s="6" t="s">
        <v>1790</v>
      </c>
      <c r="H915" s="6" t="s">
        <v>2612</v>
      </c>
      <c r="I915" s="6">
        <v>1</v>
      </c>
      <c r="J915" s="6">
        <v>0</v>
      </c>
      <c r="K915" s="6">
        <v>0</v>
      </c>
      <c r="L915" s="6">
        <v>0</v>
      </c>
      <c r="M915" s="6">
        <v>0</v>
      </c>
      <c r="N915" s="6">
        <v>1</v>
      </c>
      <c r="O915" s="6">
        <v>1</v>
      </c>
    </row>
    <row r="916" spans="1:15">
      <c r="A916" s="6" t="s">
        <v>1786</v>
      </c>
      <c r="B916" s="6" t="s">
        <v>2821</v>
      </c>
      <c r="C916" s="6" t="s">
        <v>88</v>
      </c>
      <c r="D916" s="6" t="s">
        <v>2604</v>
      </c>
      <c r="E916" s="6" t="s">
        <v>3268</v>
      </c>
      <c r="F916" s="6" t="s">
        <v>3269</v>
      </c>
      <c r="G916" s="6" t="s">
        <v>1790</v>
      </c>
      <c r="H916" s="6" t="s">
        <v>3270</v>
      </c>
      <c r="I916" s="6">
        <v>1</v>
      </c>
      <c r="J916" s="6">
        <v>0</v>
      </c>
      <c r="K916" s="6">
        <v>0</v>
      </c>
      <c r="L916" s="6">
        <v>0</v>
      </c>
      <c r="M916" s="6">
        <v>0</v>
      </c>
      <c r="N916" s="6">
        <v>1</v>
      </c>
      <c r="O916" s="6">
        <v>1</v>
      </c>
    </row>
    <row r="917" spans="1:15">
      <c r="A917" s="6" t="s">
        <v>1786</v>
      </c>
      <c r="B917" s="6" t="s">
        <v>2821</v>
      </c>
      <c r="C917" s="6" t="s">
        <v>88</v>
      </c>
      <c r="D917" s="6" t="s">
        <v>3271</v>
      </c>
      <c r="E917" s="6" t="s">
        <v>3272</v>
      </c>
      <c r="F917" s="6" t="s">
        <v>3273</v>
      </c>
      <c r="G917" s="6" t="s">
        <v>1790</v>
      </c>
      <c r="H917" s="6" t="s">
        <v>3274</v>
      </c>
      <c r="I917" s="6">
        <v>2</v>
      </c>
      <c r="J917" s="6">
        <v>0</v>
      </c>
      <c r="K917" s="6">
        <v>0</v>
      </c>
      <c r="L917" s="6">
        <v>0</v>
      </c>
      <c r="M917" s="6">
        <v>0</v>
      </c>
      <c r="N917" s="6">
        <v>1</v>
      </c>
      <c r="O917" s="6">
        <v>1</v>
      </c>
    </row>
    <row r="918" spans="1:15">
      <c r="A918" s="6" t="s">
        <v>1786</v>
      </c>
      <c r="B918" s="6" t="s">
        <v>2821</v>
      </c>
      <c r="C918" s="6" t="s">
        <v>88</v>
      </c>
      <c r="D918" s="6" t="s">
        <v>3271</v>
      </c>
      <c r="E918" s="6" t="s">
        <v>3275</v>
      </c>
      <c r="F918" s="6" t="s">
        <v>3276</v>
      </c>
      <c r="G918" s="6" t="s">
        <v>1790</v>
      </c>
      <c r="H918" s="6" t="s">
        <v>3277</v>
      </c>
      <c r="I918" s="6">
        <v>2</v>
      </c>
      <c r="J918" s="6">
        <v>0</v>
      </c>
      <c r="K918" s="6">
        <v>0</v>
      </c>
      <c r="L918" s="6">
        <v>0</v>
      </c>
      <c r="M918" s="6">
        <v>0</v>
      </c>
      <c r="N918" s="6">
        <v>0</v>
      </c>
      <c r="O918" s="6">
        <v>0</v>
      </c>
    </row>
    <row r="919" spans="1:15">
      <c r="A919" s="6" t="s">
        <v>1786</v>
      </c>
      <c r="B919" s="6" t="s">
        <v>2821</v>
      </c>
      <c r="C919" s="6" t="s">
        <v>88</v>
      </c>
      <c r="D919" s="6" t="s">
        <v>3271</v>
      </c>
      <c r="E919" s="6" t="s">
        <v>3275</v>
      </c>
      <c r="F919" s="6" t="s">
        <v>3278</v>
      </c>
      <c r="G919" s="6" t="s">
        <v>1790</v>
      </c>
      <c r="H919" s="6" t="s">
        <v>3279</v>
      </c>
      <c r="I919" s="6">
        <v>3</v>
      </c>
      <c r="J919" s="6">
        <v>0</v>
      </c>
      <c r="K919" s="6">
        <v>0</v>
      </c>
      <c r="L919" s="6">
        <v>0</v>
      </c>
      <c r="M919" s="6">
        <v>0</v>
      </c>
      <c r="N919" s="6">
        <v>1</v>
      </c>
      <c r="O919" s="6">
        <v>1</v>
      </c>
    </row>
    <row r="920" spans="1:15">
      <c r="A920" s="6" t="s">
        <v>1786</v>
      </c>
      <c r="B920" s="6" t="s">
        <v>2821</v>
      </c>
      <c r="C920" s="6" t="s">
        <v>88</v>
      </c>
      <c r="D920" s="6" t="s">
        <v>3271</v>
      </c>
      <c r="E920" s="6" t="s">
        <v>3275</v>
      </c>
      <c r="F920" s="6" t="s">
        <v>3278</v>
      </c>
      <c r="G920" s="6" t="s">
        <v>1790</v>
      </c>
      <c r="H920" s="6" t="s">
        <v>3280</v>
      </c>
      <c r="I920" s="6">
        <v>1</v>
      </c>
      <c r="J920" s="6">
        <v>0</v>
      </c>
      <c r="K920" s="6">
        <v>0</v>
      </c>
      <c r="L920" s="6">
        <v>0</v>
      </c>
      <c r="M920" s="6">
        <v>0</v>
      </c>
      <c r="N920" s="6">
        <v>1</v>
      </c>
      <c r="O920" s="6">
        <v>1</v>
      </c>
    </row>
    <row r="921" spans="1:15">
      <c r="A921" s="6" t="s">
        <v>1786</v>
      </c>
      <c r="B921" s="6" t="s">
        <v>2821</v>
      </c>
      <c r="C921" s="6" t="s">
        <v>88</v>
      </c>
      <c r="D921" s="6" t="s">
        <v>3271</v>
      </c>
      <c r="E921" s="6" t="s">
        <v>3275</v>
      </c>
      <c r="F921" s="6" t="s">
        <v>3281</v>
      </c>
      <c r="G921" s="6" t="s">
        <v>1790</v>
      </c>
      <c r="H921" s="6" t="s">
        <v>3282</v>
      </c>
      <c r="I921" s="6">
        <v>1</v>
      </c>
      <c r="J921" s="6">
        <v>0</v>
      </c>
      <c r="K921" s="6">
        <v>0</v>
      </c>
      <c r="L921" s="6">
        <v>0</v>
      </c>
      <c r="M921" s="6">
        <v>0</v>
      </c>
      <c r="N921" s="6">
        <v>1</v>
      </c>
      <c r="O921" s="6">
        <v>1</v>
      </c>
    </row>
    <row r="922" spans="1:15" hidden="1">
      <c r="A922" s="6" t="s">
        <v>1786</v>
      </c>
      <c r="B922" s="6" t="s">
        <v>3283</v>
      </c>
      <c r="C922" s="6" t="s">
        <v>81</v>
      </c>
      <c r="D922" s="6" t="s">
        <v>3284</v>
      </c>
      <c r="F922" s="6" t="s">
        <v>3285</v>
      </c>
      <c r="G922" s="6" t="s">
        <v>1790</v>
      </c>
      <c r="H922" s="6" t="s">
        <v>3286</v>
      </c>
      <c r="I922" s="6">
        <v>2</v>
      </c>
      <c r="J922" s="6">
        <v>0</v>
      </c>
      <c r="K922" s="6">
        <v>0</v>
      </c>
      <c r="L922" s="6">
        <v>0</v>
      </c>
      <c r="M922" s="6">
        <v>0</v>
      </c>
      <c r="N922" s="6">
        <v>1</v>
      </c>
      <c r="O922" s="6">
        <v>1</v>
      </c>
    </row>
    <row r="923" spans="1:15" hidden="1">
      <c r="A923" s="6" t="s">
        <v>1786</v>
      </c>
      <c r="B923" s="6" t="s">
        <v>3283</v>
      </c>
      <c r="C923" s="6" t="s">
        <v>81</v>
      </c>
      <c r="D923" s="6" t="s">
        <v>3287</v>
      </c>
      <c r="F923" s="6" t="s">
        <v>3288</v>
      </c>
      <c r="G923" s="6" t="s">
        <v>1790</v>
      </c>
      <c r="H923" s="6" t="s">
        <v>3288</v>
      </c>
      <c r="I923" s="6">
        <v>1</v>
      </c>
      <c r="J923" s="6">
        <v>0</v>
      </c>
      <c r="K923" s="6">
        <v>0</v>
      </c>
      <c r="L923" s="6">
        <v>0</v>
      </c>
      <c r="M923" s="6">
        <v>0</v>
      </c>
      <c r="N923" s="6">
        <v>1</v>
      </c>
      <c r="O923" s="6">
        <v>1</v>
      </c>
    </row>
    <row r="924" spans="1:15" hidden="1">
      <c r="A924" s="6" t="s">
        <v>1786</v>
      </c>
      <c r="B924" s="6" t="s">
        <v>3283</v>
      </c>
      <c r="C924" s="6" t="s">
        <v>81</v>
      </c>
      <c r="D924" s="6" t="s">
        <v>3289</v>
      </c>
      <c r="F924" s="6" t="s">
        <v>3290</v>
      </c>
      <c r="G924" s="6" t="s">
        <v>1790</v>
      </c>
      <c r="H924" s="6" t="s">
        <v>3290</v>
      </c>
      <c r="I924" s="6">
        <v>1</v>
      </c>
      <c r="J924" s="6">
        <v>0</v>
      </c>
      <c r="K924" s="6">
        <v>0</v>
      </c>
      <c r="L924" s="6">
        <v>0</v>
      </c>
      <c r="M924" s="6">
        <v>0</v>
      </c>
      <c r="N924" s="6">
        <v>0</v>
      </c>
      <c r="O924" s="6">
        <v>0</v>
      </c>
    </row>
    <row r="925" spans="1:15" hidden="1">
      <c r="A925" s="6" t="s">
        <v>1786</v>
      </c>
      <c r="B925" s="6" t="s">
        <v>3283</v>
      </c>
      <c r="C925" s="6" t="s">
        <v>81</v>
      </c>
      <c r="D925" s="6" t="s">
        <v>3291</v>
      </c>
      <c r="F925" s="6" t="s">
        <v>3292</v>
      </c>
      <c r="G925" s="6" t="s">
        <v>1790</v>
      </c>
      <c r="H925" s="6" t="s">
        <v>3292</v>
      </c>
      <c r="I925" s="6">
        <v>1</v>
      </c>
      <c r="J925" s="6">
        <v>0</v>
      </c>
      <c r="K925" s="6">
        <v>0</v>
      </c>
      <c r="L925" s="6">
        <v>0</v>
      </c>
      <c r="M925" s="6">
        <v>0</v>
      </c>
      <c r="N925" s="6">
        <v>0</v>
      </c>
      <c r="O925" s="6">
        <v>0</v>
      </c>
    </row>
    <row r="926" spans="1:15" hidden="1">
      <c r="A926" s="6" t="s">
        <v>1786</v>
      </c>
      <c r="B926" s="6" t="s">
        <v>3283</v>
      </c>
      <c r="C926" s="6" t="s">
        <v>81</v>
      </c>
      <c r="D926" s="6" t="s">
        <v>3291</v>
      </c>
      <c r="F926" s="6" t="s">
        <v>3291</v>
      </c>
      <c r="G926" s="6" t="s">
        <v>1790</v>
      </c>
      <c r="H926" s="6" t="s">
        <v>3293</v>
      </c>
      <c r="I926" s="6">
        <v>4</v>
      </c>
      <c r="J926" s="6">
        <v>0</v>
      </c>
      <c r="K926" s="6">
        <v>0</v>
      </c>
      <c r="L926" s="6">
        <v>0</v>
      </c>
      <c r="M926" s="6">
        <v>0</v>
      </c>
      <c r="N926" s="6">
        <v>1</v>
      </c>
      <c r="O926" s="6">
        <v>1</v>
      </c>
    </row>
    <row r="927" spans="1:15" hidden="1">
      <c r="A927" s="6" t="s">
        <v>1786</v>
      </c>
      <c r="B927" s="6" t="s">
        <v>3283</v>
      </c>
      <c r="C927" s="6" t="s">
        <v>81</v>
      </c>
      <c r="D927" s="6" t="s">
        <v>3291</v>
      </c>
      <c r="F927" s="6" t="s">
        <v>3291</v>
      </c>
      <c r="G927" s="6" t="s">
        <v>1790</v>
      </c>
      <c r="H927" s="6" t="s">
        <v>3294</v>
      </c>
      <c r="I927" s="6">
        <v>2</v>
      </c>
      <c r="J927" s="6">
        <v>0</v>
      </c>
      <c r="K927" s="6">
        <v>0</v>
      </c>
      <c r="L927" s="6">
        <v>0</v>
      </c>
      <c r="M927" s="6">
        <v>0</v>
      </c>
      <c r="N927" s="6">
        <v>1</v>
      </c>
      <c r="O927" s="6">
        <v>1</v>
      </c>
    </row>
    <row r="928" spans="1:15" hidden="1">
      <c r="A928" s="6" t="s">
        <v>1786</v>
      </c>
      <c r="B928" s="6" t="s">
        <v>3283</v>
      </c>
      <c r="C928" s="6" t="s">
        <v>81</v>
      </c>
      <c r="D928" s="6" t="s">
        <v>3291</v>
      </c>
      <c r="F928" s="6" t="s">
        <v>3291</v>
      </c>
      <c r="G928" s="6" t="s">
        <v>1790</v>
      </c>
      <c r="H928" s="6" t="s">
        <v>3291</v>
      </c>
      <c r="I928" s="6">
        <v>3</v>
      </c>
      <c r="J928" s="6">
        <v>0</v>
      </c>
      <c r="K928" s="6">
        <v>0</v>
      </c>
      <c r="L928" s="6">
        <v>0</v>
      </c>
      <c r="M928" s="6">
        <v>0</v>
      </c>
      <c r="N928" s="6">
        <v>1</v>
      </c>
      <c r="O928" s="6">
        <v>1</v>
      </c>
    </row>
    <row r="929" spans="1:15" hidden="1">
      <c r="A929" s="6" t="s">
        <v>1786</v>
      </c>
      <c r="B929" s="6" t="s">
        <v>3295</v>
      </c>
      <c r="C929" s="6" t="s">
        <v>3296</v>
      </c>
      <c r="D929" s="6" t="s">
        <v>3297</v>
      </c>
      <c r="F929" s="6" t="s">
        <v>3297</v>
      </c>
      <c r="G929" s="6" t="s">
        <v>1790</v>
      </c>
      <c r="H929" s="6" t="s">
        <v>3298</v>
      </c>
      <c r="I929" s="6">
        <v>2</v>
      </c>
      <c r="J929" s="6">
        <v>0</v>
      </c>
      <c r="K929" s="6">
        <v>0</v>
      </c>
      <c r="L929" s="6">
        <v>0</v>
      </c>
      <c r="M929" s="6">
        <v>0</v>
      </c>
      <c r="N929" s="6">
        <v>0</v>
      </c>
      <c r="O929" s="6">
        <v>0</v>
      </c>
    </row>
    <row r="930" spans="1:15" hidden="1">
      <c r="A930" s="6" t="s">
        <v>1786</v>
      </c>
      <c r="B930" s="6" t="s">
        <v>3295</v>
      </c>
      <c r="C930" s="6" t="s">
        <v>3296</v>
      </c>
      <c r="D930" s="6" t="s">
        <v>3297</v>
      </c>
      <c r="F930" s="6" t="s">
        <v>3297</v>
      </c>
      <c r="G930" s="6" t="s">
        <v>1790</v>
      </c>
      <c r="H930" s="6" t="s">
        <v>3299</v>
      </c>
      <c r="I930" s="6">
        <v>5</v>
      </c>
      <c r="J930" s="6">
        <v>0</v>
      </c>
      <c r="K930" s="6">
        <v>0</v>
      </c>
      <c r="L930" s="6">
        <v>0</v>
      </c>
      <c r="M930" s="6">
        <v>0</v>
      </c>
      <c r="N930" s="6">
        <v>0.25</v>
      </c>
      <c r="O930" s="6">
        <v>0.25</v>
      </c>
    </row>
    <row r="931" spans="1:15" hidden="1">
      <c r="A931" s="6" t="s">
        <v>1786</v>
      </c>
      <c r="B931" s="6" t="s">
        <v>3295</v>
      </c>
      <c r="C931" s="6" t="s">
        <v>3296</v>
      </c>
      <c r="D931" s="6" t="s">
        <v>3300</v>
      </c>
      <c r="E931" s="6" t="s">
        <v>3301</v>
      </c>
      <c r="F931" s="6" t="s">
        <v>3302</v>
      </c>
      <c r="G931" s="6" t="s">
        <v>1790</v>
      </c>
      <c r="H931" s="6" t="s">
        <v>3303</v>
      </c>
      <c r="I931" s="6">
        <v>2</v>
      </c>
      <c r="J931" s="6">
        <v>0</v>
      </c>
      <c r="K931" s="6">
        <v>0</v>
      </c>
      <c r="L931" s="6">
        <v>0</v>
      </c>
      <c r="M931" s="6">
        <v>0</v>
      </c>
      <c r="N931" s="6">
        <v>1</v>
      </c>
      <c r="O931" s="6">
        <v>1</v>
      </c>
    </row>
    <row r="932" spans="1:15" hidden="1">
      <c r="A932" s="6" t="s">
        <v>1786</v>
      </c>
      <c r="B932" s="6" t="s">
        <v>3295</v>
      </c>
      <c r="C932" s="6" t="s">
        <v>3296</v>
      </c>
      <c r="D932" s="6" t="s">
        <v>3304</v>
      </c>
      <c r="E932" s="6" t="s">
        <v>3305</v>
      </c>
      <c r="F932" s="6" t="s">
        <v>3306</v>
      </c>
      <c r="G932" s="6" t="s">
        <v>1790</v>
      </c>
      <c r="H932" s="6" t="s">
        <v>3306</v>
      </c>
      <c r="I932" s="6">
        <v>1</v>
      </c>
      <c r="J932" s="6">
        <v>0</v>
      </c>
      <c r="K932" s="6">
        <v>0</v>
      </c>
      <c r="L932" s="6">
        <v>0</v>
      </c>
      <c r="M932" s="6">
        <v>0</v>
      </c>
      <c r="N932" s="6">
        <v>1</v>
      </c>
      <c r="O932" s="6">
        <v>1</v>
      </c>
    </row>
    <row r="933" spans="1:15" hidden="1">
      <c r="A933" s="6" t="s">
        <v>1786</v>
      </c>
      <c r="B933" s="6" t="s">
        <v>3295</v>
      </c>
      <c r="C933" s="6" t="s">
        <v>3296</v>
      </c>
      <c r="D933" s="6" t="s">
        <v>3304</v>
      </c>
      <c r="E933" s="6" t="s">
        <v>3307</v>
      </c>
      <c r="F933" s="6" t="s">
        <v>3308</v>
      </c>
      <c r="G933" s="6" t="s">
        <v>1790</v>
      </c>
      <c r="H933" s="6" t="s">
        <v>3309</v>
      </c>
      <c r="I933" s="6">
        <v>4</v>
      </c>
      <c r="J933" s="6">
        <v>1</v>
      </c>
      <c r="K933" s="6">
        <v>0.25</v>
      </c>
      <c r="L933" s="6">
        <v>0.36</v>
      </c>
      <c r="M933" s="6">
        <v>0.36</v>
      </c>
      <c r="N933" s="6">
        <v>1</v>
      </c>
      <c r="O933" s="6">
        <v>1</v>
      </c>
    </row>
    <row r="934" spans="1:15" hidden="1">
      <c r="A934" s="6" t="s">
        <v>1786</v>
      </c>
      <c r="B934" s="6" t="s">
        <v>3295</v>
      </c>
      <c r="C934" s="6" t="s">
        <v>3296</v>
      </c>
      <c r="D934" s="6" t="s">
        <v>3310</v>
      </c>
      <c r="F934" s="6" t="s">
        <v>2734</v>
      </c>
      <c r="G934" s="6" t="s">
        <v>1790</v>
      </c>
      <c r="H934" s="6" t="s">
        <v>3311</v>
      </c>
      <c r="I934" s="6">
        <v>2</v>
      </c>
      <c r="J934" s="6">
        <v>0</v>
      </c>
      <c r="K934" s="6">
        <v>0</v>
      </c>
      <c r="L934" s="6">
        <v>0</v>
      </c>
      <c r="M934" s="6">
        <v>0</v>
      </c>
      <c r="N934" s="6">
        <v>1</v>
      </c>
      <c r="O934" s="6">
        <v>1</v>
      </c>
    </row>
    <row r="935" spans="1:15" hidden="1">
      <c r="A935" s="6" t="s">
        <v>1786</v>
      </c>
      <c r="B935" s="6" t="s">
        <v>3295</v>
      </c>
      <c r="C935" s="6" t="s">
        <v>3296</v>
      </c>
      <c r="D935" s="6" t="s">
        <v>3310</v>
      </c>
      <c r="E935" s="6" t="s">
        <v>3312</v>
      </c>
      <c r="F935" s="6" t="s">
        <v>3313</v>
      </c>
      <c r="G935" s="6" t="s">
        <v>1790</v>
      </c>
      <c r="H935" s="6" t="s">
        <v>3314</v>
      </c>
      <c r="I935" s="6">
        <v>1</v>
      </c>
      <c r="J935" s="6">
        <v>0</v>
      </c>
      <c r="K935" s="6">
        <v>0</v>
      </c>
      <c r="L935" s="6">
        <v>0</v>
      </c>
      <c r="M935" s="6">
        <v>0</v>
      </c>
      <c r="N935" s="6">
        <v>1</v>
      </c>
      <c r="O935" s="6">
        <v>1</v>
      </c>
    </row>
    <row r="936" spans="1:15" hidden="1">
      <c r="A936" s="6" t="s">
        <v>1786</v>
      </c>
      <c r="B936" s="6" t="s">
        <v>3295</v>
      </c>
      <c r="C936" s="6" t="s">
        <v>3296</v>
      </c>
      <c r="D936" s="6" t="s">
        <v>3315</v>
      </c>
      <c r="E936" s="6" t="s">
        <v>3316</v>
      </c>
      <c r="F936" s="6" t="s">
        <v>3315</v>
      </c>
      <c r="G936" s="6" t="s">
        <v>1790</v>
      </c>
      <c r="H936" s="6" t="s">
        <v>3317</v>
      </c>
      <c r="I936" s="6">
        <v>2</v>
      </c>
      <c r="J936" s="6">
        <v>0</v>
      </c>
      <c r="K936" s="6">
        <v>0</v>
      </c>
      <c r="L936" s="6">
        <v>0</v>
      </c>
      <c r="M936" s="6">
        <v>0</v>
      </c>
      <c r="N936" s="6">
        <v>1</v>
      </c>
      <c r="O936" s="6">
        <v>1</v>
      </c>
    </row>
    <row r="937" spans="1:15" hidden="1">
      <c r="A937" s="6" t="s">
        <v>1786</v>
      </c>
      <c r="B937" s="6" t="s">
        <v>3318</v>
      </c>
      <c r="C937" s="6" t="s">
        <v>3319</v>
      </c>
      <c r="D937" s="6" t="s">
        <v>3320</v>
      </c>
      <c r="G937" s="6" t="s">
        <v>1790</v>
      </c>
      <c r="H937" s="6" t="s">
        <v>3320</v>
      </c>
      <c r="I937" s="6">
        <v>1</v>
      </c>
      <c r="J937" s="6">
        <v>0</v>
      </c>
      <c r="K937" s="6">
        <v>0</v>
      </c>
      <c r="L937" s="6">
        <v>0</v>
      </c>
      <c r="M937" s="6">
        <v>0</v>
      </c>
      <c r="N937" s="6">
        <v>1</v>
      </c>
      <c r="O937" s="6">
        <v>1</v>
      </c>
    </row>
    <row r="938" spans="1:15" hidden="1">
      <c r="A938" s="6" t="s">
        <v>1786</v>
      </c>
      <c r="B938" s="6" t="s">
        <v>3318</v>
      </c>
      <c r="C938" s="6" t="s">
        <v>3321</v>
      </c>
      <c r="G938" s="6" t="s">
        <v>1790</v>
      </c>
      <c r="H938" s="6" t="s">
        <v>3321</v>
      </c>
      <c r="I938" s="6">
        <v>23</v>
      </c>
      <c r="J938" s="6">
        <v>2</v>
      </c>
      <c r="K938" s="6">
        <v>8.6999999999999994E-2</v>
      </c>
      <c r="L938" s="6">
        <v>0.15</v>
      </c>
      <c r="M938" s="6">
        <v>0.3</v>
      </c>
      <c r="N938" s="6">
        <v>0.8095</v>
      </c>
      <c r="O938" s="6">
        <v>0.61899999999999999</v>
      </c>
    </row>
    <row r="939" spans="1:15" hidden="1">
      <c r="A939" s="6" t="s">
        <v>1786</v>
      </c>
      <c r="B939" s="6" t="s">
        <v>3318</v>
      </c>
      <c r="C939" s="6" t="s">
        <v>3321</v>
      </c>
      <c r="F939" s="6" t="s">
        <v>1764</v>
      </c>
      <c r="G939" s="6" t="s">
        <v>1790</v>
      </c>
      <c r="H939" s="6" t="s">
        <v>1764</v>
      </c>
      <c r="I939" s="6">
        <v>8</v>
      </c>
      <c r="J939" s="6">
        <v>1</v>
      </c>
      <c r="K939" s="6">
        <v>0.125</v>
      </c>
      <c r="L939" s="6">
        <v>0.1</v>
      </c>
      <c r="M939" s="6">
        <v>0.1</v>
      </c>
      <c r="N939" s="6">
        <v>1</v>
      </c>
      <c r="O939" s="6">
        <v>0.875</v>
      </c>
    </row>
    <row r="940" spans="1:15" hidden="1">
      <c r="A940" s="6" t="s">
        <v>1786</v>
      </c>
      <c r="B940" s="6" t="s">
        <v>3318</v>
      </c>
      <c r="C940" s="6" t="s">
        <v>3321</v>
      </c>
      <c r="F940" s="6" t="s">
        <v>3322</v>
      </c>
      <c r="G940" s="6" t="s">
        <v>1790</v>
      </c>
      <c r="H940" s="6" t="s">
        <v>3322</v>
      </c>
      <c r="I940" s="6">
        <v>1</v>
      </c>
      <c r="J940" s="6">
        <v>0</v>
      </c>
      <c r="K940" s="6">
        <v>0</v>
      </c>
      <c r="L940" s="6">
        <v>0</v>
      </c>
      <c r="M940" s="6">
        <v>0</v>
      </c>
      <c r="N940" s="6">
        <v>1</v>
      </c>
      <c r="O940" s="6">
        <v>1</v>
      </c>
    </row>
    <row r="941" spans="1:15" hidden="1">
      <c r="A941" s="6" t="s">
        <v>1786</v>
      </c>
      <c r="B941" s="6" t="s">
        <v>3318</v>
      </c>
      <c r="C941" s="6" t="s">
        <v>3321</v>
      </c>
      <c r="E941" s="6" t="s">
        <v>3323</v>
      </c>
      <c r="G941" s="6" t="s">
        <v>1790</v>
      </c>
      <c r="H941" s="6" t="s">
        <v>3323</v>
      </c>
      <c r="I941" s="6">
        <v>6</v>
      </c>
      <c r="J941" s="6">
        <v>0</v>
      </c>
      <c r="K941" s="6">
        <v>0</v>
      </c>
      <c r="L941" s="6">
        <v>0</v>
      </c>
      <c r="M941" s="6">
        <v>0</v>
      </c>
      <c r="N941" s="6">
        <v>0.5</v>
      </c>
      <c r="O941" s="6">
        <v>0.16670000000000001</v>
      </c>
    </row>
    <row r="942" spans="1:15" hidden="1">
      <c r="A942" s="6" t="s">
        <v>1786</v>
      </c>
      <c r="B942" s="6" t="s">
        <v>3318</v>
      </c>
      <c r="C942" s="6" t="s">
        <v>350</v>
      </c>
      <c r="D942" s="6" t="s">
        <v>3324</v>
      </c>
      <c r="F942" s="6" t="s">
        <v>3324</v>
      </c>
      <c r="G942" s="6" t="s">
        <v>1790</v>
      </c>
      <c r="H942" s="6" t="s">
        <v>3324</v>
      </c>
      <c r="I942" s="6">
        <v>9</v>
      </c>
      <c r="J942" s="6">
        <v>1</v>
      </c>
      <c r="K942" s="6">
        <v>0.11109999999999999</v>
      </c>
      <c r="L942" s="6">
        <v>0.51</v>
      </c>
      <c r="M942" s="6">
        <v>0.51</v>
      </c>
      <c r="N942" s="6">
        <v>1</v>
      </c>
      <c r="O942" s="6">
        <v>1</v>
      </c>
    </row>
    <row r="943" spans="1:15" hidden="1">
      <c r="A943" s="6" t="s">
        <v>1786</v>
      </c>
      <c r="B943" s="6" t="s">
        <v>3318</v>
      </c>
      <c r="C943" s="6" t="s">
        <v>350</v>
      </c>
      <c r="D943" s="6" t="s">
        <v>3324</v>
      </c>
      <c r="E943" s="6" t="s">
        <v>3325</v>
      </c>
      <c r="F943" s="6" t="s">
        <v>3325</v>
      </c>
      <c r="G943" s="6" t="s">
        <v>1790</v>
      </c>
      <c r="H943" s="6" t="s">
        <v>3326</v>
      </c>
      <c r="I943" s="6">
        <v>1</v>
      </c>
      <c r="J943" s="6">
        <v>0</v>
      </c>
      <c r="K943" s="6">
        <v>0</v>
      </c>
      <c r="L943" s="6">
        <v>0</v>
      </c>
      <c r="M943" s="6">
        <v>0</v>
      </c>
      <c r="N943" s="6">
        <v>1</v>
      </c>
      <c r="O943" s="6">
        <v>1</v>
      </c>
    </row>
    <row r="944" spans="1:15" hidden="1">
      <c r="A944" s="6" t="s">
        <v>1786</v>
      </c>
      <c r="B944" s="6" t="s">
        <v>3318</v>
      </c>
      <c r="C944" s="6" t="s">
        <v>350</v>
      </c>
      <c r="D944" s="6" t="s">
        <v>3327</v>
      </c>
      <c r="F944" s="6" t="s">
        <v>3328</v>
      </c>
      <c r="G944" s="6" t="s">
        <v>1790</v>
      </c>
      <c r="H944" s="6" t="s">
        <v>3329</v>
      </c>
      <c r="I944" s="6">
        <v>1</v>
      </c>
      <c r="J944" s="6">
        <v>0</v>
      </c>
      <c r="K944" s="6">
        <v>0</v>
      </c>
      <c r="L944" s="6">
        <v>0</v>
      </c>
      <c r="M944" s="6">
        <v>0</v>
      </c>
      <c r="N944" s="6">
        <v>1</v>
      </c>
      <c r="O944" s="6">
        <v>1</v>
      </c>
    </row>
    <row r="945" spans="1:15" hidden="1">
      <c r="A945" s="6" t="s">
        <v>1786</v>
      </c>
      <c r="B945" s="6" t="s">
        <v>3318</v>
      </c>
      <c r="C945" s="6" t="s">
        <v>350</v>
      </c>
      <c r="D945" s="6" t="s">
        <v>3327</v>
      </c>
      <c r="F945" s="6" t="s">
        <v>3328</v>
      </c>
      <c r="G945" s="6" t="s">
        <v>1790</v>
      </c>
      <c r="H945" s="6" t="s">
        <v>3330</v>
      </c>
      <c r="I945" s="6">
        <v>4</v>
      </c>
      <c r="J945" s="6">
        <v>0</v>
      </c>
      <c r="K945" s="6">
        <v>0</v>
      </c>
      <c r="L945" s="6">
        <v>0</v>
      </c>
      <c r="M945" s="6">
        <v>0</v>
      </c>
      <c r="N945" s="6">
        <v>0.33329999999999999</v>
      </c>
      <c r="O945" s="6">
        <v>0.33329999999999999</v>
      </c>
    </row>
    <row r="946" spans="1:15" hidden="1">
      <c r="A946" s="6" t="s">
        <v>1786</v>
      </c>
      <c r="B946" s="6" t="s">
        <v>3318</v>
      </c>
      <c r="C946" s="6" t="s">
        <v>350</v>
      </c>
      <c r="D946" s="6" t="s">
        <v>3327</v>
      </c>
      <c r="F946" s="6" t="s">
        <v>3328</v>
      </c>
      <c r="G946" s="6" t="s">
        <v>1790</v>
      </c>
      <c r="H946" s="6" t="s">
        <v>3331</v>
      </c>
      <c r="I946" s="6">
        <v>9</v>
      </c>
      <c r="J946" s="6">
        <v>1</v>
      </c>
      <c r="K946" s="6">
        <v>0.11109999999999999</v>
      </c>
      <c r="L946" s="6">
        <v>0.6</v>
      </c>
      <c r="M946" s="6">
        <v>0.6</v>
      </c>
      <c r="N946" s="6">
        <v>1</v>
      </c>
      <c r="O946" s="6">
        <v>0.85709999999999997</v>
      </c>
    </row>
    <row r="947" spans="1:15" hidden="1">
      <c r="A947" s="6" t="s">
        <v>1786</v>
      </c>
      <c r="B947" s="6" t="s">
        <v>3318</v>
      </c>
      <c r="C947" s="6" t="s">
        <v>350</v>
      </c>
      <c r="D947" s="6" t="s">
        <v>3327</v>
      </c>
      <c r="F947" s="6" t="s">
        <v>3328</v>
      </c>
      <c r="G947" s="6" t="s">
        <v>1790</v>
      </c>
      <c r="H947" s="6" t="s">
        <v>3328</v>
      </c>
      <c r="I947" s="6">
        <v>2</v>
      </c>
      <c r="J947" s="6">
        <v>0</v>
      </c>
      <c r="K947" s="6">
        <v>0</v>
      </c>
      <c r="L947" s="6">
        <v>0</v>
      </c>
      <c r="M947" s="6">
        <v>0</v>
      </c>
      <c r="N947" s="6">
        <v>1</v>
      </c>
      <c r="O947" s="6">
        <v>1</v>
      </c>
    </row>
    <row r="948" spans="1:15" hidden="1">
      <c r="A948" s="6" t="s">
        <v>1786</v>
      </c>
      <c r="B948" s="6" t="s">
        <v>3318</v>
      </c>
      <c r="C948" s="6" t="s">
        <v>350</v>
      </c>
      <c r="D948" s="6" t="s">
        <v>3332</v>
      </c>
      <c r="F948" s="6" t="s">
        <v>3333</v>
      </c>
      <c r="G948" s="6" t="s">
        <v>1790</v>
      </c>
      <c r="H948" s="6" t="s">
        <v>3334</v>
      </c>
      <c r="I948" s="6">
        <v>1</v>
      </c>
      <c r="J948" s="6">
        <v>0</v>
      </c>
      <c r="K948" s="6">
        <v>0</v>
      </c>
      <c r="L948" s="6">
        <v>0</v>
      </c>
      <c r="M948" s="6">
        <v>0</v>
      </c>
      <c r="N948" s="6">
        <v>1</v>
      </c>
      <c r="O948" s="6">
        <v>1</v>
      </c>
    </row>
    <row r="949" spans="1:15" hidden="1">
      <c r="A949" s="6" t="s">
        <v>1786</v>
      </c>
      <c r="B949" s="6" t="s">
        <v>3318</v>
      </c>
      <c r="C949" s="6" t="s">
        <v>350</v>
      </c>
      <c r="D949" s="6" t="s">
        <v>3332</v>
      </c>
      <c r="F949" s="6" t="s">
        <v>3333</v>
      </c>
      <c r="G949" s="6" t="s">
        <v>1790</v>
      </c>
      <c r="H949" s="6" t="s">
        <v>3335</v>
      </c>
      <c r="I949" s="6">
        <v>4</v>
      </c>
      <c r="J949" s="6">
        <v>0</v>
      </c>
      <c r="K949" s="6">
        <v>0</v>
      </c>
      <c r="L949" s="6">
        <v>0</v>
      </c>
      <c r="M949" s="6">
        <v>0</v>
      </c>
      <c r="N949" s="6">
        <v>1</v>
      </c>
      <c r="O949" s="6">
        <v>1</v>
      </c>
    </row>
    <row r="950" spans="1:15" hidden="1">
      <c r="A950" s="6" t="s">
        <v>1786</v>
      </c>
      <c r="B950" s="6" t="s">
        <v>3318</v>
      </c>
      <c r="C950" s="6" t="s">
        <v>350</v>
      </c>
      <c r="D950" s="6" t="s">
        <v>3332</v>
      </c>
      <c r="F950" s="6" t="s">
        <v>3333</v>
      </c>
      <c r="G950" s="6" t="s">
        <v>1790</v>
      </c>
      <c r="H950" s="6" t="s">
        <v>3336</v>
      </c>
      <c r="I950" s="6">
        <v>5</v>
      </c>
      <c r="J950" s="6">
        <v>1</v>
      </c>
      <c r="K950" s="6">
        <v>0.2</v>
      </c>
      <c r="L950" s="6">
        <v>0.63</v>
      </c>
      <c r="M950" s="6">
        <v>0.63</v>
      </c>
      <c r="N950" s="6">
        <v>0.66670000000000007</v>
      </c>
      <c r="O950" s="6">
        <v>0.66670000000000007</v>
      </c>
    </row>
    <row r="951" spans="1:15" hidden="1">
      <c r="A951" s="6" t="s">
        <v>1786</v>
      </c>
      <c r="B951" s="6" t="s">
        <v>3318</v>
      </c>
      <c r="C951" s="6" t="s">
        <v>350</v>
      </c>
      <c r="D951" s="6" t="s">
        <v>3332</v>
      </c>
      <c r="F951" s="6" t="s">
        <v>3333</v>
      </c>
      <c r="G951" s="6" t="s">
        <v>1790</v>
      </c>
      <c r="H951" s="6" t="s">
        <v>3337</v>
      </c>
      <c r="I951" s="6">
        <v>3</v>
      </c>
      <c r="J951" s="6">
        <v>2</v>
      </c>
      <c r="K951" s="6">
        <v>0.66670000000000007</v>
      </c>
      <c r="L951" s="6">
        <v>0.02</v>
      </c>
      <c r="M951" s="6">
        <v>0.03</v>
      </c>
      <c r="N951" s="6">
        <v>1</v>
      </c>
      <c r="O951" s="6">
        <v>1</v>
      </c>
    </row>
    <row r="952" spans="1:15" hidden="1">
      <c r="A952" s="6" t="s">
        <v>1786</v>
      </c>
      <c r="B952" s="6" t="s">
        <v>3318</v>
      </c>
      <c r="C952" s="6" t="s">
        <v>350</v>
      </c>
      <c r="D952" s="6" t="s">
        <v>3332</v>
      </c>
      <c r="F952" s="6" t="s">
        <v>3333</v>
      </c>
      <c r="G952" s="6" t="s">
        <v>1790</v>
      </c>
      <c r="H952" s="6" t="s">
        <v>3338</v>
      </c>
      <c r="I952" s="6">
        <v>1</v>
      </c>
      <c r="J952" s="6">
        <v>0</v>
      </c>
      <c r="K952" s="6">
        <v>0</v>
      </c>
      <c r="L952" s="6">
        <v>0</v>
      </c>
      <c r="M952" s="6">
        <v>0</v>
      </c>
      <c r="N952" s="6">
        <v>1</v>
      </c>
      <c r="O952" s="6">
        <v>0</v>
      </c>
    </row>
    <row r="953" spans="1:15" hidden="1">
      <c r="A953" s="6" t="s">
        <v>1786</v>
      </c>
      <c r="B953" s="6" t="s">
        <v>3318</v>
      </c>
      <c r="C953" s="6" t="s">
        <v>350</v>
      </c>
      <c r="D953" s="6" t="s">
        <v>3332</v>
      </c>
      <c r="F953" s="6" t="s">
        <v>3333</v>
      </c>
      <c r="G953" s="6" t="s">
        <v>1790</v>
      </c>
      <c r="H953" s="6" t="s">
        <v>3339</v>
      </c>
      <c r="I953" s="6">
        <v>4</v>
      </c>
      <c r="J953" s="6">
        <v>0</v>
      </c>
      <c r="K953" s="6">
        <v>0</v>
      </c>
      <c r="L953" s="6">
        <v>0</v>
      </c>
      <c r="M953" s="6">
        <v>0</v>
      </c>
      <c r="N953" s="6">
        <v>1</v>
      </c>
      <c r="O953" s="6">
        <v>1</v>
      </c>
    </row>
    <row r="954" spans="1:15" hidden="1">
      <c r="A954" s="6" t="s">
        <v>1786</v>
      </c>
      <c r="B954" s="6" t="s">
        <v>3318</v>
      </c>
      <c r="C954" s="6" t="s">
        <v>350</v>
      </c>
      <c r="D954" s="6" t="s">
        <v>3332</v>
      </c>
      <c r="F954" s="6" t="s">
        <v>3333</v>
      </c>
      <c r="G954" s="6" t="s">
        <v>1790</v>
      </c>
      <c r="H954" s="6" t="s">
        <v>3340</v>
      </c>
      <c r="I954" s="6">
        <v>2</v>
      </c>
      <c r="J954" s="6">
        <v>0</v>
      </c>
      <c r="K954" s="6">
        <v>0</v>
      </c>
      <c r="L954" s="6">
        <v>0</v>
      </c>
      <c r="M954" s="6">
        <v>0</v>
      </c>
      <c r="N954" s="6">
        <v>1</v>
      </c>
      <c r="O954" s="6">
        <v>1</v>
      </c>
    </row>
    <row r="955" spans="1:15" hidden="1">
      <c r="A955" s="6" t="s">
        <v>1786</v>
      </c>
      <c r="B955" s="6" t="s">
        <v>3318</v>
      </c>
      <c r="C955" s="6" t="s">
        <v>350</v>
      </c>
      <c r="D955" s="6" t="s">
        <v>3332</v>
      </c>
      <c r="F955" s="6" t="s">
        <v>3333</v>
      </c>
      <c r="G955" s="6" t="s">
        <v>1790</v>
      </c>
      <c r="H955" s="6" t="s">
        <v>3341</v>
      </c>
      <c r="I955" s="6">
        <v>7</v>
      </c>
      <c r="J955" s="6">
        <v>0</v>
      </c>
      <c r="K955" s="6">
        <v>0</v>
      </c>
      <c r="L955" s="6">
        <v>0</v>
      </c>
      <c r="M955" s="6">
        <v>0</v>
      </c>
      <c r="N955" s="6">
        <v>1</v>
      </c>
      <c r="O955" s="6">
        <v>1</v>
      </c>
    </row>
    <row r="956" spans="1:15" hidden="1">
      <c r="A956" s="6" t="s">
        <v>1786</v>
      </c>
      <c r="B956" s="6" t="s">
        <v>3318</v>
      </c>
      <c r="C956" s="6" t="s">
        <v>350</v>
      </c>
      <c r="D956" s="6" t="s">
        <v>3332</v>
      </c>
      <c r="F956" s="6" t="s">
        <v>3333</v>
      </c>
      <c r="G956" s="6" t="s">
        <v>1790</v>
      </c>
      <c r="H956" s="6" t="s">
        <v>3342</v>
      </c>
      <c r="I956" s="6">
        <v>2</v>
      </c>
      <c r="J956" s="6">
        <v>0</v>
      </c>
      <c r="K956" s="6">
        <v>0</v>
      </c>
      <c r="L956" s="6">
        <v>0</v>
      </c>
      <c r="M956" s="6">
        <v>0</v>
      </c>
      <c r="N956" s="6">
        <v>1</v>
      </c>
      <c r="O956" s="6">
        <v>1</v>
      </c>
    </row>
    <row r="957" spans="1:15" hidden="1">
      <c r="A957" s="6" t="s">
        <v>1786</v>
      </c>
      <c r="B957" s="6" t="s">
        <v>3318</v>
      </c>
      <c r="C957" s="6" t="s">
        <v>350</v>
      </c>
      <c r="D957" s="6" t="s">
        <v>3332</v>
      </c>
      <c r="F957" s="6" t="s">
        <v>3333</v>
      </c>
      <c r="G957" s="6" t="s">
        <v>1790</v>
      </c>
      <c r="H957" s="6" t="s">
        <v>3343</v>
      </c>
      <c r="I957" s="6">
        <v>1</v>
      </c>
      <c r="J957" s="6">
        <v>0</v>
      </c>
      <c r="K957" s="6">
        <v>0</v>
      </c>
      <c r="L957" s="6">
        <v>0</v>
      </c>
      <c r="M957" s="6">
        <v>0</v>
      </c>
      <c r="N957" s="6">
        <v>1</v>
      </c>
      <c r="O957" s="6">
        <v>0</v>
      </c>
    </row>
    <row r="958" spans="1:15" hidden="1">
      <c r="A958" s="6" t="s">
        <v>1786</v>
      </c>
      <c r="B958" s="6" t="s">
        <v>3318</v>
      </c>
      <c r="C958" s="6" t="s">
        <v>350</v>
      </c>
      <c r="D958" s="6" t="s">
        <v>3332</v>
      </c>
      <c r="F958" s="6" t="s">
        <v>3333</v>
      </c>
      <c r="G958" s="6" t="s">
        <v>1790</v>
      </c>
      <c r="H958" s="6" t="s">
        <v>3344</v>
      </c>
      <c r="I958" s="6">
        <v>7</v>
      </c>
      <c r="J958" s="6">
        <v>1</v>
      </c>
      <c r="K958" s="6">
        <v>0.1429</v>
      </c>
      <c r="L958" s="6">
        <v>0.74</v>
      </c>
      <c r="M958" s="6">
        <v>0.74</v>
      </c>
      <c r="N958" s="6">
        <v>0.75</v>
      </c>
      <c r="O958" s="6">
        <v>0.75</v>
      </c>
    </row>
    <row r="959" spans="1:15" hidden="1">
      <c r="A959" s="6" t="s">
        <v>1786</v>
      </c>
      <c r="B959" s="6" t="s">
        <v>3318</v>
      </c>
      <c r="C959" s="6" t="s">
        <v>350</v>
      </c>
      <c r="D959" s="6" t="s">
        <v>3332</v>
      </c>
      <c r="F959" s="6" t="s">
        <v>3333</v>
      </c>
      <c r="G959" s="6" t="s">
        <v>1790</v>
      </c>
      <c r="H959" s="6" t="s">
        <v>3345</v>
      </c>
      <c r="I959" s="6">
        <v>4</v>
      </c>
      <c r="J959" s="6">
        <v>1</v>
      </c>
      <c r="K959" s="6">
        <v>0.25</v>
      </c>
      <c r="L959" s="6">
        <v>0.45</v>
      </c>
      <c r="M959" s="6">
        <v>0.45</v>
      </c>
      <c r="N959" s="6">
        <v>1</v>
      </c>
      <c r="O959" s="6">
        <v>1</v>
      </c>
    </row>
    <row r="960" spans="1:15" hidden="1">
      <c r="A960" s="6" t="s">
        <v>1786</v>
      </c>
      <c r="B960" s="6" t="s">
        <v>3318</v>
      </c>
      <c r="C960" s="6" t="s">
        <v>350</v>
      </c>
      <c r="D960" s="6" t="s">
        <v>3332</v>
      </c>
      <c r="F960" s="6" t="s">
        <v>3333</v>
      </c>
      <c r="G960" s="6" t="s">
        <v>1790</v>
      </c>
      <c r="H960" s="6" t="s">
        <v>3333</v>
      </c>
      <c r="I960" s="6">
        <v>17</v>
      </c>
      <c r="J960" s="6">
        <v>1</v>
      </c>
      <c r="K960" s="6">
        <v>5.8799999999999998E-2</v>
      </c>
      <c r="L960" s="6">
        <v>0.1</v>
      </c>
      <c r="M960" s="6">
        <v>0.1</v>
      </c>
      <c r="N960" s="6">
        <v>0.875</v>
      </c>
      <c r="O960" s="6">
        <v>0.8125</v>
      </c>
    </row>
    <row r="961" spans="1:15" hidden="1">
      <c r="A961" s="6" t="s">
        <v>1786</v>
      </c>
      <c r="B961" s="6" t="s">
        <v>3318</v>
      </c>
      <c r="C961" s="6" t="s">
        <v>350</v>
      </c>
      <c r="D961" s="6" t="s">
        <v>3332</v>
      </c>
      <c r="E961" s="6" t="s">
        <v>3346</v>
      </c>
      <c r="F961" s="6" t="s">
        <v>3346</v>
      </c>
      <c r="G961" s="6" t="s">
        <v>1790</v>
      </c>
      <c r="H961" s="6" t="s">
        <v>3347</v>
      </c>
      <c r="I961" s="6">
        <v>1</v>
      </c>
      <c r="J961" s="6">
        <v>0</v>
      </c>
      <c r="K961" s="6">
        <v>0</v>
      </c>
      <c r="L961" s="6">
        <v>0</v>
      </c>
      <c r="M961" s="6">
        <v>0</v>
      </c>
      <c r="N961" s="6">
        <v>1</v>
      </c>
      <c r="O961" s="6">
        <v>1</v>
      </c>
    </row>
    <row r="962" spans="1:15" hidden="1">
      <c r="A962" s="6" t="s">
        <v>1786</v>
      </c>
      <c r="B962" s="6" t="s">
        <v>3318</v>
      </c>
      <c r="C962" s="6" t="s">
        <v>3348</v>
      </c>
      <c r="D962" s="6" t="s">
        <v>3349</v>
      </c>
      <c r="F962" s="6" t="s">
        <v>3350</v>
      </c>
      <c r="G962" s="6" t="s">
        <v>1790</v>
      </c>
      <c r="H962" s="6" t="s">
        <v>3350</v>
      </c>
      <c r="I962" s="6">
        <v>8</v>
      </c>
      <c r="J962" s="6">
        <v>1</v>
      </c>
      <c r="K962" s="6">
        <v>0.125</v>
      </c>
      <c r="L962" s="6">
        <v>0.62</v>
      </c>
      <c r="M962" s="6">
        <v>0.62</v>
      </c>
      <c r="N962" s="6">
        <v>0.6</v>
      </c>
      <c r="O962" s="6">
        <v>0.6</v>
      </c>
    </row>
    <row r="963" spans="1:15" hidden="1">
      <c r="A963" s="6" t="s">
        <v>1786</v>
      </c>
      <c r="B963" s="6" t="s">
        <v>3318</v>
      </c>
      <c r="C963" s="6" t="s">
        <v>3348</v>
      </c>
      <c r="D963" s="6" t="s">
        <v>3351</v>
      </c>
      <c r="E963" s="6" t="s">
        <v>3352</v>
      </c>
      <c r="G963" s="6" t="s">
        <v>1790</v>
      </c>
      <c r="H963" s="6" t="s">
        <v>3352</v>
      </c>
      <c r="I963" s="6">
        <v>1</v>
      </c>
      <c r="J963" s="6">
        <v>0</v>
      </c>
      <c r="K963" s="6">
        <v>0</v>
      </c>
      <c r="L963" s="6">
        <v>0</v>
      </c>
      <c r="M963" s="6">
        <v>0</v>
      </c>
      <c r="N963" s="6">
        <v>0</v>
      </c>
      <c r="O963" s="6">
        <v>0</v>
      </c>
    </row>
    <row r="964" spans="1:15" hidden="1">
      <c r="A964" s="6" t="s">
        <v>1786</v>
      </c>
      <c r="B964" s="6" t="s">
        <v>3318</v>
      </c>
      <c r="C964" s="6" t="s">
        <v>236</v>
      </c>
      <c r="D964" s="6" t="s">
        <v>3353</v>
      </c>
      <c r="F964" s="6" t="s">
        <v>3354</v>
      </c>
      <c r="G964" s="6" t="s">
        <v>1790</v>
      </c>
      <c r="H964" s="6" t="s">
        <v>3355</v>
      </c>
      <c r="I964" s="6">
        <v>7</v>
      </c>
      <c r="J964" s="6">
        <v>1</v>
      </c>
      <c r="K964" s="6">
        <v>0.1429</v>
      </c>
      <c r="L964" s="6">
        <v>0.01</v>
      </c>
      <c r="M964" s="6">
        <v>0.01</v>
      </c>
      <c r="N964" s="6">
        <v>1</v>
      </c>
      <c r="O964" s="6">
        <v>1</v>
      </c>
    </row>
    <row r="965" spans="1:15" hidden="1">
      <c r="A965" s="6" t="s">
        <v>1786</v>
      </c>
      <c r="B965" s="6" t="s">
        <v>3318</v>
      </c>
      <c r="C965" s="6" t="s">
        <v>236</v>
      </c>
      <c r="D965" s="6" t="s">
        <v>3353</v>
      </c>
      <c r="F965" s="6" t="s">
        <v>3354</v>
      </c>
      <c r="G965" s="6" t="s">
        <v>1790</v>
      </c>
      <c r="H965" s="6" t="s">
        <v>3356</v>
      </c>
      <c r="I965" s="6">
        <v>1</v>
      </c>
      <c r="J965" s="6">
        <v>0</v>
      </c>
      <c r="K965" s="6">
        <v>0</v>
      </c>
      <c r="L965" s="6">
        <v>0</v>
      </c>
      <c r="M965" s="6">
        <v>0</v>
      </c>
      <c r="N965" s="6">
        <v>1</v>
      </c>
      <c r="O965" s="6">
        <v>1</v>
      </c>
    </row>
    <row r="966" spans="1:15" hidden="1">
      <c r="A966" s="6" t="s">
        <v>1786</v>
      </c>
      <c r="B966" s="6" t="s">
        <v>3318</v>
      </c>
      <c r="C966" s="6" t="s">
        <v>236</v>
      </c>
      <c r="D966" s="6" t="s">
        <v>3353</v>
      </c>
      <c r="F966" s="6" t="s">
        <v>3354</v>
      </c>
      <c r="G966" s="6" t="s">
        <v>1790</v>
      </c>
      <c r="H966" s="6" t="s">
        <v>3357</v>
      </c>
      <c r="I966" s="6">
        <v>1</v>
      </c>
      <c r="J966" s="6">
        <v>0</v>
      </c>
      <c r="K966" s="6">
        <v>0</v>
      </c>
      <c r="L966" s="6">
        <v>0</v>
      </c>
      <c r="M966" s="6">
        <v>0</v>
      </c>
      <c r="N966" s="6">
        <v>1</v>
      </c>
      <c r="O966" s="6">
        <v>1</v>
      </c>
    </row>
    <row r="967" spans="1:15" hidden="1">
      <c r="A967" s="6" t="s">
        <v>1786</v>
      </c>
      <c r="B967" s="6" t="s">
        <v>3318</v>
      </c>
      <c r="C967" s="6" t="s">
        <v>236</v>
      </c>
      <c r="D967" s="6" t="s">
        <v>3353</v>
      </c>
      <c r="F967" s="6" t="s">
        <v>3354</v>
      </c>
      <c r="G967" s="6" t="s">
        <v>1790</v>
      </c>
      <c r="H967" s="6" t="s">
        <v>3354</v>
      </c>
      <c r="I967" s="6">
        <v>3</v>
      </c>
      <c r="J967" s="6">
        <v>0</v>
      </c>
      <c r="K967" s="6">
        <v>0</v>
      </c>
      <c r="L967" s="6">
        <v>0</v>
      </c>
      <c r="M967" s="6">
        <v>0</v>
      </c>
      <c r="N967" s="6">
        <v>1</v>
      </c>
      <c r="O967" s="6">
        <v>1</v>
      </c>
    </row>
    <row r="968" spans="1:15" hidden="1">
      <c r="A968" s="6" t="s">
        <v>1786</v>
      </c>
      <c r="B968" s="6" t="s">
        <v>3318</v>
      </c>
      <c r="C968" s="6" t="s">
        <v>236</v>
      </c>
      <c r="D968" s="6" t="s">
        <v>3358</v>
      </c>
      <c r="E968" s="6" t="s">
        <v>3359</v>
      </c>
      <c r="F968" s="6" t="s">
        <v>3360</v>
      </c>
      <c r="G968" s="6" t="s">
        <v>1790</v>
      </c>
      <c r="H968" s="6" t="s">
        <v>3361</v>
      </c>
      <c r="I968" s="6">
        <v>1</v>
      </c>
      <c r="J968" s="6">
        <v>0</v>
      </c>
      <c r="K968" s="6">
        <v>0</v>
      </c>
      <c r="L968" s="6">
        <v>0</v>
      </c>
      <c r="M968" s="6">
        <v>0</v>
      </c>
      <c r="N968" s="6">
        <v>1</v>
      </c>
      <c r="O968" s="6">
        <v>1</v>
      </c>
    </row>
    <row r="969" spans="1:15" hidden="1">
      <c r="A969" s="6" t="s">
        <v>1786</v>
      </c>
      <c r="B969" s="6" t="s">
        <v>3318</v>
      </c>
      <c r="C969" s="6" t="s">
        <v>236</v>
      </c>
      <c r="D969" s="6" t="s">
        <v>3362</v>
      </c>
      <c r="E969" s="6" t="s">
        <v>3363</v>
      </c>
      <c r="F969" s="6" t="s">
        <v>3364</v>
      </c>
      <c r="G969" s="6" t="s">
        <v>1790</v>
      </c>
      <c r="H969" s="6" t="s">
        <v>3365</v>
      </c>
      <c r="I969" s="6">
        <v>2</v>
      </c>
      <c r="J969" s="6">
        <v>0</v>
      </c>
      <c r="K969" s="6">
        <v>0</v>
      </c>
      <c r="L969" s="6">
        <v>0</v>
      </c>
      <c r="M969" s="6">
        <v>0</v>
      </c>
      <c r="N969" s="6">
        <v>0</v>
      </c>
      <c r="O969" s="6">
        <v>0</v>
      </c>
    </row>
    <row r="970" spans="1:15" hidden="1">
      <c r="A970" s="6" t="s">
        <v>1786</v>
      </c>
      <c r="B970" s="6" t="s">
        <v>3318</v>
      </c>
      <c r="C970" s="6" t="s">
        <v>236</v>
      </c>
      <c r="D970" s="6" t="s">
        <v>3366</v>
      </c>
      <c r="F970" s="6" t="s">
        <v>3367</v>
      </c>
      <c r="G970" s="6" t="s">
        <v>1790</v>
      </c>
      <c r="H970" s="6" t="s">
        <v>3368</v>
      </c>
      <c r="I970" s="6">
        <v>1</v>
      </c>
      <c r="J970" s="6">
        <v>0</v>
      </c>
      <c r="K970" s="6">
        <v>0</v>
      </c>
      <c r="L970" s="6">
        <v>0</v>
      </c>
      <c r="M970" s="6">
        <v>0</v>
      </c>
      <c r="N970" s="6">
        <v>0</v>
      </c>
      <c r="O970" s="6">
        <v>0</v>
      </c>
    </row>
    <row r="971" spans="1:15" hidden="1">
      <c r="A971" s="6" t="s">
        <v>1786</v>
      </c>
      <c r="B971" s="6" t="s">
        <v>3318</v>
      </c>
      <c r="C971" s="6" t="s">
        <v>236</v>
      </c>
      <c r="D971" s="6" t="s">
        <v>3366</v>
      </c>
      <c r="F971" s="6" t="s">
        <v>3369</v>
      </c>
      <c r="G971" s="6" t="s">
        <v>1790</v>
      </c>
      <c r="H971" s="6" t="s">
        <v>3370</v>
      </c>
      <c r="I971" s="6">
        <v>2</v>
      </c>
      <c r="J971" s="6">
        <v>0</v>
      </c>
      <c r="K971" s="6">
        <v>0</v>
      </c>
      <c r="L971" s="6">
        <v>0</v>
      </c>
      <c r="M971" s="6">
        <v>0</v>
      </c>
      <c r="N971" s="6">
        <v>1</v>
      </c>
      <c r="O971" s="6">
        <v>1</v>
      </c>
    </row>
    <row r="972" spans="1:15" hidden="1">
      <c r="A972" s="6" t="s">
        <v>1786</v>
      </c>
      <c r="B972" s="6" t="s">
        <v>3318</v>
      </c>
      <c r="C972" s="6" t="s">
        <v>236</v>
      </c>
      <c r="D972" s="6" t="s">
        <v>3366</v>
      </c>
      <c r="F972" s="6" t="s">
        <v>3369</v>
      </c>
      <c r="G972" s="6" t="s">
        <v>1790</v>
      </c>
      <c r="H972" s="6" t="s">
        <v>3371</v>
      </c>
      <c r="I972" s="6">
        <v>1</v>
      </c>
      <c r="J972" s="6">
        <v>0</v>
      </c>
      <c r="K972" s="6">
        <v>0</v>
      </c>
      <c r="L972" s="6">
        <v>0</v>
      </c>
      <c r="M972" s="6">
        <v>0</v>
      </c>
      <c r="N972" s="6">
        <v>1</v>
      </c>
      <c r="O972" s="6">
        <v>1</v>
      </c>
    </row>
    <row r="973" spans="1:15" hidden="1">
      <c r="A973" s="6" t="s">
        <v>1786</v>
      </c>
      <c r="B973" s="6" t="s">
        <v>3318</v>
      </c>
      <c r="C973" s="6" t="s">
        <v>236</v>
      </c>
      <c r="D973" s="6" t="s">
        <v>3366</v>
      </c>
      <c r="F973" s="6" t="s">
        <v>3369</v>
      </c>
      <c r="G973" s="6" t="s">
        <v>1790</v>
      </c>
      <c r="H973" s="6" t="s">
        <v>3372</v>
      </c>
      <c r="I973" s="6">
        <v>1</v>
      </c>
      <c r="J973" s="6">
        <v>0</v>
      </c>
      <c r="K973" s="6">
        <v>0</v>
      </c>
      <c r="L973" s="6">
        <v>0</v>
      </c>
      <c r="M973" s="6">
        <v>0</v>
      </c>
      <c r="N973" s="6">
        <v>1</v>
      </c>
      <c r="O973" s="6">
        <v>1</v>
      </c>
    </row>
    <row r="974" spans="1:15" hidden="1">
      <c r="A974" s="6" t="s">
        <v>1786</v>
      </c>
      <c r="B974" s="6" t="s">
        <v>3318</v>
      </c>
      <c r="C974" s="6" t="s">
        <v>236</v>
      </c>
      <c r="D974" s="6" t="s">
        <v>3366</v>
      </c>
      <c r="E974" s="6" t="s">
        <v>3373</v>
      </c>
      <c r="F974" s="6" t="s">
        <v>3374</v>
      </c>
      <c r="G974" s="6" t="s">
        <v>1790</v>
      </c>
      <c r="H974" s="6" t="s">
        <v>3375</v>
      </c>
      <c r="I974" s="6">
        <v>1</v>
      </c>
      <c r="J974" s="6">
        <v>0</v>
      </c>
      <c r="K974" s="6">
        <v>0</v>
      </c>
      <c r="L974" s="6">
        <v>0</v>
      </c>
      <c r="M974" s="6">
        <v>0</v>
      </c>
      <c r="N974" s="6">
        <v>0</v>
      </c>
      <c r="O974" s="6">
        <v>0</v>
      </c>
    </row>
    <row r="975" spans="1:15" hidden="1">
      <c r="A975" s="6" t="s">
        <v>1786</v>
      </c>
      <c r="B975" s="6" t="s">
        <v>3318</v>
      </c>
      <c r="C975" s="6" t="s">
        <v>236</v>
      </c>
      <c r="D975" s="6" t="s">
        <v>3366</v>
      </c>
      <c r="E975" s="6" t="s">
        <v>3376</v>
      </c>
      <c r="G975" s="6" t="s">
        <v>1790</v>
      </c>
      <c r="H975" s="6" t="s">
        <v>3376</v>
      </c>
      <c r="I975" s="6">
        <v>1</v>
      </c>
      <c r="J975" s="6">
        <v>0</v>
      </c>
      <c r="K975" s="6">
        <v>0</v>
      </c>
      <c r="L975" s="6">
        <v>0</v>
      </c>
      <c r="M975" s="6">
        <v>0</v>
      </c>
      <c r="N975" s="6">
        <v>1</v>
      </c>
      <c r="O975" s="6">
        <v>1</v>
      </c>
    </row>
    <row r="976" spans="1:15" hidden="1">
      <c r="A976" s="6" t="s">
        <v>1786</v>
      </c>
      <c r="B976" s="6" t="s">
        <v>3318</v>
      </c>
      <c r="C976" s="6" t="s">
        <v>236</v>
      </c>
      <c r="D976" s="6" t="s">
        <v>3366</v>
      </c>
      <c r="E976" s="6" t="s">
        <v>3377</v>
      </c>
      <c r="F976" s="6" t="s">
        <v>3378</v>
      </c>
      <c r="G976" s="6" t="s">
        <v>1790</v>
      </c>
      <c r="H976" s="6" t="s">
        <v>3378</v>
      </c>
      <c r="I976" s="6">
        <v>2</v>
      </c>
      <c r="J976" s="6">
        <v>0</v>
      </c>
      <c r="K976" s="6">
        <v>0</v>
      </c>
      <c r="L976" s="6">
        <v>0</v>
      </c>
      <c r="M976" s="6">
        <v>0</v>
      </c>
      <c r="N976" s="6">
        <v>1</v>
      </c>
      <c r="O976" s="6">
        <v>1</v>
      </c>
    </row>
    <row r="977" spans="1:15" hidden="1">
      <c r="A977" s="6" t="s">
        <v>1786</v>
      </c>
      <c r="B977" s="6" t="s">
        <v>3318</v>
      </c>
      <c r="C977" s="6" t="s">
        <v>3379</v>
      </c>
      <c r="E977" s="6" t="s">
        <v>3380</v>
      </c>
      <c r="G977" s="6" t="s">
        <v>1790</v>
      </c>
      <c r="H977" s="6" t="s">
        <v>3380</v>
      </c>
      <c r="I977" s="6">
        <v>1</v>
      </c>
      <c r="J977" s="6">
        <v>0</v>
      </c>
      <c r="K977" s="6">
        <v>0</v>
      </c>
      <c r="L977" s="6">
        <v>0</v>
      </c>
      <c r="M977" s="6">
        <v>0</v>
      </c>
      <c r="N977" s="6">
        <v>0</v>
      </c>
      <c r="O977" s="6">
        <v>0</v>
      </c>
    </row>
    <row r="978" spans="1:15" hidden="1">
      <c r="A978" s="6" t="s">
        <v>1786</v>
      </c>
      <c r="B978" s="6" t="s">
        <v>3318</v>
      </c>
      <c r="C978" s="6" t="s">
        <v>3379</v>
      </c>
      <c r="D978" s="6" t="s">
        <v>3381</v>
      </c>
      <c r="E978" s="6" t="s">
        <v>3382</v>
      </c>
      <c r="F978" s="6" t="s">
        <v>3383</v>
      </c>
      <c r="G978" s="6" t="s">
        <v>1790</v>
      </c>
      <c r="H978" s="6" t="s">
        <v>3383</v>
      </c>
      <c r="I978" s="6">
        <v>1</v>
      </c>
      <c r="J978" s="6">
        <v>0</v>
      </c>
      <c r="K978" s="6">
        <v>0</v>
      </c>
      <c r="L978" s="6">
        <v>0</v>
      </c>
      <c r="M978" s="6">
        <v>0</v>
      </c>
      <c r="N978" s="6">
        <v>1</v>
      </c>
      <c r="O978" s="6">
        <v>1</v>
      </c>
    </row>
    <row r="979" spans="1:15" hidden="1">
      <c r="A979" s="6" t="s">
        <v>1786</v>
      </c>
      <c r="B979" s="6" t="s">
        <v>3318</v>
      </c>
      <c r="C979" s="6" t="s">
        <v>3379</v>
      </c>
      <c r="D979" s="6" t="s">
        <v>3381</v>
      </c>
      <c r="E979" s="6" t="s">
        <v>3384</v>
      </c>
      <c r="F979" s="6" t="s">
        <v>3385</v>
      </c>
      <c r="G979" s="6" t="s">
        <v>1790</v>
      </c>
      <c r="H979" s="6" t="s">
        <v>3385</v>
      </c>
      <c r="I979" s="6">
        <v>1</v>
      </c>
      <c r="J979" s="6">
        <v>0</v>
      </c>
      <c r="K979" s="6">
        <v>0</v>
      </c>
      <c r="L979" s="6">
        <v>0</v>
      </c>
      <c r="M979" s="6">
        <v>0</v>
      </c>
      <c r="N979" s="6">
        <v>1</v>
      </c>
      <c r="O979" s="6">
        <v>0</v>
      </c>
    </row>
    <row r="980" spans="1:15" hidden="1">
      <c r="A980" s="6" t="s">
        <v>1786</v>
      </c>
      <c r="B980" s="6" t="s">
        <v>3318</v>
      </c>
      <c r="C980" s="6" t="s">
        <v>3379</v>
      </c>
      <c r="D980" s="6" t="s">
        <v>3381</v>
      </c>
      <c r="E980" s="6" t="s">
        <v>3386</v>
      </c>
      <c r="G980" s="6" t="s">
        <v>1790</v>
      </c>
      <c r="H980" s="6" t="s">
        <v>3386</v>
      </c>
      <c r="I980" s="6">
        <v>1</v>
      </c>
      <c r="J980" s="6">
        <v>1</v>
      </c>
      <c r="K980" s="6">
        <v>1</v>
      </c>
      <c r="L980" s="6">
        <v>0.53</v>
      </c>
      <c r="M980" s="6">
        <v>0.53</v>
      </c>
      <c r="N980" s="6">
        <v>1</v>
      </c>
      <c r="O980" s="6">
        <v>1</v>
      </c>
    </row>
    <row r="981" spans="1:15" hidden="1">
      <c r="A981" s="6" t="s">
        <v>1786</v>
      </c>
      <c r="B981" s="6" t="s">
        <v>3318</v>
      </c>
      <c r="C981" s="6" t="s">
        <v>3379</v>
      </c>
      <c r="D981" s="6" t="s">
        <v>3381</v>
      </c>
      <c r="E981" s="6" t="s">
        <v>3386</v>
      </c>
      <c r="F981" s="6" t="s">
        <v>3387</v>
      </c>
      <c r="G981" s="6" t="s">
        <v>1790</v>
      </c>
      <c r="H981" s="6" t="s">
        <v>3387</v>
      </c>
      <c r="I981" s="6">
        <v>1</v>
      </c>
      <c r="J981" s="6">
        <v>0</v>
      </c>
      <c r="K981" s="6">
        <v>0</v>
      </c>
      <c r="L981" s="6">
        <v>0</v>
      </c>
      <c r="M981" s="6">
        <v>0</v>
      </c>
      <c r="N981" s="6">
        <v>1</v>
      </c>
      <c r="O981" s="6">
        <v>1</v>
      </c>
    </row>
    <row r="982" spans="1:15" hidden="1">
      <c r="A982" s="6" t="s">
        <v>1786</v>
      </c>
      <c r="B982" s="6" t="s">
        <v>3318</v>
      </c>
      <c r="C982" s="6" t="s">
        <v>3379</v>
      </c>
      <c r="D982" s="6" t="s">
        <v>3381</v>
      </c>
      <c r="E982" s="6" t="s">
        <v>3386</v>
      </c>
      <c r="F982" s="6" t="s">
        <v>3388</v>
      </c>
      <c r="G982" s="6" t="s">
        <v>1790</v>
      </c>
      <c r="H982" s="6" t="s">
        <v>3388</v>
      </c>
      <c r="I982" s="6">
        <v>1</v>
      </c>
      <c r="J982" s="6">
        <v>0</v>
      </c>
      <c r="K982" s="6">
        <v>0</v>
      </c>
      <c r="L982" s="6">
        <v>0</v>
      </c>
      <c r="M982" s="6">
        <v>0</v>
      </c>
      <c r="N982" s="6">
        <v>1</v>
      </c>
      <c r="O982" s="6">
        <v>1</v>
      </c>
    </row>
    <row r="983" spans="1:15" hidden="1">
      <c r="A983" s="6" t="s">
        <v>1786</v>
      </c>
      <c r="B983" s="6" t="s">
        <v>3318</v>
      </c>
      <c r="C983" s="6" t="s">
        <v>3379</v>
      </c>
      <c r="D983" s="6" t="s">
        <v>3381</v>
      </c>
      <c r="E983" s="6" t="s">
        <v>3389</v>
      </c>
      <c r="F983" s="6" t="s">
        <v>3390</v>
      </c>
      <c r="G983" s="6" t="s">
        <v>1790</v>
      </c>
      <c r="H983" s="6" t="s">
        <v>3390</v>
      </c>
      <c r="I983" s="6">
        <v>1</v>
      </c>
      <c r="J983" s="6">
        <v>0</v>
      </c>
      <c r="K983" s="6">
        <v>0</v>
      </c>
      <c r="L983" s="6">
        <v>0</v>
      </c>
      <c r="M983" s="6">
        <v>0</v>
      </c>
      <c r="N983" s="6">
        <v>1</v>
      </c>
      <c r="O983" s="6">
        <v>1</v>
      </c>
    </row>
    <row r="984" spans="1:15" hidden="1">
      <c r="A984" s="6" t="s">
        <v>1786</v>
      </c>
      <c r="B984" s="6" t="s">
        <v>3318</v>
      </c>
      <c r="C984" s="6" t="s">
        <v>3379</v>
      </c>
      <c r="D984" s="6" t="s">
        <v>3391</v>
      </c>
      <c r="E984" s="6" t="s">
        <v>3392</v>
      </c>
      <c r="F984" s="6" t="s">
        <v>3393</v>
      </c>
      <c r="G984" s="6" t="s">
        <v>1790</v>
      </c>
      <c r="H984" s="6" t="s">
        <v>3393</v>
      </c>
      <c r="I984" s="6">
        <v>2</v>
      </c>
      <c r="J984" s="6">
        <v>0</v>
      </c>
      <c r="K984" s="6">
        <v>0</v>
      </c>
      <c r="L984" s="6">
        <v>0</v>
      </c>
      <c r="M984" s="6">
        <v>0</v>
      </c>
      <c r="N984" s="6">
        <v>1</v>
      </c>
      <c r="O984" s="6">
        <v>1</v>
      </c>
    </row>
    <row r="985" spans="1:15" hidden="1">
      <c r="A985" s="6" t="s">
        <v>1786</v>
      </c>
      <c r="B985" s="6" t="s">
        <v>3318</v>
      </c>
      <c r="C985" s="6" t="s">
        <v>3379</v>
      </c>
      <c r="D985" s="6" t="s">
        <v>3394</v>
      </c>
      <c r="E985" s="6" t="s">
        <v>3395</v>
      </c>
      <c r="G985" s="6" t="s">
        <v>1790</v>
      </c>
      <c r="H985" s="6" t="s">
        <v>3395</v>
      </c>
      <c r="I985" s="6">
        <v>4</v>
      </c>
      <c r="J985" s="6">
        <v>0</v>
      </c>
      <c r="K985" s="6">
        <v>0</v>
      </c>
      <c r="L985" s="6">
        <v>0</v>
      </c>
      <c r="M985" s="6">
        <v>0</v>
      </c>
      <c r="N985" s="6">
        <v>1</v>
      </c>
      <c r="O985" s="6">
        <v>1</v>
      </c>
    </row>
    <row r="986" spans="1:15" hidden="1">
      <c r="A986" s="6" t="s">
        <v>1786</v>
      </c>
      <c r="B986" s="6" t="s">
        <v>3318</v>
      </c>
      <c r="C986" s="6" t="s">
        <v>3379</v>
      </c>
      <c r="D986" s="6" t="s">
        <v>3394</v>
      </c>
      <c r="E986" s="6" t="s">
        <v>3395</v>
      </c>
      <c r="F986" s="6" t="s">
        <v>3396</v>
      </c>
      <c r="G986" s="6" t="s">
        <v>1790</v>
      </c>
      <c r="H986" s="6" t="s">
        <v>3396</v>
      </c>
      <c r="I986" s="6">
        <v>1</v>
      </c>
      <c r="J986" s="6">
        <v>0</v>
      </c>
      <c r="K986" s="6">
        <v>0</v>
      </c>
      <c r="L986" s="6">
        <v>0</v>
      </c>
      <c r="M986" s="6">
        <v>0</v>
      </c>
      <c r="N986" s="6">
        <v>1</v>
      </c>
      <c r="O986" s="6">
        <v>1</v>
      </c>
    </row>
    <row r="987" spans="1:15" hidden="1">
      <c r="A987" s="6" t="s">
        <v>1786</v>
      </c>
      <c r="B987" s="6" t="s">
        <v>3318</v>
      </c>
      <c r="C987" s="6" t="s">
        <v>3379</v>
      </c>
      <c r="D987" s="6" t="s">
        <v>3394</v>
      </c>
      <c r="E987" s="6" t="s">
        <v>3397</v>
      </c>
      <c r="F987" s="6" t="s">
        <v>3398</v>
      </c>
      <c r="G987" s="6" t="s">
        <v>1790</v>
      </c>
      <c r="H987" s="6" t="s">
        <v>3398</v>
      </c>
      <c r="I987" s="6">
        <v>1</v>
      </c>
      <c r="J987" s="6">
        <v>0</v>
      </c>
      <c r="K987" s="6">
        <v>0</v>
      </c>
      <c r="L987" s="6">
        <v>0</v>
      </c>
      <c r="M987" s="6">
        <v>0</v>
      </c>
      <c r="N987" s="6">
        <v>0</v>
      </c>
      <c r="O987" s="6">
        <v>0</v>
      </c>
    </row>
    <row r="988" spans="1:15" hidden="1">
      <c r="A988" s="6" t="s">
        <v>1786</v>
      </c>
      <c r="B988" s="6" t="s">
        <v>3318</v>
      </c>
      <c r="C988" s="6" t="s">
        <v>3379</v>
      </c>
      <c r="D988" s="6" t="s">
        <v>3394</v>
      </c>
      <c r="E988" s="6" t="s">
        <v>3399</v>
      </c>
      <c r="F988" s="6" t="s">
        <v>3400</v>
      </c>
      <c r="G988" s="6" t="s">
        <v>1790</v>
      </c>
      <c r="H988" s="6" t="s">
        <v>3401</v>
      </c>
      <c r="I988" s="6">
        <v>3</v>
      </c>
      <c r="J988" s="6">
        <v>0</v>
      </c>
      <c r="K988" s="6">
        <v>0</v>
      </c>
      <c r="L988" s="6">
        <v>0</v>
      </c>
      <c r="M988" s="6">
        <v>0</v>
      </c>
      <c r="N988" s="6">
        <v>0.5</v>
      </c>
      <c r="O988" s="6">
        <v>0.5</v>
      </c>
    </row>
    <row r="989" spans="1:15" hidden="1">
      <c r="A989" s="6" t="s">
        <v>1786</v>
      </c>
      <c r="B989" s="6" t="s">
        <v>3318</v>
      </c>
      <c r="C989" s="6" t="s">
        <v>3379</v>
      </c>
      <c r="D989" s="6" t="s">
        <v>3402</v>
      </c>
      <c r="G989" s="6" t="s">
        <v>1790</v>
      </c>
      <c r="H989" s="6" t="s">
        <v>3402</v>
      </c>
      <c r="I989" s="6">
        <v>1</v>
      </c>
      <c r="J989" s="6">
        <v>0</v>
      </c>
      <c r="K989" s="6">
        <v>0</v>
      </c>
      <c r="L989" s="6">
        <v>0</v>
      </c>
      <c r="M989" s="6">
        <v>0</v>
      </c>
      <c r="N989" s="6">
        <v>1</v>
      </c>
      <c r="O989" s="6">
        <v>1</v>
      </c>
    </row>
    <row r="990" spans="1:15" hidden="1">
      <c r="A990" s="6" t="s">
        <v>1786</v>
      </c>
      <c r="B990" s="6" t="s">
        <v>3318</v>
      </c>
      <c r="C990" s="6" t="s">
        <v>3379</v>
      </c>
      <c r="D990" s="6" t="s">
        <v>3402</v>
      </c>
      <c r="E990" s="6" t="s">
        <v>3403</v>
      </c>
      <c r="F990" s="6" t="s">
        <v>3403</v>
      </c>
      <c r="G990" s="6" t="s">
        <v>1790</v>
      </c>
      <c r="H990" s="6" t="s">
        <v>3404</v>
      </c>
      <c r="I990" s="6">
        <v>1</v>
      </c>
      <c r="J990" s="6">
        <v>0</v>
      </c>
      <c r="K990" s="6">
        <v>0</v>
      </c>
      <c r="L990" s="6">
        <v>0</v>
      </c>
      <c r="M990" s="6">
        <v>0</v>
      </c>
      <c r="N990" s="6">
        <v>1</v>
      </c>
      <c r="O990" s="6">
        <v>1</v>
      </c>
    </row>
    <row r="991" spans="1:15" hidden="1">
      <c r="A991" s="6" t="s">
        <v>1786</v>
      </c>
      <c r="B991" s="6" t="s">
        <v>3318</v>
      </c>
      <c r="C991" s="6" t="s">
        <v>3379</v>
      </c>
      <c r="D991" s="6" t="s">
        <v>3402</v>
      </c>
      <c r="E991" s="6" t="s">
        <v>3403</v>
      </c>
      <c r="F991" s="6" t="s">
        <v>3403</v>
      </c>
      <c r="G991" s="6" t="s">
        <v>1790</v>
      </c>
      <c r="H991" s="6" t="s">
        <v>3403</v>
      </c>
      <c r="I991" s="6">
        <v>2</v>
      </c>
      <c r="J991" s="6">
        <v>0</v>
      </c>
      <c r="K991" s="6">
        <v>0</v>
      </c>
      <c r="L991" s="6">
        <v>0</v>
      </c>
      <c r="M991" s="6">
        <v>0</v>
      </c>
      <c r="N991" s="6">
        <v>1</v>
      </c>
      <c r="O991" s="6">
        <v>1</v>
      </c>
    </row>
    <row r="992" spans="1:15" hidden="1">
      <c r="A992" s="6" t="s">
        <v>1786</v>
      </c>
      <c r="B992" s="6" t="s">
        <v>3318</v>
      </c>
      <c r="C992" s="6" t="s">
        <v>3379</v>
      </c>
      <c r="D992" s="6" t="s">
        <v>3405</v>
      </c>
      <c r="G992" s="6" t="s">
        <v>1790</v>
      </c>
      <c r="H992" s="6" t="s">
        <v>3405</v>
      </c>
      <c r="I992" s="6">
        <v>1</v>
      </c>
      <c r="J992" s="6">
        <v>0</v>
      </c>
      <c r="K992" s="6">
        <v>0</v>
      </c>
      <c r="L992" s="6">
        <v>0</v>
      </c>
      <c r="M992" s="6">
        <v>0</v>
      </c>
      <c r="N992" s="6">
        <v>0</v>
      </c>
      <c r="O992" s="6">
        <v>0</v>
      </c>
    </row>
    <row r="993" spans="1:15" hidden="1">
      <c r="A993" s="6" t="s">
        <v>1786</v>
      </c>
      <c r="B993" s="6" t="s">
        <v>3318</v>
      </c>
      <c r="C993" s="6" t="s">
        <v>3379</v>
      </c>
      <c r="D993" s="6" t="s">
        <v>3405</v>
      </c>
      <c r="F993" s="6" t="s">
        <v>3406</v>
      </c>
      <c r="G993" s="6" t="s">
        <v>1790</v>
      </c>
      <c r="H993" s="6" t="s">
        <v>3406</v>
      </c>
      <c r="I993" s="6">
        <v>3</v>
      </c>
      <c r="J993" s="6">
        <v>0</v>
      </c>
      <c r="K993" s="6">
        <v>0</v>
      </c>
      <c r="L993" s="6">
        <v>0</v>
      </c>
      <c r="M993" s="6">
        <v>0</v>
      </c>
      <c r="N993" s="6">
        <v>1</v>
      </c>
      <c r="O993" s="6">
        <v>0.5</v>
      </c>
    </row>
    <row r="994" spans="1:15" hidden="1">
      <c r="A994" s="6" t="s">
        <v>1786</v>
      </c>
      <c r="B994" s="6" t="s">
        <v>3318</v>
      </c>
      <c r="C994" s="6" t="s">
        <v>3379</v>
      </c>
      <c r="D994" s="6" t="s">
        <v>3407</v>
      </c>
      <c r="E994" s="6" t="s">
        <v>3408</v>
      </c>
      <c r="F994" s="6" t="s">
        <v>3409</v>
      </c>
      <c r="G994" s="6" t="s">
        <v>1790</v>
      </c>
      <c r="H994" s="6" t="s">
        <v>3409</v>
      </c>
      <c r="I994" s="6">
        <v>1</v>
      </c>
      <c r="J994" s="6">
        <v>0</v>
      </c>
      <c r="K994" s="6">
        <v>0</v>
      </c>
      <c r="L994" s="6">
        <v>0</v>
      </c>
      <c r="M994" s="6">
        <v>0</v>
      </c>
      <c r="N994" s="6">
        <v>0</v>
      </c>
      <c r="O994" s="6">
        <v>0</v>
      </c>
    </row>
    <row r="995" spans="1:15" hidden="1">
      <c r="A995" s="6" t="s">
        <v>1786</v>
      </c>
      <c r="B995" s="6" t="s">
        <v>3318</v>
      </c>
      <c r="C995" s="6" t="s">
        <v>3379</v>
      </c>
      <c r="D995" s="6" t="s">
        <v>3410</v>
      </c>
      <c r="G995" s="6" t="s">
        <v>1790</v>
      </c>
      <c r="H995" s="6" t="s">
        <v>3410</v>
      </c>
      <c r="I995" s="6">
        <v>3</v>
      </c>
      <c r="J995" s="6">
        <v>0</v>
      </c>
      <c r="K995" s="6">
        <v>0</v>
      </c>
      <c r="L995" s="6">
        <v>0</v>
      </c>
      <c r="M995" s="6">
        <v>0</v>
      </c>
      <c r="N995" s="6">
        <v>0.33329999999999999</v>
      </c>
      <c r="O995" s="6">
        <v>0.33329999999999999</v>
      </c>
    </row>
    <row r="996" spans="1:15" hidden="1">
      <c r="A996" s="6" t="s">
        <v>1786</v>
      </c>
      <c r="B996" s="6" t="s">
        <v>3318</v>
      </c>
      <c r="C996" s="6" t="s">
        <v>3379</v>
      </c>
      <c r="D996" s="6" t="s">
        <v>3411</v>
      </c>
      <c r="F996" s="6" t="s">
        <v>3412</v>
      </c>
      <c r="G996" s="6" t="s">
        <v>1790</v>
      </c>
      <c r="H996" s="6" t="s">
        <v>3412</v>
      </c>
      <c r="I996" s="6">
        <v>1</v>
      </c>
      <c r="J996" s="6">
        <v>0</v>
      </c>
      <c r="K996" s="6">
        <v>0</v>
      </c>
      <c r="L996" s="6">
        <v>0</v>
      </c>
      <c r="M996" s="6">
        <v>0</v>
      </c>
      <c r="N996" s="6">
        <v>1</v>
      </c>
      <c r="O996" s="6">
        <v>1</v>
      </c>
    </row>
    <row r="997" spans="1:15" hidden="1">
      <c r="A997" s="6" t="s">
        <v>1786</v>
      </c>
      <c r="B997" s="6" t="s">
        <v>3318</v>
      </c>
      <c r="C997" s="6" t="s">
        <v>3379</v>
      </c>
      <c r="D997" s="6" t="s">
        <v>3411</v>
      </c>
      <c r="F997" s="6" t="s">
        <v>3412</v>
      </c>
      <c r="G997" s="6" t="s">
        <v>1790</v>
      </c>
      <c r="H997" s="6" t="s">
        <v>3413</v>
      </c>
      <c r="I997" s="6">
        <v>1</v>
      </c>
      <c r="J997" s="6">
        <v>0</v>
      </c>
      <c r="K997" s="6">
        <v>0</v>
      </c>
      <c r="L997" s="6">
        <v>0</v>
      </c>
      <c r="M997" s="6">
        <v>0</v>
      </c>
      <c r="N997" s="6">
        <v>1</v>
      </c>
      <c r="O997" s="6">
        <v>1</v>
      </c>
    </row>
    <row r="998" spans="1:15" hidden="1">
      <c r="A998" s="6" t="s">
        <v>1786</v>
      </c>
      <c r="B998" s="6" t="s">
        <v>3318</v>
      </c>
      <c r="C998" s="6" t="s">
        <v>3379</v>
      </c>
      <c r="D998" s="6" t="s">
        <v>3411</v>
      </c>
      <c r="F998" s="6" t="s">
        <v>3414</v>
      </c>
      <c r="G998" s="6" t="s">
        <v>1790</v>
      </c>
      <c r="H998" s="6" t="s">
        <v>3415</v>
      </c>
      <c r="I998" s="6">
        <v>1</v>
      </c>
      <c r="J998" s="6">
        <v>0</v>
      </c>
      <c r="K998" s="6">
        <v>0</v>
      </c>
      <c r="L998" s="6">
        <v>0</v>
      </c>
      <c r="M998" s="6">
        <v>0</v>
      </c>
      <c r="N998" s="6">
        <v>1</v>
      </c>
      <c r="O998" s="6">
        <v>1</v>
      </c>
    </row>
    <row r="999" spans="1:15" hidden="1">
      <c r="A999" s="6" t="s">
        <v>1786</v>
      </c>
      <c r="B999" s="6" t="s">
        <v>3318</v>
      </c>
      <c r="C999" s="6" t="s">
        <v>3379</v>
      </c>
      <c r="D999" s="6" t="s">
        <v>3411</v>
      </c>
      <c r="F999" s="6" t="s">
        <v>3416</v>
      </c>
      <c r="G999" s="6" t="s">
        <v>1790</v>
      </c>
      <c r="H999" s="6" t="s">
        <v>3416</v>
      </c>
      <c r="I999" s="6">
        <v>10</v>
      </c>
      <c r="J999" s="6">
        <v>0</v>
      </c>
      <c r="K999" s="6">
        <v>0</v>
      </c>
      <c r="L999" s="6">
        <v>0</v>
      </c>
      <c r="M999" s="6">
        <v>0</v>
      </c>
      <c r="N999" s="6">
        <v>0.9</v>
      </c>
      <c r="O999" s="6">
        <v>0.7</v>
      </c>
    </row>
    <row r="1000" spans="1:15" hidden="1">
      <c r="A1000" s="6" t="s">
        <v>1786</v>
      </c>
      <c r="B1000" s="6" t="s">
        <v>3318</v>
      </c>
      <c r="C1000" s="6" t="s">
        <v>3379</v>
      </c>
      <c r="D1000" s="6" t="s">
        <v>3411</v>
      </c>
      <c r="F1000" s="6" t="s">
        <v>3417</v>
      </c>
      <c r="G1000" s="6" t="s">
        <v>1790</v>
      </c>
      <c r="H1000" s="6" t="s">
        <v>3418</v>
      </c>
      <c r="I1000" s="6">
        <v>1</v>
      </c>
      <c r="J1000" s="6">
        <v>0</v>
      </c>
      <c r="K1000" s="6">
        <v>0</v>
      </c>
      <c r="L1000" s="6">
        <v>0</v>
      </c>
      <c r="M1000" s="6">
        <v>0</v>
      </c>
      <c r="N1000" s="6">
        <v>1</v>
      </c>
      <c r="O1000" s="6">
        <v>1</v>
      </c>
    </row>
    <row r="1001" spans="1:15" hidden="1">
      <c r="A1001" s="6" t="s">
        <v>1786</v>
      </c>
      <c r="B1001" s="6" t="s">
        <v>3318</v>
      </c>
      <c r="C1001" s="6" t="s">
        <v>3379</v>
      </c>
      <c r="D1001" s="6" t="s">
        <v>3411</v>
      </c>
      <c r="F1001" s="6" t="s">
        <v>3419</v>
      </c>
      <c r="G1001" s="6" t="s">
        <v>1790</v>
      </c>
      <c r="H1001" s="6" t="s">
        <v>3420</v>
      </c>
      <c r="I1001" s="6">
        <v>2</v>
      </c>
      <c r="J1001" s="6">
        <v>1</v>
      </c>
      <c r="K1001" s="6">
        <v>0.5</v>
      </c>
      <c r="L1001" s="6">
        <v>0.64</v>
      </c>
      <c r="M1001" s="6">
        <v>0.64</v>
      </c>
      <c r="N1001" s="6">
        <v>1</v>
      </c>
      <c r="O1001" s="6">
        <v>1</v>
      </c>
    </row>
    <row r="1002" spans="1:15" hidden="1">
      <c r="A1002" s="6" t="s">
        <v>1786</v>
      </c>
      <c r="B1002" s="6" t="s">
        <v>3318</v>
      </c>
      <c r="C1002" s="6" t="s">
        <v>3379</v>
      </c>
      <c r="D1002" s="6" t="s">
        <v>3411</v>
      </c>
      <c r="F1002" s="6" t="s">
        <v>3419</v>
      </c>
      <c r="G1002" s="6" t="s">
        <v>1790</v>
      </c>
      <c r="H1002" s="6" t="s">
        <v>3419</v>
      </c>
      <c r="I1002" s="6">
        <v>18</v>
      </c>
      <c r="J1002" s="6">
        <v>2</v>
      </c>
      <c r="K1002" s="6">
        <v>0.11109999999999999</v>
      </c>
      <c r="L1002" s="6">
        <v>0.12</v>
      </c>
      <c r="M1002" s="6">
        <v>0.23</v>
      </c>
      <c r="N1002" s="6">
        <v>0.83329999999999993</v>
      </c>
      <c r="O1002" s="6">
        <v>0.58329999999999993</v>
      </c>
    </row>
    <row r="1003" spans="1:15" hidden="1">
      <c r="A1003" s="6" t="s">
        <v>1786</v>
      </c>
      <c r="B1003" s="6" t="s">
        <v>3318</v>
      </c>
      <c r="C1003" s="6" t="s">
        <v>3379</v>
      </c>
      <c r="D1003" s="6" t="s">
        <v>3411</v>
      </c>
      <c r="F1003" s="6" t="s">
        <v>3421</v>
      </c>
      <c r="G1003" s="6" t="s">
        <v>1790</v>
      </c>
      <c r="H1003" s="6" t="s">
        <v>3421</v>
      </c>
      <c r="I1003" s="6">
        <v>2</v>
      </c>
      <c r="J1003" s="6">
        <v>0</v>
      </c>
      <c r="K1003" s="6">
        <v>0</v>
      </c>
      <c r="L1003" s="6">
        <v>0</v>
      </c>
      <c r="M1003" s="6">
        <v>0</v>
      </c>
      <c r="N1003" s="6">
        <v>1</v>
      </c>
      <c r="O1003" s="6">
        <v>1</v>
      </c>
    </row>
    <row r="1004" spans="1:15" hidden="1">
      <c r="A1004" s="6" t="s">
        <v>1786</v>
      </c>
      <c r="B1004" s="6" t="s">
        <v>3318</v>
      </c>
      <c r="C1004" s="6" t="s">
        <v>3379</v>
      </c>
      <c r="D1004" s="6" t="s">
        <v>3422</v>
      </c>
      <c r="G1004" s="6" t="s">
        <v>1790</v>
      </c>
      <c r="H1004" s="6" t="s">
        <v>3422</v>
      </c>
      <c r="I1004" s="6">
        <v>2</v>
      </c>
      <c r="J1004" s="6">
        <v>0</v>
      </c>
      <c r="K1004" s="6">
        <v>0</v>
      </c>
      <c r="L1004" s="6">
        <v>0</v>
      </c>
      <c r="M1004" s="6">
        <v>0</v>
      </c>
      <c r="N1004" s="6">
        <v>0.5</v>
      </c>
      <c r="O1004" s="6">
        <v>0.5</v>
      </c>
    </row>
    <row r="1005" spans="1:15" hidden="1">
      <c r="A1005" s="6" t="s">
        <v>1786</v>
      </c>
      <c r="B1005" s="6" t="s">
        <v>3318</v>
      </c>
      <c r="C1005" s="6" t="s">
        <v>3423</v>
      </c>
      <c r="G1005" s="6" t="s">
        <v>1790</v>
      </c>
      <c r="H1005" s="6" t="s">
        <v>3423</v>
      </c>
      <c r="I1005" s="6">
        <v>1</v>
      </c>
      <c r="J1005" s="6">
        <v>0</v>
      </c>
      <c r="K1005" s="6">
        <v>0</v>
      </c>
      <c r="L1005" s="6">
        <v>0</v>
      </c>
      <c r="M1005" s="6">
        <v>0</v>
      </c>
      <c r="N1005" s="6">
        <v>1</v>
      </c>
      <c r="O1005" s="6">
        <v>0</v>
      </c>
    </row>
    <row r="1006" spans="1:15" hidden="1">
      <c r="A1006" s="6" t="s">
        <v>1786</v>
      </c>
      <c r="B1006" s="6" t="s">
        <v>3318</v>
      </c>
      <c r="C1006" s="6" t="s">
        <v>3423</v>
      </c>
      <c r="D1006" s="6" t="s">
        <v>3424</v>
      </c>
      <c r="G1006" s="6" t="s">
        <v>1790</v>
      </c>
      <c r="H1006" s="6" t="s">
        <v>3424</v>
      </c>
      <c r="I1006" s="6">
        <v>3</v>
      </c>
      <c r="J1006" s="6">
        <v>0</v>
      </c>
      <c r="K1006" s="6">
        <v>0</v>
      </c>
      <c r="L1006" s="6">
        <v>0</v>
      </c>
      <c r="M1006" s="6">
        <v>0</v>
      </c>
      <c r="N1006" s="6">
        <v>1</v>
      </c>
      <c r="O1006" s="6">
        <v>1</v>
      </c>
    </row>
    <row r="1007" spans="1:15" hidden="1">
      <c r="A1007" s="6" t="s">
        <v>1786</v>
      </c>
      <c r="B1007" s="6" t="s">
        <v>3318</v>
      </c>
      <c r="C1007" s="6" t="s">
        <v>3423</v>
      </c>
      <c r="D1007" s="6" t="s">
        <v>3424</v>
      </c>
      <c r="F1007" s="6" t="s">
        <v>3424</v>
      </c>
      <c r="G1007" s="6" t="s">
        <v>1790</v>
      </c>
      <c r="H1007" s="6" t="s">
        <v>3425</v>
      </c>
      <c r="I1007" s="6">
        <v>1</v>
      </c>
      <c r="J1007" s="6">
        <v>0</v>
      </c>
      <c r="K1007" s="6">
        <v>0</v>
      </c>
      <c r="L1007" s="6">
        <v>0</v>
      </c>
      <c r="M1007" s="6">
        <v>0</v>
      </c>
      <c r="N1007" s="6">
        <v>1</v>
      </c>
      <c r="O1007" s="6">
        <v>1</v>
      </c>
    </row>
    <row r="1008" spans="1:15" hidden="1">
      <c r="A1008" s="6" t="s">
        <v>1786</v>
      </c>
      <c r="B1008" s="6" t="s">
        <v>3318</v>
      </c>
      <c r="C1008" s="6" t="s">
        <v>3423</v>
      </c>
      <c r="D1008" s="6" t="s">
        <v>3424</v>
      </c>
      <c r="F1008" s="6" t="s">
        <v>3424</v>
      </c>
      <c r="G1008" s="6" t="s">
        <v>1790</v>
      </c>
      <c r="H1008" s="6" t="s">
        <v>3426</v>
      </c>
      <c r="I1008" s="6">
        <v>3</v>
      </c>
      <c r="J1008" s="6">
        <v>0</v>
      </c>
      <c r="K1008" s="6">
        <v>0</v>
      </c>
      <c r="L1008" s="6">
        <v>0</v>
      </c>
      <c r="M1008" s="6">
        <v>0</v>
      </c>
      <c r="N1008" s="6">
        <v>0.5</v>
      </c>
      <c r="O1008" s="6">
        <v>0.5</v>
      </c>
    </row>
    <row r="1009" spans="1:15" hidden="1">
      <c r="A1009" s="6" t="s">
        <v>1786</v>
      </c>
      <c r="B1009" s="6" t="s">
        <v>3318</v>
      </c>
      <c r="C1009" s="6" t="s">
        <v>3423</v>
      </c>
      <c r="D1009" s="6" t="s">
        <v>3424</v>
      </c>
      <c r="F1009" s="6" t="s">
        <v>3424</v>
      </c>
      <c r="G1009" s="6" t="s">
        <v>1790</v>
      </c>
      <c r="H1009" s="6" t="s">
        <v>3427</v>
      </c>
      <c r="I1009" s="6">
        <v>9</v>
      </c>
      <c r="J1009" s="6">
        <v>1</v>
      </c>
      <c r="K1009" s="6">
        <v>0.11109999999999999</v>
      </c>
      <c r="L1009" s="6">
        <v>0.01</v>
      </c>
      <c r="M1009" s="6">
        <v>0.01</v>
      </c>
      <c r="N1009" s="6">
        <v>1</v>
      </c>
      <c r="O1009" s="6">
        <v>0.77780000000000005</v>
      </c>
    </row>
    <row r="1010" spans="1:15" hidden="1">
      <c r="A1010" s="6" t="s">
        <v>1786</v>
      </c>
      <c r="B1010" s="6" t="s">
        <v>3318</v>
      </c>
      <c r="C1010" s="6" t="s">
        <v>3423</v>
      </c>
      <c r="D1010" s="6" t="s">
        <v>3424</v>
      </c>
      <c r="F1010" s="6" t="s">
        <v>3424</v>
      </c>
      <c r="G1010" s="6" t="s">
        <v>1790</v>
      </c>
      <c r="H1010" s="6" t="s">
        <v>3428</v>
      </c>
      <c r="I1010" s="6">
        <v>2</v>
      </c>
      <c r="J1010" s="6">
        <v>0</v>
      </c>
      <c r="K1010" s="6">
        <v>0</v>
      </c>
      <c r="L1010" s="6">
        <v>0</v>
      </c>
      <c r="M1010" s="6">
        <v>0</v>
      </c>
      <c r="N1010" s="6">
        <v>1</v>
      </c>
      <c r="O1010" s="6">
        <v>1</v>
      </c>
    </row>
    <row r="1011" spans="1:15" hidden="1">
      <c r="A1011" s="6" t="s">
        <v>1786</v>
      </c>
      <c r="B1011" s="6" t="s">
        <v>3318</v>
      </c>
      <c r="C1011" s="6" t="s">
        <v>3423</v>
      </c>
      <c r="D1011" s="6" t="s">
        <v>3424</v>
      </c>
      <c r="F1011" s="6" t="s">
        <v>3424</v>
      </c>
      <c r="G1011" s="6" t="s">
        <v>1790</v>
      </c>
      <c r="H1011" s="6" t="s">
        <v>3429</v>
      </c>
      <c r="I1011" s="6">
        <v>1</v>
      </c>
      <c r="J1011" s="6">
        <v>0</v>
      </c>
      <c r="K1011" s="6">
        <v>0</v>
      </c>
      <c r="L1011" s="6">
        <v>0</v>
      </c>
      <c r="M1011" s="6">
        <v>0</v>
      </c>
      <c r="N1011" s="6">
        <v>0</v>
      </c>
      <c r="O1011" s="6">
        <v>0</v>
      </c>
    </row>
    <row r="1012" spans="1:15" hidden="1">
      <c r="A1012" s="6" t="s">
        <v>1786</v>
      </c>
      <c r="B1012" s="6" t="s">
        <v>3318</v>
      </c>
      <c r="C1012" s="6" t="s">
        <v>3423</v>
      </c>
      <c r="D1012" s="6" t="s">
        <v>3424</v>
      </c>
      <c r="F1012" s="6" t="s">
        <v>3424</v>
      </c>
      <c r="G1012" s="6" t="s">
        <v>1790</v>
      </c>
      <c r="H1012" s="6" t="s">
        <v>3430</v>
      </c>
      <c r="I1012" s="6">
        <v>2</v>
      </c>
      <c r="J1012" s="6">
        <v>0</v>
      </c>
      <c r="K1012" s="6">
        <v>0</v>
      </c>
      <c r="L1012" s="6">
        <v>0</v>
      </c>
      <c r="M1012" s="6">
        <v>0</v>
      </c>
      <c r="N1012" s="6">
        <v>1</v>
      </c>
      <c r="O1012" s="6">
        <v>1</v>
      </c>
    </row>
    <row r="1013" spans="1:15" hidden="1">
      <c r="A1013" s="6" t="s">
        <v>1786</v>
      </c>
      <c r="B1013" s="6" t="s">
        <v>3318</v>
      </c>
      <c r="C1013" s="6" t="s">
        <v>3423</v>
      </c>
      <c r="D1013" s="6" t="s">
        <v>3431</v>
      </c>
      <c r="G1013" s="6" t="s">
        <v>1790</v>
      </c>
      <c r="H1013" s="6" t="s">
        <v>3431</v>
      </c>
      <c r="I1013" s="6">
        <v>2</v>
      </c>
      <c r="J1013" s="6">
        <v>0</v>
      </c>
      <c r="K1013" s="6">
        <v>0</v>
      </c>
      <c r="L1013" s="6">
        <v>0</v>
      </c>
      <c r="M1013" s="6">
        <v>0</v>
      </c>
      <c r="N1013" s="6">
        <v>1</v>
      </c>
      <c r="O1013" s="6">
        <v>1</v>
      </c>
    </row>
    <row r="1014" spans="1:15" hidden="1">
      <c r="A1014" s="6" t="s">
        <v>1786</v>
      </c>
      <c r="B1014" s="6" t="s">
        <v>3318</v>
      </c>
      <c r="C1014" s="6" t="s">
        <v>3423</v>
      </c>
      <c r="D1014" s="6" t="s">
        <v>3431</v>
      </c>
      <c r="F1014" s="6" t="s">
        <v>3432</v>
      </c>
      <c r="G1014" s="6" t="s">
        <v>1790</v>
      </c>
      <c r="H1014" s="6" t="s">
        <v>3432</v>
      </c>
      <c r="I1014" s="6">
        <v>1</v>
      </c>
      <c r="J1014" s="6">
        <v>0</v>
      </c>
      <c r="K1014" s="6">
        <v>0</v>
      </c>
      <c r="L1014" s="6">
        <v>0</v>
      </c>
      <c r="M1014" s="6">
        <v>0</v>
      </c>
      <c r="N1014" s="6">
        <v>1</v>
      </c>
      <c r="O1014" s="6">
        <v>0</v>
      </c>
    </row>
    <row r="1015" spans="1:15" hidden="1">
      <c r="A1015" s="6" t="s">
        <v>1786</v>
      </c>
      <c r="B1015" s="6" t="s">
        <v>3318</v>
      </c>
      <c r="C1015" s="6" t="s">
        <v>3423</v>
      </c>
      <c r="D1015" s="6" t="s">
        <v>3431</v>
      </c>
      <c r="E1015" s="6" t="s">
        <v>3433</v>
      </c>
      <c r="F1015" s="6" t="s">
        <v>3434</v>
      </c>
      <c r="G1015" s="6" t="s">
        <v>1790</v>
      </c>
      <c r="H1015" s="6" t="s">
        <v>3434</v>
      </c>
      <c r="I1015" s="6">
        <v>5</v>
      </c>
      <c r="J1015" s="6">
        <v>0</v>
      </c>
      <c r="K1015" s="6">
        <v>0</v>
      </c>
      <c r="L1015" s="6">
        <v>0</v>
      </c>
      <c r="M1015" s="6">
        <v>0</v>
      </c>
      <c r="N1015" s="6">
        <v>1</v>
      </c>
      <c r="O1015" s="6">
        <v>1</v>
      </c>
    </row>
    <row r="1016" spans="1:15" hidden="1">
      <c r="A1016" s="6" t="s">
        <v>1786</v>
      </c>
      <c r="B1016" s="6" t="s">
        <v>3318</v>
      </c>
      <c r="C1016" s="6" t="s">
        <v>3423</v>
      </c>
      <c r="D1016" s="6" t="s">
        <v>3431</v>
      </c>
      <c r="E1016" s="6" t="s">
        <v>3435</v>
      </c>
      <c r="G1016" s="6" t="s">
        <v>1790</v>
      </c>
      <c r="H1016" s="6" t="s">
        <v>3435</v>
      </c>
      <c r="I1016" s="6">
        <v>5</v>
      </c>
      <c r="J1016" s="6">
        <v>0</v>
      </c>
      <c r="K1016" s="6">
        <v>0</v>
      </c>
      <c r="L1016" s="6">
        <v>0</v>
      </c>
      <c r="M1016" s="6">
        <v>0</v>
      </c>
      <c r="N1016" s="6">
        <v>1</v>
      </c>
      <c r="O1016" s="6">
        <v>1</v>
      </c>
    </row>
    <row r="1017" spans="1:15" hidden="1">
      <c r="A1017" s="6" t="s">
        <v>1786</v>
      </c>
      <c r="B1017" s="6" t="s">
        <v>3318</v>
      </c>
      <c r="C1017" s="6" t="s">
        <v>3423</v>
      </c>
      <c r="D1017" s="6" t="s">
        <v>3436</v>
      </c>
      <c r="F1017" s="6" t="s">
        <v>3437</v>
      </c>
      <c r="G1017" s="6" t="s">
        <v>1790</v>
      </c>
      <c r="H1017" s="6" t="s">
        <v>3437</v>
      </c>
      <c r="I1017" s="6">
        <v>3</v>
      </c>
      <c r="J1017" s="6">
        <v>0</v>
      </c>
      <c r="K1017" s="6">
        <v>0</v>
      </c>
      <c r="L1017" s="6">
        <v>0</v>
      </c>
      <c r="M1017" s="6">
        <v>0</v>
      </c>
      <c r="N1017" s="6">
        <v>1</v>
      </c>
      <c r="O1017" s="6">
        <v>1</v>
      </c>
    </row>
    <row r="1018" spans="1:15" hidden="1">
      <c r="A1018" s="6" t="s">
        <v>1786</v>
      </c>
      <c r="B1018" s="6" t="s">
        <v>3318</v>
      </c>
      <c r="C1018" s="6" t="s">
        <v>3423</v>
      </c>
      <c r="D1018" s="6" t="s">
        <v>3436</v>
      </c>
      <c r="E1018" s="6" t="s">
        <v>3438</v>
      </c>
      <c r="F1018" s="6" t="s">
        <v>3439</v>
      </c>
      <c r="G1018" s="6" t="s">
        <v>1790</v>
      </c>
      <c r="H1018" s="6" t="s">
        <v>3439</v>
      </c>
      <c r="I1018" s="6">
        <v>1</v>
      </c>
      <c r="J1018" s="6">
        <v>0</v>
      </c>
      <c r="K1018" s="6">
        <v>0</v>
      </c>
      <c r="L1018" s="6">
        <v>0</v>
      </c>
      <c r="M1018" s="6">
        <v>0</v>
      </c>
      <c r="N1018" s="6">
        <v>1</v>
      </c>
      <c r="O1018" s="6">
        <v>1</v>
      </c>
    </row>
    <row r="1019" spans="1:15" hidden="1">
      <c r="A1019" s="6" t="s">
        <v>1786</v>
      </c>
      <c r="B1019" s="6" t="s">
        <v>3318</v>
      </c>
      <c r="C1019" s="6" t="s">
        <v>3423</v>
      </c>
      <c r="D1019" s="6" t="s">
        <v>3440</v>
      </c>
      <c r="G1019" s="6" t="s">
        <v>1790</v>
      </c>
      <c r="H1019" s="6" t="s">
        <v>3440</v>
      </c>
      <c r="I1019" s="6">
        <v>1</v>
      </c>
      <c r="J1019" s="6">
        <v>0</v>
      </c>
      <c r="K1019" s="6">
        <v>0</v>
      </c>
      <c r="L1019" s="6">
        <v>0</v>
      </c>
      <c r="M1019" s="6">
        <v>0</v>
      </c>
      <c r="N1019" s="6">
        <v>1</v>
      </c>
      <c r="O1019" s="6">
        <v>1</v>
      </c>
    </row>
    <row r="1020" spans="1:15" hidden="1">
      <c r="A1020" s="6" t="s">
        <v>1786</v>
      </c>
      <c r="B1020" s="6" t="s">
        <v>3318</v>
      </c>
      <c r="C1020" s="6" t="s">
        <v>3423</v>
      </c>
      <c r="D1020" s="6" t="s">
        <v>3440</v>
      </c>
      <c r="E1020" s="6" t="s">
        <v>3441</v>
      </c>
      <c r="G1020" s="6" t="s">
        <v>1790</v>
      </c>
      <c r="H1020" s="6" t="s">
        <v>3441</v>
      </c>
      <c r="I1020" s="6">
        <v>1</v>
      </c>
      <c r="J1020" s="6">
        <v>0</v>
      </c>
      <c r="K1020" s="6">
        <v>0</v>
      </c>
      <c r="L1020" s="6">
        <v>0</v>
      </c>
      <c r="M1020" s="6">
        <v>0</v>
      </c>
      <c r="N1020" s="6">
        <v>1</v>
      </c>
      <c r="O1020" s="6">
        <v>1</v>
      </c>
    </row>
    <row r="1021" spans="1:15" hidden="1">
      <c r="A1021" s="6" t="s">
        <v>1786</v>
      </c>
      <c r="B1021" s="6" t="s">
        <v>3318</v>
      </c>
      <c r="C1021" s="6" t="s">
        <v>3423</v>
      </c>
      <c r="D1021" s="6" t="s">
        <v>3442</v>
      </c>
      <c r="F1021" s="6" t="s">
        <v>3443</v>
      </c>
      <c r="G1021" s="6" t="s">
        <v>1790</v>
      </c>
      <c r="H1021" s="6" t="s">
        <v>3443</v>
      </c>
      <c r="I1021" s="6">
        <v>1</v>
      </c>
      <c r="J1021" s="6">
        <v>0</v>
      </c>
      <c r="K1021" s="6">
        <v>0</v>
      </c>
      <c r="L1021" s="6">
        <v>0</v>
      </c>
      <c r="M1021" s="6">
        <v>0</v>
      </c>
      <c r="N1021" s="6">
        <v>1</v>
      </c>
      <c r="O1021" s="6">
        <v>1</v>
      </c>
    </row>
    <row r="1022" spans="1:15" hidden="1">
      <c r="A1022" s="6" t="s">
        <v>1786</v>
      </c>
      <c r="B1022" s="6" t="s">
        <v>3318</v>
      </c>
      <c r="C1022" s="6" t="s">
        <v>3423</v>
      </c>
      <c r="D1022" s="6" t="s">
        <v>3444</v>
      </c>
      <c r="G1022" s="6" t="s">
        <v>1790</v>
      </c>
      <c r="H1022" s="6" t="s">
        <v>3444</v>
      </c>
      <c r="I1022" s="6">
        <v>2</v>
      </c>
      <c r="J1022" s="6">
        <v>0</v>
      </c>
      <c r="K1022" s="6">
        <v>0</v>
      </c>
      <c r="L1022" s="6">
        <v>0</v>
      </c>
      <c r="M1022" s="6">
        <v>0</v>
      </c>
      <c r="N1022" s="6">
        <v>0</v>
      </c>
      <c r="O1022" s="6">
        <v>0</v>
      </c>
    </row>
    <row r="1023" spans="1:15" hidden="1">
      <c r="A1023" s="6" t="s">
        <v>1786</v>
      </c>
      <c r="B1023" s="6" t="s">
        <v>3318</v>
      </c>
      <c r="C1023" s="6" t="s">
        <v>3423</v>
      </c>
      <c r="D1023" s="6" t="s">
        <v>3445</v>
      </c>
      <c r="E1023" s="6" t="s">
        <v>3446</v>
      </c>
      <c r="F1023" s="6" t="s">
        <v>3447</v>
      </c>
      <c r="G1023" s="6" t="s">
        <v>1790</v>
      </c>
      <c r="H1023" s="6" t="s">
        <v>3447</v>
      </c>
      <c r="I1023" s="6">
        <v>2</v>
      </c>
      <c r="J1023" s="6">
        <v>0</v>
      </c>
      <c r="K1023" s="6">
        <v>0</v>
      </c>
      <c r="L1023" s="6">
        <v>0</v>
      </c>
      <c r="M1023" s="6">
        <v>0</v>
      </c>
      <c r="N1023" s="6">
        <v>1</v>
      </c>
      <c r="O1023" s="6">
        <v>1</v>
      </c>
    </row>
    <row r="1024" spans="1:15" hidden="1">
      <c r="A1024" s="6" t="s">
        <v>1786</v>
      </c>
      <c r="B1024" s="6" t="s">
        <v>3318</v>
      </c>
      <c r="C1024" s="6" t="s">
        <v>3423</v>
      </c>
      <c r="D1024" s="6" t="s">
        <v>3448</v>
      </c>
      <c r="E1024" s="6" t="s">
        <v>3449</v>
      </c>
      <c r="F1024" s="6" t="s">
        <v>3450</v>
      </c>
      <c r="G1024" s="6" t="s">
        <v>1790</v>
      </c>
      <c r="H1024" s="6" t="s">
        <v>3450</v>
      </c>
      <c r="I1024" s="6">
        <v>1</v>
      </c>
      <c r="J1024" s="6">
        <v>0</v>
      </c>
      <c r="K1024" s="6">
        <v>0</v>
      </c>
      <c r="L1024" s="6">
        <v>0</v>
      </c>
      <c r="M1024" s="6">
        <v>0</v>
      </c>
      <c r="N1024" s="6">
        <v>1</v>
      </c>
      <c r="O1024" s="6">
        <v>1</v>
      </c>
    </row>
    <row r="1025" spans="1:15" hidden="1">
      <c r="A1025" s="6" t="s">
        <v>1786</v>
      </c>
      <c r="B1025" s="6" t="s">
        <v>3318</v>
      </c>
      <c r="C1025" s="6" t="s">
        <v>3423</v>
      </c>
      <c r="D1025" s="6" t="s">
        <v>3451</v>
      </c>
      <c r="E1025" s="6" t="s">
        <v>3452</v>
      </c>
      <c r="F1025" s="6" t="s">
        <v>3453</v>
      </c>
      <c r="G1025" s="6" t="s">
        <v>1790</v>
      </c>
      <c r="H1025" s="6" t="s">
        <v>3453</v>
      </c>
      <c r="I1025" s="6">
        <v>2</v>
      </c>
      <c r="J1025" s="6">
        <v>0</v>
      </c>
      <c r="K1025" s="6">
        <v>0</v>
      </c>
      <c r="L1025" s="6">
        <v>0</v>
      </c>
      <c r="M1025" s="6">
        <v>0</v>
      </c>
      <c r="N1025" s="6">
        <v>1</v>
      </c>
      <c r="O1025" s="6">
        <v>1</v>
      </c>
    </row>
    <row r="1026" spans="1:15" hidden="1">
      <c r="A1026" s="6" t="s">
        <v>1786</v>
      </c>
      <c r="B1026" s="6" t="s">
        <v>3318</v>
      </c>
      <c r="C1026" s="6" t="s">
        <v>3423</v>
      </c>
      <c r="D1026" s="6" t="s">
        <v>3454</v>
      </c>
      <c r="E1026" s="6" t="s">
        <v>3455</v>
      </c>
      <c r="G1026" s="6" t="s">
        <v>1790</v>
      </c>
      <c r="H1026" s="6" t="s">
        <v>3455</v>
      </c>
      <c r="I1026" s="6">
        <v>1</v>
      </c>
      <c r="J1026" s="6">
        <v>0</v>
      </c>
      <c r="K1026" s="6">
        <v>0</v>
      </c>
      <c r="L1026" s="6">
        <v>0</v>
      </c>
      <c r="M1026" s="6">
        <v>0</v>
      </c>
      <c r="N1026" s="6">
        <v>1</v>
      </c>
      <c r="O1026" s="6">
        <v>1</v>
      </c>
    </row>
    <row r="1027" spans="1:15" hidden="1">
      <c r="A1027" s="6" t="s">
        <v>1786</v>
      </c>
      <c r="B1027" s="6" t="s">
        <v>3318</v>
      </c>
      <c r="C1027" s="6" t="s">
        <v>3423</v>
      </c>
      <c r="D1027" s="6" t="s">
        <v>3454</v>
      </c>
      <c r="E1027" s="6" t="s">
        <v>3455</v>
      </c>
      <c r="F1027" s="6" t="s">
        <v>3456</v>
      </c>
      <c r="G1027" s="6" t="s">
        <v>1790</v>
      </c>
      <c r="H1027" s="6" t="s">
        <v>3456</v>
      </c>
      <c r="I1027" s="6">
        <v>2</v>
      </c>
      <c r="J1027" s="6">
        <v>0</v>
      </c>
      <c r="K1027" s="6">
        <v>0</v>
      </c>
      <c r="L1027" s="6">
        <v>0</v>
      </c>
      <c r="M1027" s="6">
        <v>0</v>
      </c>
      <c r="N1027" s="6">
        <v>1</v>
      </c>
      <c r="O1027" s="6">
        <v>1</v>
      </c>
    </row>
    <row r="1028" spans="1:15" hidden="1">
      <c r="A1028" s="6" t="s">
        <v>1786</v>
      </c>
      <c r="B1028" s="6" t="s">
        <v>3318</v>
      </c>
      <c r="C1028" s="6" t="s">
        <v>3457</v>
      </c>
      <c r="G1028" s="6" t="s">
        <v>1790</v>
      </c>
      <c r="H1028" s="6" t="s">
        <v>3458</v>
      </c>
      <c r="I1028" s="6">
        <v>1</v>
      </c>
      <c r="J1028" s="6">
        <v>0</v>
      </c>
      <c r="K1028" s="6">
        <v>0</v>
      </c>
      <c r="L1028" s="6">
        <v>0</v>
      </c>
      <c r="M1028" s="6">
        <v>0</v>
      </c>
      <c r="N1028" s="6">
        <v>1</v>
      </c>
      <c r="O1028" s="6">
        <v>1</v>
      </c>
    </row>
    <row r="1029" spans="1:15" hidden="1">
      <c r="A1029" s="6" t="s">
        <v>1786</v>
      </c>
      <c r="B1029" s="6" t="s">
        <v>3318</v>
      </c>
      <c r="C1029" s="6" t="s">
        <v>3457</v>
      </c>
      <c r="D1029" s="6" t="s">
        <v>3459</v>
      </c>
      <c r="F1029" s="6" t="s">
        <v>3459</v>
      </c>
      <c r="G1029" s="6" t="s">
        <v>1790</v>
      </c>
      <c r="H1029" s="6" t="s">
        <v>3459</v>
      </c>
      <c r="I1029" s="6">
        <v>1</v>
      </c>
      <c r="J1029" s="6">
        <v>0</v>
      </c>
      <c r="K1029" s="6">
        <v>0</v>
      </c>
      <c r="L1029" s="6">
        <v>0</v>
      </c>
      <c r="M1029" s="6">
        <v>0</v>
      </c>
      <c r="N1029" s="6">
        <v>0</v>
      </c>
      <c r="O1029" s="6">
        <v>0</v>
      </c>
    </row>
    <row r="1030" spans="1:15" hidden="1">
      <c r="A1030" s="6" t="s">
        <v>1786</v>
      </c>
      <c r="B1030" s="6" t="s">
        <v>3318</v>
      </c>
      <c r="C1030" s="6" t="s">
        <v>3457</v>
      </c>
      <c r="D1030" s="6" t="s">
        <v>3460</v>
      </c>
      <c r="G1030" s="6" t="s">
        <v>1790</v>
      </c>
      <c r="H1030" s="6" t="s">
        <v>3461</v>
      </c>
      <c r="I1030" s="6">
        <v>1</v>
      </c>
      <c r="J1030" s="6">
        <v>0</v>
      </c>
      <c r="K1030" s="6">
        <v>0</v>
      </c>
      <c r="L1030" s="6">
        <v>0</v>
      </c>
      <c r="M1030" s="6">
        <v>0</v>
      </c>
      <c r="N1030" s="6">
        <v>0</v>
      </c>
      <c r="O1030" s="6">
        <v>0</v>
      </c>
    </row>
    <row r="1031" spans="1:15" hidden="1">
      <c r="A1031" s="6" t="s">
        <v>1786</v>
      </c>
      <c r="B1031" s="6" t="s">
        <v>3318</v>
      </c>
      <c r="C1031" s="6" t="s">
        <v>3457</v>
      </c>
      <c r="D1031" s="6" t="s">
        <v>3460</v>
      </c>
      <c r="F1031" s="6" t="s">
        <v>3460</v>
      </c>
      <c r="G1031" s="6" t="s">
        <v>1790</v>
      </c>
      <c r="H1031" s="6" t="s">
        <v>3460</v>
      </c>
      <c r="I1031" s="6">
        <v>7</v>
      </c>
      <c r="J1031" s="6">
        <v>0</v>
      </c>
      <c r="K1031" s="6">
        <v>0</v>
      </c>
      <c r="L1031" s="6">
        <v>0</v>
      </c>
      <c r="M1031" s="6">
        <v>0</v>
      </c>
      <c r="N1031" s="6">
        <v>0.71430000000000005</v>
      </c>
      <c r="O1031" s="6">
        <v>0.57140000000000002</v>
      </c>
    </row>
    <row r="1032" spans="1:15" hidden="1">
      <c r="A1032" s="6" t="s">
        <v>1786</v>
      </c>
      <c r="B1032" s="6" t="s">
        <v>3318</v>
      </c>
      <c r="C1032" s="6" t="s">
        <v>3457</v>
      </c>
      <c r="D1032" s="6" t="s">
        <v>3460</v>
      </c>
      <c r="F1032" s="6" t="s">
        <v>3462</v>
      </c>
      <c r="G1032" s="6" t="s">
        <v>1790</v>
      </c>
      <c r="H1032" s="6" t="s">
        <v>3462</v>
      </c>
      <c r="I1032" s="6">
        <v>1</v>
      </c>
      <c r="J1032" s="6">
        <v>0</v>
      </c>
      <c r="K1032" s="6">
        <v>0</v>
      </c>
      <c r="L1032" s="6">
        <v>0</v>
      </c>
      <c r="M1032" s="6">
        <v>0</v>
      </c>
      <c r="N1032" s="6">
        <v>0</v>
      </c>
      <c r="O1032" s="6">
        <v>0</v>
      </c>
    </row>
    <row r="1033" spans="1:15" hidden="1">
      <c r="A1033" s="6" t="s">
        <v>1786</v>
      </c>
      <c r="B1033" s="6" t="s">
        <v>3318</v>
      </c>
      <c r="C1033" s="6" t="s">
        <v>3457</v>
      </c>
      <c r="D1033" s="6" t="s">
        <v>3460</v>
      </c>
      <c r="F1033" s="6" t="s">
        <v>3463</v>
      </c>
      <c r="G1033" s="6" t="s">
        <v>1790</v>
      </c>
      <c r="H1033" s="6" t="s">
        <v>3463</v>
      </c>
      <c r="I1033" s="6">
        <v>2</v>
      </c>
      <c r="J1033" s="6">
        <v>0</v>
      </c>
      <c r="K1033" s="6">
        <v>0</v>
      </c>
      <c r="L1033" s="6">
        <v>0</v>
      </c>
      <c r="M1033" s="6">
        <v>0</v>
      </c>
      <c r="N1033" s="6">
        <v>0</v>
      </c>
      <c r="O1033" s="6">
        <v>0</v>
      </c>
    </row>
    <row r="1034" spans="1:15" hidden="1">
      <c r="A1034" s="6" t="s">
        <v>1786</v>
      </c>
      <c r="B1034" s="6" t="s">
        <v>3318</v>
      </c>
      <c r="C1034" s="6" t="s">
        <v>3457</v>
      </c>
      <c r="D1034" s="6" t="s">
        <v>3460</v>
      </c>
      <c r="E1034" s="6" t="s">
        <v>3464</v>
      </c>
      <c r="G1034" s="6" t="s">
        <v>1790</v>
      </c>
      <c r="H1034" s="6" t="s">
        <v>3464</v>
      </c>
      <c r="I1034" s="6">
        <v>4</v>
      </c>
      <c r="J1034" s="6">
        <v>1</v>
      </c>
      <c r="K1034" s="6">
        <v>0.25</v>
      </c>
      <c r="L1034" s="6">
        <v>0.27</v>
      </c>
      <c r="M1034" s="6">
        <v>0.27</v>
      </c>
      <c r="N1034" s="6">
        <v>1</v>
      </c>
      <c r="O1034" s="6">
        <v>1</v>
      </c>
    </row>
    <row r="1035" spans="1:15" hidden="1">
      <c r="A1035" s="6" t="s">
        <v>1786</v>
      </c>
      <c r="B1035" s="6" t="s">
        <v>3318</v>
      </c>
      <c r="C1035" s="6" t="s">
        <v>3457</v>
      </c>
      <c r="D1035" s="6" t="s">
        <v>3465</v>
      </c>
      <c r="E1035" s="6" t="s">
        <v>3466</v>
      </c>
      <c r="G1035" s="6" t="s">
        <v>1790</v>
      </c>
      <c r="H1035" s="6" t="s">
        <v>3466</v>
      </c>
      <c r="I1035" s="6">
        <v>1</v>
      </c>
      <c r="J1035" s="6">
        <v>0</v>
      </c>
      <c r="K1035" s="6">
        <v>0</v>
      </c>
      <c r="L1035" s="6">
        <v>0</v>
      </c>
      <c r="M1035" s="6">
        <v>0</v>
      </c>
      <c r="N1035" s="6">
        <v>0</v>
      </c>
      <c r="O1035" s="6">
        <v>0</v>
      </c>
    </row>
    <row r="1036" spans="1:15" hidden="1">
      <c r="A1036" s="6" t="s">
        <v>1786</v>
      </c>
      <c r="B1036" s="6" t="s">
        <v>3318</v>
      </c>
      <c r="C1036" s="6" t="s">
        <v>3457</v>
      </c>
      <c r="D1036" s="6" t="s">
        <v>3467</v>
      </c>
      <c r="F1036" s="6" t="s">
        <v>3468</v>
      </c>
      <c r="G1036" s="6" t="s">
        <v>1790</v>
      </c>
      <c r="H1036" s="6" t="s">
        <v>3468</v>
      </c>
      <c r="I1036" s="6">
        <v>1</v>
      </c>
      <c r="J1036" s="6">
        <v>0</v>
      </c>
      <c r="K1036" s="6">
        <v>0</v>
      </c>
      <c r="L1036" s="6">
        <v>0</v>
      </c>
      <c r="M1036" s="6">
        <v>0</v>
      </c>
      <c r="N1036" s="6">
        <v>1</v>
      </c>
      <c r="O1036" s="6">
        <v>1</v>
      </c>
    </row>
    <row r="1037" spans="1:15" hidden="1">
      <c r="A1037" s="6" t="s">
        <v>1786</v>
      </c>
      <c r="B1037" s="6" t="s">
        <v>3318</v>
      </c>
      <c r="C1037" s="6" t="s">
        <v>3457</v>
      </c>
      <c r="D1037" s="6" t="s">
        <v>3469</v>
      </c>
      <c r="F1037" s="6" t="s">
        <v>3469</v>
      </c>
      <c r="G1037" s="6" t="s">
        <v>1790</v>
      </c>
      <c r="H1037" s="6" t="s">
        <v>3470</v>
      </c>
      <c r="I1037" s="6">
        <v>1</v>
      </c>
      <c r="J1037" s="6">
        <v>0</v>
      </c>
      <c r="K1037" s="6">
        <v>0</v>
      </c>
      <c r="L1037" s="6">
        <v>0</v>
      </c>
      <c r="M1037" s="6">
        <v>0</v>
      </c>
      <c r="N1037" s="6">
        <v>0</v>
      </c>
      <c r="O1037" s="6">
        <v>0</v>
      </c>
    </row>
    <row r="1038" spans="1:15" hidden="1">
      <c r="A1038" s="6" t="s">
        <v>1786</v>
      </c>
      <c r="B1038" s="6" t="s">
        <v>3471</v>
      </c>
      <c r="C1038" s="6" t="s">
        <v>110</v>
      </c>
      <c r="D1038" s="6" t="s">
        <v>2657</v>
      </c>
      <c r="F1038" s="6" t="s">
        <v>2661</v>
      </c>
      <c r="G1038" s="6" t="s">
        <v>1790</v>
      </c>
      <c r="H1038" s="6" t="s">
        <v>2661</v>
      </c>
      <c r="I1038" s="6">
        <v>2</v>
      </c>
      <c r="J1038" s="6">
        <v>0</v>
      </c>
      <c r="K1038" s="6">
        <v>0</v>
      </c>
      <c r="L1038" s="6">
        <v>0</v>
      </c>
      <c r="M1038" s="6">
        <v>0</v>
      </c>
      <c r="N1038" s="6">
        <v>1</v>
      </c>
      <c r="O1038" s="6">
        <v>1</v>
      </c>
    </row>
    <row r="1039" spans="1:15" hidden="1">
      <c r="A1039" s="6" t="s">
        <v>1786</v>
      </c>
      <c r="B1039" s="6" t="s">
        <v>3471</v>
      </c>
      <c r="C1039" s="6" t="s">
        <v>110</v>
      </c>
      <c r="D1039" s="6" t="s">
        <v>2657</v>
      </c>
      <c r="F1039" s="6" t="s">
        <v>2661</v>
      </c>
      <c r="G1039" s="6" t="s">
        <v>1790</v>
      </c>
      <c r="H1039" s="6" t="s">
        <v>3472</v>
      </c>
      <c r="I1039" s="6">
        <v>1</v>
      </c>
      <c r="J1039" s="6">
        <v>0</v>
      </c>
      <c r="K1039" s="6">
        <v>0</v>
      </c>
      <c r="L1039" s="6">
        <v>0</v>
      </c>
      <c r="M1039" s="6">
        <v>0</v>
      </c>
      <c r="N1039" s="6">
        <v>0</v>
      </c>
      <c r="O1039" s="6">
        <v>0</v>
      </c>
    </row>
    <row r="1040" spans="1:15" hidden="1">
      <c r="A1040" s="6" t="s">
        <v>1786</v>
      </c>
      <c r="B1040" s="6" t="s">
        <v>3471</v>
      </c>
      <c r="C1040" s="6" t="s">
        <v>110</v>
      </c>
      <c r="D1040" s="6" t="s">
        <v>2657</v>
      </c>
      <c r="F1040" s="6" t="s">
        <v>3473</v>
      </c>
      <c r="G1040" s="6" t="s">
        <v>1790</v>
      </c>
      <c r="H1040" s="6" t="s">
        <v>3474</v>
      </c>
      <c r="I1040" s="6">
        <v>2</v>
      </c>
      <c r="J1040" s="6">
        <v>1</v>
      </c>
      <c r="K1040" s="6">
        <v>0.5</v>
      </c>
      <c r="L1040" s="6">
        <v>7.0000000000000007E-2</v>
      </c>
      <c r="M1040" s="6">
        <v>7.0000000000000007E-2</v>
      </c>
      <c r="N1040" s="6">
        <v>1</v>
      </c>
      <c r="O1040" s="6">
        <v>1</v>
      </c>
    </row>
    <row r="1041" spans="1:15" hidden="1">
      <c r="A1041" s="6" t="s">
        <v>1786</v>
      </c>
      <c r="B1041" s="6" t="s">
        <v>3471</v>
      </c>
      <c r="C1041" s="6" t="s">
        <v>110</v>
      </c>
      <c r="D1041" s="6" t="s">
        <v>2657</v>
      </c>
      <c r="F1041" s="6" t="s">
        <v>2667</v>
      </c>
      <c r="G1041" s="6" t="s">
        <v>1790</v>
      </c>
      <c r="H1041" s="6" t="s">
        <v>2667</v>
      </c>
      <c r="I1041" s="6">
        <v>2</v>
      </c>
      <c r="J1041" s="6">
        <v>0</v>
      </c>
      <c r="K1041" s="6">
        <v>0</v>
      </c>
      <c r="L1041" s="6">
        <v>0</v>
      </c>
      <c r="M1041" s="6">
        <v>0</v>
      </c>
      <c r="N1041" s="6">
        <v>1</v>
      </c>
      <c r="O1041" s="6">
        <v>1</v>
      </c>
    </row>
    <row r="1042" spans="1:15" hidden="1">
      <c r="A1042" s="6" t="s">
        <v>1786</v>
      </c>
      <c r="B1042" s="6" t="s">
        <v>3471</v>
      </c>
      <c r="C1042" s="6" t="s">
        <v>110</v>
      </c>
      <c r="D1042" s="6" t="s">
        <v>2672</v>
      </c>
      <c r="E1042" s="6" t="s">
        <v>2673</v>
      </c>
      <c r="F1042" s="6" t="s">
        <v>2639</v>
      </c>
      <c r="G1042" s="6" t="s">
        <v>1790</v>
      </c>
      <c r="H1042" s="6" t="s">
        <v>2677</v>
      </c>
      <c r="I1042" s="6">
        <v>1</v>
      </c>
      <c r="J1042" s="6">
        <v>0</v>
      </c>
      <c r="K1042" s="6">
        <v>0</v>
      </c>
      <c r="L1042" s="6">
        <v>0</v>
      </c>
      <c r="M1042" s="6">
        <v>0</v>
      </c>
      <c r="N1042" s="6">
        <v>1</v>
      </c>
      <c r="O1042" s="6">
        <v>1</v>
      </c>
    </row>
    <row r="1043" spans="1:15" hidden="1">
      <c r="A1043" s="6" t="s">
        <v>1786</v>
      </c>
      <c r="B1043" s="6" t="s">
        <v>3471</v>
      </c>
      <c r="C1043" s="6" t="s">
        <v>110</v>
      </c>
      <c r="D1043" s="6" t="s">
        <v>2672</v>
      </c>
      <c r="E1043" s="6" t="s">
        <v>2686</v>
      </c>
      <c r="G1043" s="6" t="s">
        <v>1790</v>
      </c>
      <c r="H1043" s="6" t="s">
        <v>3475</v>
      </c>
      <c r="I1043" s="6">
        <v>2</v>
      </c>
      <c r="J1043" s="6">
        <v>0</v>
      </c>
      <c r="K1043" s="6">
        <v>0</v>
      </c>
      <c r="L1043" s="6">
        <v>0</v>
      </c>
      <c r="M1043" s="6">
        <v>0</v>
      </c>
      <c r="N1043" s="6">
        <v>1</v>
      </c>
      <c r="O1043" s="6">
        <v>1</v>
      </c>
    </row>
    <row r="1044" spans="1:15" hidden="1">
      <c r="A1044" s="6" t="s">
        <v>1786</v>
      </c>
      <c r="B1044" s="6" t="s">
        <v>3471</v>
      </c>
      <c r="C1044" s="6" t="s">
        <v>110</v>
      </c>
      <c r="D1044" s="6" t="s">
        <v>2672</v>
      </c>
      <c r="E1044" s="6" t="s">
        <v>2686</v>
      </c>
      <c r="F1044" s="6" t="s">
        <v>3476</v>
      </c>
      <c r="G1044" s="6" t="s">
        <v>1790</v>
      </c>
      <c r="H1044" s="6" t="s">
        <v>3477</v>
      </c>
      <c r="I1044" s="6">
        <v>1</v>
      </c>
      <c r="J1044" s="6">
        <v>0</v>
      </c>
      <c r="K1044" s="6">
        <v>0</v>
      </c>
      <c r="L1044" s="6">
        <v>0</v>
      </c>
      <c r="M1044" s="6">
        <v>0</v>
      </c>
      <c r="N1044" s="6">
        <v>1</v>
      </c>
      <c r="O1044" s="6">
        <v>1</v>
      </c>
    </row>
    <row r="1045" spans="1:15" hidden="1">
      <c r="A1045" s="6" t="s">
        <v>1786</v>
      </c>
      <c r="B1045" s="6" t="s">
        <v>3471</v>
      </c>
      <c r="C1045" s="6" t="s">
        <v>110</v>
      </c>
      <c r="D1045" s="6" t="s">
        <v>2672</v>
      </c>
      <c r="E1045" s="6" t="s">
        <v>2686</v>
      </c>
      <c r="F1045" s="6" t="s">
        <v>2581</v>
      </c>
      <c r="G1045" s="6" t="s">
        <v>1790</v>
      </c>
      <c r="H1045" s="6" t="s">
        <v>3478</v>
      </c>
      <c r="I1045" s="6">
        <v>1</v>
      </c>
      <c r="J1045" s="6">
        <v>0</v>
      </c>
      <c r="K1045" s="6">
        <v>0</v>
      </c>
      <c r="L1045" s="6">
        <v>0</v>
      </c>
      <c r="M1045" s="6">
        <v>0</v>
      </c>
      <c r="N1045" s="6">
        <v>0</v>
      </c>
      <c r="O1045" s="6">
        <v>0</v>
      </c>
    </row>
    <row r="1046" spans="1:15" hidden="1">
      <c r="A1046" s="6" t="s">
        <v>1786</v>
      </c>
      <c r="B1046" s="6" t="s">
        <v>3471</v>
      </c>
      <c r="C1046" s="6" t="s">
        <v>110</v>
      </c>
      <c r="D1046" s="6" t="s">
        <v>2672</v>
      </c>
      <c r="E1046" s="6" t="s">
        <v>2686</v>
      </c>
      <c r="F1046" s="6" t="s">
        <v>3479</v>
      </c>
      <c r="G1046" s="6" t="s">
        <v>1790</v>
      </c>
      <c r="H1046" s="6" t="s">
        <v>3480</v>
      </c>
      <c r="I1046" s="6">
        <v>1</v>
      </c>
      <c r="J1046" s="6">
        <v>0</v>
      </c>
      <c r="K1046" s="6">
        <v>0</v>
      </c>
      <c r="L1046" s="6">
        <v>0</v>
      </c>
      <c r="M1046" s="6">
        <v>0</v>
      </c>
      <c r="N1046" s="6">
        <v>0</v>
      </c>
      <c r="O1046" s="6">
        <v>0</v>
      </c>
    </row>
    <row r="1047" spans="1:15" hidden="1">
      <c r="A1047" s="6" t="s">
        <v>1786</v>
      </c>
      <c r="B1047" s="6" t="s">
        <v>3471</v>
      </c>
      <c r="C1047" s="6" t="s">
        <v>110</v>
      </c>
      <c r="D1047" s="6" t="s">
        <v>2672</v>
      </c>
      <c r="E1047" s="6" t="s">
        <v>2686</v>
      </c>
      <c r="F1047" s="6" t="s">
        <v>2693</v>
      </c>
      <c r="G1047" s="6" t="s">
        <v>1790</v>
      </c>
      <c r="H1047" s="6" t="s">
        <v>2693</v>
      </c>
      <c r="I1047" s="6">
        <v>2</v>
      </c>
      <c r="J1047" s="6">
        <v>0</v>
      </c>
      <c r="K1047" s="6">
        <v>0</v>
      </c>
      <c r="L1047" s="6">
        <v>0</v>
      </c>
      <c r="M1047" s="6">
        <v>0</v>
      </c>
      <c r="N1047" s="6">
        <v>1</v>
      </c>
      <c r="O1047" s="6">
        <v>1</v>
      </c>
    </row>
    <row r="1048" spans="1:15" hidden="1">
      <c r="A1048" s="6" t="s">
        <v>1786</v>
      </c>
      <c r="B1048" s="6" t="s">
        <v>3471</v>
      </c>
      <c r="C1048" s="6" t="s">
        <v>110</v>
      </c>
      <c r="D1048" s="6" t="s">
        <v>2703</v>
      </c>
      <c r="F1048" s="6" t="s">
        <v>2706</v>
      </c>
      <c r="G1048" s="6" t="s">
        <v>1790</v>
      </c>
      <c r="H1048" s="6" t="s">
        <v>2708</v>
      </c>
      <c r="I1048" s="6">
        <v>9</v>
      </c>
      <c r="J1048" s="6">
        <v>0</v>
      </c>
      <c r="K1048" s="6">
        <v>0</v>
      </c>
      <c r="L1048" s="6">
        <v>0</v>
      </c>
      <c r="M1048" s="6">
        <v>0</v>
      </c>
      <c r="N1048" s="6">
        <v>0</v>
      </c>
      <c r="O1048" s="6">
        <v>0</v>
      </c>
    </row>
    <row r="1049" spans="1:15" hidden="1">
      <c r="A1049" s="6" t="s">
        <v>1786</v>
      </c>
      <c r="B1049" s="6" t="s">
        <v>3471</v>
      </c>
      <c r="C1049" s="6" t="s">
        <v>110</v>
      </c>
      <c r="D1049" s="6" t="s">
        <v>2703</v>
      </c>
      <c r="F1049" s="6" t="s">
        <v>2706</v>
      </c>
      <c r="G1049" s="6" t="s">
        <v>1790</v>
      </c>
      <c r="H1049" s="6" t="s">
        <v>3481</v>
      </c>
      <c r="I1049" s="6">
        <v>2</v>
      </c>
      <c r="J1049" s="6">
        <v>0</v>
      </c>
      <c r="K1049" s="6">
        <v>0</v>
      </c>
      <c r="L1049" s="6">
        <v>0</v>
      </c>
      <c r="M1049" s="6">
        <v>0</v>
      </c>
      <c r="N1049" s="6">
        <v>1</v>
      </c>
      <c r="O1049" s="6">
        <v>0</v>
      </c>
    </row>
    <row r="1050" spans="1:15" hidden="1">
      <c r="A1050" s="6" t="s">
        <v>1786</v>
      </c>
      <c r="B1050" s="6" t="s">
        <v>3471</v>
      </c>
      <c r="C1050" s="6" t="s">
        <v>110</v>
      </c>
      <c r="D1050" s="6" t="s">
        <v>2703</v>
      </c>
      <c r="F1050" s="6" t="s">
        <v>2706</v>
      </c>
      <c r="G1050" s="6" t="s">
        <v>1790</v>
      </c>
      <c r="H1050" s="6" t="s">
        <v>3482</v>
      </c>
      <c r="I1050" s="6">
        <v>1</v>
      </c>
      <c r="J1050" s="6">
        <v>0</v>
      </c>
      <c r="K1050" s="6">
        <v>0</v>
      </c>
      <c r="L1050" s="6">
        <v>0</v>
      </c>
      <c r="M1050" s="6">
        <v>0</v>
      </c>
      <c r="N1050" s="6">
        <v>0</v>
      </c>
      <c r="O1050" s="6">
        <v>0</v>
      </c>
    </row>
    <row r="1051" spans="1:15" hidden="1">
      <c r="A1051" s="6" t="s">
        <v>1786</v>
      </c>
      <c r="B1051" s="6" t="s">
        <v>3471</v>
      </c>
      <c r="C1051" s="6" t="s">
        <v>110</v>
      </c>
      <c r="D1051" s="6" t="s">
        <v>2710</v>
      </c>
      <c r="E1051" s="6" t="s">
        <v>3483</v>
      </c>
      <c r="F1051" s="6" t="s">
        <v>3484</v>
      </c>
      <c r="G1051" s="6" t="s">
        <v>1790</v>
      </c>
      <c r="H1051" s="6" t="s">
        <v>3485</v>
      </c>
      <c r="I1051" s="6">
        <v>2</v>
      </c>
      <c r="J1051" s="6">
        <v>0</v>
      </c>
      <c r="K1051" s="6">
        <v>0</v>
      </c>
      <c r="L1051" s="6">
        <v>0</v>
      </c>
      <c r="M1051" s="6">
        <v>0</v>
      </c>
      <c r="N1051" s="6">
        <v>1</v>
      </c>
      <c r="O1051" s="6">
        <v>1</v>
      </c>
    </row>
    <row r="1052" spans="1:15" hidden="1">
      <c r="A1052" s="6" t="s">
        <v>1786</v>
      </c>
      <c r="B1052" s="6" t="s">
        <v>3471</v>
      </c>
      <c r="C1052" s="6" t="s">
        <v>110</v>
      </c>
      <c r="D1052" s="6" t="s">
        <v>3486</v>
      </c>
      <c r="F1052" s="6" t="s">
        <v>3487</v>
      </c>
      <c r="G1052" s="6" t="s">
        <v>1790</v>
      </c>
      <c r="H1052" s="6" t="s">
        <v>3488</v>
      </c>
      <c r="I1052" s="6">
        <v>1</v>
      </c>
      <c r="J1052" s="6">
        <v>0</v>
      </c>
      <c r="K1052" s="6">
        <v>0</v>
      </c>
      <c r="L1052" s="6">
        <v>0</v>
      </c>
      <c r="M1052" s="6">
        <v>0</v>
      </c>
      <c r="N1052" s="6">
        <v>0</v>
      </c>
      <c r="O1052" s="6">
        <v>0</v>
      </c>
    </row>
    <row r="1053" spans="1:15" hidden="1">
      <c r="A1053" s="6" t="s">
        <v>1786</v>
      </c>
      <c r="B1053" s="6" t="s">
        <v>3471</v>
      </c>
      <c r="C1053" s="6" t="s">
        <v>110</v>
      </c>
      <c r="D1053" s="6" t="s">
        <v>2719</v>
      </c>
      <c r="E1053" s="6" t="s">
        <v>3489</v>
      </c>
      <c r="G1053" s="6" t="s">
        <v>1790</v>
      </c>
      <c r="H1053" s="6" t="s">
        <v>3490</v>
      </c>
      <c r="I1053" s="6">
        <v>2</v>
      </c>
      <c r="J1053" s="6">
        <v>0</v>
      </c>
      <c r="K1053" s="6">
        <v>0</v>
      </c>
      <c r="L1053" s="6">
        <v>0</v>
      </c>
      <c r="M1053" s="6">
        <v>0</v>
      </c>
      <c r="N1053" s="6">
        <v>1</v>
      </c>
      <c r="O1053" s="6">
        <v>1</v>
      </c>
    </row>
    <row r="1054" spans="1:15" hidden="1">
      <c r="A1054" s="6" t="s">
        <v>1786</v>
      </c>
      <c r="B1054" s="6" t="s">
        <v>3471</v>
      </c>
      <c r="C1054" s="6" t="s">
        <v>110</v>
      </c>
      <c r="D1054" s="6" t="s">
        <v>2719</v>
      </c>
      <c r="E1054" s="6" t="s">
        <v>3491</v>
      </c>
      <c r="F1054" s="6" t="s">
        <v>3491</v>
      </c>
      <c r="G1054" s="6" t="s">
        <v>1790</v>
      </c>
      <c r="H1054" s="6" t="s">
        <v>3491</v>
      </c>
      <c r="I1054" s="6">
        <v>4</v>
      </c>
      <c r="J1054" s="6">
        <v>0</v>
      </c>
      <c r="K1054" s="6">
        <v>0</v>
      </c>
      <c r="L1054" s="6">
        <v>0</v>
      </c>
      <c r="M1054" s="6">
        <v>0</v>
      </c>
      <c r="N1054" s="6">
        <v>1</v>
      </c>
      <c r="O1054" s="6">
        <v>1</v>
      </c>
    </row>
    <row r="1055" spans="1:15" hidden="1">
      <c r="A1055" s="6" t="s">
        <v>1786</v>
      </c>
      <c r="B1055" s="6" t="s">
        <v>3471</v>
      </c>
      <c r="C1055" s="6" t="s">
        <v>110</v>
      </c>
      <c r="D1055" s="6" t="s">
        <v>1831</v>
      </c>
      <c r="E1055" s="6" t="s">
        <v>3492</v>
      </c>
      <c r="F1055" s="6" t="s">
        <v>2394</v>
      </c>
      <c r="G1055" s="6" t="s">
        <v>1790</v>
      </c>
      <c r="H1055" s="6" t="s">
        <v>3493</v>
      </c>
      <c r="I1055" s="6">
        <v>2</v>
      </c>
      <c r="J1055" s="6">
        <v>1</v>
      </c>
      <c r="K1055" s="6">
        <v>0.5</v>
      </c>
      <c r="L1055" s="6">
        <v>1.0900000000000001</v>
      </c>
      <c r="M1055" s="6">
        <v>1.0900000000000001</v>
      </c>
      <c r="N1055" s="6">
        <v>1</v>
      </c>
      <c r="O1055" s="6">
        <v>1</v>
      </c>
    </row>
    <row r="1056" spans="1:15" hidden="1">
      <c r="A1056" s="6" t="s">
        <v>1786</v>
      </c>
      <c r="B1056" s="6" t="s">
        <v>3471</v>
      </c>
      <c r="C1056" s="6" t="s">
        <v>110</v>
      </c>
      <c r="D1056" s="6" t="s">
        <v>1831</v>
      </c>
      <c r="E1056" s="6" t="s">
        <v>3494</v>
      </c>
      <c r="F1056" s="6" t="s">
        <v>3495</v>
      </c>
      <c r="G1056" s="6" t="s">
        <v>1790</v>
      </c>
      <c r="H1056" s="6" t="s">
        <v>3495</v>
      </c>
      <c r="I1056" s="6">
        <v>1</v>
      </c>
      <c r="J1056" s="6">
        <v>0</v>
      </c>
      <c r="K1056" s="6">
        <v>0</v>
      </c>
      <c r="L1056" s="6">
        <v>0</v>
      </c>
      <c r="M1056" s="6">
        <v>0</v>
      </c>
      <c r="N1056" s="6">
        <v>0</v>
      </c>
      <c r="O1056" s="6">
        <v>0</v>
      </c>
    </row>
    <row r="1057" spans="1:15" hidden="1">
      <c r="A1057" s="6" t="s">
        <v>1786</v>
      </c>
      <c r="B1057" s="6" t="s">
        <v>3471</v>
      </c>
      <c r="C1057" s="6" t="s">
        <v>110</v>
      </c>
      <c r="D1057" s="6" t="s">
        <v>1831</v>
      </c>
      <c r="E1057" s="6" t="s">
        <v>2747</v>
      </c>
      <c r="F1057" s="6" t="s">
        <v>3496</v>
      </c>
      <c r="G1057" s="6" t="s">
        <v>1790</v>
      </c>
      <c r="H1057" s="6" t="s">
        <v>3497</v>
      </c>
      <c r="I1057" s="6">
        <v>1</v>
      </c>
      <c r="J1057" s="6">
        <v>0</v>
      </c>
      <c r="K1057" s="6">
        <v>0</v>
      </c>
      <c r="L1057" s="6">
        <v>0</v>
      </c>
      <c r="M1057" s="6">
        <v>0</v>
      </c>
      <c r="N1057" s="6">
        <v>1</v>
      </c>
      <c r="O1057" s="6">
        <v>1</v>
      </c>
    </row>
    <row r="1058" spans="1:15" hidden="1">
      <c r="A1058" s="6" t="s">
        <v>1786</v>
      </c>
      <c r="B1058" s="6" t="s">
        <v>3471</v>
      </c>
      <c r="C1058" s="6" t="s">
        <v>110</v>
      </c>
      <c r="D1058" s="6" t="s">
        <v>1831</v>
      </c>
      <c r="E1058" s="6" t="s">
        <v>2747</v>
      </c>
      <c r="F1058" s="6" t="s">
        <v>2748</v>
      </c>
      <c r="G1058" s="6" t="s">
        <v>1790</v>
      </c>
      <c r="H1058" s="6" t="s">
        <v>3498</v>
      </c>
      <c r="I1058" s="6">
        <v>12</v>
      </c>
      <c r="J1058" s="6">
        <v>2</v>
      </c>
      <c r="K1058" s="6">
        <v>0.16670000000000001</v>
      </c>
      <c r="L1058" s="6">
        <v>1.17</v>
      </c>
      <c r="M1058" s="6">
        <v>2.34</v>
      </c>
      <c r="N1058" s="6">
        <v>1</v>
      </c>
      <c r="O1058" s="6">
        <v>1</v>
      </c>
    </row>
    <row r="1059" spans="1:15" hidden="1">
      <c r="A1059" s="6" t="s">
        <v>1786</v>
      </c>
      <c r="B1059" s="6" t="s">
        <v>3471</v>
      </c>
      <c r="C1059" s="6" t="s">
        <v>110</v>
      </c>
      <c r="D1059" s="6" t="s">
        <v>1831</v>
      </c>
      <c r="E1059" s="6" t="s">
        <v>2747</v>
      </c>
      <c r="F1059" s="6" t="s">
        <v>2748</v>
      </c>
      <c r="G1059" s="6" t="s">
        <v>1790</v>
      </c>
      <c r="H1059" s="6" t="s">
        <v>2750</v>
      </c>
      <c r="I1059" s="6">
        <v>4</v>
      </c>
      <c r="J1059" s="6">
        <v>0</v>
      </c>
      <c r="K1059" s="6">
        <v>0</v>
      </c>
      <c r="L1059" s="6">
        <v>0</v>
      </c>
      <c r="M1059" s="6">
        <v>0</v>
      </c>
      <c r="N1059" s="6">
        <v>1</v>
      </c>
      <c r="O1059" s="6">
        <v>1</v>
      </c>
    </row>
    <row r="1060" spans="1:15" hidden="1">
      <c r="A1060" s="6" t="s">
        <v>1786</v>
      </c>
      <c r="B1060" s="6" t="s">
        <v>3471</v>
      </c>
      <c r="C1060" s="6" t="s">
        <v>110</v>
      </c>
      <c r="D1060" s="6" t="s">
        <v>1831</v>
      </c>
      <c r="E1060" s="6" t="s">
        <v>2747</v>
      </c>
      <c r="F1060" s="6" t="s">
        <v>2747</v>
      </c>
      <c r="G1060" s="6" t="s">
        <v>1790</v>
      </c>
      <c r="H1060" s="6" t="s">
        <v>2747</v>
      </c>
      <c r="I1060" s="6">
        <v>12</v>
      </c>
      <c r="J1060" s="6">
        <v>2</v>
      </c>
      <c r="K1060" s="6">
        <v>0.16670000000000001</v>
      </c>
      <c r="L1060" s="6">
        <v>0.56999999999999995</v>
      </c>
      <c r="M1060" s="6">
        <v>1.1499999999999999</v>
      </c>
      <c r="N1060" s="6">
        <v>1</v>
      </c>
      <c r="O1060" s="6">
        <v>0.71430000000000005</v>
      </c>
    </row>
    <row r="1061" spans="1:15" hidden="1">
      <c r="A1061" s="6" t="s">
        <v>1786</v>
      </c>
      <c r="B1061" s="6" t="s">
        <v>3471</v>
      </c>
      <c r="C1061" s="6" t="s">
        <v>110</v>
      </c>
      <c r="D1061" s="6" t="s">
        <v>1831</v>
      </c>
      <c r="E1061" s="6" t="s">
        <v>3499</v>
      </c>
      <c r="F1061" s="6" t="s">
        <v>3500</v>
      </c>
      <c r="G1061" s="6" t="s">
        <v>1790</v>
      </c>
      <c r="H1061" s="6" t="s">
        <v>3501</v>
      </c>
      <c r="I1061" s="6">
        <v>2</v>
      </c>
      <c r="J1061" s="6">
        <v>0</v>
      </c>
      <c r="K1061" s="6">
        <v>0</v>
      </c>
      <c r="L1061" s="6">
        <v>0</v>
      </c>
      <c r="M1061" s="6">
        <v>0</v>
      </c>
      <c r="N1061" s="6">
        <v>1</v>
      </c>
      <c r="O1061" s="6">
        <v>0</v>
      </c>
    </row>
    <row r="1062" spans="1:15" hidden="1">
      <c r="A1062" s="6" t="s">
        <v>1786</v>
      </c>
      <c r="B1062" s="6" t="s">
        <v>3471</v>
      </c>
      <c r="C1062" s="6" t="s">
        <v>110</v>
      </c>
      <c r="D1062" s="6" t="s">
        <v>1831</v>
      </c>
      <c r="E1062" s="6" t="s">
        <v>3499</v>
      </c>
      <c r="F1062" s="6" t="s">
        <v>3502</v>
      </c>
      <c r="G1062" s="6" t="s">
        <v>1790</v>
      </c>
      <c r="H1062" s="6" t="s">
        <v>3503</v>
      </c>
      <c r="I1062" s="6">
        <v>3</v>
      </c>
      <c r="J1062" s="6">
        <v>0</v>
      </c>
      <c r="K1062" s="6">
        <v>0</v>
      </c>
      <c r="L1062" s="6">
        <v>0</v>
      </c>
      <c r="M1062" s="6">
        <v>0</v>
      </c>
      <c r="N1062" s="6">
        <v>0.5</v>
      </c>
      <c r="O1062" s="6">
        <v>0.5</v>
      </c>
    </row>
    <row r="1063" spans="1:15" hidden="1">
      <c r="A1063" s="6" t="s">
        <v>1786</v>
      </c>
      <c r="B1063" s="6" t="s">
        <v>3471</v>
      </c>
      <c r="C1063" s="6" t="s">
        <v>110</v>
      </c>
      <c r="D1063" s="6" t="s">
        <v>1831</v>
      </c>
      <c r="E1063" s="6" t="s">
        <v>3499</v>
      </c>
      <c r="F1063" s="6" t="s">
        <v>3502</v>
      </c>
      <c r="G1063" s="6" t="s">
        <v>1790</v>
      </c>
      <c r="H1063" s="6" t="s">
        <v>3504</v>
      </c>
      <c r="I1063" s="6">
        <v>1</v>
      </c>
      <c r="J1063" s="6">
        <v>0</v>
      </c>
      <c r="K1063" s="6">
        <v>0</v>
      </c>
      <c r="L1063" s="6">
        <v>0</v>
      </c>
      <c r="M1063" s="6">
        <v>0</v>
      </c>
      <c r="N1063" s="6">
        <v>0</v>
      </c>
      <c r="O1063" s="6">
        <v>0</v>
      </c>
    </row>
    <row r="1064" spans="1:15" hidden="1">
      <c r="A1064" s="6" t="s">
        <v>1786</v>
      </c>
      <c r="B1064" s="6" t="s">
        <v>3471</v>
      </c>
      <c r="C1064" s="6" t="s">
        <v>110</v>
      </c>
      <c r="D1064" s="6" t="s">
        <v>1831</v>
      </c>
      <c r="E1064" s="6" t="s">
        <v>3499</v>
      </c>
      <c r="F1064" s="6" t="s">
        <v>3502</v>
      </c>
      <c r="G1064" s="6" t="s">
        <v>1790</v>
      </c>
      <c r="H1064" s="6" t="s">
        <v>3502</v>
      </c>
      <c r="I1064" s="6">
        <v>3</v>
      </c>
      <c r="J1064" s="6">
        <v>0</v>
      </c>
      <c r="K1064" s="6">
        <v>0</v>
      </c>
      <c r="L1064" s="6">
        <v>0</v>
      </c>
      <c r="M1064" s="6">
        <v>0</v>
      </c>
      <c r="N1064" s="6">
        <v>1</v>
      </c>
      <c r="O1064" s="6">
        <v>1</v>
      </c>
    </row>
    <row r="1065" spans="1:15" hidden="1">
      <c r="A1065" s="6" t="s">
        <v>1786</v>
      </c>
      <c r="B1065" s="6" t="s">
        <v>3471</v>
      </c>
      <c r="C1065" s="6" t="s">
        <v>110</v>
      </c>
      <c r="D1065" s="6" t="s">
        <v>1831</v>
      </c>
      <c r="E1065" s="6" t="s">
        <v>2764</v>
      </c>
      <c r="F1065" s="6" t="s">
        <v>2768</v>
      </c>
      <c r="G1065" s="6" t="s">
        <v>1790</v>
      </c>
      <c r="H1065" s="6" t="s">
        <v>3505</v>
      </c>
      <c r="I1065" s="6">
        <v>1</v>
      </c>
      <c r="J1065" s="6">
        <v>0</v>
      </c>
      <c r="K1065" s="6">
        <v>0</v>
      </c>
      <c r="L1065" s="6">
        <v>0</v>
      </c>
      <c r="M1065" s="6">
        <v>0</v>
      </c>
      <c r="N1065" s="6">
        <v>0</v>
      </c>
      <c r="O1065" s="6">
        <v>0</v>
      </c>
    </row>
    <row r="1066" spans="1:15" hidden="1">
      <c r="A1066" s="6" t="s">
        <v>1786</v>
      </c>
      <c r="B1066" s="6" t="s">
        <v>3471</v>
      </c>
      <c r="C1066" s="6" t="s">
        <v>110</v>
      </c>
      <c r="D1066" s="6" t="s">
        <v>1831</v>
      </c>
      <c r="E1066" s="6" t="s">
        <v>2764</v>
      </c>
      <c r="F1066" s="6" t="s">
        <v>2764</v>
      </c>
      <c r="G1066" s="6" t="s">
        <v>1790</v>
      </c>
      <c r="H1066" s="6" t="s">
        <v>3506</v>
      </c>
      <c r="I1066" s="6">
        <v>5</v>
      </c>
      <c r="J1066" s="6">
        <v>2</v>
      </c>
      <c r="K1066" s="6">
        <v>0.4</v>
      </c>
      <c r="L1066" s="6">
        <v>0.27</v>
      </c>
      <c r="M1066" s="6">
        <v>0.55000000000000004</v>
      </c>
      <c r="N1066" s="6">
        <v>1</v>
      </c>
      <c r="O1066" s="6">
        <v>1</v>
      </c>
    </row>
    <row r="1067" spans="1:15" hidden="1">
      <c r="A1067" s="6" t="s">
        <v>1786</v>
      </c>
      <c r="B1067" s="6" t="s">
        <v>3471</v>
      </c>
      <c r="C1067" s="6" t="s">
        <v>110</v>
      </c>
      <c r="D1067" s="6" t="s">
        <v>1831</v>
      </c>
      <c r="E1067" s="6" t="s">
        <v>2764</v>
      </c>
      <c r="F1067" s="6" t="s">
        <v>2764</v>
      </c>
      <c r="G1067" s="6" t="s">
        <v>1790</v>
      </c>
      <c r="H1067" s="6" t="s">
        <v>3507</v>
      </c>
      <c r="I1067" s="6">
        <v>1</v>
      </c>
      <c r="J1067" s="6">
        <v>0</v>
      </c>
      <c r="K1067" s="6">
        <v>0</v>
      </c>
      <c r="L1067" s="6">
        <v>0</v>
      </c>
      <c r="M1067" s="6">
        <v>0</v>
      </c>
      <c r="N1067" s="6">
        <v>1</v>
      </c>
      <c r="O1067" s="6">
        <v>1</v>
      </c>
    </row>
    <row r="1068" spans="1:15" hidden="1">
      <c r="A1068" s="6" t="s">
        <v>1786</v>
      </c>
      <c r="B1068" s="6" t="s">
        <v>3471</v>
      </c>
      <c r="C1068" s="6" t="s">
        <v>110</v>
      </c>
      <c r="D1068" s="6" t="s">
        <v>1831</v>
      </c>
      <c r="E1068" s="6" t="s">
        <v>2764</v>
      </c>
      <c r="F1068" s="6" t="s">
        <v>2764</v>
      </c>
      <c r="G1068" s="6" t="s">
        <v>1790</v>
      </c>
      <c r="H1068" s="6" t="s">
        <v>3508</v>
      </c>
      <c r="I1068" s="6">
        <v>2</v>
      </c>
      <c r="J1068" s="6">
        <v>0</v>
      </c>
      <c r="K1068" s="6">
        <v>0</v>
      </c>
      <c r="L1068" s="6">
        <v>0</v>
      </c>
      <c r="M1068" s="6">
        <v>0</v>
      </c>
      <c r="N1068" s="6">
        <v>1</v>
      </c>
      <c r="O1068" s="6">
        <v>1</v>
      </c>
    </row>
    <row r="1069" spans="1:15" hidden="1">
      <c r="A1069" s="6" t="s">
        <v>1786</v>
      </c>
      <c r="B1069" s="6" t="s">
        <v>3471</v>
      </c>
      <c r="C1069" s="6" t="s">
        <v>110</v>
      </c>
      <c r="D1069" s="6" t="s">
        <v>1831</v>
      </c>
      <c r="E1069" s="6" t="s">
        <v>2764</v>
      </c>
      <c r="F1069" s="6" t="s">
        <v>2764</v>
      </c>
      <c r="G1069" s="6" t="s">
        <v>1790</v>
      </c>
      <c r="H1069" s="6" t="s">
        <v>3509</v>
      </c>
      <c r="I1069" s="6">
        <v>5</v>
      </c>
      <c r="J1069" s="6">
        <v>0</v>
      </c>
      <c r="K1069" s="6">
        <v>0</v>
      </c>
      <c r="L1069" s="6">
        <v>0</v>
      </c>
      <c r="M1069" s="6">
        <v>0</v>
      </c>
      <c r="N1069" s="6">
        <v>0.66670000000000007</v>
      </c>
      <c r="O1069" s="6">
        <v>0.66670000000000007</v>
      </c>
    </row>
    <row r="1070" spans="1:15" hidden="1">
      <c r="A1070" s="6" t="s">
        <v>1786</v>
      </c>
      <c r="B1070" s="6" t="s">
        <v>3471</v>
      </c>
      <c r="C1070" s="6" t="s">
        <v>110</v>
      </c>
      <c r="D1070" s="6" t="s">
        <v>1831</v>
      </c>
      <c r="E1070" s="6" t="s">
        <v>2764</v>
      </c>
      <c r="F1070" s="6" t="s">
        <v>2764</v>
      </c>
      <c r="G1070" s="6" t="s">
        <v>1790</v>
      </c>
      <c r="H1070" s="6" t="s">
        <v>3510</v>
      </c>
      <c r="I1070" s="6">
        <v>4</v>
      </c>
      <c r="J1070" s="6">
        <v>0</v>
      </c>
      <c r="K1070" s="6">
        <v>0</v>
      </c>
      <c r="L1070" s="6">
        <v>0</v>
      </c>
      <c r="M1070" s="6">
        <v>0</v>
      </c>
      <c r="N1070" s="6">
        <v>1</v>
      </c>
      <c r="O1070" s="6">
        <v>1</v>
      </c>
    </row>
    <row r="1071" spans="1:15" hidden="1">
      <c r="A1071" s="6" t="s">
        <v>1786</v>
      </c>
      <c r="B1071" s="6" t="s">
        <v>3471</v>
      </c>
      <c r="C1071" s="6" t="s">
        <v>110</v>
      </c>
      <c r="D1071" s="6" t="s">
        <v>1831</v>
      </c>
      <c r="E1071" s="6" t="s">
        <v>3315</v>
      </c>
      <c r="F1071" s="6" t="s">
        <v>3511</v>
      </c>
      <c r="G1071" s="6" t="s">
        <v>1790</v>
      </c>
      <c r="H1071" s="6" t="s">
        <v>3512</v>
      </c>
      <c r="I1071" s="6">
        <v>1</v>
      </c>
      <c r="J1071" s="6">
        <v>0</v>
      </c>
      <c r="K1071" s="6">
        <v>0</v>
      </c>
      <c r="L1071" s="6">
        <v>0</v>
      </c>
      <c r="M1071" s="6">
        <v>0</v>
      </c>
      <c r="N1071" s="6">
        <v>1</v>
      </c>
      <c r="O1071" s="6">
        <v>0</v>
      </c>
    </row>
    <row r="1072" spans="1:15" hidden="1">
      <c r="A1072" s="6" t="s">
        <v>1786</v>
      </c>
      <c r="B1072" s="6" t="s">
        <v>3471</v>
      </c>
      <c r="C1072" s="6" t="s">
        <v>110</v>
      </c>
      <c r="D1072" s="6" t="s">
        <v>1831</v>
      </c>
      <c r="E1072" s="6" t="s">
        <v>3483</v>
      </c>
      <c r="F1072" s="6" t="s">
        <v>3513</v>
      </c>
      <c r="G1072" s="6" t="s">
        <v>1790</v>
      </c>
      <c r="H1072" s="6" t="s">
        <v>3514</v>
      </c>
      <c r="I1072" s="6">
        <v>1</v>
      </c>
      <c r="J1072" s="6">
        <v>0</v>
      </c>
      <c r="K1072" s="6">
        <v>0</v>
      </c>
      <c r="L1072" s="6">
        <v>0</v>
      </c>
      <c r="M1072" s="6">
        <v>0</v>
      </c>
      <c r="N1072" s="6">
        <v>1</v>
      </c>
      <c r="O1072" s="6">
        <v>1</v>
      </c>
    </row>
    <row r="1073" spans="1:15" hidden="1">
      <c r="A1073" s="6" t="s">
        <v>1786</v>
      </c>
      <c r="B1073" s="6" t="s">
        <v>3471</v>
      </c>
      <c r="C1073" s="6" t="s">
        <v>110</v>
      </c>
      <c r="D1073" s="6" t="s">
        <v>2781</v>
      </c>
      <c r="E1073" s="6" t="s">
        <v>3515</v>
      </c>
      <c r="F1073" s="6" t="s">
        <v>3516</v>
      </c>
      <c r="G1073" s="6" t="s">
        <v>1790</v>
      </c>
      <c r="H1073" s="6" t="s">
        <v>3517</v>
      </c>
      <c r="I1073" s="6">
        <v>1</v>
      </c>
      <c r="J1073" s="6">
        <v>0</v>
      </c>
      <c r="K1073" s="6">
        <v>0</v>
      </c>
      <c r="L1073" s="6">
        <v>0</v>
      </c>
      <c r="M1073" s="6">
        <v>0</v>
      </c>
      <c r="N1073" s="6">
        <v>0</v>
      </c>
      <c r="O1073" s="6">
        <v>0</v>
      </c>
    </row>
    <row r="1074" spans="1:15" hidden="1">
      <c r="A1074" s="6" t="s">
        <v>1786</v>
      </c>
      <c r="B1074" s="6" t="s">
        <v>3471</v>
      </c>
      <c r="C1074" s="6" t="s">
        <v>110</v>
      </c>
      <c r="D1074" s="6" t="s">
        <v>2781</v>
      </c>
      <c r="E1074" s="6" t="s">
        <v>2793</v>
      </c>
      <c r="F1074" s="6" t="s">
        <v>2793</v>
      </c>
      <c r="G1074" s="6" t="s">
        <v>1790</v>
      </c>
      <c r="H1074" s="6" t="s">
        <v>3518</v>
      </c>
      <c r="I1074" s="6">
        <v>2</v>
      </c>
      <c r="J1074" s="6">
        <v>0</v>
      </c>
      <c r="K1074" s="6">
        <v>0</v>
      </c>
      <c r="L1074" s="6">
        <v>0</v>
      </c>
      <c r="M1074" s="6">
        <v>0</v>
      </c>
      <c r="N1074" s="6">
        <v>1</v>
      </c>
      <c r="O1074" s="6">
        <v>1</v>
      </c>
    </row>
    <row r="1075" spans="1:15" hidden="1">
      <c r="A1075" s="6" t="s">
        <v>1786</v>
      </c>
      <c r="B1075" s="6" t="s">
        <v>3471</v>
      </c>
      <c r="C1075" s="6" t="s">
        <v>110</v>
      </c>
      <c r="D1075" s="6" t="s">
        <v>2781</v>
      </c>
      <c r="E1075" s="6" t="s">
        <v>2793</v>
      </c>
      <c r="F1075" s="6" t="s">
        <v>2793</v>
      </c>
      <c r="G1075" s="6" t="s">
        <v>1790</v>
      </c>
      <c r="H1075" s="6" t="s">
        <v>3519</v>
      </c>
      <c r="I1075" s="6">
        <v>1</v>
      </c>
      <c r="J1075" s="6">
        <v>0</v>
      </c>
      <c r="K1075" s="6">
        <v>0</v>
      </c>
      <c r="L1075" s="6">
        <v>0</v>
      </c>
      <c r="M1075" s="6">
        <v>0</v>
      </c>
      <c r="N1075" s="6">
        <v>1</v>
      </c>
      <c r="O1075" s="6">
        <v>1</v>
      </c>
    </row>
    <row r="1076" spans="1:15" hidden="1">
      <c r="A1076" s="6" t="s">
        <v>1786</v>
      </c>
      <c r="B1076" s="6" t="s">
        <v>3471</v>
      </c>
      <c r="C1076" s="6" t="s">
        <v>110</v>
      </c>
      <c r="D1076" s="6" t="s">
        <v>2781</v>
      </c>
      <c r="E1076" s="6" t="s">
        <v>2793</v>
      </c>
      <c r="F1076" s="6" t="s">
        <v>2793</v>
      </c>
      <c r="G1076" s="6" t="s">
        <v>1790</v>
      </c>
      <c r="H1076" s="6" t="s">
        <v>3520</v>
      </c>
      <c r="I1076" s="6">
        <v>4</v>
      </c>
      <c r="J1076" s="6">
        <v>0</v>
      </c>
      <c r="K1076" s="6">
        <v>0</v>
      </c>
      <c r="L1076" s="6">
        <v>0</v>
      </c>
      <c r="M1076" s="6">
        <v>0</v>
      </c>
      <c r="N1076" s="6">
        <v>1</v>
      </c>
      <c r="O1076" s="6">
        <v>0</v>
      </c>
    </row>
    <row r="1077" spans="1:15" hidden="1">
      <c r="A1077" s="6" t="s">
        <v>1786</v>
      </c>
      <c r="B1077" s="6" t="s">
        <v>3521</v>
      </c>
      <c r="C1077" s="6" t="s">
        <v>98</v>
      </c>
      <c r="G1077" s="6" t="s">
        <v>1790</v>
      </c>
      <c r="H1077" s="6" t="s">
        <v>98</v>
      </c>
      <c r="I1077" s="6">
        <v>1</v>
      </c>
      <c r="J1077" s="6">
        <v>0</v>
      </c>
      <c r="K1077" s="6">
        <v>0</v>
      </c>
      <c r="L1077" s="6">
        <v>0</v>
      </c>
      <c r="M1077" s="6">
        <v>0</v>
      </c>
      <c r="N1077" s="6">
        <v>1</v>
      </c>
      <c r="O1077" s="6">
        <v>1</v>
      </c>
    </row>
    <row r="1078" spans="1:15" hidden="1">
      <c r="A1078" s="6" t="s">
        <v>1786</v>
      </c>
      <c r="B1078" s="6" t="s">
        <v>3521</v>
      </c>
      <c r="C1078" s="6" t="s">
        <v>98</v>
      </c>
      <c r="D1078" s="6" t="s">
        <v>3522</v>
      </c>
      <c r="F1078" s="6" t="s">
        <v>3523</v>
      </c>
      <c r="G1078" s="6" t="s">
        <v>1790</v>
      </c>
      <c r="H1078" s="6" t="s">
        <v>3523</v>
      </c>
      <c r="I1078" s="6">
        <v>1</v>
      </c>
      <c r="J1078" s="6">
        <v>0</v>
      </c>
      <c r="K1078" s="6">
        <v>0</v>
      </c>
      <c r="L1078" s="6">
        <v>0</v>
      </c>
      <c r="M1078" s="6">
        <v>0</v>
      </c>
      <c r="N1078" s="6">
        <v>1</v>
      </c>
      <c r="O1078" s="6">
        <v>1</v>
      </c>
    </row>
    <row r="1079" spans="1:15" hidden="1">
      <c r="A1079" s="6" t="s">
        <v>1786</v>
      </c>
      <c r="B1079" s="6" t="s">
        <v>3521</v>
      </c>
      <c r="C1079" s="6" t="s">
        <v>453</v>
      </c>
      <c r="F1079" s="6" t="s">
        <v>3524</v>
      </c>
      <c r="G1079" s="6" t="s">
        <v>1790</v>
      </c>
      <c r="H1079" s="6" t="s">
        <v>3524</v>
      </c>
      <c r="I1079" s="6">
        <v>1</v>
      </c>
      <c r="J1079" s="6">
        <v>0</v>
      </c>
      <c r="K1079" s="6">
        <v>0</v>
      </c>
      <c r="L1079" s="6">
        <v>0</v>
      </c>
      <c r="M1079" s="6">
        <v>0</v>
      </c>
      <c r="N1079" s="6">
        <v>0</v>
      </c>
      <c r="O1079" s="6">
        <v>0</v>
      </c>
    </row>
    <row r="1080" spans="1:15" hidden="1">
      <c r="A1080" s="6" t="s">
        <v>1786</v>
      </c>
      <c r="B1080" s="6" t="s">
        <v>1748</v>
      </c>
      <c r="C1080" s="6" t="s">
        <v>58</v>
      </c>
      <c r="D1080" s="6" t="s">
        <v>3525</v>
      </c>
      <c r="E1080" s="6" t="s">
        <v>3526</v>
      </c>
      <c r="F1080" s="6" t="s">
        <v>3527</v>
      </c>
      <c r="G1080" s="6" t="s">
        <v>1790</v>
      </c>
      <c r="H1080" s="6" t="s">
        <v>3527</v>
      </c>
      <c r="I1080" s="6">
        <v>2</v>
      </c>
      <c r="J1080" s="6">
        <v>0</v>
      </c>
      <c r="K1080" s="6">
        <v>0</v>
      </c>
      <c r="L1080" s="6">
        <v>0</v>
      </c>
      <c r="M1080" s="6">
        <v>0</v>
      </c>
      <c r="N1080" s="6">
        <v>1</v>
      </c>
      <c r="O1080" s="6">
        <v>1</v>
      </c>
    </row>
    <row r="1081" spans="1:15" hidden="1">
      <c r="A1081" s="6" t="s">
        <v>1786</v>
      </c>
      <c r="B1081" s="6" t="s">
        <v>1748</v>
      </c>
      <c r="C1081" s="6" t="s">
        <v>58</v>
      </c>
      <c r="D1081" s="6" t="s">
        <v>2600</v>
      </c>
      <c r="E1081" s="6" t="s">
        <v>2600</v>
      </c>
      <c r="F1081" s="6" t="s">
        <v>2600</v>
      </c>
      <c r="G1081" s="6" t="s">
        <v>1790</v>
      </c>
      <c r="H1081" s="6" t="s">
        <v>3528</v>
      </c>
      <c r="I1081" s="6">
        <v>2</v>
      </c>
      <c r="J1081" s="6">
        <v>0</v>
      </c>
      <c r="K1081" s="6">
        <v>0</v>
      </c>
      <c r="L1081" s="6">
        <v>0</v>
      </c>
      <c r="M1081" s="6">
        <v>0</v>
      </c>
      <c r="N1081" s="6">
        <v>1</v>
      </c>
      <c r="O1081" s="6">
        <v>1</v>
      </c>
    </row>
    <row r="1082" spans="1:15" hidden="1">
      <c r="A1082" s="6" t="s">
        <v>1786</v>
      </c>
      <c r="B1082" s="6" t="s">
        <v>1748</v>
      </c>
      <c r="C1082" s="6" t="s">
        <v>58</v>
      </c>
      <c r="D1082" s="6" t="s">
        <v>2600</v>
      </c>
      <c r="E1082" s="6" t="s">
        <v>2600</v>
      </c>
      <c r="F1082" s="6" t="s">
        <v>2600</v>
      </c>
      <c r="G1082" s="6" t="s">
        <v>1790</v>
      </c>
      <c r="H1082" s="6" t="s">
        <v>2600</v>
      </c>
      <c r="I1082" s="6">
        <v>2</v>
      </c>
      <c r="J1082" s="6">
        <v>0</v>
      </c>
      <c r="K1082" s="6">
        <v>0</v>
      </c>
      <c r="L1082" s="6">
        <v>0</v>
      </c>
      <c r="M1082" s="6">
        <v>0</v>
      </c>
      <c r="N1082" s="6">
        <v>1</v>
      </c>
      <c r="O1082" s="6">
        <v>1</v>
      </c>
    </row>
    <row r="1083" spans="1:15" hidden="1">
      <c r="A1083" s="6" t="s">
        <v>1786</v>
      </c>
      <c r="B1083" s="6" t="s">
        <v>1748</v>
      </c>
      <c r="C1083" s="6" t="s">
        <v>1753</v>
      </c>
      <c r="D1083" s="6" t="s">
        <v>3529</v>
      </c>
      <c r="E1083" s="6" t="s">
        <v>3530</v>
      </c>
      <c r="F1083" s="6" t="s">
        <v>3531</v>
      </c>
      <c r="G1083" s="6" t="s">
        <v>1790</v>
      </c>
      <c r="H1083" s="6" t="s">
        <v>3531</v>
      </c>
      <c r="I1083" s="6">
        <v>1</v>
      </c>
      <c r="J1083" s="6">
        <v>0</v>
      </c>
      <c r="K1083" s="6">
        <v>0</v>
      </c>
      <c r="L1083" s="6">
        <v>0</v>
      </c>
      <c r="M1083" s="6">
        <v>0</v>
      </c>
      <c r="N1083" s="6">
        <v>0</v>
      </c>
      <c r="O1083" s="6">
        <v>0</v>
      </c>
    </row>
    <row r="1084" spans="1:15" hidden="1">
      <c r="A1084" s="6" t="s">
        <v>1786</v>
      </c>
      <c r="B1084" s="6" t="s">
        <v>1748</v>
      </c>
      <c r="C1084" s="6" t="s">
        <v>1753</v>
      </c>
      <c r="D1084" s="6" t="s">
        <v>3532</v>
      </c>
      <c r="G1084" s="6" t="s">
        <v>1790</v>
      </c>
      <c r="H1084" s="6" t="s">
        <v>3532</v>
      </c>
      <c r="I1084" s="6">
        <v>2</v>
      </c>
      <c r="J1084" s="6">
        <v>0</v>
      </c>
      <c r="K1084" s="6">
        <v>0</v>
      </c>
      <c r="L1084" s="6">
        <v>0</v>
      </c>
      <c r="M1084" s="6">
        <v>0</v>
      </c>
      <c r="N1084" s="6">
        <v>1</v>
      </c>
      <c r="O1084" s="6">
        <v>1</v>
      </c>
    </row>
    <row r="1085" spans="1:15" hidden="1">
      <c r="A1085" s="6" t="s">
        <v>1786</v>
      </c>
      <c r="B1085" s="6" t="s">
        <v>1748</v>
      </c>
      <c r="C1085" s="6" t="s">
        <v>245</v>
      </c>
      <c r="D1085" s="6" t="s">
        <v>3533</v>
      </c>
      <c r="E1085" s="6" t="s">
        <v>3534</v>
      </c>
      <c r="F1085" s="6" t="s">
        <v>3535</v>
      </c>
      <c r="G1085" s="6" t="s">
        <v>1790</v>
      </c>
      <c r="H1085" s="6" t="s">
        <v>3536</v>
      </c>
      <c r="I1085" s="6">
        <v>2</v>
      </c>
      <c r="J1085" s="6">
        <v>0</v>
      </c>
      <c r="K1085" s="6">
        <v>0</v>
      </c>
      <c r="L1085" s="6">
        <v>0</v>
      </c>
      <c r="M1085" s="6">
        <v>0</v>
      </c>
      <c r="N1085" s="6">
        <v>1</v>
      </c>
      <c r="O1085" s="6">
        <v>1</v>
      </c>
    </row>
    <row r="1086" spans="1:15" hidden="1">
      <c r="A1086" s="6" t="s">
        <v>1786</v>
      </c>
      <c r="B1086" s="6" t="s">
        <v>1748</v>
      </c>
      <c r="C1086" s="6" t="s">
        <v>245</v>
      </c>
      <c r="D1086" s="6" t="s">
        <v>3537</v>
      </c>
      <c r="E1086" s="6" t="s">
        <v>3537</v>
      </c>
      <c r="F1086" s="6" t="s">
        <v>3538</v>
      </c>
      <c r="G1086" s="6" t="s">
        <v>1790</v>
      </c>
      <c r="H1086" s="6" t="s">
        <v>3539</v>
      </c>
      <c r="I1086" s="6">
        <v>8</v>
      </c>
      <c r="J1086" s="6">
        <v>0</v>
      </c>
      <c r="K1086" s="6">
        <v>0</v>
      </c>
      <c r="L1086" s="6">
        <v>0</v>
      </c>
      <c r="M1086" s="6">
        <v>0</v>
      </c>
      <c r="N1086" s="6">
        <v>1</v>
      </c>
      <c r="O1086" s="6">
        <v>1</v>
      </c>
    </row>
    <row r="1087" spans="1:15" hidden="1">
      <c r="A1087" s="6" t="s">
        <v>1786</v>
      </c>
      <c r="B1087" s="6" t="s">
        <v>1748</v>
      </c>
      <c r="C1087" s="6" t="s">
        <v>1766</v>
      </c>
      <c r="D1087" s="6" t="s">
        <v>3540</v>
      </c>
      <c r="F1087" s="6" t="s">
        <v>3540</v>
      </c>
      <c r="G1087" s="6" t="s">
        <v>1790</v>
      </c>
      <c r="H1087" s="6" t="s">
        <v>3541</v>
      </c>
      <c r="I1087" s="6">
        <v>1</v>
      </c>
      <c r="J1087" s="6">
        <v>1</v>
      </c>
      <c r="K1087" s="6">
        <v>1</v>
      </c>
      <c r="L1087" s="6">
        <v>0.04</v>
      </c>
      <c r="M1087" s="6">
        <v>0.04</v>
      </c>
      <c r="N1087" s="6">
        <v>1</v>
      </c>
      <c r="O1087" s="6">
        <v>1</v>
      </c>
    </row>
    <row r="1088" spans="1:15" hidden="1">
      <c r="A1088" s="6" t="s">
        <v>1786</v>
      </c>
      <c r="B1088" s="6" t="s">
        <v>1748</v>
      </c>
      <c r="C1088" s="6" t="s">
        <v>1766</v>
      </c>
      <c r="D1088" s="6" t="s">
        <v>3540</v>
      </c>
      <c r="F1088" s="6" t="s">
        <v>3540</v>
      </c>
      <c r="G1088" s="6" t="s">
        <v>1790</v>
      </c>
      <c r="H1088" s="6" t="s">
        <v>3542</v>
      </c>
      <c r="I1088" s="6">
        <v>1</v>
      </c>
      <c r="J1088" s="6">
        <v>0</v>
      </c>
      <c r="K1088" s="6">
        <v>0</v>
      </c>
      <c r="L1088" s="6">
        <v>0</v>
      </c>
      <c r="M1088" s="6">
        <v>0</v>
      </c>
      <c r="N1088" s="6">
        <v>1</v>
      </c>
      <c r="O1088" s="6">
        <v>1</v>
      </c>
    </row>
    <row r="1089" spans="1:15" hidden="1">
      <c r="A1089" s="6" t="s">
        <v>1786</v>
      </c>
      <c r="B1089" s="6" t="s">
        <v>1748</v>
      </c>
      <c r="C1089" s="6" t="s">
        <v>1766</v>
      </c>
      <c r="D1089" s="6" t="s">
        <v>3540</v>
      </c>
      <c r="F1089" s="6" t="s">
        <v>3540</v>
      </c>
      <c r="G1089" s="6" t="s">
        <v>1790</v>
      </c>
      <c r="H1089" s="6" t="s">
        <v>3543</v>
      </c>
      <c r="I1089" s="6">
        <v>1</v>
      </c>
      <c r="J1089" s="6">
        <v>1</v>
      </c>
      <c r="K1089" s="6">
        <v>1</v>
      </c>
      <c r="L1089" s="6">
        <v>0.13</v>
      </c>
      <c r="M1089" s="6">
        <v>0.13</v>
      </c>
      <c r="N1089" s="6">
        <v>1</v>
      </c>
      <c r="O1089" s="6">
        <v>1</v>
      </c>
    </row>
    <row r="1090" spans="1:15" hidden="1">
      <c r="A1090" s="6" t="s">
        <v>1786</v>
      </c>
      <c r="B1090" s="6" t="s">
        <v>1748</v>
      </c>
      <c r="C1090" s="6" t="s">
        <v>1766</v>
      </c>
      <c r="D1090" s="6" t="s">
        <v>3540</v>
      </c>
      <c r="F1090" s="6" t="s">
        <v>3540</v>
      </c>
      <c r="G1090" s="6" t="s">
        <v>1790</v>
      </c>
      <c r="H1090" s="6" t="s">
        <v>3544</v>
      </c>
      <c r="I1090" s="6">
        <v>1</v>
      </c>
      <c r="J1090" s="6">
        <v>0</v>
      </c>
      <c r="K1090" s="6">
        <v>0</v>
      </c>
      <c r="L1090" s="6">
        <v>0</v>
      </c>
      <c r="M1090" s="6">
        <v>0</v>
      </c>
      <c r="N1090" s="6">
        <v>1</v>
      </c>
      <c r="O1090" s="6">
        <v>1</v>
      </c>
    </row>
    <row r="1091" spans="1:15" hidden="1">
      <c r="A1091" s="6" t="s">
        <v>1786</v>
      </c>
      <c r="B1091" s="6" t="s">
        <v>1748</v>
      </c>
      <c r="C1091" s="6" t="s">
        <v>1766</v>
      </c>
      <c r="D1091" s="6" t="s">
        <v>3545</v>
      </c>
      <c r="F1091" s="6" t="s">
        <v>3546</v>
      </c>
      <c r="G1091" s="6" t="s">
        <v>1790</v>
      </c>
      <c r="H1091" s="6" t="s">
        <v>3547</v>
      </c>
      <c r="I1091" s="6">
        <v>1</v>
      </c>
      <c r="J1091" s="6">
        <v>0</v>
      </c>
      <c r="K1091" s="6">
        <v>0</v>
      </c>
      <c r="L1091" s="6">
        <v>0</v>
      </c>
      <c r="M1091" s="6">
        <v>0</v>
      </c>
      <c r="N1091" s="6">
        <v>1</v>
      </c>
      <c r="O1091" s="6">
        <v>1</v>
      </c>
    </row>
    <row r="1092" spans="1:15" hidden="1">
      <c r="A1092" s="6" t="s">
        <v>1786</v>
      </c>
      <c r="B1092" s="6" t="s">
        <v>1748</v>
      </c>
      <c r="C1092" s="6" t="s">
        <v>380</v>
      </c>
      <c r="D1092" s="6" t="s">
        <v>3548</v>
      </c>
      <c r="E1092" s="6" t="s">
        <v>3549</v>
      </c>
      <c r="F1092" s="6" t="s">
        <v>3550</v>
      </c>
      <c r="G1092" s="6" t="s">
        <v>1790</v>
      </c>
      <c r="H1092" s="6" t="s">
        <v>3551</v>
      </c>
      <c r="I1092" s="6">
        <v>9</v>
      </c>
      <c r="J1092" s="6">
        <v>1</v>
      </c>
      <c r="K1092" s="6">
        <v>0.11109999999999999</v>
      </c>
      <c r="L1092" s="6">
        <v>0.23</v>
      </c>
      <c r="M1092" s="6">
        <v>0.23</v>
      </c>
      <c r="N1092" s="6">
        <v>0.8</v>
      </c>
      <c r="O1092" s="6">
        <v>0.8</v>
      </c>
    </row>
    <row r="1093" spans="1:15" hidden="1">
      <c r="A1093" s="6" t="s">
        <v>1786</v>
      </c>
      <c r="B1093" s="6" t="s">
        <v>1748</v>
      </c>
      <c r="C1093" s="6" t="s">
        <v>380</v>
      </c>
      <c r="D1093" s="6" t="s">
        <v>3552</v>
      </c>
      <c r="E1093" s="6" t="s">
        <v>3553</v>
      </c>
      <c r="F1093" s="6" t="s">
        <v>3554</v>
      </c>
      <c r="G1093" s="6" t="s">
        <v>1790</v>
      </c>
      <c r="H1093" s="6" t="s">
        <v>3555</v>
      </c>
      <c r="I1093" s="6">
        <v>1</v>
      </c>
      <c r="J1093" s="6">
        <v>0</v>
      </c>
      <c r="K1093" s="6">
        <v>0</v>
      </c>
      <c r="L1093" s="6">
        <v>0</v>
      </c>
      <c r="M1093" s="6">
        <v>0</v>
      </c>
      <c r="N1093" s="6">
        <v>0</v>
      </c>
      <c r="O1093" s="6">
        <v>0</v>
      </c>
    </row>
    <row r="1094" spans="1:15" hidden="1">
      <c r="A1094" s="6" t="s">
        <v>1786</v>
      </c>
      <c r="B1094" s="6" t="s">
        <v>1748</v>
      </c>
      <c r="C1094" s="6" t="s">
        <v>380</v>
      </c>
      <c r="D1094" s="6" t="s">
        <v>3552</v>
      </c>
      <c r="E1094" s="6" t="s">
        <v>3556</v>
      </c>
      <c r="F1094" s="6" t="s">
        <v>3557</v>
      </c>
      <c r="G1094" s="6" t="s">
        <v>1790</v>
      </c>
      <c r="H1094" s="6" t="s">
        <v>3558</v>
      </c>
      <c r="I1094" s="6">
        <v>2</v>
      </c>
      <c r="J1094" s="6">
        <v>1</v>
      </c>
      <c r="K1094" s="6">
        <v>0.5</v>
      </c>
      <c r="L1094" s="6">
        <v>0.3</v>
      </c>
      <c r="M1094" s="6">
        <v>0.3</v>
      </c>
      <c r="N1094" s="6">
        <v>1</v>
      </c>
      <c r="O1094" s="6">
        <v>1</v>
      </c>
    </row>
    <row r="1095" spans="1:15" hidden="1">
      <c r="A1095" s="6" t="s">
        <v>1786</v>
      </c>
      <c r="B1095" s="6" t="s">
        <v>1748</v>
      </c>
      <c r="C1095" s="6" t="s">
        <v>380</v>
      </c>
      <c r="D1095" s="6" t="s">
        <v>3552</v>
      </c>
      <c r="E1095" s="6" t="s">
        <v>3559</v>
      </c>
      <c r="F1095" s="6" t="s">
        <v>3560</v>
      </c>
      <c r="G1095" s="6" t="s">
        <v>1790</v>
      </c>
      <c r="H1095" s="6" t="s">
        <v>3560</v>
      </c>
      <c r="I1095" s="6">
        <v>1</v>
      </c>
      <c r="J1095" s="6">
        <v>0</v>
      </c>
      <c r="K1095" s="6">
        <v>0</v>
      </c>
      <c r="L1095" s="6">
        <v>0</v>
      </c>
      <c r="M1095" s="6">
        <v>0</v>
      </c>
      <c r="N1095" s="6">
        <v>1</v>
      </c>
      <c r="O1095" s="6">
        <v>1</v>
      </c>
    </row>
    <row r="1096" spans="1:15" hidden="1">
      <c r="A1096" s="6" t="s">
        <v>1786</v>
      </c>
      <c r="B1096" s="6" t="s">
        <v>1748</v>
      </c>
      <c r="C1096" s="6" t="s">
        <v>380</v>
      </c>
      <c r="D1096" s="6" t="s">
        <v>3561</v>
      </c>
      <c r="G1096" s="6" t="s">
        <v>1790</v>
      </c>
      <c r="H1096" s="6" t="s">
        <v>3561</v>
      </c>
      <c r="I1096" s="6">
        <v>1</v>
      </c>
      <c r="J1096" s="6">
        <v>0</v>
      </c>
      <c r="K1096" s="6">
        <v>0</v>
      </c>
      <c r="L1096" s="6">
        <v>0</v>
      </c>
      <c r="M1096" s="6">
        <v>0</v>
      </c>
      <c r="N1096" s="6">
        <v>0</v>
      </c>
      <c r="O1096" s="6">
        <v>0</v>
      </c>
    </row>
    <row r="1097" spans="1:15" hidden="1">
      <c r="A1097" s="6" t="s">
        <v>1786</v>
      </c>
      <c r="B1097" s="6" t="s">
        <v>1748</v>
      </c>
      <c r="C1097" s="6" t="s">
        <v>380</v>
      </c>
      <c r="D1097" s="6" t="s">
        <v>3561</v>
      </c>
      <c r="E1097" s="6" t="s">
        <v>3562</v>
      </c>
      <c r="F1097" s="6" t="s">
        <v>3561</v>
      </c>
      <c r="G1097" s="6" t="s">
        <v>1790</v>
      </c>
      <c r="H1097" s="6" t="s">
        <v>3563</v>
      </c>
      <c r="I1097" s="6">
        <v>1</v>
      </c>
      <c r="J1097" s="6">
        <v>0</v>
      </c>
      <c r="K1097" s="6">
        <v>0</v>
      </c>
      <c r="L1097" s="6">
        <v>0</v>
      </c>
      <c r="M1097" s="6">
        <v>0</v>
      </c>
      <c r="N1097" s="6">
        <v>1</v>
      </c>
      <c r="O1097" s="6">
        <v>0</v>
      </c>
    </row>
    <row r="1098" spans="1:15" hidden="1">
      <c r="A1098" s="6" t="s">
        <v>1786</v>
      </c>
      <c r="B1098" s="6" t="s">
        <v>1748</v>
      </c>
      <c r="C1098" s="6" t="s">
        <v>380</v>
      </c>
      <c r="D1098" s="6" t="s">
        <v>3564</v>
      </c>
      <c r="E1098" s="6" t="s">
        <v>3565</v>
      </c>
      <c r="F1098" s="6" t="s">
        <v>3565</v>
      </c>
      <c r="G1098" s="6" t="s">
        <v>1790</v>
      </c>
      <c r="H1098" s="6" t="s">
        <v>3565</v>
      </c>
      <c r="I1098" s="6">
        <v>1</v>
      </c>
      <c r="J1098" s="6">
        <v>0</v>
      </c>
      <c r="K1098" s="6">
        <v>0</v>
      </c>
      <c r="L1098" s="6">
        <v>0</v>
      </c>
      <c r="M1098" s="6">
        <v>0</v>
      </c>
      <c r="N1098" s="6">
        <v>1</v>
      </c>
      <c r="O1098" s="6">
        <v>1</v>
      </c>
    </row>
    <row r="1099" spans="1:15" hidden="1">
      <c r="A1099" s="6" t="s">
        <v>1786</v>
      </c>
      <c r="B1099" s="6" t="s">
        <v>1748</v>
      </c>
      <c r="C1099" s="6" t="s">
        <v>380</v>
      </c>
      <c r="D1099" s="6" t="s">
        <v>3564</v>
      </c>
      <c r="E1099" s="6" t="s">
        <v>3566</v>
      </c>
      <c r="F1099" s="6" t="s">
        <v>3567</v>
      </c>
      <c r="G1099" s="6" t="s">
        <v>1790</v>
      </c>
      <c r="H1099" s="6" t="s">
        <v>3568</v>
      </c>
      <c r="I1099" s="6">
        <v>2</v>
      </c>
      <c r="J1099" s="6">
        <v>1</v>
      </c>
      <c r="K1099" s="6">
        <v>0.5</v>
      </c>
      <c r="L1099" s="6">
        <v>0.25</v>
      </c>
      <c r="M1099" s="6">
        <v>0.25</v>
      </c>
      <c r="N1099" s="6">
        <v>1</v>
      </c>
      <c r="O1099" s="6">
        <v>1</v>
      </c>
    </row>
    <row r="1100" spans="1:15" hidden="1">
      <c r="A1100" s="6" t="s">
        <v>1786</v>
      </c>
      <c r="B1100" s="6" t="s">
        <v>1748</v>
      </c>
      <c r="C1100" s="6" t="s">
        <v>380</v>
      </c>
      <c r="D1100" s="6" t="s">
        <v>3569</v>
      </c>
      <c r="E1100" s="6" t="s">
        <v>3570</v>
      </c>
      <c r="F1100" s="6" t="s">
        <v>3570</v>
      </c>
      <c r="G1100" s="6" t="s">
        <v>1790</v>
      </c>
      <c r="H1100" s="6" t="s">
        <v>3571</v>
      </c>
      <c r="I1100" s="6">
        <v>1</v>
      </c>
      <c r="J1100" s="6">
        <v>0</v>
      </c>
      <c r="K1100" s="6">
        <v>0</v>
      </c>
      <c r="L1100" s="6">
        <v>0</v>
      </c>
      <c r="M1100" s="6">
        <v>0</v>
      </c>
      <c r="N1100" s="6">
        <v>1</v>
      </c>
      <c r="O1100" s="6">
        <v>1</v>
      </c>
    </row>
    <row r="1101" spans="1:15" hidden="1">
      <c r="A1101" s="6" t="s">
        <v>1786</v>
      </c>
      <c r="B1101" s="6" t="s">
        <v>1748</v>
      </c>
      <c r="C1101" s="6" t="s">
        <v>380</v>
      </c>
      <c r="D1101" s="6" t="s">
        <v>3572</v>
      </c>
      <c r="F1101" s="6" t="s">
        <v>3573</v>
      </c>
      <c r="G1101" s="6" t="s">
        <v>1790</v>
      </c>
      <c r="H1101" s="6" t="s">
        <v>3574</v>
      </c>
      <c r="I1101" s="6">
        <v>2</v>
      </c>
      <c r="J1101" s="6">
        <v>0</v>
      </c>
      <c r="K1101" s="6">
        <v>0</v>
      </c>
      <c r="L1101" s="6">
        <v>0</v>
      </c>
      <c r="M1101" s="6">
        <v>0</v>
      </c>
      <c r="N1101" s="6">
        <v>0.5</v>
      </c>
      <c r="O1101" s="6">
        <v>0</v>
      </c>
    </row>
    <row r="1102" spans="1:15" hidden="1">
      <c r="A1102" s="6" t="s">
        <v>1786</v>
      </c>
      <c r="B1102" s="6" t="s">
        <v>1748</v>
      </c>
      <c r="C1102" s="6" t="s">
        <v>380</v>
      </c>
      <c r="D1102" s="6" t="s">
        <v>3572</v>
      </c>
      <c r="E1102" s="6" t="s">
        <v>3575</v>
      </c>
      <c r="G1102" s="6" t="s">
        <v>1790</v>
      </c>
      <c r="H1102" s="6" t="s">
        <v>3575</v>
      </c>
      <c r="I1102" s="6">
        <v>2</v>
      </c>
      <c r="J1102" s="6">
        <v>0</v>
      </c>
      <c r="K1102" s="6">
        <v>0</v>
      </c>
      <c r="L1102" s="6">
        <v>0</v>
      </c>
      <c r="M1102" s="6">
        <v>0</v>
      </c>
      <c r="N1102" s="6">
        <v>1</v>
      </c>
      <c r="O1102" s="6">
        <v>1</v>
      </c>
    </row>
    <row r="1103" spans="1:15" hidden="1">
      <c r="A1103" s="6" t="s">
        <v>1786</v>
      </c>
      <c r="B1103" s="6" t="s">
        <v>1748</v>
      </c>
      <c r="C1103" s="6" t="s">
        <v>1758</v>
      </c>
      <c r="D1103" s="6" t="s">
        <v>3576</v>
      </c>
      <c r="E1103" s="6" t="s">
        <v>3577</v>
      </c>
      <c r="F1103" s="6" t="s">
        <v>3578</v>
      </c>
      <c r="G1103" s="6" t="s">
        <v>1790</v>
      </c>
      <c r="H1103" s="6" t="s">
        <v>3578</v>
      </c>
      <c r="I1103" s="6">
        <v>1</v>
      </c>
      <c r="J1103" s="6">
        <v>0</v>
      </c>
      <c r="K1103" s="6">
        <v>0</v>
      </c>
      <c r="L1103" s="6">
        <v>0</v>
      </c>
      <c r="M1103" s="6">
        <v>0</v>
      </c>
      <c r="N1103" s="6">
        <v>1</v>
      </c>
      <c r="O1103" s="6">
        <v>1</v>
      </c>
    </row>
    <row r="1104" spans="1:15" hidden="1">
      <c r="A1104" s="6" t="s">
        <v>1786</v>
      </c>
      <c r="B1104" s="6" t="s">
        <v>1748</v>
      </c>
      <c r="C1104" s="6" t="s">
        <v>1758</v>
      </c>
      <c r="D1104" s="6" t="s">
        <v>3576</v>
      </c>
      <c r="E1104" s="6" t="s">
        <v>3579</v>
      </c>
      <c r="G1104" s="6" t="s">
        <v>1790</v>
      </c>
      <c r="H1104" s="6" t="s">
        <v>3579</v>
      </c>
      <c r="I1104" s="6">
        <v>1</v>
      </c>
      <c r="J1104" s="6">
        <v>0</v>
      </c>
      <c r="K1104" s="6">
        <v>0</v>
      </c>
      <c r="L1104" s="6">
        <v>0</v>
      </c>
      <c r="M1104" s="6">
        <v>0</v>
      </c>
      <c r="N1104" s="6">
        <v>1</v>
      </c>
      <c r="O1104" s="6">
        <v>1</v>
      </c>
    </row>
    <row r="1105" spans="1:15" hidden="1">
      <c r="A1105" s="6" t="s">
        <v>1786</v>
      </c>
      <c r="B1105" s="6" t="s">
        <v>1748</v>
      </c>
      <c r="C1105" s="6" t="s">
        <v>1758</v>
      </c>
      <c r="D1105" s="6" t="s">
        <v>3580</v>
      </c>
      <c r="F1105" s="6" t="s">
        <v>3581</v>
      </c>
      <c r="G1105" s="6" t="s">
        <v>1790</v>
      </c>
      <c r="H1105" s="6" t="s">
        <v>3581</v>
      </c>
      <c r="I1105" s="6">
        <v>2</v>
      </c>
      <c r="J1105" s="6">
        <v>0</v>
      </c>
      <c r="K1105" s="6">
        <v>0</v>
      </c>
      <c r="L1105" s="6">
        <v>0</v>
      </c>
      <c r="M1105" s="6">
        <v>0</v>
      </c>
      <c r="N1105" s="6">
        <v>1</v>
      </c>
      <c r="O1105" s="6">
        <v>1</v>
      </c>
    </row>
    <row r="1106" spans="1:15" hidden="1">
      <c r="A1106" s="6" t="s">
        <v>1786</v>
      </c>
      <c r="B1106" s="6" t="s">
        <v>1748</v>
      </c>
      <c r="C1106" s="6" t="s">
        <v>1758</v>
      </c>
      <c r="D1106" s="6" t="s">
        <v>3582</v>
      </c>
      <c r="E1106" s="6" t="s">
        <v>3583</v>
      </c>
      <c r="F1106" s="6" t="s">
        <v>3584</v>
      </c>
      <c r="G1106" s="6" t="s">
        <v>1790</v>
      </c>
      <c r="H1106" s="6" t="s">
        <v>3584</v>
      </c>
      <c r="I1106" s="6">
        <v>2</v>
      </c>
      <c r="J1106" s="6">
        <v>0</v>
      </c>
      <c r="K1106" s="6">
        <v>0</v>
      </c>
      <c r="L1106" s="6">
        <v>0</v>
      </c>
      <c r="M1106" s="6">
        <v>0</v>
      </c>
      <c r="N1106" s="6">
        <v>1</v>
      </c>
      <c r="O1106" s="6">
        <v>1</v>
      </c>
    </row>
    <row r="1107" spans="1:15" hidden="1">
      <c r="A1107" s="6" t="s">
        <v>1786</v>
      </c>
      <c r="B1107" s="6" t="s">
        <v>1748</v>
      </c>
      <c r="C1107" s="6" t="s">
        <v>1756</v>
      </c>
      <c r="D1107" s="6" t="s">
        <v>3585</v>
      </c>
      <c r="F1107" s="6" t="s">
        <v>3586</v>
      </c>
      <c r="G1107" s="6" t="s">
        <v>1790</v>
      </c>
      <c r="H1107" s="6" t="s">
        <v>3587</v>
      </c>
      <c r="I1107" s="6">
        <v>2</v>
      </c>
      <c r="J1107" s="6">
        <v>0</v>
      </c>
      <c r="K1107" s="6">
        <v>0</v>
      </c>
      <c r="L1107" s="6">
        <v>0</v>
      </c>
      <c r="M1107" s="6">
        <v>0</v>
      </c>
      <c r="N1107" s="6">
        <v>1</v>
      </c>
      <c r="O1107" s="6">
        <v>1</v>
      </c>
    </row>
    <row r="1108" spans="1:15" hidden="1">
      <c r="A1108" s="6" t="s">
        <v>1786</v>
      </c>
      <c r="B1108" s="6" t="s">
        <v>1748</v>
      </c>
      <c r="C1108" s="6" t="s">
        <v>1756</v>
      </c>
      <c r="D1108" s="6" t="s">
        <v>3585</v>
      </c>
      <c r="F1108" s="6" t="s">
        <v>3586</v>
      </c>
      <c r="G1108" s="6" t="s">
        <v>1790</v>
      </c>
      <c r="H1108" s="6" t="s">
        <v>3586</v>
      </c>
      <c r="I1108" s="6">
        <v>3</v>
      </c>
      <c r="J1108" s="6">
        <v>0</v>
      </c>
      <c r="K1108" s="6">
        <v>0</v>
      </c>
      <c r="L1108" s="6">
        <v>0</v>
      </c>
      <c r="M1108" s="6">
        <v>0</v>
      </c>
      <c r="N1108" s="6">
        <v>1</v>
      </c>
      <c r="O1108" s="6">
        <v>1</v>
      </c>
    </row>
    <row r="1109" spans="1:15" hidden="1">
      <c r="A1109" s="6" t="s">
        <v>1786</v>
      </c>
      <c r="B1109" s="6" t="s">
        <v>1748</v>
      </c>
      <c r="C1109" s="6" t="s">
        <v>648</v>
      </c>
      <c r="D1109" s="6" t="s">
        <v>3588</v>
      </c>
      <c r="E1109" s="6" t="s">
        <v>3589</v>
      </c>
      <c r="F1109" s="6" t="s">
        <v>3589</v>
      </c>
      <c r="G1109" s="6" t="s">
        <v>1790</v>
      </c>
      <c r="H1109" s="6" t="s">
        <v>3590</v>
      </c>
      <c r="I1109" s="6">
        <v>1</v>
      </c>
      <c r="J1109" s="6">
        <v>1</v>
      </c>
      <c r="K1109" s="6">
        <v>1</v>
      </c>
      <c r="L1109" s="6">
        <v>0.03</v>
      </c>
      <c r="M1109" s="6">
        <v>0.03</v>
      </c>
      <c r="N1109" s="6">
        <v>0</v>
      </c>
      <c r="O1109" s="6">
        <v>0</v>
      </c>
    </row>
    <row r="1110" spans="1:15" hidden="1">
      <c r="A1110" s="6" t="s">
        <v>1786</v>
      </c>
      <c r="B1110" s="6" t="s">
        <v>1748</v>
      </c>
      <c r="C1110" s="6" t="s">
        <v>648</v>
      </c>
      <c r="D1110" s="6" t="s">
        <v>3591</v>
      </c>
      <c r="E1110" s="6" t="s">
        <v>3592</v>
      </c>
      <c r="F1110" s="6" t="s">
        <v>3592</v>
      </c>
      <c r="G1110" s="6" t="s">
        <v>1790</v>
      </c>
      <c r="H1110" s="6" t="s">
        <v>3592</v>
      </c>
      <c r="I1110" s="6">
        <v>1</v>
      </c>
      <c r="J1110" s="6">
        <v>0</v>
      </c>
      <c r="K1110" s="6">
        <v>0</v>
      </c>
      <c r="L1110" s="6">
        <v>0</v>
      </c>
      <c r="M1110" s="6">
        <v>0</v>
      </c>
      <c r="N1110" s="6">
        <v>0</v>
      </c>
      <c r="O1110" s="6">
        <v>0</v>
      </c>
    </row>
    <row r="1111" spans="1:15" hidden="1">
      <c r="A1111" s="6" t="s">
        <v>1786</v>
      </c>
      <c r="B1111" s="6" t="s">
        <v>1748</v>
      </c>
      <c r="C1111" s="6" t="s">
        <v>648</v>
      </c>
      <c r="D1111" s="6" t="s">
        <v>3593</v>
      </c>
      <c r="E1111" s="6" t="s">
        <v>3594</v>
      </c>
      <c r="F1111" s="6" t="s">
        <v>3594</v>
      </c>
      <c r="G1111" s="6" t="s">
        <v>1790</v>
      </c>
      <c r="H1111" s="6" t="s">
        <v>3594</v>
      </c>
      <c r="I1111" s="6">
        <v>1</v>
      </c>
      <c r="J1111" s="6">
        <v>0</v>
      </c>
      <c r="K1111" s="6">
        <v>0</v>
      </c>
      <c r="L1111" s="6">
        <v>0</v>
      </c>
      <c r="M1111" s="6">
        <v>0</v>
      </c>
      <c r="N1111" s="6">
        <v>0</v>
      </c>
      <c r="O1111" s="6">
        <v>0</v>
      </c>
    </row>
    <row r="1112" spans="1:15" hidden="1">
      <c r="A1112" s="6" t="s">
        <v>1786</v>
      </c>
      <c r="B1112" s="6" t="s">
        <v>1748</v>
      </c>
      <c r="C1112" s="6" t="s">
        <v>648</v>
      </c>
      <c r="D1112" s="6" t="s">
        <v>3595</v>
      </c>
      <c r="E1112" s="6" t="s">
        <v>3596</v>
      </c>
      <c r="F1112" s="6" t="s">
        <v>3596</v>
      </c>
      <c r="G1112" s="6" t="s">
        <v>1790</v>
      </c>
      <c r="H1112" s="6" t="s">
        <v>3597</v>
      </c>
      <c r="I1112" s="6">
        <v>1</v>
      </c>
      <c r="J1112" s="6">
        <v>0</v>
      </c>
      <c r="K1112" s="6">
        <v>0</v>
      </c>
      <c r="L1112" s="6">
        <v>0</v>
      </c>
      <c r="M1112" s="6">
        <v>0</v>
      </c>
      <c r="N1112" s="6">
        <v>1</v>
      </c>
      <c r="O1112" s="6">
        <v>1</v>
      </c>
    </row>
    <row r="1113" spans="1:15" hidden="1">
      <c r="A1113" s="6" t="s">
        <v>1786</v>
      </c>
      <c r="B1113" s="6" t="s">
        <v>1748</v>
      </c>
      <c r="C1113" s="6" t="s">
        <v>648</v>
      </c>
      <c r="D1113" s="6" t="s">
        <v>3595</v>
      </c>
      <c r="E1113" s="6" t="s">
        <v>3596</v>
      </c>
      <c r="F1113" s="6" t="s">
        <v>3596</v>
      </c>
      <c r="G1113" s="6" t="s">
        <v>1790</v>
      </c>
      <c r="H1113" s="6" t="s">
        <v>3596</v>
      </c>
      <c r="I1113" s="6">
        <v>10</v>
      </c>
      <c r="J1113" s="6">
        <v>0</v>
      </c>
      <c r="K1113" s="6">
        <v>0</v>
      </c>
      <c r="L1113" s="6">
        <v>0</v>
      </c>
      <c r="M1113" s="6">
        <v>0</v>
      </c>
      <c r="N1113" s="6">
        <v>0.42859999999999998</v>
      </c>
      <c r="O1113" s="6">
        <v>0.42859999999999998</v>
      </c>
    </row>
    <row r="1114" spans="1:15" hidden="1">
      <c r="A1114" s="6" t="s">
        <v>1786</v>
      </c>
      <c r="B1114" s="6" t="s">
        <v>1748</v>
      </c>
      <c r="C1114" s="6" t="s">
        <v>519</v>
      </c>
      <c r="D1114" s="6" t="s">
        <v>3598</v>
      </c>
      <c r="F1114" s="6" t="s">
        <v>3599</v>
      </c>
      <c r="G1114" s="6" t="s">
        <v>1790</v>
      </c>
      <c r="H1114" s="6" t="s">
        <v>3599</v>
      </c>
      <c r="I1114" s="6">
        <v>1</v>
      </c>
      <c r="J1114" s="6">
        <v>0</v>
      </c>
      <c r="K1114" s="6">
        <v>0</v>
      </c>
      <c r="L1114" s="6">
        <v>0</v>
      </c>
      <c r="M1114" s="6">
        <v>0</v>
      </c>
      <c r="N1114" s="6">
        <v>0</v>
      </c>
      <c r="O1114" s="6">
        <v>0</v>
      </c>
    </row>
    <row r="1115" spans="1:15" hidden="1">
      <c r="A1115" s="6" t="s">
        <v>1786</v>
      </c>
      <c r="B1115" s="6" t="s">
        <v>1748</v>
      </c>
      <c r="C1115" s="6" t="s">
        <v>519</v>
      </c>
      <c r="D1115" s="6" t="s">
        <v>3598</v>
      </c>
      <c r="F1115" s="6" t="s">
        <v>3600</v>
      </c>
      <c r="G1115" s="6" t="s">
        <v>1790</v>
      </c>
      <c r="H1115" s="6" t="s">
        <v>3600</v>
      </c>
      <c r="I1115" s="6">
        <v>2</v>
      </c>
      <c r="J1115" s="6">
        <v>0</v>
      </c>
      <c r="K1115" s="6">
        <v>0</v>
      </c>
      <c r="L1115" s="6">
        <v>0</v>
      </c>
      <c r="M1115" s="6">
        <v>0</v>
      </c>
      <c r="N1115" s="6">
        <v>0</v>
      </c>
      <c r="O1115" s="6">
        <v>0</v>
      </c>
    </row>
    <row r="1116" spans="1:15" hidden="1">
      <c r="A1116" s="6" t="s">
        <v>1786</v>
      </c>
      <c r="B1116" s="6" t="s">
        <v>1748</v>
      </c>
      <c r="C1116" s="6" t="s">
        <v>519</v>
      </c>
      <c r="D1116" s="6" t="s">
        <v>3601</v>
      </c>
      <c r="F1116" s="6" t="s">
        <v>3602</v>
      </c>
      <c r="G1116" s="6" t="s">
        <v>1790</v>
      </c>
      <c r="H1116" s="6" t="s">
        <v>3602</v>
      </c>
      <c r="I1116" s="6">
        <v>1</v>
      </c>
      <c r="J1116" s="6">
        <v>0</v>
      </c>
      <c r="K1116" s="6">
        <v>0</v>
      </c>
      <c r="L1116" s="6">
        <v>0</v>
      </c>
      <c r="M1116" s="6">
        <v>0</v>
      </c>
      <c r="N1116" s="6">
        <v>1</v>
      </c>
      <c r="O1116" s="6">
        <v>1</v>
      </c>
    </row>
    <row r="1117" spans="1:15" hidden="1">
      <c r="A1117" s="6" t="s">
        <v>1786</v>
      </c>
      <c r="B1117" s="6" t="s">
        <v>1748</v>
      </c>
      <c r="C1117" s="6" t="s">
        <v>345</v>
      </c>
      <c r="D1117" s="6" t="s">
        <v>3603</v>
      </c>
      <c r="E1117" s="6" t="s">
        <v>3604</v>
      </c>
      <c r="F1117" s="6" t="s">
        <v>3605</v>
      </c>
      <c r="G1117" s="6" t="s">
        <v>1790</v>
      </c>
      <c r="H1117" s="6" t="s">
        <v>3606</v>
      </c>
      <c r="I1117" s="6">
        <v>3</v>
      </c>
      <c r="J1117" s="6">
        <v>0</v>
      </c>
      <c r="K1117" s="6">
        <v>0</v>
      </c>
      <c r="L1117" s="6">
        <v>0</v>
      </c>
      <c r="M1117" s="6">
        <v>0</v>
      </c>
      <c r="N1117" s="6">
        <v>0.5</v>
      </c>
      <c r="O1117" s="6">
        <v>0.5</v>
      </c>
    </row>
    <row r="1118" spans="1:15" hidden="1">
      <c r="A1118" s="6" t="s">
        <v>1786</v>
      </c>
      <c r="B1118" s="6" t="s">
        <v>1748</v>
      </c>
      <c r="C1118" s="6" t="s">
        <v>345</v>
      </c>
      <c r="D1118" s="6" t="s">
        <v>3607</v>
      </c>
      <c r="E1118" s="6" t="s">
        <v>3608</v>
      </c>
      <c r="F1118" s="6" t="s">
        <v>3608</v>
      </c>
      <c r="G1118" s="6" t="s">
        <v>1790</v>
      </c>
      <c r="H1118" s="6" t="s">
        <v>3609</v>
      </c>
      <c r="I1118" s="6">
        <v>1</v>
      </c>
      <c r="J1118" s="6">
        <v>1</v>
      </c>
      <c r="K1118" s="6">
        <v>1</v>
      </c>
      <c r="L1118" s="6">
        <v>0.11</v>
      </c>
      <c r="M1118" s="6">
        <v>0.11</v>
      </c>
      <c r="N1118" s="6">
        <v>1</v>
      </c>
      <c r="O1118" s="6">
        <v>1</v>
      </c>
    </row>
    <row r="1119" spans="1:15" hidden="1">
      <c r="A1119" s="6" t="s">
        <v>1786</v>
      </c>
      <c r="B1119" s="6" t="s">
        <v>1748</v>
      </c>
      <c r="C1119" s="6" t="s">
        <v>345</v>
      </c>
      <c r="D1119" s="6" t="s">
        <v>3607</v>
      </c>
      <c r="E1119" s="6" t="s">
        <v>3608</v>
      </c>
      <c r="F1119" s="6" t="s">
        <v>3608</v>
      </c>
      <c r="G1119" s="6" t="s">
        <v>1790</v>
      </c>
      <c r="H1119" s="6" t="s">
        <v>3610</v>
      </c>
      <c r="I1119" s="6">
        <v>1</v>
      </c>
      <c r="J1119" s="6">
        <v>0</v>
      </c>
      <c r="K1119" s="6">
        <v>0</v>
      </c>
      <c r="L1119" s="6">
        <v>0</v>
      </c>
      <c r="M1119" s="6">
        <v>0</v>
      </c>
      <c r="N1119" s="6">
        <v>0</v>
      </c>
      <c r="O1119" s="6">
        <v>0</v>
      </c>
    </row>
    <row r="1120" spans="1:15" hidden="1">
      <c r="A1120" s="6" t="s">
        <v>1786</v>
      </c>
      <c r="B1120" s="6" t="s">
        <v>1748</v>
      </c>
      <c r="C1120" s="6" t="s">
        <v>1759</v>
      </c>
      <c r="D1120" s="6" t="s">
        <v>3611</v>
      </c>
      <c r="F1120" s="6" t="s">
        <v>3612</v>
      </c>
      <c r="G1120" s="6" t="s">
        <v>1790</v>
      </c>
      <c r="H1120" s="6" t="s">
        <v>3612</v>
      </c>
      <c r="I1120" s="6">
        <v>1</v>
      </c>
      <c r="J1120" s="6">
        <v>0</v>
      </c>
      <c r="K1120" s="6">
        <v>0</v>
      </c>
      <c r="L1120" s="6">
        <v>0</v>
      </c>
      <c r="M1120" s="6">
        <v>0</v>
      </c>
      <c r="N1120" s="6">
        <v>1</v>
      </c>
      <c r="O1120" s="6">
        <v>1</v>
      </c>
    </row>
    <row r="1121" spans="1:15" hidden="1">
      <c r="A1121" s="6" t="s">
        <v>1786</v>
      </c>
      <c r="B1121" s="6" t="s">
        <v>1748</v>
      </c>
      <c r="C1121" s="6" t="s">
        <v>1765</v>
      </c>
      <c r="D1121" s="6" t="s">
        <v>3613</v>
      </c>
      <c r="F1121" s="6" t="s">
        <v>3614</v>
      </c>
      <c r="G1121" s="6" t="s">
        <v>1790</v>
      </c>
      <c r="H1121" s="6" t="s">
        <v>3426</v>
      </c>
      <c r="I1121" s="6">
        <v>1</v>
      </c>
      <c r="J1121" s="6">
        <v>0</v>
      </c>
      <c r="K1121" s="6">
        <v>0</v>
      </c>
      <c r="L1121" s="6">
        <v>0</v>
      </c>
      <c r="M1121" s="6">
        <v>0</v>
      </c>
      <c r="N1121" s="6">
        <v>1</v>
      </c>
      <c r="O1121" s="6">
        <v>1</v>
      </c>
    </row>
    <row r="1122" spans="1:15" hidden="1">
      <c r="A1122" s="6" t="s">
        <v>1786</v>
      </c>
      <c r="B1122" s="6" t="s">
        <v>1748</v>
      </c>
      <c r="C1122" s="6" t="s">
        <v>1760</v>
      </c>
      <c r="D1122" s="6" t="s">
        <v>3615</v>
      </c>
      <c r="E1122" s="6" t="s">
        <v>3616</v>
      </c>
      <c r="F1122" s="6" t="s">
        <v>3617</v>
      </c>
      <c r="G1122" s="6" t="s">
        <v>1790</v>
      </c>
      <c r="H1122" s="6" t="s">
        <v>3618</v>
      </c>
      <c r="I1122" s="6">
        <v>4</v>
      </c>
      <c r="J1122" s="6">
        <v>0</v>
      </c>
      <c r="K1122" s="6">
        <v>0</v>
      </c>
      <c r="L1122" s="6">
        <v>0</v>
      </c>
      <c r="M1122" s="6">
        <v>0</v>
      </c>
      <c r="N1122" s="6">
        <v>1</v>
      </c>
      <c r="O1122" s="6">
        <v>1</v>
      </c>
    </row>
    <row r="1123" spans="1:15" hidden="1">
      <c r="A1123" s="6" t="s">
        <v>1786</v>
      </c>
      <c r="B1123" s="6" t="s">
        <v>1748</v>
      </c>
      <c r="C1123" s="6" t="s">
        <v>445</v>
      </c>
      <c r="D1123" s="6" t="s">
        <v>3619</v>
      </c>
      <c r="G1123" s="6" t="s">
        <v>1790</v>
      </c>
      <c r="H1123" s="6" t="s">
        <v>3619</v>
      </c>
      <c r="I1123" s="6">
        <v>3</v>
      </c>
      <c r="J1123" s="6">
        <v>0</v>
      </c>
      <c r="K1123" s="6">
        <v>0</v>
      </c>
      <c r="L1123" s="6">
        <v>0</v>
      </c>
      <c r="M1123" s="6">
        <v>0</v>
      </c>
      <c r="N1123" s="6">
        <v>1</v>
      </c>
      <c r="O1123" s="6">
        <v>1</v>
      </c>
    </row>
    <row r="1124" spans="1:15" hidden="1">
      <c r="A1124" s="6" t="s">
        <v>1786</v>
      </c>
      <c r="B1124" s="6" t="s">
        <v>1748</v>
      </c>
      <c r="C1124" s="6" t="s">
        <v>445</v>
      </c>
      <c r="D1124" s="6" t="s">
        <v>3619</v>
      </c>
      <c r="G1124" s="6" t="s">
        <v>1790</v>
      </c>
      <c r="H1124" s="6" t="s">
        <v>3620</v>
      </c>
      <c r="I1124" s="6">
        <v>1</v>
      </c>
      <c r="J1124" s="6">
        <v>0</v>
      </c>
      <c r="K1124" s="6">
        <v>0</v>
      </c>
      <c r="L1124" s="6">
        <v>0</v>
      </c>
      <c r="M1124" s="6">
        <v>0</v>
      </c>
      <c r="N1124" s="6">
        <v>0</v>
      </c>
      <c r="O1124" s="6">
        <v>0</v>
      </c>
    </row>
    <row r="1125" spans="1:15" hidden="1">
      <c r="A1125" s="6" t="s">
        <v>1786</v>
      </c>
      <c r="B1125" s="6" t="s">
        <v>1748</v>
      </c>
      <c r="C1125" s="6" t="s">
        <v>445</v>
      </c>
      <c r="D1125" s="6" t="s">
        <v>3619</v>
      </c>
      <c r="F1125" s="6" t="s">
        <v>3621</v>
      </c>
      <c r="G1125" s="6" t="s">
        <v>1790</v>
      </c>
      <c r="H1125" s="6" t="s">
        <v>3621</v>
      </c>
      <c r="I1125" s="6">
        <v>4</v>
      </c>
      <c r="J1125" s="6">
        <v>0</v>
      </c>
      <c r="K1125" s="6">
        <v>0</v>
      </c>
      <c r="L1125" s="6">
        <v>0</v>
      </c>
      <c r="M1125" s="6">
        <v>0</v>
      </c>
      <c r="N1125" s="6">
        <v>0.66670000000000007</v>
      </c>
      <c r="O1125" s="6">
        <v>0.66670000000000007</v>
      </c>
    </row>
    <row r="1126" spans="1:15" hidden="1">
      <c r="A1126" s="6" t="s">
        <v>1786</v>
      </c>
      <c r="B1126" s="6" t="s">
        <v>1748</v>
      </c>
      <c r="C1126" s="6" t="s">
        <v>445</v>
      </c>
      <c r="D1126" s="6" t="s">
        <v>3622</v>
      </c>
      <c r="F1126" s="6" t="s">
        <v>3623</v>
      </c>
      <c r="G1126" s="6" t="s">
        <v>1790</v>
      </c>
      <c r="H1126" s="6" t="s">
        <v>3623</v>
      </c>
      <c r="I1126" s="6">
        <v>2</v>
      </c>
      <c r="J1126" s="6">
        <v>0</v>
      </c>
      <c r="K1126" s="6">
        <v>0</v>
      </c>
      <c r="L1126" s="6">
        <v>0</v>
      </c>
      <c r="M1126" s="6">
        <v>0</v>
      </c>
      <c r="N1126" s="6">
        <v>1</v>
      </c>
      <c r="O1126" s="6">
        <v>1</v>
      </c>
    </row>
    <row r="1127" spans="1:15" hidden="1">
      <c r="A1127" s="6" t="s">
        <v>1786</v>
      </c>
      <c r="B1127" s="6" t="s">
        <v>1748</v>
      </c>
      <c r="C1127" s="6" t="s">
        <v>776</v>
      </c>
      <c r="D1127" s="6" t="s">
        <v>3624</v>
      </c>
      <c r="E1127" s="6" t="s">
        <v>1941</v>
      </c>
      <c r="F1127" s="6" t="s">
        <v>1941</v>
      </c>
      <c r="G1127" s="6" t="s">
        <v>1790</v>
      </c>
      <c r="H1127" s="6" t="s">
        <v>1941</v>
      </c>
      <c r="I1127" s="6">
        <v>1</v>
      </c>
      <c r="J1127" s="6">
        <v>0</v>
      </c>
      <c r="K1127" s="6">
        <v>0</v>
      </c>
      <c r="L1127" s="6">
        <v>0</v>
      </c>
      <c r="M1127" s="6">
        <v>0</v>
      </c>
      <c r="N1127" s="6">
        <v>1</v>
      </c>
      <c r="O1127" s="6">
        <v>1</v>
      </c>
    </row>
    <row r="1128" spans="1:15" hidden="1">
      <c r="A1128" s="6" t="s">
        <v>1786</v>
      </c>
      <c r="B1128" s="6" t="s">
        <v>1748</v>
      </c>
      <c r="C1128" s="6" t="s">
        <v>776</v>
      </c>
      <c r="D1128" s="6" t="s">
        <v>3625</v>
      </c>
      <c r="E1128" s="6" t="s">
        <v>3626</v>
      </c>
      <c r="G1128" s="6" t="s">
        <v>1790</v>
      </c>
      <c r="H1128" s="6" t="s">
        <v>3627</v>
      </c>
      <c r="I1128" s="6">
        <v>2</v>
      </c>
      <c r="J1128" s="6">
        <v>0</v>
      </c>
      <c r="K1128" s="6">
        <v>0</v>
      </c>
      <c r="L1128" s="6">
        <v>0</v>
      </c>
      <c r="M1128" s="6">
        <v>0</v>
      </c>
      <c r="N1128" s="6">
        <v>1</v>
      </c>
      <c r="O1128" s="6">
        <v>1</v>
      </c>
    </row>
    <row r="1129" spans="1:15" hidden="1">
      <c r="A1129" s="6" t="s">
        <v>1786</v>
      </c>
      <c r="B1129" s="6" t="s">
        <v>1748</v>
      </c>
      <c r="C1129" s="6" t="s">
        <v>776</v>
      </c>
      <c r="D1129" s="6" t="s">
        <v>3625</v>
      </c>
      <c r="E1129" s="6" t="s">
        <v>3628</v>
      </c>
      <c r="F1129" s="6" t="s">
        <v>3628</v>
      </c>
      <c r="G1129" s="6" t="s">
        <v>1790</v>
      </c>
      <c r="H1129" s="6" t="s">
        <v>3629</v>
      </c>
      <c r="I1129" s="6">
        <v>3</v>
      </c>
      <c r="J1129" s="6">
        <v>1</v>
      </c>
      <c r="K1129" s="6">
        <v>0.33329999999999999</v>
      </c>
      <c r="L1129" s="6">
        <v>0.77</v>
      </c>
      <c r="M1129" s="6">
        <v>0.77</v>
      </c>
      <c r="N1129" s="6">
        <v>0.5</v>
      </c>
      <c r="O1129" s="6">
        <v>0.5</v>
      </c>
    </row>
    <row r="1130" spans="1:15" hidden="1">
      <c r="A1130" s="6" t="s">
        <v>1786</v>
      </c>
      <c r="B1130" s="6" t="s">
        <v>1748</v>
      </c>
      <c r="C1130" s="6" t="s">
        <v>776</v>
      </c>
      <c r="D1130" s="6" t="s">
        <v>3630</v>
      </c>
      <c r="E1130" s="6" t="s">
        <v>2425</v>
      </c>
      <c r="F1130" s="6" t="s">
        <v>2425</v>
      </c>
      <c r="G1130" s="6" t="s">
        <v>1790</v>
      </c>
      <c r="H1130" s="6" t="s">
        <v>3631</v>
      </c>
      <c r="I1130" s="6">
        <v>3</v>
      </c>
      <c r="J1130" s="6">
        <v>0</v>
      </c>
      <c r="K1130" s="6">
        <v>0</v>
      </c>
      <c r="L1130" s="6">
        <v>0</v>
      </c>
      <c r="M1130" s="6">
        <v>0</v>
      </c>
      <c r="N1130" s="6">
        <v>1</v>
      </c>
      <c r="O1130" s="6">
        <v>1</v>
      </c>
    </row>
    <row r="1131" spans="1:15" hidden="1">
      <c r="A1131" s="6" t="s">
        <v>1786</v>
      </c>
      <c r="B1131" s="6" t="s">
        <v>1748</v>
      </c>
      <c r="C1131" s="6" t="s">
        <v>776</v>
      </c>
      <c r="D1131" s="6" t="s">
        <v>3632</v>
      </c>
      <c r="E1131" s="6" t="s">
        <v>3633</v>
      </c>
      <c r="F1131" s="6" t="s">
        <v>3634</v>
      </c>
      <c r="G1131" s="6" t="s">
        <v>1790</v>
      </c>
      <c r="H1131" s="6" t="s">
        <v>3634</v>
      </c>
      <c r="I1131" s="6">
        <v>1</v>
      </c>
      <c r="J1131" s="6">
        <v>0</v>
      </c>
      <c r="K1131" s="6">
        <v>0</v>
      </c>
      <c r="L1131" s="6">
        <v>0</v>
      </c>
      <c r="M1131" s="6">
        <v>0</v>
      </c>
      <c r="N1131" s="6">
        <v>1</v>
      </c>
      <c r="O1131" s="6">
        <v>1</v>
      </c>
    </row>
    <row r="1132" spans="1:15" hidden="1">
      <c r="A1132" s="6" t="s">
        <v>1786</v>
      </c>
      <c r="B1132" s="6" t="s">
        <v>1748</v>
      </c>
      <c r="C1132" s="6" t="s">
        <v>776</v>
      </c>
      <c r="D1132" s="6" t="s">
        <v>3635</v>
      </c>
      <c r="E1132" s="6" t="s">
        <v>3636</v>
      </c>
      <c r="F1132" s="6" t="s">
        <v>3637</v>
      </c>
      <c r="G1132" s="6" t="s">
        <v>1790</v>
      </c>
      <c r="H1132" s="6" t="s">
        <v>3637</v>
      </c>
      <c r="I1132" s="6">
        <v>1</v>
      </c>
      <c r="J1132" s="6">
        <v>0</v>
      </c>
      <c r="K1132" s="6">
        <v>0</v>
      </c>
      <c r="L1132" s="6">
        <v>0</v>
      </c>
      <c r="M1132" s="6">
        <v>0</v>
      </c>
      <c r="N1132" s="6">
        <v>0</v>
      </c>
      <c r="O1132" s="6">
        <v>0</v>
      </c>
    </row>
    <row r="1133" spans="1:15" hidden="1">
      <c r="A1133" s="6" t="s">
        <v>1786</v>
      </c>
      <c r="B1133" s="6" t="s">
        <v>1748</v>
      </c>
      <c r="C1133" s="6" t="s">
        <v>1470</v>
      </c>
      <c r="D1133" s="6" t="s">
        <v>3638</v>
      </c>
      <c r="G1133" s="6" t="s">
        <v>1790</v>
      </c>
      <c r="H1133" s="6" t="s">
        <v>3638</v>
      </c>
      <c r="I1133" s="6">
        <v>2</v>
      </c>
      <c r="J1133" s="6">
        <v>0</v>
      </c>
      <c r="K1133" s="6">
        <v>0</v>
      </c>
      <c r="L1133" s="6">
        <v>0</v>
      </c>
      <c r="M1133" s="6">
        <v>0</v>
      </c>
      <c r="N1133" s="6">
        <v>1</v>
      </c>
      <c r="O1133" s="6">
        <v>1</v>
      </c>
    </row>
    <row r="1134" spans="1:15" hidden="1">
      <c r="A1134" s="6" t="s">
        <v>1786</v>
      </c>
      <c r="B1134" s="6" t="s">
        <v>1748</v>
      </c>
      <c r="C1134" s="6" t="s">
        <v>1470</v>
      </c>
      <c r="D1134" s="6" t="s">
        <v>3638</v>
      </c>
      <c r="F1134" s="6" t="s">
        <v>3638</v>
      </c>
      <c r="G1134" s="6" t="s">
        <v>1790</v>
      </c>
      <c r="H1134" s="6" t="s">
        <v>3638</v>
      </c>
      <c r="I1134" s="6">
        <v>2</v>
      </c>
      <c r="J1134" s="6">
        <v>0</v>
      </c>
      <c r="K1134" s="6">
        <v>0</v>
      </c>
      <c r="L1134" s="6">
        <v>0</v>
      </c>
      <c r="M1134" s="6">
        <v>0</v>
      </c>
      <c r="N1134" s="6">
        <v>1</v>
      </c>
      <c r="O1134" s="6">
        <v>1</v>
      </c>
    </row>
    <row r="1135" spans="1:15" hidden="1">
      <c r="A1135" s="6" t="s">
        <v>1786</v>
      </c>
      <c r="B1135" s="6" t="s">
        <v>1748</v>
      </c>
      <c r="C1135" s="6" t="s">
        <v>1749</v>
      </c>
      <c r="D1135" s="6" t="s">
        <v>3639</v>
      </c>
      <c r="E1135" s="6" t="s">
        <v>3640</v>
      </c>
      <c r="F1135" s="6" t="s">
        <v>3641</v>
      </c>
      <c r="G1135" s="6" t="s">
        <v>1790</v>
      </c>
      <c r="H1135" s="6" t="s">
        <v>3642</v>
      </c>
      <c r="I1135" s="6">
        <v>2</v>
      </c>
      <c r="J1135" s="6">
        <v>1</v>
      </c>
      <c r="K1135" s="6">
        <v>0.5</v>
      </c>
      <c r="L1135" s="6">
        <v>0.21</v>
      </c>
      <c r="M1135" s="6">
        <v>0.21</v>
      </c>
      <c r="N1135" s="6">
        <v>1</v>
      </c>
      <c r="O1135" s="6">
        <v>1</v>
      </c>
    </row>
    <row r="1136" spans="1:15" hidden="1">
      <c r="A1136" s="6" t="s">
        <v>1786</v>
      </c>
      <c r="B1136" s="6" t="s">
        <v>1748</v>
      </c>
      <c r="C1136" s="6" t="s">
        <v>1749</v>
      </c>
      <c r="D1136" s="6" t="s">
        <v>3643</v>
      </c>
      <c r="E1136" s="6" t="s">
        <v>3644</v>
      </c>
      <c r="F1136" s="6" t="s">
        <v>3644</v>
      </c>
      <c r="G1136" s="6" t="s">
        <v>1790</v>
      </c>
      <c r="H1136" s="6" t="s">
        <v>3645</v>
      </c>
      <c r="I1136" s="6">
        <v>4</v>
      </c>
      <c r="J1136" s="6">
        <v>0</v>
      </c>
      <c r="K1136" s="6">
        <v>0</v>
      </c>
      <c r="L1136" s="6">
        <v>0</v>
      </c>
      <c r="M1136" s="6">
        <v>0</v>
      </c>
      <c r="N1136" s="6">
        <v>1</v>
      </c>
      <c r="O1136" s="6">
        <v>1</v>
      </c>
    </row>
    <row r="1137" spans="1:15" hidden="1">
      <c r="A1137" s="6" t="s">
        <v>1786</v>
      </c>
      <c r="B1137" s="6" t="s">
        <v>1748</v>
      </c>
      <c r="C1137" s="6" t="s">
        <v>1749</v>
      </c>
      <c r="D1137" s="6" t="s">
        <v>3643</v>
      </c>
      <c r="E1137" s="6" t="s">
        <v>3644</v>
      </c>
      <c r="F1137" s="6" t="s">
        <v>3644</v>
      </c>
      <c r="G1137" s="6" t="s">
        <v>1790</v>
      </c>
      <c r="H1137" s="6" t="s">
        <v>3646</v>
      </c>
      <c r="I1137" s="6">
        <v>1</v>
      </c>
      <c r="J1137" s="6">
        <v>0</v>
      </c>
      <c r="K1137" s="6">
        <v>0</v>
      </c>
      <c r="L1137" s="6">
        <v>0</v>
      </c>
      <c r="M1137" s="6">
        <v>0</v>
      </c>
      <c r="N1137" s="6">
        <v>1</v>
      </c>
      <c r="O1137" s="6">
        <v>1</v>
      </c>
    </row>
    <row r="1138" spans="1:15" hidden="1">
      <c r="A1138" s="6" t="s">
        <v>1786</v>
      </c>
      <c r="B1138" s="6" t="s">
        <v>1748</v>
      </c>
      <c r="C1138" s="6" t="s">
        <v>1749</v>
      </c>
      <c r="D1138" s="6" t="s">
        <v>3643</v>
      </c>
      <c r="E1138" s="6" t="s">
        <v>3644</v>
      </c>
      <c r="F1138" s="6" t="s">
        <v>3644</v>
      </c>
      <c r="G1138" s="6" t="s">
        <v>1790</v>
      </c>
      <c r="H1138" s="6" t="s">
        <v>3644</v>
      </c>
      <c r="I1138" s="6">
        <v>1</v>
      </c>
      <c r="J1138" s="6">
        <v>0</v>
      </c>
      <c r="K1138" s="6">
        <v>0</v>
      </c>
      <c r="L1138" s="6">
        <v>0</v>
      </c>
      <c r="M1138" s="6">
        <v>0</v>
      </c>
      <c r="N1138" s="6">
        <v>1</v>
      </c>
      <c r="O1138" s="6">
        <v>1</v>
      </c>
    </row>
    <row r="1139" spans="1:15" hidden="1">
      <c r="A1139" s="6" t="s">
        <v>1786</v>
      </c>
      <c r="B1139" s="6" t="s">
        <v>1748</v>
      </c>
      <c r="C1139" s="6" t="s">
        <v>910</v>
      </c>
      <c r="D1139" s="6" t="s">
        <v>3647</v>
      </c>
      <c r="E1139" s="6" t="s">
        <v>3648</v>
      </c>
      <c r="F1139" s="6" t="s">
        <v>3649</v>
      </c>
      <c r="G1139" s="6" t="s">
        <v>1790</v>
      </c>
      <c r="H1139" s="6" t="s">
        <v>3649</v>
      </c>
      <c r="I1139" s="6">
        <v>2</v>
      </c>
      <c r="J1139" s="6">
        <v>0</v>
      </c>
      <c r="K1139" s="6">
        <v>0</v>
      </c>
      <c r="L1139" s="6">
        <v>0</v>
      </c>
      <c r="M1139" s="6">
        <v>0</v>
      </c>
      <c r="N1139" s="6">
        <v>1</v>
      </c>
      <c r="O1139" s="6">
        <v>1</v>
      </c>
    </row>
    <row r="1140" spans="1:15" hidden="1">
      <c r="A1140" s="6" t="s">
        <v>1786</v>
      </c>
      <c r="B1140" s="6" t="s">
        <v>1748</v>
      </c>
      <c r="C1140" s="6" t="s">
        <v>910</v>
      </c>
      <c r="D1140" s="6" t="s">
        <v>3650</v>
      </c>
      <c r="E1140" s="6" t="s">
        <v>3651</v>
      </c>
      <c r="F1140" s="6" t="s">
        <v>3651</v>
      </c>
      <c r="G1140" s="6" t="s">
        <v>1790</v>
      </c>
      <c r="H1140" s="6" t="s">
        <v>3651</v>
      </c>
      <c r="I1140" s="6">
        <v>1</v>
      </c>
      <c r="J1140" s="6">
        <v>0</v>
      </c>
      <c r="K1140" s="6">
        <v>0</v>
      </c>
      <c r="L1140" s="6">
        <v>0</v>
      </c>
      <c r="M1140" s="6">
        <v>0</v>
      </c>
      <c r="N1140" s="6">
        <v>1</v>
      </c>
      <c r="O1140" s="6">
        <v>1</v>
      </c>
    </row>
    <row r="1141" spans="1:15" hidden="1">
      <c r="A1141" s="6" t="s">
        <v>1786</v>
      </c>
      <c r="B1141" s="6" t="s">
        <v>1748</v>
      </c>
      <c r="C1141" s="6" t="s">
        <v>1761</v>
      </c>
      <c r="D1141" s="6" t="s">
        <v>3652</v>
      </c>
      <c r="F1141" s="6" t="s">
        <v>3653</v>
      </c>
      <c r="G1141" s="6" t="s">
        <v>1790</v>
      </c>
      <c r="H1141" s="6" t="s">
        <v>3654</v>
      </c>
      <c r="I1141" s="6">
        <v>1</v>
      </c>
      <c r="J1141" s="6">
        <v>0</v>
      </c>
      <c r="K1141" s="6">
        <v>0</v>
      </c>
      <c r="L1141" s="6">
        <v>0</v>
      </c>
      <c r="M1141" s="6">
        <v>0</v>
      </c>
      <c r="N1141" s="6">
        <v>0</v>
      </c>
      <c r="O1141" s="6">
        <v>0</v>
      </c>
    </row>
    <row r="1142" spans="1:15" hidden="1">
      <c r="A1142" s="6" t="s">
        <v>1786</v>
      </c>
      <c r="B1142" s="6" t="s">
        <v>1748</v>
      </c>
      <c r="C1142" s="6" t="s">
        <v>1762</v>
      </c>
      <c r="D1142" s="6" t="s">
        <v>3655</v>
      </c>
      <c r="F1142" s="6" t="s">
        <v>3656</v>
      </c>
      <c r="G1142" s="6" t="s">
        <v>1790</v>
      </c>
      <c r="H1142" s="6" t="s">
        <v>3656</v>
      </c>
      <c r="I1142" s="6">
        <v>1</v>
      </c>
      <c r="J1142" s="6">
        <v>0</v>
      </c>
      <c r="K1142" s="6">
        <v>0</v>
      </c>
      <c r="L1142" s="6">
        <v>0</v>
      </c>
      <c r="M1142" s="6">
        <v>0</v>
      </c>
      <c r="N1142" s="6">
        <v>1</v>
      </c>
      <c r="O1142" s="6">
        <v>1</v>
      </c>
    </row>
    <row r="1143" spans="1:15" hidden="1">
      <c r="A1143" s="6" t="s">
        <v>1786</v>
      </c>
      <c r="B1143" s="6" t="s">
        <v>1748</v>
      </c>
      <c r="C1143" s="6" t="s">
        <v>1762</v>
      </c>
      <c r="D1143" s="6" t="s">
        <v>3657</v>
      </c>
      <c r="F1143" s="6" t="s">
        <v>3657</v>
      </c>
      <c r="G1143" s="6" t="s">
        <v>1790</v>
      </c>
      <c r="H1143" s="6" t="s">
        <v>3657</v>
      </c>
      <c r="I1143" s="6">
        <v>1</v>
      </c>
      <c r="J1143" s="6">
        <v>0</v>
      </c>
      <c r="K1143" s="6">
        <v>0</v>
      </c>
      <c r="L1143" s="6">
        <v>0</v>
      </c>
      <c r="M1143" s="6">
        <v>0</v>
      </c>
      <c r="N1143" s="6">
        <v>1</v>
      </c>
      <c r="O1143" s="6">
        <v>1</v>
      </c>
    </row>
    <row r="1144" spans="1:15" hidden="1">
      <c r="A1144" s="6" t="s">
        <v>1786</v>
      </c>
      <c r="B1144" s="6" t="s">
        <v>1748</v>
      </c>
      <c r="C1144" s="6" t="s">
        <v>1762</v>
      </c>
      <c r="D1144" s="6" t="s">
        <v>3657</v>
      </c>
      <c r="F1144" s="6" t="s">
        <v>3657</v>
      </c>
      <c r="G1144" s="6" t="s">
        <v>1790</v>
      </c>
      <c r="H1144" s="6" t="s">
        <v>3658</v>
      </c>
      <c r="I1144" s="6">
        <v>1</v>
      </c>
      <c r="J1144" s="6">
        <v>0</v>
      </c>
      <c r="K1144" s="6">
        <v>0</v>
      </c>
      <c r="L1144" s="6">
        <v>0</v>
      </c>
      <c r="M1144" s="6">
        <v>0</v>
      </c>
      <c r="N1144" s="6">
        <v>1</v>
      </c>
      <c r="O1144" s="6">
        <v>1</v>
      </c>
    </row>
    <row r="1145" spans="1:15" hidden="1">
      <c r="A1145" s="6" t="s">
        <v>1786</v>
      </c>
      <c r="B1145" s="6" t="s">
        <v>1748</v>
      </c>
      <c r="C1145" s="6" t="s">
        <v>1762</v>
      </c>
      <c r="D1145" s="6" t="s">
        <v>3659</v>
      </c>
      <c r="F1145" s="6" t="s">
        <v>3660</v>
      </c>
      <c r="G1145" s="6" t="s">
        <v>1790</v>
      </c>
      <c r="H1145" s="6" t="s">
        <v>3661</v>
      </c>
      <c r="I1145" s="6">
        <v>1</v>
      </c>
      <c r="J1145" s="6">
        <v>0</v>
      </c>
      <c r="K1145" s="6">
        <v>0</v>
      </c>
      <c r="L1145" s="6">
        <v>0</v>
      </c>
      <c r="M1145" s="6">
        <v>0</v>
      </c>
      <c r="N1145" s="6">
        <v>1</v>
      </c>
      <c r="O1145" s="6">
        <v>1</v>
      </c>
    </row>
    <row r="1146" spans="1:15" hidden="1">
      <c r="A1146" s="6" t="s">
        <v>1786</v>
      </c>
      <c r="B1146" s="6" t="s">
        <v>1748</v>
      </c>
      <c r="C1146" s="6" t="s">
        <v>1762</v>
      </c>
      <c r="D1146" s="6" t="s">
        <v>3662</v>
      </c>
      <c r="F1146" s="6" t="s">
        <v>3663</v>
      </c>
      <c r="G1146" s="6" t="s">
        <v>1790</v>
      </c>
      <c r="H1146" s="6" t="s">
        <v>3663</v>
      </c>
      <c r="I1146" s="6">
        <v>1</v>
      </c>
      <c r="J1146" s="6">
        <v>0</v>
      </c>
      <c r="K1146" s="6">
        <v>0</v>
      </c>
      <c r="L1146" s="6">
        <v>0</v>
      </c>
      <c r="M1146" s="6">
        <v>0</v>
      </c>
      <c r="N1146" s="6">
        <v>1</v>
      </c>
      <c r="O1146" s="6">
        <v>1</v>
      </c>
    </row>
    <row r="1147" spans="1:15" hidden="1">
      <c r="A1147" s="6" t="s">
        <v>1786</v>
      </c>
      <c r="B1147" s="6" t="s">
        <v>1748</v>
      </c>
      <c r="C1147" s="6" t="s">
        <v>1762</v>
      </c>
      <c r="D1147" s="6" t="s">
        <v>3664</v>
      </c>
      <c r="F1147" s="6" t="s">
        <v>3665</v>
      </c>
      <c r="G1147" s="6" t="s">
        <v>1790</v>
      </c>
      <c r="H1147" s="6" t="s">
        <v>3665</v>
      </c>
      <c r="I1147" s="6">
        <v>1</v>
      </c>
      <c r="J1147" s="6">
        <v>0</v>
      </c>
      <c r="K1147" s="6">
        <v>0</v>
      </c>
      <c r="L1147" s="6">
        <v>0</v>
      </c>
      <c r="M1147" s="6">
        <v>0</v>
      </c>
      <c r="N1147" s="6">
        <v>1</v>
      </c>
      <c r="O1147" s="6">
        <v>1</v>
      </c>
    </row>
    <row r="1148" spans="1:15" hidden="1">
      <c r="A1148" s="6" t="s">
        <v>1786</v>
      </c>
      <c r="B1148" s="6" t="s">
        <v>1748</v>
      </c>
      <c r="C1148" s="6" t="s">
        <v>1762</v>
      </c>
      <c r="D1148" s="6" t="s">
        <v>3666</v>
      </c>
      <c r="G1148" s="6" t="s">
        <v>1790</v>
      </c>
      <c r="H1148" s="6" t="s">
        <v>3666</v>
      </c>
      <c r="I1148" s="6">
        <v>1</v>
      </c>
      <c r="J1148" s="6">
        <v>0</v>
      </c>
      <c r="K1148" s="6">
        <v>0</v>
      </c>
      <c r="L1148" s="6">
        <v>0</v>
      </c>
      <c r="M1148" s="6">
        <v>0</v>
      </c>
      <c r="N1148" s="6">
        <v>1</v>
      </c>
      <c r="O1148" s="6">
        <v>1</v>
      </c>
    </row>
    <row r="1149" spans="1:15" hidden="1">
      <c r="A1149" s="6" t="s">
        <v>1786</v>
      </c>
      <c r="B1149" s="6" t="s">
        <v>1748</v>
      </c>
      <c r="C1149" s="6" t="s">
        <v>428</v>
      </c>
      <c r="D1149" s="6" t="s">
        <v>3667</v>
      </c>
      <c r="E1149" s="6" t="s">
        <v>3668</v>
      </c>
      <c r="F1149" s="6" t="s">
        <v>3669</v>
      </c>
      <c r="G1149" s="6" t="s">
        <v>1790</v>
      </c>
      <c r="H1149" s="6" t="s">
        <v>3669</v>
      </c>
      <c r="I1149" s="6">
        <v>2</v>
      </c>
      <c r="J1149" s="6">
        <v>0</v>
      </c>
      <c r="K1149" s="6">
        <v>0</v>
      </c>
      <c r="L1149" s="6">
        <v>0</v>
      </c>
      <c r="M1149" s="6">
        <v>0</v>
      </c>
      <c r="N1149" s="6">
        <v>0</v>
      </c>
      <c r="O1149" s="6">
        <v>0</v>
      </c>
    </row>
    <row r="1150" spans="1:15" hidden="1">
      <c r="A1150" s="6" t="s">
        <v>1786</v>
      </c>
      <c r="B1150" s="6" t="s">
        <v>1748</v>
      </c>
      <c r="C1150" s="6" t="s">
        <v>428</v>
      </c>
      <c r="D1150" s="6" t="s">
        <v>3670</v>
      </c>
      <c r="F1150" s="6" t="s">
        <v>3671</v>
      </c>
      <c r="G1150" s="6" t="s">
        <v>1790</v>
      </c>
      <c r="H1150" s="6" t="s">
        <v>3671</v>
      </c>
      <c r="I1150" s="6">
        <v>2</v>
      </c>
      <c r="J1150" s="6">
        <v>0</v>
      </c>
      <c r="K1150" s="6">
        <v>0</v>
      </c>
      <c r="L1150" s="6">
        <v>0</v>
      </c>
      <c r="M1150" s="6">
        <v>0</v>
      </c>
      <c r="N1150" s="6">
        <v>1</v>
      </c>
      <c r="O1150" s="6">
        <v>1</v>
      </c>
    </row>
    <row r="1151" spans="1:15" hidden="1">
      <c r="A1151" s="6" t="s">
        <v>1786</v>
      </c>
      <c r="B1151" s="6" t="s">
        <v>1748</v>
      </c>
      <c r="C1151" s="6" t="s">
        <v>1768</v>
      </c>
      <c r="D1151" s="6" t="s">
        <v>3672</v>
      </c>
      <c r="G1151" s="6" t="s">
        <v>1790</v>
      </c>
      <c r="H1151" s="6" t="s">
        <v>3672</v>
      </c>
      <c r="I1151" s="6">
        <v>1</v>
      </c>
      <c r="J1151" s="6">
        <v>0</v>
      </c>
      <c r="K1151" s="6">
        <v>0</v>
      </c>
      <c r="L1151" s="6">
        <v>0</v>
      </c>
      <c r="M1151" s="6">
        <v>0</v>
      </c>
      <c r="N1151" s="6">
        <v>1</v>
      </c>
      <c r="O1151" s="6">
        <v>1</v>
      </c>
    </row>
    <row r="1152" spans="1:15" hidden="1">
      <c r="A1152" s="6" t="s">
        <v>1786</v>
      </c>
      <c r="B1152" s="6" t="s">
        <v>1748</v>
      </c>
      <c r="C1152" s="6" t="s">
        <v>1769</v>
      </c>
      <c r="D1152" s="6" t="s">
        <v>3673</v>
      </c>
      <c r="F1152" s="6" t="s">
        <v>3674</v>
      </c>
      <c r="G1152" s="6" t="s">
        <v>1790</v>
      </c>
      <c r="H1152" s="6" t="s">
        <v>3675</v>
      </c>
      <c r="I1152" s="6">
        <v>2</v>
      </c>
      <c r="J1152" s="6">
        <v>0</v>
      </c>
      <c r="K1152" s="6">
        <v>0</v>
      </c>
      <c r="L1152" s="6">
        <v>0</v>
      </c>
      <c r="M1152" s="6">
        <v>0</v>
      </c>
      <c r="N1152" s="6">
        <v>1</v>
      </c>
      <c r="O1152" s="6">
        <v>1</v>
      </c>
    </row>
    <row r="1153" spans="1:15" hidden="1">
      <c r="A1153" s="6" t="s">
        <v>1705</v>
      </c>
      <c r="B1153" s="6" t="s">
        <v>3676</v>
      </c>
      <c r="C1153" s="6" t="s">
        <v>3676</v>
      </c>
      <c r="D1153" s="6" t="s">
        <v>3676</v>
      </c>
      <c r="E1153" s="6" t="s">
        <v>3676</v>
      </c>
      <c r="F1153" s="6" t="s">
        <v>3676</v>
      </c>
      <c r="G1153" s="6" t="s">
        <v>3676</v>
      </c>
      <c r="H1153" s="6" t="s">
        <v>3676</v>
      </c>
      <c r="I1153" s="6">
        <v>2298</v>
      </c>
      <c r="J1153" s="6">
        <v>200</v>
      </c>
      <c r="K1153" s="6">
        <v>8.6999999999999994E-2</v>
      </c>
      <c r="L1153" s="6" t="s">
        <v>3676</v>
      </c>
      <c r="M1153" s="6" t="s">
        <v>3676</v>
      </c>
      <c r="N1153" s="6">
        <v>0.67709999999999992</v>
      </c>
      <c r="O1153" s="6">
        <v>0.61659999999999993</v>
      </c>
    </row>
    <row r="1155" spans="1:15">
      <c r="A1155" s="34" t="s">
        <v>3677</v>
      </c>
    </row>
  </sheetData>
  <autoFilter ref="A7:J1153" xr:uid="{38C2EBA6-A25A-4643-B54E-5BBC2360E0D6}">
    <filterColumn colId="1">
      <filters>
        <filter val="Latvia-Leads-Search-Australia"/>
        <filter val="Latvia-Leads-Search-Canada"/>
        <filter val="Latvia-Leads-Search-USA"/>
      </filters>
    </filterColumn>
    <filterColumn colId="2">
      <filters>
        <filter val="United States"/>
      </filters>
    </filterColumn>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62D60-F88B-4F96-B878-16ED78356C75}">
  <dimension ref="A1:Q24"/>
  <sheetViews>
    <sheetView workbookViewId="0">
      <selection activeCell="A19" sqref="A19:XFD19"/>
    </sheetView>
  </sheetViews>
  <sheetFormatPr defaultRowHeight="14.4"/>
  <cols>
    <col min="3" max="3" width="27.5546875" customWidth="1"/>
    <col min="4" max="4" width="16.88671875" customWidth="1"/>
  </cols>
  <sheetData>
    <row r="1" spans="1:17">
      <c r="A1" s="255" t="s">
        <v>0</v>
      </c>
      <c r="B1" s="255" t="s">
        <v>1</v>
      </c>
      <c r="C1" s="255" t="s">
        <v>2</v>
      </c>
      <c r="D1" s="255" t="s">
        <v>3</v>
      </c>
      <c r="E1" s="255" t="s">
        <v>4</v>
      </c>
      <c r="F1" s="255" t="s">
        <v>5</v>
      </c>
      <c r="G1" s="255" t="s">
        <v>6</v>
      </c>
      <c r="H1" s="255" t="s">
        <v>7</v>
      </c>
      <c r="I1" s="255" t="s">
        <v>8</v>
      </c>
      <c r="J1" s="255" t="s">
        <v>9</v>
      </c>
      <c r="K1" s="255" t="s">
        <v>10</v>
      </c>
      <c r="L1" s="255" t="s">
        <v>11</v>
      </c>
      <c r="M1" s="255" t="s">
        <v>12</v>
      </c>
      <c r="N1" s="255" t="s">
        <v>13</v>
      </c>
      <c r="O1" s="255" t="s">
        <v>14</v>
      </c>
      <c r="P1" s="255" t="s">
        <v>2</v>
      </c>
      <c r="Q1" s="255" t="s">
        <v>15</v>
      </c>
    </row>
    <row r="2" spans="1:17">
      <c r="A2" s="256">
        <v>12356</v>
      </c>
      <c r="B2" s="256" t="s">
        <v>232</v>
      </c>
      <c r="C2" s="256" t="s">
        <v>232</v>
      </c>
      <c r="D2" s="257">
        <v>46115.590277777781</v>
      </c>
      <c r="E2" s="256" t="s">
        <v>21</v>
      </c>
      <c r="F2" s="256" t="s">
        <v>5</v>
      </c>
      <c r="G2" s="256" t="s">
        <v>22</v>
      </c>
      <c r="H2" s="256" t="s">
        <v>23</v>
      </c>
      <c r="I2" s="256" t="s">
        <v>17</v>
      </c>
      <c r="J2" s="256" t="s">
        <v>17</v>
      </c>
      <c r="K2" s="256" t="s">
        <v>17</v>
      </c>
      <c r="L2" s="256" t="s">
        <v>54</v>
      </c>
      <c r="M2" s="256" t="s">
        <v>19</v>
      </c>
      <c r="N2" s="256" t="s">
        <v>233</v>
      </c>
      <c r="O2" s="256" t="s">
        <v>17</v>
      </c>
      <c r="P2" s="256" t="s">
        <v>49</v>
      </c>
      <c r="Q2" s="256" t="s">
        <v>17</v>
      </c>
    </row>
    <row r="3" spans="1:17">
      <c r="A3" s="256">
        <v>12718</v>
      </c>
      <c r="B3" s="256" t="s">
        <v>817</v>
      </c>
      <c r="C3" s="256" t="s">
        <v>818</v>
      </c>
      <c r="D3" s="257">
        <v>46125.929861111115</v>
      </c>
      <c r="E3" s="256" t="s">
        <v>57</v>
      </c>
      <c r="F3" s="256" t="s">
        <v>230</v>
      </c>
      <c r="G3" s="256" t="s">
        <v>22</v>
      </c>
      <c r="H3" s="256" t="s">
        <v>244</v>
      </c>
      <c r="I3" s="256" t="s">
        <v>17</v>
      </c>
      <c r="J3" s="256" t="s">
        <v>17</v>
      </c>
      <c r="K3" s="256" t="s">
        <v>17</v>
      </c>
      <c r="L3" s="256" t="s">
        <v>26</v>
      </c>
      <c r="M3" s="256" t="s">
        <v>19</v>
      </c>
      <c r="N3" s="256" t="s">
        <v>819</v>
      </c>
      <c r="O3" s="256" t="s">
        <v>126</v>
      </c>
      <c r="P3" s="256" t="s">
        <v>49</v>
      </c>
      <c r="Q3" s="256" t="s">
        <v>17</v>
      </c>
    </row>
    <row r="4" spans="1:17">
      <c r="A4" s="256">
        <v>12763</v>
      </c>
      <c r="B4" s="256" t="s">
        <v>885</v>
      </c>
      <c r="C4" s="256" t="s">
        <v>886</v>
      </c>
      <c r="D4" s="257">
        <v>46126.95</v>
      </c>
      <c r="E4" s="256" t="s">
        <v>57</v>
      </c>
      <c r="F4" s="256" t="s">
        <v>17</v>
      </c>
      <c r="G4" s="256" t="s">
        <v>80</v>
      </c>
      <c r="H4" s="256" t="s">
        <v>23</v>
      </c>
      <c r="I4" s="256" t="s">
        <v>17</v>
      </c>
      <c r="J4" s="256" t="s">
        <v>17</v>
      </c>
      <c r="K4" s="256" t="s">
        <v>17</v>
      </c>
      <c r="L4" s="256" t="s">
        <v>26</v>
      </c>
      <c r="M4" s="256" t="s">
        <v>19</v>
      </c>
      <c r="N4" s="256" t="s">
        <v>887</v>
      </c>
      <c r="O4" s="256" t="s">
        <v>78</v>
      </c>
      <c r="P4" s="256" t="s">
        <v>49</v>
      </c>
      <c r="Q4" s="256" t="s">
        <v>17</v>
      </c>
    </row>
    <row r="5" spans="1:17">
      <c r="A5" s="256">
        <v>12769</v>
      </c>
      <c r="B5" s="256" t="s">
        <v>891</v>
      </c>
      <c r="C5" s="256" t="s">
        <v>892</v>
      </c>
      <c r="D5" s="257">
        <v>46126.979861111111</v>
      </c>
      <c r="E5" s="256" t="s">
        <v>179</v>
      </c>
      <c r="F5" s="256" t="s">
        <v>17</v>
      </c>
      <c r="G5" s="256" t="s">
        <v>22</v>
      </c>
      <c r="H5" s="256" t="s">
        <v>23</v>
      </c>
      <c r="I5" s="256" t="s">
        <v>17</v>
      </c>
      <c r="J5" s="256" t="s">
        <v>17</v>
      </c>
      <c r="K5" s="256" t="s">
        <v>17</v>
      </c>
      <c r="L5" s="256" t="s">
        <v>17</v>
      </c>
      <c r="M5" s="256" t="s">
        <v>19</v>
      </c>
      <c r="N5" s="256" t="s">
        <v>893</v>
      </c>
      <c r="O5" s="256" t="s">
        <v>17</v>
      </c>
      <c r="P5" s="256" t="s">
        <v>49</v>
      </c>
      <c r="Q5" s="256" t="s">
        <v>17</v>
      </c>
    </row>
    <row r="6" spans="1:17">
      <c r="A6" s="256">
        <v>12778</v>
      </c>
      <c r="B6" s="256" t="s">
        <v>899</v>
      </c>
      <c r="C6" s="256" t="s">
        <v>3832</v>
      </c>
      <c r="D6" s="257">
        <v>46127.095138888893</v>
      </c>
      <c r="E6" s="256" t="s">
        <v>57</v>
      </c>
      <c r="F6" s="256" t="s">
        <v>5</v>
      </c>
      <c r="G6" s="256" t="s">
        <v>80</v>
      </c>
      <c r="H6" s="256" t="s">
        <v>23</v>
      </c>
      <c r="I6" s="256" t="s">
        <v>17</v>
      </c>
      <c r="J6" s="256" t="s">
        <v>17</v>
      </c>
      <c r="K6" s="256" t="s">
        <v>17</v>
      </c>
      <c r="L6" s="256" t="s">
        <v>84</v>
      </c>
      <c r="M6" s="256" t="s">
        <v>19</v>
      </c>
      <c r="N6" s="256" t="s">
        <v>903</v>
      </c>
      <c r="O6" s="256" t="s">
        <v>78</v>
      </c>
      <c r="P6" s="256" t="s">
        <v>49</v>
      </c>
      <c r="Q6" s="256" t="s">
        <v>17</v>
      </c>
    </row>
    <row r="7" spans="1:17">
      <c r="A7" s="256">
        <v>12817</v>
      </c>
      <c r="B7" s="256" t="s">
        <v>937</v>
      </c>
      <c r="C7" s="256" t="s">
        <v>938</v>
      </c>
      <c r="D7" s="257">
        <v>46128.507638888885</v>
      </c>
      <c r="E7" s="256" t="s">
        <v>276</v>
      </c>
      <c r="F7" s="256" t="s">
        <v>5</v>
      </c>
      <c r="G7" s="256" t="s">
        <v>80</v>
      </c>
      <c r="H7" s="256" t="s">
        <v>23</v>
      </c>
      <c r="I7" s="256" t="s">
        <v>17</v>
      </c>
      <c r="J7" s="256" t="s">
        <v>17</v>
      </c>
      <c r="K7" s="256" t="s">
        <v>17</v>
      </c>
      <c r="L7" s="256" t="s">
        <v>26</v>
      </c>
      <c r="M7" s="256" t="s">
        <v>19</v>
      </c>
      <c r="N7" s="256" t="s">
        <v>939</v>
      </c>
      <c r="O7" s="256" t="s">
        <v>17</v>
      </c>
      <c r="P7" s="256" t="s">
        <v>49</v>
      </c>
      <c r="Q7" s="256" t="s">
        <v>17</v>
      </c>
    </row>
    <row r="8" spans="1:17">
      <c r="A8" s="256">
        <v>12931</v>
      </c>
      <c r="B8" s="256" t="s">
        <v>1087</v>
      </c>
      <c r="C8" s="256" t="s">
        <v>3833</v>
      </c>
      <c r="D8" s="257">
        <v>46132.119444444441</v>
      </c>
      <c r="E8" s="256" t="s">
        <v>57</v>
      </c>
      <c r="F8" s="256" t="s">
        <v>230</v>
      </c>
      <c r="G8" s="256" t="s">
        <v>22</v>
      </c>
      <c r="H8" s="256" t="s">
        <v>168</v>
      </c>
      <c r="I8" s="256" t="s">
        <v>17</v>
      </c>
      <c r="J8" s="256" t="s">
        <v>17</v>
      </c>
      <c r="K8" s="256" t="s">
        <v>17</v>
      </c>
      <c r="L8" s="256" t="s">
        <v>26</v>
      </c>
      <c r="M8" s="256" t="s">
        <v>19</v>
      </c>
      <c r="N8" s="256" t="s">
        <v>1091</v>
      </c>
      <c r="O8" s="256" t="s">
        <v>126</v>
      </c>
      <c r="P8" s="256" t="s">
        <v>49</v>
      </c>
      <c r="Q8" s="256" t="s">
        <v>17</v>
      </c>
    </row>
    <row r="9" spans="1:17">
      <c r="A9" s="256">
        <v>12974</v>
      </c>
      <c r="B9" s="256" t="s">
        <v>1117</v>
      </c>
      <c r="C9" s="256" t="s">
        <v>1118</v>
      </c>
      <c r="D9" s="257">
        <v>46132.712500000001</v>
      </c>
      <c r="E9" s="256" t="s">
        <v>21</v>
      </c>
      <c r="F9" s="256" t="s">
        <v>5</v>
      </c>
      <c r="G9" s="256" t="s">
        <v>80</v>
      </c>
      <c r="H9" s="256" t="s">
        <v>23</v>
      </c>
      <c r="I9" s="256" t="s">
        <v>17</v>
      </c>
      <c r="J9" s="256" t="s">
        <v>17</v>
      </c>
      <c r="K9" s="256" t="s">
        <v>17</v>
      </c>
      <c r="L9" s="256" t="s">
        <v>26</v>
      </c>
      <c r="M9" s="256" t="s">
        <v>19</v>
      </c>
      <c r="N9" s="256" t="s">
        <v>1119</v>
      </c>
      <c r="O9" s="256" t="s">
        <v>17</v>
      </c>
      <c r="P9" s="256" t="s">
        <v>49</v>
      </c>
      <c r="Q9" s="256" t="s">
        <v>17</v>
      </c>
    </row>
    <row r="10" spans="1:17">
      <c r="A10" s="256">
        <v>12984</v>
      </c>
      <c r="B10" s="256" t="s">
        <v>1127</v>
      </c>
      <c r="C10" s="256" t="s">
        <v>1128</v>
      </c>
      <c r="D10" s="257">
        <v>46133.216666666667</v>
      </c>
      <c r="E10" s="256" t="s">
        <v>21</v>
      </c>
      <c r="F10" s="256" t="s">
        <v>17</v>
      </c>
      <c r="G10" s="256" t="s">
        <v>80</v>
      </c>
      <c r="H10" s="256" t="s">
        <v>23</v>
      </c>
      <c r="I10" s="256" t="s">
        <v>17</v>
      </c>
      <c r="J10" s="256" t="s">
        <v>17</v>
      </c>
      <c r="K10" s="256" t="s">
        <v>17</v>
      </c>
      <c r="L10" s="256" t="s">
        <v>26</v>
      </c>
      <c r="M10" s="256" t="s">
        <v>19</v>
      </c>
      <c r="N10" s="256" t="s">
        <v>1129</v>
      </c>
      <c r="O10" s="256" t="s">
        <v>17</v>
      </c>
      <c r="P10" s="256" t="s">
        <v>49</v>
      </c>
      <c r="Q10" s="256" t="s">
        <v>17</v>
      </c>
    </row>
    <row r="11" spans="1:17">
      <c r="A11" s="256">
        <v>13006</v>
      </c>
      <c r="B11" s="256" t="s">
        <v>1153</v>
      </c>
      <c r="C11" s="256" t="s">
        <v>1154</v>
      </c>
      <c r="D11" s="257">
        <v>46133.617361111115</v>
      </c>
      <c r="E11" s="256" t="s">
        <v>276</v>
      </c>
      <c r="F11" s="256" t="s">
        <v>5</v>
      </c>
      <c r="G11" s="256" t="s">
        <v>80</v>
      </c>
      <c r="H11" s="256" t="s">
        <v>23</v>
      </c>
      <c r="I11" s="256" t="s">
        <v>256</v>
      </c>
      <c r="J11" s="256" t="s">
        <v>17</v>
      </c>
      <c r="K11" s="256" t="s">
        <v>17</v>
      </c>
      <c r="L11" s="256" t="s">
        <v>26</v>
      </c>
      <c r="M11" s="256" t="s">
        <v>19</v>
      </c>
      <c r="N11" s="256" t="s">
        <v>1155</v>
      </c>
      <c r="O11" s="256" t="s">
        <v>62</v>
      </c>
      <c r="P11" s="256" t="s">
        <v>49</v>
      </c>
      <c r="Q11" s="256" t="s">
        <v>17</v>
      </c>
    </row>
    <row r="12" spans="1:17">
      <c r="A12" s="256">
        <v>13015</v>
      </c>
      <c r="B12" s="256" t="s">
        <v>1161</v>
      </c>
      <c r="C12" s="256" t="s">
        <v>3834</v>
      </c>
      <c r="D12" s="257">
        <v>46133.664583333331</v>
      </c>
      <c r="E12" s="256" t="s">
        <v>57</v>
      </c>
      <c r="F12" s="256" t="s">
        <v>5</v>
      </c>
      <c r="G12" s="256" t="s">
        <v>22</v>
      </c>
      <c r="H12" s="256" t="s">
        <v>23</v>
      </c>
      <c r="I12" s="256" t="s">
        <v>17</v>
      </c>
      <c r="J12" s="256" t="s">
        <v>17</v>
      </c>
      <c r="K12" s="256" t="s">
        <v>17</v>
      </c>
      <c r="L12" s="256" t="s">
        <v>54</v>
      </c>
      <c r="M12" s="256" t="s">
        <v>19</v>
      </c>
      <c r="N12" s="256" t="s">
        <v>1163</v>
      </c>
      <c r="O12" s="256" t="s">
        <v>382</v>
      </c>
      <c r="P12" s="256" t="s">
        <v>49</v>
      </c>
      <c r="Q12" s="256" t="s">
        <v>17</v>
      </c>
    </row>
    <row r="13" spans="1:17">
      <c r="A13" s="256">
        <v>13017</v>
      </c>
      <c r="B13" s="256" t="s">
        <v>1164</v>
      </c>
      <c r="C13" s="256" t="s">
        <v>1165</v>
      </c>
      <c r="D13" s="257">
        <v>46133.708333333328</v>
      </c>
      <c r="E13" s="256" t="s">
        <v>21</v>
      </c>
      <c r="F13" s="256" t="s">
        <v>5</v>
      </c>
      <c r="G13" s="256" t="s">
        <v>22</v>
      </c>
      <c r="H13" s="256" t="s">
        <v>43</v>
      </c>
      <c r="I13" s="256" t="s">
        <v>17</v>
      </c>
      <c r="J13" s="256" t="s">
        <v>17</v>
      </c>
      <c r="K13" s="256" t="s">
        <v>17</v>
      </c>
      <c r="L13" s="256" t="s">
        <v>26</v>
      </c>
      <c r="M13" s="256" t="s">
        <v>19</v>
      </c>
      <c r="N13" s="256" t="s">
        <v>1166</v>
      </c>
      <c r="O13" s="256" t="s">
        <v>17</v>
      </c>
      <c r="P13" s="256" t="s">
        <v>49</v>
      </c>
      <c r="Q13" s="256" t="s">
        <v>17</v>
      </c>
    </row>
    <row r="14" spans="1:17">
      <c r="A14" s="256">
        <v>13068</v>
      </c>
      <c r="B14" s="256" t="s">
        <v>1238</v>
      </c>
      <c r="C14" s="256" t="s">
        <v>1239</v>
      </c>
      <c r="D14" s="257">
        <v>46134.816666666666</v>
      </c>
      <c r="E14" s="256" t="s">
        <v>16</v>
      </c>
      <c r="F14" s="256" t="s">
        <v>5</v>
      </c>
      <c r="G14" s="256" t="s">
        <v>18</v>
      </c>
      <c r="H14" s="256" t="s">
        <v>23</v>
      </c>
      <c r="I14" s="256" t="s">
        <v>88</v>
      </c>
      <c r="J14" s="256" t="s">
        <v>17</v>
      </c>
      <c r="K14" s="256" t="s">
        <v>17</v>
      </c>
      <c r="L14" s="256" t="s">
        <v>26</v>
      </c>
      <c r="M14" s="256" t="s">
        <v>19</v>
      </c>
      <c r="N14" s="256" t="s">
        <v>1240</v>
      </c>
      <c r="O14" s="256" t="s">
        <v>17</v>
      </c>
      <c r="P14" s="256" t="s">
        <v>49</v>
      </c>
      <c r="Q14" s="256" t="s">
        <v>17</v>
      </c>
    </row>
    <row r="15" spans="1:17">
      <c r="A15" s="256">
        <v>13081</v>
      </c>
      <c r="B15" s="256" t="s">
        <v>1269</v>
      </c>
      <c r="C15" s="256" t="s">
        <v>1270</v>
      </c>
      <c r="D15" s="257">
        <v>46135.11319444445</v>
      </c>
      <c r="E15" s="256" t="s">
        <v>16</v>
      </c>
      <c r="F15" s="256" t="s">
        <v>17</v>
      </c>
      <c r="G15" s="256" t="s">
        <v>18</v>
      </c>
      <c r="H15" s="256" t="s">
        <v>17</v>
      </c>
      <c r="I15" s="256" t="s">
        <v>17</v>
      </c>
      <c r="J15" s="256" t="s">
        <v>17</v>
      </c>
      <c r="K15" s="256" t="s">
        <v>17</v>
      </c>
      <c r="L15" s="256" t="s">
        <v>26</v>
      </c>
      <c r="M15" s="256" t="s">
        <v>19</v>
      </c>
      <c r="N15" s="256" t="s">
        <v>1271</v>
      </c>
      <c r="O15" s="256" t="s">
        <v>17</v>
      </c>
      <c r="P15" s="256" t="s">
        <v>49</v>
      </c>
      <c r="Q15" s="256" t="s">
        <v>17</v>
      </c>
    </row>
    <row r="16" spans="1:17">
      <c r="A16" s="256">
        <v>13082</v>
      </c>
      <c r="B16" s="256" t="s">
        <v>1087</v>
      </c>
      <c r="C16" s="256" t="s">
        <v>1087</v>
      </c>
      <c r="D16" s="257">
        <v>46135.133333333331</v>
      </c>
      <c r="E16" s="256" t="s">
        <v>57</v>
      </c>
      <c r="F16" s="256" t="s">
        <v>230</v>
      </c>
      <c r="G16" s="256" t="s">
        <v>22</v>
      </c>
      <c r="H16" s="256" t="s">
        <v>235</v>
      </c>
      <c r="I16" s="256" t="s">
        <v>17</v>
      </c>
      <c r="J16" s="256" t="s">
        <v>17</v>
      </c>
      <c r="K16" s="256" t="s">
        <v>17</v>
      </c>
      <c r="L16" s="256" t="s">
        <v>26</v>
      </c>
      <c r="M16" s="256" t="s">
        <v>19</v>
      </c>
      <c r="N16" s="256" t="s">
        <v>1091</v>
      </c>
      <c r="O16" s="256" t="s">
        <v>126</v>
      </c>
      <c r="P16" s="256" t="s">
        <v>49</v>
      </c>
      <c r="Q16" s="256" t="s">
        <v>17</v>
      </c>
    </row>
    <row r="17" spans="1:17">
      <c r="A17" s="256">
        <v>13128</v>
      </c>
      <c r="B17" s="256" t="s">
        <v>1298</v>
      </c>
      <c r="C17" s="256" t="s">
        <v>1299</v>
      </c>
      <c r="D17" s="257">
        <v>46136.15347222222</v>
      </c>
      <c r="E17" s="256" t="s">
        <v>21</v>
      </c>
      <c r="F17" s="256" t="s">
        <v>17</v>
      </c>
      <c r="G17" s="256" t="s">
        <v>80</v>
      </c>
      <c r="H17" s="256" t="s">
        <v>23</v>
      </c>
      <c r="I17" s="256" t="s">
        <v>17</v>
      </c>
      <c r="J17" s="256" t="s">
        <v>17</v>
      </c>
      <c r="K17" s="256" t="s">
        <v>17</v>
      </c>
      <c r="L17" s="256" t="s">
        <v>26</v>
      </c>
      <c r="M17" s="256" t="s">
        <v>19</v>
      </c>
      <c r="N17" s="256" t="s">
        <v>1300</v>
      </c>
      <c r="O17" s="256" t="s">
        <v>17</v>
      </c>
      <c r="P17" s="256" t="s">
        <v>49</v>
      </c>
      <c r="Q17" s="256" t="s">
        <v>17</v>
      </c>
    </row>
    <row r="18" spans="1:17">
      <c r="A18" s="256">
        <v>13143</v>
      </c>
      <c r="B18" s="256" t="s">
        <v>1309</v>
      </c>
      <c r="C18" s="256" t="s">
        <v>3835</v>
      </c>
      <c r="D18" s="257">
        <v>46136.479861111111</v>
      </c>
      <c r="E18" s="256" t="s">
        <v>21</v>
      </c>
      <c r="F18" s="256" t="s">
        <v>5</v>
      </c>
      <c r="G18" s="256" t="s">
        <v>22</v>
      </c>
      <c r="H18" s="256" t="s">
        <v>23</v>
      </c>
      <c r="I18" s="256" t="s">
        <v>17</v>
      </c>
      <c r="J18" s="256" t="s">
        <v>17</v>
      </c>
      <c r="K18" s="256" t="s">
        <v>17</v>
      </c>
      <c r="L18" s="256" t="s">
        <v>54</v>
      </c>
      <c r="M18" s="256" t="s">
        <v>19</v>
      </c>
      <c r="N18" s="256" t="s">
        <v>1310</v>
      </c>
      <c r="O18" s="256" t="s">
        <v>17</v>
      </c>
      <c r="P18" s="256" t="s">
        <v>49</v>
      </c>
      <c r="Q18" s="256" t="s">
        <v>17</v>
      </c>
    </row>
    <row r="19" spans="1:17">
      <c r="A19" s="256">
        <v>13233</v>
      </c>
      <c r="B19" s="256" t="s">
        <v>1458</v>
      </c>
      <c r="C19" s="256" t="s">
        <v>1459</v>
      </c>
      <c r="D19" s="257">
        <v>46139.327083333337</v>
      </c>
      <c r="E19" s="256" t="s">
        <v>21</v>
      </c>
      <c r="F19" s="256" t="s">
        <v>5</v>
      </c>
      <c r="G19" s="256" t="s">
        <v>80</v>
      </c>
      <c r="H19" s="256" t="s">
        <v>23</v>
      </c>
      <c r="I19" s="256" t="s">
        <v>17</v>
      </c>
      <c r="J19" s="256" t="s">
        <v>17</v>
      </c>
      <c r="K19" s="256" t="s">
        <v>17</v>
      </c>
      <c r="L19" s="256" t="s">
        <v>26</v>
      </c>
      <c r="M19" s="256" t="s">
        <v>19</v>
      </c>
      <c r="N19" s="256" t="s">
        <v>1460</v>
      </c>
      <c r="O19" s="256" t="s">
        <v>17</v>
      </c>
      <c r="P19" s="256" t="s">
        <v>49</v>
      </c>
      <c r="Q19" s="256" t="s">
        <v>17</v>
      </c>
    </row>
    <row r="20" spans="1:17">
      <c r="A20" s="256">
        <v>13260</v>
      </c>
      <c r="B20" s="256" t="s">
        <v>1491</v>
      </c>
      <c r="C20" s="256" t="s">
        <v>1492</v>
      </c>
      <c r="D20" s="257">
        <v>46139.722222222219</v>
      </c>
      <c r="E20" s="256" t="s">
        <v>21</v>
      </c>
      <c r="F20" s="256" t="s">
        <v>5</v>
      </c>
      <c r="G20" s="256" t="s">
        <v>22</v>
      </c>
      <c r="H20" s="256" t="s">
        <v>43</v>
      </c>
      <c r="I20" s="256" t="s">
        <v>17</v>
      </c>
      <c r="J20" s="256" t="s">
        <v>17</v>
      </c>
      <c r="K20" s="256" t="s">
        <v>17</v>
      </c>
      <c r="L20" s="256" t="s">
        <v>26</v>
      </c>
      <c r="M20" s="256" t="s">
        <v>19</v>
      </c>
      <c r="N20" s="256" t="s">
        <v>1493</v>
      </c>
      <c r="O20" s="256" t="s">
        <v>17</v>
      </c>
      <c r="P20" s="256" t="s">
        <v>49</v>
      </c>
      <c r="Q20" s="256" t="s">
        <v>17</v>
      </c>
    </row>
    <row r="21" spans="1:17">
      <c r="A21" s="256">
        <v>13353</v>
      </c>
      <c r="B21" s="256" t="s">
        <v>921</v>
      </c>
      <c r="C21" s="256" t="s">
        <v>1586</v>
      </c>
      <c r="D21" s="257">
        <v>46141.785416666666</v>
      </c>
      <c r="E21" s="256" t="s">
        <v>16</v>
      </c>
      <c r="F21" s="256" t="s">
        <v>17</v>
      </c>
      <c r="G21" s="256" t="s">
        <v>18</v>
      </c>
      <c r="H21" s="256" t="s">
        <v>17</v>
      </c>
      <c r="I21" s="256" t="s">
        <v>17</v>
      </c>
      <c r="J21" s="256" t="s">
        <v>17</v>
      </c>
      <c r="K21" s="256" t="s">
        <v>17</v>
      </c>
      <c r="L21" s="256" t="s">
        <v>17</v>
      </c>
      <c r="M21" s="256" t="s">
        <v>19</v>
      </c>
      <c r="N21" s="256" t="s">
        <v>1587</v>
      </c>
      <c r="O21" s="256" t="s">
        <v>17</v>
      </c>
      <c r="P21" s="256" t="s">
        <v>49</v>
      </c>
      <c r="Q21" s="256" t="s">
        <v>17</v>
      </c>
    </row>
    <row r="22" spans="1:17">
      <c r="A22" s="256">
        <v>13410</v>
      </c>
      <c r="B22" s="256" t="s">
        <v>1634</v>
      </c>
      <c r="C22" s="256" t="s">
        <v>1634</v>
      </c>
      <c r="D22" s="257">
        <v>46142.780555555553</v>
      </c>
      <c r="E22" s="256" t="s">
        <v>948</v>
      </c>
      <c r="F22" s="256" t="s">
        <v>5</v>
      </c>
      <c r="G22" s="256" t="s">
        <v>80</v>
      </c>
      <c r="H22" s="256" t="s">
        <v>23</v>
      </c>
      <c r="I22" s="256" t="s">
        <v>81</v>
      </c>
      <c r="J22" s="256" t="s">
        <v>17</v>
      </c>
      <c r="K22" s="256" t="s">
        <v>17</v>
      </c>
      <c r="L22" s="256" t="s">
        <v>84</v>
      </c>
      <c r="M22" s="256" t="s">
        <v>19</v>
      </c>
      <c r="N22" s="256" t="s">
        <v>1635</v>
      </c>
      <c r="O22" s="256" t="s">
        <v>17</v>
      </c>
      <c r="P22" s="256" t="s">
        <v>49</v>
      </c>
      <c r="Q22" s="256" t="s">
        <v>17</v>
      </c>
    </row>
    <row r="23" spans="1:17">
      <c r="A23" s="256">
        <v>13423</v>
      </c>
      <c r="B23" s="256" t="s">
        <v>1656</v>
      </c>
      <c r="C23" s="256" t="s">
        <v>1657</v>
      </c>
      <c r="D23" s="257">
        <v>46142.936111111107</v>
      </c>
      <c r="E23" s="256" t="s">
        <v>16</v>
      </c>
      <c r="F23" s="256" t="s">
        <v>17</v>
      </c>
      <c r="G23" s="256" t="s">
        <v>18</v>
      </c>
      <c r="H23" s="256" t="s">
        <v>17</v>
      </c>
      <c r="I23" s="256" t="s">
        <v>17</v>
      </c>
      <c r="J23" s="256" t="s">
        <v>17</v>
      </c>
      <c r="K23" s="256" t="s">
        <v>17</v>
      </c>
      <c r="L23" s="256" t="s">
        <v>17</v>
      </c>
      <c r="M23" s="256" t="s">
        <v>19</v>
      </c>
      <c r="N23" s="256" t="s">
        <v>1658</v>
      </c>
      <c r="O23" s="256" t="s">
        <v>17</v>
      </c>
      <c r="P23" s="256" t="s">
        <v>49</v>
      </c>
      <c r="Q23" s="256" t="s">
        <v>17</v>
      </c>
    </row>
    <row r="24" spans="1:17" ht="18">
      <c r="A24" s="258" t="s">
        <v>17</v>
      </c>
      <c r="B24" s="258" t="s">
        <v>17</v>
      </c>
      <c r="C24" s="258" t="s">
        <v>17</v>
      </c>
      <c r="D24" s="258" t="s">
        <v>17</v>
      </c>
      <c r="E24" s="258" t="s">
        <v>17</v>
      </c>
      <c r="F24" s="258" t="s">
        <v>17</v>
      </c>
      <c r="G24" s="258" t="s">
        <v>17</v>
      </c>
      <c r="H24" s="258" t="s">
        <v>17</v>
      </c>
      <c r="I24" s="258" t="s">
        <v>17</v>
      </c>
      <c r="J24" s="258" t="s">
        <v>17</v>
      </c>
      <c r="K24" s="258" t="s">
        <v>17</v>
      </c>
      <c r="L24" s="258" t="s">
        <v>17</v>
      </c>
      <c r="M24" s="258" t="s">
        <v>17</v>
      </c>
      <c r="N24" s="258" t="s">
        <v>17</v>
      </c>
      <c r="O24" s="258" t="s">
        <v>17</v>
      </c>
      <c r="P24" s="258" t="s">
        <v>17</v>
      </c>
      <c r="Q24" s="258"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8</vt:i4>
      </vt:variant>
    </vt:vector>
  </HeadingPairs>
  <TitlesOfParts>
    <vt:vector size="8" baseType="lpstr">
      <vt:lpstr>main numbers</vt:lpstr>
      <vt:lpstr>CRM</vt:lpstr>
      <vt:lpstr>1st Analysis</vt:lpstr>
      <vt:lpstr>Countries</vt:lpstr>
      <vt:lpstr>Agreements</vt:lpstr>
      <vt:lpstr>Google</vt:lpstr>
      <vt:lpstr>Bing</vt:lpstr>
      <vt:lpstr>Calendly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2026-05-11T13:18:52Z</dcterms:modified>
</cp:coreProperties>
</file>