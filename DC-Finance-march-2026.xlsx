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 defaultThemeVersion="124226"/>
  <xr:revisionPtr revIDLastSave="0" documentId="13_ncr:1_{99AF5F0F-0F3D-4E64-87D0-558A9C82664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in numbers" sheetId="2" r:id="rId1"/>
    <sheet name="CRM" sheetId="1" r:id="rId2"/>
    <sheet name="Calendly" sheetId="3" r:id="rId3"/>
    <sheet name="1st Analysis" sheetId="4" r:id="rId4"/>
    <sheet name="Countries" sheetId="8" r:id="rId5"/>
    <sheet name="Agreements" sheetId="7" r:id="rId6"/>
    <sheet name="Google" sheetId="6" r:id="rId7"/>
    <sheet name="Bing" sheetId="5" r:id="rId8"/>
  </sheets>
  <externalReferences>
    <externalReference r:id="rId9"/>
  </externalReferences>
  <definedNames>
    <definedName name="_xlnm._FilterDatabase" localSheetId="5" hidden="1">Agreements!$A$1:$J$24</definedName>
    <definedName name="_xlnm._FilterDatabase" localSheetId="7" hidden="1">Bing!$A$7:$XET$1232</definedName>
    <definedName name="_xlnm._FilterDatabase" localSheetId="1" hidden="1">CRM!$A$1:$P$462</definedName>
    <definedName name="ExternalData_1" localSheetId="6" hidden="1">Google!$A$2:$O$465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8" l="1"/>
  <c r="E84" i="8"/>
  <c r="C84" i="8"/>
  <c r="D84" i="8"/>
  <c r="B84" i="8"/>
  <c r="R70" i="8"/>
  <c r="J70" i="8"/>
  <c r="K70" i="8"/>
  <c r="H70" i="8"/>
  <c r="F69" i="8"/>
  <c r="F70" i="8"/>
  <c r="S70" i="8" s="1"/>
  <c r="J54" i="8"/>
  <c r="K54" i="8"/>
  <c r="H54" i="8"/>
  <c r="F54" i="8"/>
  <c r="E83" i="8"/>
  <c r="D83" i="8"/>
  <c r="C83" i="8"/>
  <c r="B83" i="8"/>
  <c r="E82" i="8"/>
  <c r="D82" i="8"/>
  <c r="C82" i="8"/>
  <c r="B82" i="8"/>
  <c r="F81" i="8"/>
  <c r="F80" i="8"/>
  <c r="D79" i="8"/>
  <c r="C79" i="8"/>
  <c r="F78" i="8"/>
  <c r="F77" i="8"/>
  <c r="F76" i="8"/>
  <c r="R69" i="8"/>
  <c r="K69" i="8"/>
  <c r="J69" i="8"/>
  <c r="H69" i="8"/>
  <c r="R68" i="8"/>
  <c r="K68" i="8"/>
  <c r="J68" i="8"/>
  <c r="H68" i="8"/>
  <c r="F68" i="8"/>
  <c r="R67" i="8"/>
  <c r="K67" i="8"/>
  <c r="J67" i="8"/>
  <c r="H67" i="8"/>
  <c r="F67" i="8"/>
  <c r="S67" i="8" s="1"/>
  <c r="R66" i="8"/>
  <c r="K66" i="8"/>
  <c r="J66" i="8"/>
  <c r="H66" i="8"/>
  <c r="F66" i="8"/>
  <c r="S66" i="8" s="1"/>
  <c r="R65" i="8"/>
  <c r="K65" i="8"/>
  <c r="J65" i="8"/>
  <c r="H65" i="8"/>
  <c r="F65" i="8"/>
  <c r="R64" i="8"/>
  <c r="K64" i="8"/>
  <c r="J64" i="8"/>
  <c r="H64" i="8"/>
  <c r="F64" i="8"/>
  <c r="S64" i="8" s="1"/>
  <c r="R63" i="8"/>
  <c r="K63" i="8"/>
  <c r="J63" i="8"/>
  <c r="H63" i="8"/>
  <c r="F63" i="8"/>
  <c r="S63" i="8" s="1"/>
  <c r="R62" i="8"/>
  <c r="K62" i="8"/>
  <c r="J62" i="8"/>
  <c r="H62" i="8"/>
  <c r="F62" i="8"/>
  <c r="S62" i="8" s="1"/>
  <c r="R53" i="8"/>
  <c r="K53" i="8"/>
  <c r="J53" i="8"/>
  <c r="H53" i="8"/>
  <c r="F53" i="8"/>
  <c r="R52" i="8"/>
  <c r="K52" i="8"/>
  <c r="J52" i="8"/>
  <c r="H52" i="8"/>
  <c r="F52" i="8"/>
  <c r="R51" i="8"/>
  <c r="K51" i="8"/>
  <c r="J51" i="8"/>
  <c r="H51" i="8"/>
  <c r="F51" i="8"/>
  <c r="R50" i="8"/>
  <c r="J50" i="8"/>
  <c r="R49" i="8"/>
  <c r="K49" i="8"/>
  <c r="J49" i="8"/>
  <c r="H49" i="8"/>
  <c r="F49" i="8"/>
  <c r="S49" i="8" s="1"/>
  <c r="R48" i="8"/>
  <c r="K48" i="8"/>
  <c r="J48" i="8"/>
  <c r="H48" i="8"/>
  <c r="F48" i="8"/>
  <c r="S48" i="8" s="1"/>
  <c r="R47" i="8"/>
  <c r="K47" i="8"/>
  <c r="J47" i="8"/>
  <c r="H47" i="8"/>
  <c r="F47" i="8"/>
  <c r="S47" i="8" s="1"/>
  <c r="R46" i="8"/>
  <c r="K46" i="8"/>
  <c r="J46" i="8"/>
  <c r="H46" i="8"/>
  <c r="F46" i="8"/>
  <c r="S46" i="8" s="1"/>
  <c r="R45" i="8"/>
  <c r="K45" i="8"/>
  <c r="J45" i="8"/>
  <c r="H45" i="8"/>
  <c r="F45" i="8"/>
  <c r="S45" i="8" s="1"/>
  <c r="S44" i="8"/>
  <c r="R44" i="8"/>
  <c r="K44" i="8"/>
  <c r="J44" i="8"/>
  <c r="H44" i="8"/>
  <c r="D44" i="8"/>
  <c r="O34" i="8"/>
  <c r="M34" i="8"/>
  <c r="J34" i="8"/>
  <c r="AK34" i="8" s="1"/>
  <c r="H34" i="8"/>
  <c r="AI34" i="8" s="1"/>
  <c r="F34" i="8"/>
  <c r="AB34" i="8" s="1"/>
  <c r="C34" i="8"/>
  <c r="B34" i="8"/>
  <c r="AA34" i="8" s="1"/>
  <c r="AK33" i="8"/>
  <c r="AI33" i="8"/>
  <c r="AB33" i="8"/>
  <c r="AA33" i="8"/>
  <c r="S33" i="8"/>
  <c r="Q33" i="8"/>
  <c r="P33" i="8"/>
  <c r="N33" i="8"/>
  <c r="L33" i="8"/>
  <c r="AM33" i="8" s="1"/>
  <c r="K33" i="8"/>
  <c r="AL33" i="8" s="1"/>
  <c r="I33" i="8"/>
  <c r="AJ33" i="8" s="1"/>
  <c r="G33" i="8"/>
  <c r="T33" i="8" s="1"/>
  <c r="AK32" i="8"/>
  <c r="AI32" i="8"/>
  <c r="AB32" i="8"/>
  <c r="AA32" i="8"/>
  <c r="S32" i="8"/>
  <c r="Q32" i="8"/>
  <c r="P32" i="8"/>
  <c r="N32" i="8"/>
  <c r="L32" i="8"/>
  <c r="AM32" i="8" s="1"/>
  <c r="K32" i="8"/>
  <c r="AL32" i="8" s="1"/>
  <c r="I32" i="8"/>
  <c r="AJ32" i="8" s="1"/>
  <c r="G32" i="8"/>
  <c r="T32" i="8" s="1"/>
  <c r="AK31" i="8"/>
  <c r="AI31" i="8"/>
  <c r="AB31" i="8"/>
  <c r="AA31" i="8"/>
  <c r="S31" i="8"/>
  <c r="Q31" i="8"/>
  <c r="P31" i="8"/>
  <c r="N31" i="8"/>
  <c r="L31" i="8"/>
  <c r="AM31" i="8" s="1"/>
  <c r="K31" i="8"/>
  <c r="AL31" i="8" s="1"/>
  <c r="I31" i="8"/>
  <c r="AJ31" i="8" s="1"/>
  <c r="G31" i="8"/>
  <c r="AC31" i="8" s="1"/>
  <c r="AK30" i="8"/>
  <c r="AI30" i="8"/>
  <c r="AB30" i="8"/>
  <c r="AA30" i="8"/>
  <c r="S30" i="8"/>
  <c r="Q30" i="8"/>
  <c r="P30" i="8"/>
  <c r="N30" i="8"/>
  <c r="L30" i="8"/>
  <c r="AM30" i="8" s="1"/>
  <c r="K30" i="8"/>
  <c r="AL30" i="8" s="1"/>
  <c r="I30" i="8"/>
  <c r="AJ30" i="8" s="1"/>
  <c r="G30" i="8"/>
  <c r="T30" i="8" s="1"/>
  <c r="AK29" i="8"/>
  <c r="AI29" i="8"/>
  <c r="AB29" i="8"/>
  <c r="AA29" i="8"/>
  <c r="S29" i="8"/>
  <c r="Q29" i="8"/>
  <c r="P29" i="8"/>
  <c r="N29" i="8"/>
  <c r="L29" i="8"/>
  <c r="AM29" i="8" s="1"/>
  <c r="K29" i="8"/>
  <c r="AL29" i="8" s="1"/>
  <c r="I29" i="8"/>
  <c r="AJ29" i="8" s="1"/>
  <c r="G29" i="8"/>
  <c r="T29" i="8" s="1"/>
  <c r="AK28" i="8"/>
  <c r="AJ28" i="8"/>
  <c r="AI28" i="8"/>
  <c r="AB28" i="8"/>
  <c r="AA28" i="8"/>
  <c r="S28" i="8"/>
  <c r="Q28" i="8"/>
  <c r="P28" i="8"/>
  <c r="N28" i="8"/>
  <c r="L28" i="8"/>
  <c r="AM28" i="8" s="1"/>
  <c r="K28" i="8"/>
  <c r="AL28" i="8" s="1"/>
  <c r="G28" i="8"/>
  <c r="T28" i="8" s="1"/>
  <c r="AK27" i="8"/>
  <c r="AI27" i="8"/>
  <c r="AB27" i="8"/>
  <c r="AA27" i="8"/>
  <c r="S27" i="8"/>
  <c r="Q27" i="8"/>
  <c r="P27" i="8"/>
  <c r="N27" i="8"/>
  <c r="L27" i="8"/>
  <c r="AM27" i="8" s="1"/>
  <c r="K27" i="8"/>
  <c r="AL27" i="8" s="1"/>
  <c r="I27" i="8"/>
  <c r="AJ27" i="8" s="1"/>
  <c r="G27" i="8"/>
  <c r="T27" i="8" s="1"/>
  <c r="P16" i="8"/>
  <c r="N16" i="8"/>
  <c r="I16" i="8"/>
  <c r="AL16" i="8" s="1"/>
  <c r="G16" i="8"/>
  <c r="AE16" i="8" s="1"/>
  <c r="F16" i="8"/>
  <c r="E16" i="8"/>
  <c r="D16" i="8"/>
  <c r="AD16" i="8" s="1"/>
  <c r="C16" i="8"/>
  <c r="B16" i="8"/>
  <c r="AN15" i="8"/>
  <c r="AL15" i="8"/>
  <c r="AE15" i="8"/>
  <c r="AD15" i="8"/>
  <c r="AC15" i="8"/>
  <c r="T15" i="8"/>
  <c r="R15" i="8"/>
  <c r="Q15" i="8"/>
  <c r="O15" i="8"/>
  <c r="M15" i="8"/>
  <c r="AP15" i="8" s="1"/>
  <c r="L15" i="8"/>
  <c r="AO15" i="8" s="1"/>
  <c r="J15" i="8"/>
  <c r="AM15" i="8" s="1"/>
  <c r="H15" i="8"/>
  <c r="AF15" i="8" s="1"/>
  <c r="AN14" i="8"/>
  <c r="AL14" i="8"/>
  <c r="AE14" i="8"/>
  <c r="AD14" i="8"/>
  <c r="AC14" i="8"/>
  <c r="T14" i="8"/>
  <c r="R14" i="8"/>
  <c r="Q14" i="8"/>
  <c r="O14" i="8"/>
  <c r="M14" i="8"/>
  <c r="AP14" i="8" s="1"/>
  <c r="L14" i="8"/>
  <c r="AO14" i="8" s="1"/>
  <c r="J14" i="8"/>
  <c r="AM14" i="8" s="1"/>
  <c r="H14" i="8"/>
  <c r="AF14" i="8" s="1"/>
  <c r="AN13" i="8"/>
  <c r="AL13" i="8"/>
  <c r="AE13" i="8"/>
  <c r="AD13" i="8"/>
  <c r="AC13" i="8"/>
  <c r="T13" i="8"/>
  <c r="R13" i="8"/>
  <c r="Q13" i="8"/>
  <c r="O13" i="8"/>
  <c r="M13" i="8"/>
  <c r="AP13" i="8" s="1"/>
  <c r="L13" i="8"/>
  <c r="AO13" i="8" s="1"/>
  <c r="J13" i="8"/>
  <c r="AM13" i="8" s="1"/>
  <c r="H13" i="8"/>
  <c r="AF13" i="8" s="1"/>
  <c r="AN12" i="8"/>
  <c r="AL12" i="8"/>
  <c r="AE12" i="8"/>
  <c r="AD12" i="8"/>
  <c r="AC12" i="8"/>
  <c r="T12" i="8"/>
  <c r="R12" i="8"/>
  <c r="Q12" i="8"/>
  <c r="O12" i="8"/>
  <c r="M12" i="8"/>
  <c r="AP12" i="8" s="1"/>
  <c r="L12" i="8"/>
  <c r="AO12" i="8" s="1"/>
  <c r="J12" i="8"/>
  <c r="AM12" i="8" s="1"/>
  <c r="H12" i="8"/>
  <c r="AF12" i="8" s="1"/>
  <c r="AE11" i="8"/>
  <c r="AD11" i="8"/>
  <c r="AC11" i="8"/>
  <c r="T11" i="8"/>
  <c r="H11" i="8"/>
  <c r="AF11" i="8" s="1"/>
  <c r="AN10" i="8"/>
  <c r="AL10" i="8"/>
  <c r="AE10" i="8"/>
  <c r="AD10" i="8"/>
  <c r="AC10" i="8"/>
  <c r="T10" i="8"/>
  <c r="R10" i="8"/>
  <c r="Q10" i="8"/>
  <c r="O10" i="8"/>
  <c r="M10" i="8"/>
  <c r="AP10" i="8" s="1"/>
  <c r="L10" i="8"/>
  <c r="AO10" i="8" s="1"/>
  <c r="J10" i="8"/>
  <c r="AM10" i="8" s="1"/>
  <c r="H10" i="8"/>
  <c r="AF10" i="8" s="1"/>
  <c r="AN9" i="8"/>
  <c r="AL9" i="8"/>
  <c r="AE9" i="8"/>
  <c r="AD9" i="8"/>
  <c r="AC9" i="8"/>
  <c r="T9" i="8"/>
  <c r="R9" i="8"/>
  <c r="Q9" i="8"/>
  <c r="O9" i="8"/>
  <c r="M9" i="8"/>
  <c r="AP9" i="8" s="1"/>
  <c r="L9" i="8"/>
  <c r="AO9" i="8" s="1"/>
  <c r="J9" i="8"/>
  <c r="AM9" i="8" s="1"/>
  <c r="H9" i="8"/>
  <c r="AF9" i="8" s="1"/>
  <c r="AL8" i="8"/>
  <c r="AE8" i="8"/>
  <c r="AD8" i="8"/>
  <c r="AC8" i="8"/>
  <c r="R8" i="8"/>
  <c r="Q8" i="8"/>
  <c r="O8" i="8"/>
  <c r="AN8" i="8"/>
  <c r="J8" i="8"/>
  <c r="AM8" i="8" s="1"/>
  <c r="H8" i="8"/>
  <c r="AF8" i="8" s="1"/>
  <c r="AN7" i="8"/>
  <c r="AL7" i="8"/>
  <c r="AE7" i="8"/>
  <c r="AD7" i="8"/>
  <c r="AC7" i="8"/>
  <c r="T7" i="8"/>
  <c r="R7" i="8"/>
  <c r="Q7" i="8"/>
  <c r="O7" i="8"/>
  <c r="M7" i="8"/>
  <c r="AP7" i="8" s="1"/>
  <c r="L7" i="8"/>
  <c r="AO7" i="8" s="1"/>
  <c r="J7" i="8"/>
  <c r="AM7" i="8" s="1"/>
  <c r="H7" i="8"/>
  <c r="AF7" i="8" s="1"/>
  <c r="AN6" i="8"/>
  <c r="AL6" i="8"/>
  <c r="AE6" i="8"/>
  <c r="AD6" i="8"/>
  <c r="AC6" i="8"/>
  <c r="T6" i="8"/>
  <c r="M6" i="8"/>
  <c r="AP6" i="8" s="1"/>
  <c r="L6" i="8"/>
  <c r="AO6" i="8" s="1"/>
  <c r="J6" i="8"/>
  <c r="AM6" i="8" s="1"/>
  <c r="H6" i="8"/>
  <c r="AF6" i="8" s="1"/>
  <c r="AN5" i="8"/>
  <c r="AL5" i="8"/>
  <c r="AE5" i="8"/>
  <c r="AD5" i="8"/>
  <c r="AC5" i="8"/>
  <c r="T5" i="8"/>
  <c r="M5" i="8"/>
  <c r="AP5" i="8" s="1"/>
  <c r="L5" i="8"/>
  <c r="AO5" i="8" s="1"/>
  <c r="J5" i="8"/>
  <c r="AM5" i="8" s="1"/>
  <c r="H5" i="8"/>
  <c r="AF5" i="8" s="1"/>
  <c r="AN4" i="8"/>
  <c r="AL4" i="8"/>
  <c r="AE4" i="8"/>
  <c r="AD4" i="8"/>
  <c r="AC4" i="8"/>
  <c r="T4" i="8"/>
  <c r="R4" i="8"/>
  <c r="Q4" i="8"/>
  <c r="O4" i="8"/>
  <c r="M4" i="8"/>
  <c r="AP4" i="8" s="1"/>
  <c r="L4" i="8"/>
  <c r="AO4" i="8" s="1"/>
  <c r="J4" i="8"/>
  <c r="AM4" i="8" s="1"/>
  <c r="H4" i="8"/>
  <c r="F84" i="8" l="1"/>
  <c r="AC28" i="8"/>
  <c r="F82" i="8"/>
  <c r="S68" i="8"/>
  <c r="B79" i="8"/>
  <c r="F79" i="8" s="1"/>
  <c r="F83" i="8"/>
  <c r="N34" i="8"/>
  <c r="S34" i="8"/>
  <c r="Q34" i="8"/>
  <c r="AC33" i="8"/>
  <c r="AC32" i="8"/>
  <c r="AC29" i="8"/>
  <c r="I34" i="8"/>
  <c r="AJ34" i="8" s="1"/>
  <c r="AC27" i="8"/>
  <c r="Q16" i="8"/>
  <c r="O16" i="8"/>
  <c r="J16" i="8"/>
  <c r="AM16" i="8" s="1"/>
  <c r="U11" i="8"/>
  <c r="R16" i="8"/>
  <c r="U8" i="8"/>
  <c r="H16" i="8"/>
  <c r="AF16" i="8" s="1"/>
  <c r="AC16" i="8"/>
  <c r="S65" i="8"/>
  <c r="S69" i="8"/>
  <c r="T31" i="8"/>
  <c r="U12" i="8"/>
  <c r="U14" i="8"/>
  <c r="U6" i="8"/>
  <c r="L8" i="8"/>
  <c r="AO8" i="8" s="1"/>
  <c r="U9" i="8"/>
  <c r="K16" i="8"/>
  <c r="AC30" i="8"/>
  <c r="G34" i="8"/>
  <c r="K34" i="8"/>
  <c r="AL34" i="8" s="1"/>
  <c r="U4" i="8"/>
  <c r="AF4" i="8"/>
  <c r="U7" i="8"/>
  <c r="U10" i="8"/>
  <c r="U5" i="8"/>
  <c r="M8" i="8"/>
  <c r="AP8" i="8" s="1"/>
  <c r="T8" i="8"/>
  <c r="U13" i="8"/>
  <c r="U15" i="8"/>
  <c r="L34" i="8"/>
  <c r="AM34" i="8" s="1"/>
  <c r="U16" i="8" l="1"/>
  <c r="AC34" i="8"/>
  <c r="T34" i="8"/>
  <c r="L16" i="8"/>
  <c r="AO16" i="8" s="1"/>
  <c r="AN16" i="8"/>
  <c r="T16" i="8"/>
  <c r="M16" i="8"/>
  <c r="AP16" i="8" s="1"/>
  <c r="F111" i="4"/>
  <c r="E111" i="4"/>
  <c r="D111" i="4"/>
  <c r="C111" i="4"/>
  <c r="B111" i="4"/>
  <c r="F110" i="4"/>
  <c r="E110" i="4"/>
  <c r="D110" i="4"/>
  <c r="C110" i="4"/>
  <c r="B110" i="4"/>
  <c r="F109" i="4"/>
  <c r="E109" i="4"/>
  <c r="D109" i="4"/>
  <c r="C109" i="4"/>
  <c r="B109" i="4"/>
  <c r="F108" i="4"/>
  <c r="E108" i="4"/>
  <c r="D108" i="4"/>
  <c r="C108" i="4"/>
  <c r="B108" i="4"/>
  <c r="F107" i="4"/>
  <c r="E107" i="4"/>
  <c r="D107" i="4"/>
  <c r="C107" i="4"/>
  <c r="B107" i="4"/>
  <c r="F106" i="4"/>
  <c r="E106" i="4"/>
  <c r="D106" i="4"/>
  <c r="C106" i="4"/>
  <c r="B106" i="4"/>
  <c r="F105" i="4"/>
  <c r="E105" i="4"/>
  <c r="D105" i="4"/>
  <c r="C105" i="4"/>
  <c r="B105" i="4"/>
  <c r="G94" i="4"/>
  <c r="F94" i="4"/>
  <c r="D94" i="4"/>
  <c r="C94" i="4"/>
  <c r="B94" i="4"/>
  <c r="C91" i="4"/>
  <c r="B91" i="4"/>
  <c r="C90" i="4"/>
  <c r="C89" i="4"/>
  <c r="B89" i="4"/>
  <c r="C88" i="4"/>
  <c r="B88" i="4"/>
  <c r="G78" i="4"/>
  <c r="G104" i="4" s="1"/>
  <c r="F78" i="4"/>
  <c r="F104" i="4" s="1"/>
  <c r="E78" i="4"/>
  <c r="E104" i="4" s="1"/>
  <c r="D78" i="4"/>
  <c r="D104" i="4" s="1"/>
  <c r="C78" i="4"/>
  <c r="C104" i="4" s="1"/>
  <c r="B78" i="4"/>
  <c r="E75" i="4"/>
  <c r="E73" i="4"/>
  <c r="C73" i="4"/>
  <c r="E72" i="4"/>
  <c r="F61" i="4"/>
  <c r="F75" i="4" s="1"/>
  <c r="D61" i="4"/>
  <c r="D75" i="4" s="1"/>
  <c r="C61" i="4"/>
  <c r="C75" i="4" s="1"/>
  <c r="B61" i="4"/>
  <c r="B75" i="4" s="1"/>
  <c r="F60" i="4"/>
  <c r="F74" i="4" s="1"/>
  <c r="E60" i="4"/>
  <c r="E74" i="4" s="1"/>
  <c r="C60" i="4"/>
  <c r="C74" i="4" s="1"/>
  <c r="B60" i="4"/>
  <c r="B74" i="4" s="1"/>
  <c r="F59" i="4"/>
  <c r="F73" i="4" s="1"/>
  <c r="D59" i="4"/>
  <c r="D73" i="4" s="1"/>
  <c r="C59" i="4"/>
  <c r="B59" i="4"/>
  <c r="B73" i="4" s="1"/>
  <c r="F58" i="4"/>
  <c r="F72" i="4" s="1"/>
  <c r="D58" i="4"/>
  <c r="D72" i="4" s="1"/>
  <c r="C58" i="4"/>
  <c r="C72" i="4" s="1"/>
  <c r="B58" i="4"/>
  <c r="B72" i="4" s="1"/>
  <c r="F54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0" i="4"/>
  <c r="F56" i="4" s="1"/>
  <c r="E40" i="4"/>
  <c r="E56" i="4" s="1"/>
  <c r="D40" i="4"/>
  <c r="D56" i="4" s="1"/>
  <c r="C40" i="4"/>
  <c r="C56" i="4" s="1"/>
  <c r="B40" i="4"/>
  <c r="B56" i="4" s="1"/>
  <c r="C29" i="4"/>
  <c r="B29" i="4"/>
  <c r="C28" i="4"/>
  <c r="B28" i="4"/>
  <c r="F19" i="4"/>
  <c r="F47" i="4" s="1"/>
  <c r="E19" i="4"/>
  <c r="E47" i="4" s="1"/>
  <c r="D19" i="4"/>
  <c r="D55" i="4" s="1"/>
  <c r="C19" i="4"/>
  <c r="C47" i="4" s="1"/>
  <c r="B19" i="4"/>
  <c r="B47" i="4" s="1"/>
  <c r="C13" i="4"/>
  <c r="C30" i="4" s="1"/>
  <c r="B13" i="4"/>
  <c r="B30" i="4" s="1"/>
  <c r="G11" i="4"/>
  <c r="F11" i="4"/>
  <c r="E11" i="4"/>
  <c r="D11" i="4"/>
  <c r="C11" i="4"/>
  <c r="C31" i="4" s="1"/>
  <c r="B11" i="4"/>
  <c r="B31" i="4" s="1"/>
  <c r="G10" i="4"/>
  <c r="F6" i="4"/>
  <c r="F62" i="4" s="1"/>
  <c r="F76" i="4" s="1"/>
  <c r="E6" i="4"/>
  <c r="E62" i="4" s="1"/>
  <c r="E76" i="4" s="1"/>
  <c r="C6" i="4"/>
  <c r="C10" i="4" s="1"/>
  <c r="B6" i="4"/>
  <c r="B62" i="4" s="1"/>
  <c r="B76" i="4" s="1"/>
  <c r="D6" i="4"/>
  <c r="B90" i="4"/>
  <c r="B104" i="4" l="1"/>
  <c r="E55" i="4"/>
  <c r="D47" i="4"/>
  <c r="D48" i="4" s="1"/>
  <c r="C48" i="4"/>
  <c r="E48" i="4"/>
  <c r="C62" i="4"/>
  <c r="C76" i="4" s="1"/>
  <c r="B48" i="4"/>
  <c r="F48" i="4"/>
  <c r="D62" i="4"/>
  <c r="D76" i="4" s="1"/>
  <c r="D10" i="4"/>
  <c r="E10" i="4"/>
  <c r="D60" i="4"/>
  <c r="D74" i="4" s="1"/>
  <c r="B55" i="4"/>
  <c r="B10" i="4"/>
  <c r="F10" i="4"/>
  <c r="C55" i="4"/>
  <c r="B190" i="2" l="1"/>
  <c r="B191" i="2"/>
  <c r="B192" i="2"/>
  <c r="B193" i="2"/>
  <c r="B168" i="2"/>
  <c r="B169" i="2"/>
  <c r="B163" i="2"/>
  <c r="B159" i="2"/>
  <c r="B155" i="2"/>
  <c r="B135" i="2"/>
  <c r="B134" i="2"/>
  <c r="B115" i="2"/>
  <c r="B92" i="2"/>
  <c r="B71" i="2"/>
  <c r="B69" i="2"/>
  <c r="B47" i="2"/>
  <c r="B26" i="2"/>
  <c r="B4" i="2"/>
  <c r="B5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H165" i="2"/>
  <c r="G165" i="2"/>
  <c r="C164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6" i="2"/>
  <c r="C159" i="2" s="1"/>
  <c r="C155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4" i="2"/>
  <c r="E115" i="2" s="1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T135" i="2" l="1"/>
  <c r="I169" i="2"/>
  <c r="M169" i="2"/>
  <c r="C169" i="2"/>
  <c r="G169" i="2"/>
  <c r="K169" i="2"/>
  <c r="O169" i="2"/>
  <c r="S169" i="2"/>
  <c r="W169" i="2"/>
  <c r="E169" i="2"/>
  <c r="Q169" i="2"/>
  <c r="U169" i="2"/>
  <c r="C135" i="2"/>
  <c r="G135" i="2"/>
  <c r="K135" i="2"/>
  <c r="O135" i="2"/>
  <c r="S135" i="2"/>
  <c r="D169" i="2"/>
  <c r="H169" i="2"/>
  <c r="L169" i="2"/>
  <c r="P169" i="2"/>
  <c r="T169" i="2"/>
  <c r="X169" i="2"/>
  <c r="F135" i="2"/>
  <c r="J135" i="2"/>
  <c r="N135" i="2"/>
  <c r="R135" i="2"/>
  <c r="V135" i="2"/>
  <c r="F169" i="2"/>
  <c r="J169" i="2"/>
  <c r="N169" i="2"/>
  <c r="R169" i="2"/>
  <c r="V169" i="2"/>
  <c r="C190" i="2"/>
  <c r="C192" i="2"/>
  <c r="D135" i="2"/>
  <c r="H135" i="2"/>
  <c r="L135" i="2"/>
  <c r="P135" i="2"/>
  <c r="C115" i="2"/>
  <c r="E135" i="2"/>
  <c r="I135" i="2"/>
  <c r="M135" i="2"/>
  <c r="Q135" i="2"/>
  <c r="U135" i="2"/>
  <c r="D1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114" authorId="0" shapeId="0" xr:uid="{B1CDA100-ED7B-4381-8506-A49865CAB8E6}">
      <text>
        <r>
          <rPr>
            <sz val="9"/>
            <color indexed="81"/>
            <rFont val="Tahoma"/>
            <family val="2"/>
            <charset val="204"/>
          </rPr>
          <t xml:space="preserve">In fact, there were 29 leads more received by mistake. But non-relevant (and cheap), so I excluded them
</t>
        </r>
      </text>
    </comment>
    <comment ref="F114" authorId="0" shapeId="0" xr:uid="{82F536B6-D8DC-44BD-9B96-840BB7BAC40F}">
      <text>
        <r>
          <rPr>
            <sz val="9"/>
            <color indexed="81"/>
            <rFont val="Tahoma"/>
            <family val="2"/>
            <charset val="204"/>
          </rPr>
          <t>I'm not sure in this number. There were mistakes in CRM. Some NEW ledas that had this status more than 20 days I deleted from CRM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14" authorId="0" shapeId="0" xr:uid="{82EA994C-4B51-4854-8B6B-C9553A3DEBA2}">
      <text>
        <r>
          <rPr>
            <sz val="9"/>
            <color indexed="81"/>
            <rFont val="Tahoma"/>
            <family val="2"/>
            <charset val="204"/>
          </rPr>
          <t>Before October 10th I deleted all managers' leads except of Oleh. I don't belive in this number</t>
        </r>
      </text>
    </comment>
    <comment ref="H114" authorId="0" shapeId="0" xr:uid="{833479D3-AC94-4233-8D68-E5157FD42078}">
      <text>
        <r>
          <rPr>
            <sz val="9"/>
            <color indexed="81"/>
            <rFont val="Tahoma"/>
            <family val="2"/>
            <charset val="204"/>
          </rPr>
          <t xml:space="preserve">This is almost correct number
</t>
        </r>
      </text>
    </comment>
    <comment ref="F155" authorId="0" shapeId="0" xr:uid="{1568EC3B-791A-4E76-8EAD-09B594D79F4C}">
      <text>
        <r>
          <rPr>
            <sz val="9"/>
            <color indexed="81"/>
            <rFont val="Tahoma"/>
            <family val="2"/>
            <charset val="204"/>
          </rPr>
          <t xml:space="preserve">This is not the right number. There were mistakes in CRM. Some NEW ledas that had this status more than 20 days I deleted from CRM
</t>
        </r>
      </text>
    </comment>
    <comment ref="G155" authorId="0" shapeId="0" xr:uid="{0D539479-30F4-470E-A21E-06C5B5BAEFB0}">
      <text>
        <r>
          <rPr>
            <sz val="9"/>
            <color indexed="81"/>
            <rFont val="Tahoma"/>
            <family val="2"/>
            <charset val="204"/>
          </rPr>
          <t>Before October 10th I deleted all managers' leads except of Oleh. I don't belive in this number</t>
        </r>
      </text>
    </comment>
    <comment ref="H155" authorId="0" shapeId="0" xr:uid="{2D96945F-1F61-4CBE-95AF-0E4E7718731B}">
      <text>
        <r>
          <rPr>
            <sz val="9"/>
            <color indexed="81"/>
            <rFont val="Tahoma"/>
            <family val="2"/>
            <charset val="204"/>
          </rPr>
          <t xml:space="preserve">This is almost correct number
</t>
        </r>
      </text>
    </comment>
    <comment ref="L155" authorId="0" shapeId="0" xr:uid="{104D1525-8B68-460E-9715-4498BEB706F2}">
      <text>
        <r>
          <rPr>
            <sz val="9"/>
            <color indexed="81"/>
            <rFont val="Tahoma"/>
            <family val="2"/>
            <charset val="204"/>
          </rPr>
          <t>- Google Gemini on the 1st position
- our site fall and lost positions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8" authorId="0" shapeId="0" xr:uid="{48E266E7-8C10-4248-B0E4-C7E869587F56}">
      <text>
        <r>
          <rPr>
            <b/>
            <sz val="9"/>
            <color indexed="81"/>
            <rFont val="Tahoma"/>
            <family val="2"/>
            <charset val="204"/>
          </rPr>
          <t>Without doubled</t>
        </r>
        <r>
          <rPr>
            <sz val="9"/>
            <color indexed="81"/>
            <rFont val="Tahoma"/>
            <family val="2"/>
            <charset val="204"/>
          </rPr>
          <t xml:space="preserve">
Only Relevant</t>
        </r>
      </text>
    </comment>
    <comment ref="G9" authorId="0" shapeId="0" xr:uid="{93F1FE11-5CCF-4C3D-902F-2F8C2FD5513F}">
      <text>
        <r>
          <rPr>
            <b/>
            <sz val="9"/>
            <color indexed="81"/>
            <rFont val="Tahoma"/>
            <family val="2"/>
            <charset val="204"/>
          </rPr>
          <t>Company formaton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85" authorId="0" shapeId="0" xr:uid="{147651CC-71D3-4DFD-BD39-36F4B03443F2}">
      <text>
        <r>
          <rPr>
            <b/>
            <sz val="9"/>
            <color indexed="81"/>
            <rFont val="Tahoma"/>
            <family val="2"/>
            <charset val="204"/>
          </rPr>
          <t>One from AI, paid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3" authorId="0" shapeId="0" xr:uid="{07FA6EA0-6527-4790-AFF2-C5910164D60F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3" authorId="0" shapeId="0" xr:uid="{62582FC8-731E-41E1-9880-116C71A94E39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H3" authorId="0" shapeId="0" xr:uid="{3771BA86-762E-42C6-8F52-142950F389CB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M3" authorId="0" shapeId="0" xr:uid="{6D89007E-193E-488E-9DA8-B8EFA379FD81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11" authorId="0" shapeId="0" xr:uid="{2A7D8E7B-0C88-4370-9747-2F54F6812515}">
      <text>
        <r>
          <rPr>
            <b/>
            <sz val="9"/>
            <color indexed="81"/>
            <rFont val="Tahoma"/>
            <family val="2"/>
            <charset val="204"/>
          </rPr>
          <t>All RU-speaking leads</t>
        </r>
      </text>
    </comment>
    <comment ref="AB11" authorId="0" shapeId="0" xr:uid="{F0D3165A-C8BE-4927-9A1A-B9794DFA34ED}">
      <text>
        <r>
          <rPr>
            <b/>
            <sz val="9"/>
            <color indexed="81"/>
            <rFont val="Tahoma"/>
            <family val="2"/>
            <charset val="204"/>
          </rPr>
          <t>All RU-speaking leads</t>
        </r>
      </text>
    </comment>
    <comment ref="G15" authorId="0" shapeId="0" xr:uid="{1D988F9B-3F7B-4F62-BB21-5DDFF61CBD78}">
      <text>
        <r>
          <rPr>
            <b/>
            <sz val="9"/>
            <color indexed="81"/>
            <rFont val="Tahoma"/>
            <family val="2"/>
            <charset val="204"/>
          </rPr>
          <t>1 via Calendly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6" authorId="0" shapeId="0" xr:uid="{9152F301-1323-4282-B9C0-A2B6EE3D1030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26" authorId="0" shapeId="0" xr:uid="{F77D8B53-6192-4F81-9E08-4D30E08EAC41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E26" authorId="0" shapeId="0" xr:uid="{8EA9DF4B-F00C-4357-9CD5-7D52A30F60CB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J26" authorId="0" shapeId="0" xr:uid="{B3C170A1-05D5-4D62-ACF1-547D2181982E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34" authorId="0" shapeId="0" xr:uid="{A77908C1-F327-4DD0-8DE4-C68E4DDA22A0}">
      <text>
        <r>
          <rPr>
            <b/>
            <sz val="9"/>
            <color indexed="81"/>
            <rFont val="Tahoma"/>
            <family val="2"/>
            <charset val="204"/>
          </rPr>
          <t>1 - Puerto Rico, Colombia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43" authorId="0" shapeId="0" xr:uid="{E83A02E3-364E-4EFE-9DB1-14DEFA87D241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43" authorId="0" shapeId="0" xr:uid="{5D7EF196-20CB-4804-A175-4A2776CCD4E5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61" authorId="0" shapeId="0" xr:uid="{964BED2B-1DF8-4BB1-A2EF-67E9B11A980F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61" authorId="0" shapeId="0" xr:uid="{9BFFEB58-A9D9-41F3-BAB3-E44EA38E68C6}">
      <text>
        <r>
          <rPr>
            <b/>
            <sz val="9"/>
            <color indexed="81"/>
            <rFont val="Tahoma"/>
            <family val="2"/>
            <charset val="204"/>
          </rPr>
          <t>Conversion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62" authorId="0" shapeId="0" xr:uid="{5189948A-7077-4644-83FA-4424253DA4F9}">
      <text>
        <r>
          <rPr>
            <b/>
            <sz val="9"/>
            <color indexed="81"/>
            <rFont val="Tahoma"/>
            <family val="2"/>
            <charset val="204"/>
          </rPr>
          <t>It was organic lead about LT RBI program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Q68" authorId="0" shapeId="0" xr:uid="{09BBD1A6-8D7F-44CC-860B-CDBF4FA57E64}">
      <text>
        <r>
          <rPr>
            <b/>
            <sz val="9"/>
            <color indexed="81"/>
            <rFont val="Tahoma"/>
            <family val="2"/>
            <charset val="204"/>
          </rPr>
          <t>It was lead about LT RBI program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4B6F0-C1F1-423B-B1B6-6C9AE666D87E}" keepAlive="1" name="Запрос — Google" description="Соединение с запросом &quot;Google&quot; в книге." type="5" refreshedVersion="7" background="1" saveData="1">
    <dbPr connection="Provider=Microsoft.Mashup.OleDb.1;Data Source=$Workbook$;Location=Google;Extended Properties=&quot;&quot;" command="SELECT * FROM [Google]"/>
  </connection>
</connections>
</file>

<file path=xl/sharedStrings.xml><?xml version="1.0" encoding="utf-8"?>
<sst xmlns="http://schemas.openxmlformats.org/spreadsheetml/2006/main" count="23449" uniqueCount="4581">
  <si>
    <t>Number</t>
  </si>
  <si>
    <t>Counterparty</t>
  </si>
  <si>
    <t>Name</t>
  </si>
  <si>
    <t>Creation date</t>
  </si>
  <si>
    <t>Status</t>
  </si>
  <si>
    <t>Relevant</t>
  </si>
  <si>
    <t>Assignees</t>
  </si>
  <si>
    <t>Service (group)</t>
  </si>
  <si>
    <t>Country</t>
  </si>
  <si>
    <t>UTM tag</t>
  </si>
  <si>
    <t>Google Client ID</t>
  </si>
  <si>
    <t>LANGUAGE</t>
  </si>
  <si>
    <t>Type</t>
  </si>
  <si>
    <t>E-mail Counterparty</t>
  </si>
  <si>
    <t>Reason for Rejection</t>
  </si>
  <si>
    <t>Mr. Jeffrey Winnick</t>
  </si>
  <si>
    <t>Rejected</t>
  </si>
  <si>
    <t>Oleh Dymovski</t>
  </si>
  <si>
    <t>LT citizenship</t>
  </si>
  <si>
    <t>United States</t>
  </si>
  <si>
    <t>?kw&amp;cpn=23440895177&amp;utm_source=google&amp;utm_medium=cpc&amp;utm_campaign=LT-Discovery-US&amp;network&amp;utm_term&amp;gad_campaignid=23440895177&amp;wbraid=ClQKCQiAnoXNBhCqARJDAAu8No8pdr_-JJauO-b5bOSUjgSOmo9sZ-P5r_Gs77ZKHOjcJfTVwLWsuqCVCPIl9ZOmpCVwwFpRB6mevXeOTzKsnRoCNM0</t>
  </si>
  <si>
    <t>EN</t>
  </si>
  <si>
    <t>Lead from LT email</t>
  </si>
  <si>
    <t>Jwinn1020@gmail.com</t>
  </si>
  <si>
    <t>NO ANSWER</t>
  </si>
  <si>
    <t>Google Ads</t>
  </si>
  <si>
    <t>Bárbara Cristina Raudzius</t>
  </si>
  <si>
    <t>Mariana Razimavicius</t>
  </si>
  <si>
    <t>Brazil</t>
  </si>
  <si>
    <t>?kw=%27cidadania%20lituana%27&amp;cpn=14712129487&amp;utm_source=google&amp;utm_medium=cpc&amp;utm_campaign=LT-BR&amp;network=g&amp;utm_term=%27cidadania%20lituana%27&amp;gad_source=1&amp;gad_campaignid=14712129487&amp;gclid=Cj0KCQiAwYrNBhDcARIsAGo3u33JypjDAMh9xkrAefvCcYTbCUZvBbQFB4-VJ</t>
  </si>
  <si>
    <t>PT</t>
  </si>
  <si>
    <t>barbara.rmarchi@gmail.com</t>
  </si>
  <si>
    <t>Mr. Ewan Rutkauskas</t>
  </si>
  <si>
    <t>Ewan Rutkauskas</t>
  </si>
  <si>
    <t>Sheila Bartin</t>
  </si>
  <si>
    <t>Canada</t>
  </si>
  <si>
    <t>?kw=lithuanian%20citizenship&amp;cpn=14663474296&amp;utm_source=google&amp;utm_medium=cpc&amp;utm_campaign=LT-CA&amp;network=g&amp;utm_term=lithuanian%20citizenship&amp;gad_source=1&amp;gad_campaignid=14663474296&amp;gclid=EAIaIQobChMIk4eexfT9kgMVZkr_AR1E2x33EAAYASAAEgKmWfD_BwE</t>
  </si>
  <si>
    <t>ewanrutk0008@gmail.com</t>
  </si>
  <si>
    <t>Mr. Burke Reilly</t>
  </si>
  <si>
    <t>Burke Reilly</t>
  </si>
  <si>
    <t>IN WORK</t>
  </si>
  <si>
    <t/>
  </si>
  <si>
    <t>https://www.lithuaniancitizenship.com/</t>
  </si>
  <si>
    <t>burke.reilly122@gmail.com</t>
  </si>
  <si>
    <t>Organic Search</t>
  </si>
  <si>
    <t>Prashant Pawar</t>
  </si>
  <si>
    <t>LV RBI Company</t>
  </si>
  <si>
    <t>Poland (PL - EU)</t>
  </si>
  <si>
    <t>?kw=latvia%20pr%20by%20investment&amp;cpn=20594231202&amp;utm_source=google&amp;utm_medium=cpc&amp;utm_campaign=LV-RBI&amp;network=g&amp;utm_term=latvia%20pr%20by%20investment&amp;gad_source=1&amp;gad_campaignid=20594231202&amp;gclid=Cj0KCQiAwYrNBhDcARIsAGo3u30D-ygshJilNVywqYF-KMe7nsJE</t>
  </si>
  <si>
    <t>Lead from LV email</t>
  </si>
  <si>
    <t>prashant.wams@gmail.com</t>
  </si>
  <si>
    <t>Azeem</t>
  </si>
  <si>
    <t>INTERNAL MAIL</t>
  </si>
  <si>
    <t>Alina Samura</t>
  </si>
  <si>
    <t>50/50</t>
  </si>
  <si>
    <t>xlse300@gmail.com</t>
  </si>
  <si>
    <t>Other (direct email, phone call, referral etc.)</t>
  </si>
  <si>
    <t>DIEGO ERNESTO ROMERO</t>
  </si>
  <si>
    <t>Argentina</t>
  </si>
  <si>
    <t>?kw=lituania%20ciudadania&amp;cpn=14731585806&amp;utm_source=google&amp;utm_medium=cpc&amp;utm_campaign=LT-AR-CO-MX-UR&amp;network=g&amp;utm_term=lituania%20ciudadania&amp;gad_source=1&amp;gad_campaignid=14731585806&amp;gbraid=0AAAAADisZv8fGfzvkwevxR4O_kGdLxhcy&amp;gclid=Cj0KCQiA5I_NBhDVAR</t>
  </si>
  <si>
    <t>ES</t>
  </si>
  <si>
    <t>romerodiegoe@abc.gob.ar</t>
  </si>
  <si>
    <t>Tori Dare Parent</t>
  </si>
  <si>
    <t>?kw=lithuanian%20ancestry%20search&amp;cpn=14656253006&amp;utm_source=google&amp;utm_medium=cpc&amp;utm_campaign=LT-US-conversions&amp;network=g&amp;utm_term=lithuanian%20ancestry%20search&amp;gad_source=1&amp;gad_campaignid=14656253006&amp;gclid=Cj0KCQiA5I_NBhDVARIsAOrqIsZUmLA8eZyBBxC</t>
  </si>
  <si>
    <t>undefined</t>
  </si>
  <si>
    <t>toridare0629@gmail.com</t>
  </si>
  <si>
    <t>ANOTHER REASON</t>
  </si>
  <si>
    <t>Roni</t>
  </si>
  <si>
    <t>United States (US - NA)</t>
  </si>
  <si>
    <t>?kw=europe%20residence%20by%20investment&amp;cpn=22658494721&amp;utm_source=google&amp;utm_medium=cpc&amp;utm_campaign=LV-RB-TOPI&amp;network=s&amp;utm_term=europe%20residence%20by%20investment&amp;gad_campaignid=22658494721&amp;wbraid=ClQKCQiAwYrNBhDPARJDAPH89fECq4f170JjeGLLg2qtKd</t>
  </si>
  <si>
    <t>jgul79@yahoo.com</t>
  </si>
  <si>
    <t>Josh Jacobson</t>
  </si>
  <si>
    <t>joshmjacobson@gmail.com</t>
  </si>
  <si>
    <t>Mr. Quinton C Kirkpatrick</t>
  </si>
  <si>
    <t>Quinton C Kirkpatrick</t>
  </si>
  <si>
    <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RM5QcIDN</t>
  </si>
  <si>
    <t>quinton.c.kirkpatrick@gmail.com</t>
  </si>
  <si>
    <t>Cami Hough</t>
  </si>
  <si>
    <t>https://www.lithuaniancitizenship.com/?direct</t>
  </si>
  <si>
    <t>cami.hough@gmail.com</t>
  </si>
  <si>
    <t>LEFT BEFORE 1918</t>
  </si>
  <si>
    <t>Website Form</t>
  </si>
  <si>
    <t>Charles Hail</t>
  </si>
  <si>
    <t>?kw=latvia%20golden%20visa%20program&amp;cpn=20594231202&amp;utm_source=google&amp;utm_medium=cpc&amp;utm_campaign=LV-RBI&amp;network=g&amp;utm_term=latvia%20golden%20visa%20program&amp;gad_source=1&amp;gad_campaignid=20594231202&amp;gclid=Cj0KCQiA5I_NBhDVARIsAOrqIsY-UbdyT7dfRSCBScSOvh</t>
  </si>
  <si>
    <t>revcb59@yahoo.com</t>
  </si>
  <si>
    <t>ROBERTO USATAI</t>
  </si>
  <si>
    <t>?kw=cidadania%20lituana%20como%20tirar&amp;cpn=14712129487&amp;utm_source=google&amp;utm_medium=cpc&amp;utm_campaign=LT-BR&amp;network=g&amp;utm_term=cidadania%20lituana%20como%20tirar&amp;gad_source=1&amp;gad_campaignid=14712129487&amp;gclid=CjwKCAiAh5XNBhAAEiwA_Bu8FdgEo5DcbliF0Vl3-1Z</t>
  </si>
  <si>
    <t>uusatai@gmail.com</t>
  </si>
  <si>
    <t>Othe</t>
  </si>
  <si>
    <t>Georgia Storay</t>
  </si>
  <si>
    <t>FIRST CONTACT</t>
  </si>
  <si>
    <t>LV citizenship</t>
  </si>
  <si>
    <t>Australia (AU - OC)</t>
  </si>
  <si>
    <t>https://latviancitizenship.eu/?direct</t>
  </si>
  <si>
    <t>georgiastoray@gmail.com</t>
  </si>
  <si>
    <t>Akaash</t>
  </si>
  <si>
    <t>Company Formation</t>
  </si>
  <si>
    <t>Pakistan</t>
  </si>
  <si>
    <t>akaashnavaz95@gmail.com</t>
  </si>
  <si>
    <t>BridgeWest</t>
  </si>
  <si>
    <t>Branislav Dabic</t>
  </si>
  <si>
    <t>cvetkobatadabic@gmail.com</t>
  </si>
  <si>
    <t>Ilona Schank</t>
  </si>
  <si>
    <t>ilona schank</t>
  </si>
  <si>
    <t>?kw=genealogy%20lithuanian&amp;cpn=14656253006&amp;utm_source=google&amp;utm_medium=cpc&amp;utm_campaign=LT-US-conversions&amp;network=g&amp;utm_term=genealogy%20lithuanian&amp;gad_source=1&amp;gad_campaignid=14656253006&amp;gbraid=0AAAAADisZv9AY2fSnlMoxq9m-JA2XVC0-&amp;gclid=CjwKCAiAh5XNB</t>
  </si>
  <si>
    <t>ilosulli89@gmail.com</t>
  </si>
  <si>
    <t>Joshua Skoudis</t>
  </si>
  <si>
    <t>?kw=citizenship%20in%20lithuania&amp;cpn=14656253006&amp;utm_source=google&amp;utm_medium=cpc&amp;utm_campaign=LT-US-conversions&amp;network=g&amp;utm_term=citizenship%20in%20lithuania&amp;gad_source=1&amp;gad_campaignid=14656253006&amp;gbraid=0AAAAADisZv9YLOLGWr4pvtoDHbuDFOlkH&amp;gclid=C</t>
  </si>
  <si>
    <t>joshskoudis@gmail.com</t>
  </si>
  <si>
    <t>ANDRÉ MONTEIRO KAPRITCHKOFF</t>
  </si>
  <si>
    <t>https://www.lithuaniancitizenship.com/pt-pt/contact-pt/?Lithuania-Leads-Search-Brazil</t>
  </si>
  <si>
    <t>andremontekapri@gmail.com</t>
  </si>
  <si>
    <t>Diego Manfredi</t>
  </si>
  <si>
    <t>https://www.lithuaniancitizenship.com/es/benefits-es/?Lithuania-Leads-Search-Argentina/Colombia/Uruguay/Mexico</t>
  </si>
  <si>
    <t>diegomanfredi2@gmail.com</t>
  </si>
  <si>
    <t>Иван</t>
  </si>
  <si>
    <t>russia</t>
  </si>
  <si>
    <t>https://www.lithuaniancitizenship.com/ru/</t>
  </si>
  <si>
    <t>RU</t>
  </si>
  <si>
    <t>fiter2000a@gmail.com</t>
  </si>
  <si>
    <t>Mary Bardis</t>
  </si>
  <si>
    <t>PAUSED</t>
  </si>
  <si>
    <t>mabardis@gmail.com</t>
  </si>
  <si>
    <t>Cibele Dudzevicius Mota</t>
  </si>
  <si>
    <t>cibele dudzevicius mota</t>
  </si>
  <si>
    <t>?kw=nacionalidade%20lituana&amp;cpn=14712129487&amp;utm_source=google&amp;utm_medium=cpc&amp;utm_campaign=LT-BR&amp;network=g&amp;utm_term=nacionalidade%20lituana&amp;gad_source=1&amp;gad_campaignid=14712129487&amp;gclid=CjwKCAiAh5XNBhAAEiwA_Bu8FbJIigrPYsvStVhkmq8CZcW9D9070RIkqHJt7VdJr</t>
  </si>
  <si>
    <t>cibeledudmota@gmail.com</t>
  </si>
  <si>
    <t>Gail Mckinnon</t>
  </si>
  <si>
    <t>?kw&amp;cpn=23440895177&amp;utm_source=google&amp;utm_medium=cpc&amp;utm_campaign=LT-Discovery-US&amp;network&amp;utm_term&amp;gad_campaignid=23440895177&amp;wbraid=ClQKCQiA5I_NBhCCARJDAMgyZG8usehXKckGELRm4_6O06_nH3hponaAmUEgi_KipWy7nUBebZUAcIQzzE5tSZfQXm3l3w-crTvJp82HTwETABoCHhQ</t>
  </si>
  <si>
    <t>gailmckinnon@yahoo.com</t>
  </si>
  <si>
    <t>Rones Jasevicius Gouveia</t>
  </si>
  <si>
    <t>https://www.lithuaniancitizenship.com/pt-pt/e-necessario-falar-lituano-para-obter-a-cidadania/</t>
  </si>
  <si>
    <t>ronesgouveia@gmail.com</t>
  </si>
  <si>
    <t>Daniel Deveikis</t>
  </si>
  <si>
    <t>https://www.lithuaniancitizenship.com/es/registro-de-ninos-nacidos-como-ciudadanos-lt/?Lithuania-Leads-Search-Argentina/Colombia/Uruguay/Mexico</t>
  </si>
  <si>
    <t>ddeveikis@gmail.com</t>
  </si>
  <si>
    <t>Aidan Stein</t>
  </si>
  <si>
    <t>?kw=lithuanian%20passport%20by%20descent&amp;cpn=14656253006&amp;utm_source=google&amp;utm_medium=cpc&amp;utm_campaign=LT-US-conversions&amp;network=g&amp;utm_term=lithuanian%20passport%20by%20descent&amp;gad_source=1&amp;gad_campaignid=14656253006&amp;gbraid=0AAAAADisZv9AY2fSnlMoxq9m-</t>
  </si>
  <si>
    <t>aidangstein@gmail.com</t>
  </si>
  <si>
    <t>Ashraf</t>
  </si>
  <si>
    <t>United Arab Emirates (AE - AS)</t>
  </si>
  <si>
    <t>?kw=latvia%20golden%20visa&amp;cpn=22658494721&amp;utm_source=google&amp;utm_medium=cpc&amp;utm_campaign=LV-RB-TOPI&amp;network=g&amp;utm_term=latvia%20golden%20visa&amp;gad_source=1&amp;gad_campaignid=22658494721&amp;gclid=CjwKCAiAh5XNBhAAEiwA_Bu8FckuU-73Q1L_rtY4FsX_gzX0xqmxP2FUraR2Nt</t>
  </si>
  <si>
    <t>ashraf@alfitr.ae</t>
  </si>
  <si>
    <t>Mohammed Abdul Zaffar</t>
  </si>
  <si>
    <t>Saudi Arabia (SA - AS)</t>
  </si>
  <si>
    <t>?kw=latvia%20residency%20by%20bank%20deposit&amp;cpn=20594231202&amp;utm_source=google&amp;utm_medium=cpc&amp;utm_campaign=LV-RBI&amp;network=g&amp;utm_term=latvia%20residency%20by%20bank%20deposit&amp;gad_source=1&amp;gad_campaignid=20594231202&amp;gbraid=0AAAAADisZv-vF6YCI598-82uvVKa</t>
  </si>
  <si>
    <t>abdul.zaffar@yahoo.co.in</t>
  </si>
  <si>
    <t>Anthony Stempuzis</t>
  </si>
  <si>
    <t>?kw=citizenship%20by%20descent%20lithuania&amp;cpn=14656253006&amp;utm_source=google&amp;utm_medium=cpc&amp;utm_campaign=LT-US-conversions&amp;network=g&amp;utm_term=citizenship%20by%20descent%20lithuania&amp;gad_source=1&amp;gad_campaignid=14656253006&amp;gclid=CjwKCAiAh5XNBhAAEiwA_Bu</t>
  </si>
  <si>
    <t>astempuzis@gmail.com</t>
  </si>
  <si>
    <t>Mamani José Abel</t>
  </si>
  <si>
    <t>?kw=ciudadan%C3%ADa%20lituana&amp;cpn=14731585806&amp;utm_source=google&amp;utm_medium=cpc&amp;utm_campaign=LT-AR-CO-MX-UR&amp;network=g&amp;utm_term=ciudadan%C3%ADa%20lituana&amp;gad_source=1&amp;gad_campaignid=14731585806&amp;gbraid=0AAAAADisZv9HQWYP3kzB2IIM-OBoOt_-6&amp;gclid=CjwKCAiAh5</t>
  </si>
  <si>
    <t>joseabelmamani1985@gmail.com</t>
  </si>
  <si>
    <t>Mr. Jeremy Bass</t>
  </si>
  <si>
    <t>Jeremy Bass</t>
  </si>
  <si>
    <t>https://www.lithuaniancitizenship.com/contact/?direct</t>
  </si>
  <si>
    <t>cowbman@yahoo.com</t>
  </si>
  <si>
    <t>kenne idriss</t>
  </si>
  <si>
    <t>ksmiexchange@hotmail.com</t>
  </si>
  <si>
    <t>DOUBLE</t>
  </si>
  <si>
    <t>Ziva Gluska</t>
  </si>
  <si>
    <t>ziva gluska</t>
  </si>
  <si>
    <t>Israel</t>
  </si>
  <si>
    <t>?kw&amp;cpn=23357613537&amp;utm_source=google&amp;utm_medium=cpc&amp;utm_campaign=LT-Discovery&amp;network&amp;utm_term&amp;gad_source=1&amp;gad_campaignid=23357613537&amp;gclid=CjwKCAiAqprNBhB6EiwAMe3yhmHxPzMCNVevq8GQaN7lojQ8IVZYu-0uLQ9SYCi8KSvAhZiJV3RICBoCvzMQAvD_BwE</t>
  </si>
  <si>
    <t>zivag1947@gmail.com</t>
  </si>
  <si>
    <t>Omar</t>
  </si>
  <si>
    <t>?kw=latvia%20residence%20permit&amp;cpn=22658494721&amp;utm_source=google&amp;utm_medium=cpc&amp;utm_campaign=LV-RB-TOPI&amp;network=g&amp;utm_term=latvia%20residence%20permit&amp;gad_source=1&amp;gad_campaignid=22658494721&amp;gclid=CjwKCAiAqprNBhB6EiwAMe3yhvLuU0ifzh8PxZWvHzqf4Ie7OCjt</t>
  </si>
  <si>
    <t>omar966@hotmail.com</t>
  </si>
  <si>
    <t>Yevhen Loparev</t>
  </si>
  <si>
    <t>Ukraine</t>
  </si>
  <si>
    <t>WhatsApp</t>
  </si>
  <si>
    <t>jekastudioje@gmail.com</t>
  </si>
  <si>
    <t>Andris Arvids Danielsons</t>
  </si>
  <si>
    <t>https://latviancitizenship.eu/benefits/?Bing-LV-USA</t>
  </si>
  <si>
    <t>Jomocoffee@gmail.com</t>
  </si>
  <si>
    <t>Bing Ads</t>
  </si>
  <si>
    <t>Robin Miller</t>
  </si>
  <si>
    <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XWRS</t>
  </si>
  <si>
    <t>ramiller59@icloud.com</t>
  </si>
  <si>
    <t>Bruno Levy</t>
  </si>
  <si>
    <t>WHATSAPP ❓</t>
  </si>
  <si>
    <t>No relevant</t>
  </si>
  <si>
    <t>LT RBI</t>
  </si>
  <si>
    <t>Lithuania</t>
  </si>
  <si>
    <t>bruno.levy@gmail.com</t>
  </si>
  <si>
    <t>Pilsonības un migrācijas lietu pārvalde</t>
  </si>
  <si>
    <t>pasts@pmlp.gov.lv</t>
  </si>
  <si>
    <t>Richard Simukauskas</t>
  </si>
  <si>
    <t>?kw=nacionalidade%20lituana&amp;cpn=14712129487&amp;utm_source=google&amp;utm_medium=cpc&amp;utm_campaign=LT-BR&amp;network=g&amp;utm_term=nacionalidade%20lituana&amp;gad_source=1&amp;gad_campaignid=14712129487&amp;gclid=CjwKCAiAqprNBhB6EiwAMe3yhsHSwQGhYLIWtiynd4h93i4Qjabl4hYVXCl6JLI1j</t>
  </si>
  <si>
    <t>Babalorixa.richard@gmail.com</t>
  </si>
  <si>
    <t>Ms. Taylor Cole</t>
  </si>
  <si>
    <t>Taylor Cole</t>
  </si>
  <si>
    <t>https://www.lithuaniancitizenship.com/?not-set</t>
  </si>
  <si>
    <t>taylorreneecole@gmail.com</t>
  </si>
  <si>
    <t>Vimal Nautiyal</t>
  </si>
  <si>
    <t>Canada (CA - NA)</t>
  </si>
  <si>
    <t>https://latviancitizenship.eu/?not-set</t>
  </si>
  <si>
    <t>v.nautiyal@outlook.com</t>
  </si>
  <si>
    <t>Mr. Noam Scott</t>
  </si>
  <si>
    <t>Noam Scott</t>
  </si>
  <si>
    <t>?kw=lithuanian%20birthright%20citizenship&amp;cpn=14656253006&amp;utm_source=google&amp;utm_medium=cpc&amp;utm_campaign=LT-US-conversions&amp;network=g&amp;utm_term=lithuanian%20birthright%20citizenship&amp;gad_source=1&amp;gad_campaignid=14656253006&amp;gbraid=0AAAAADisZv9XWRS7xS6Lfm3</t>
  </si>
  <si>
    <t>noam.scott615@gmail.com</t>
  </si>
  <si>
    <t>TOO EXPENSIVE</t>
  </si>
  <si>
    <t>Mr. Benjamin Frank Snukst</t>
  </si>
  <si>
    <t>Benjamin frank snukst</t>
  </si>
  <si>
    <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t>
  </si>
  <si>
    <t>snukstben@gmail.com</t>
  </si>
  <si>
    <t>Marlond A Asllani</t>
  </si>
  <si>
    <t>?kw&amp;cpn=23481896379&amp;utm_source=google&amp;utm_medium=cpc&amp;utm_campaign=LT-Discovery-CA&amp;network&amp;utm_term&amp;gad_campaignid=23481896379&amp;wbraid=ClMKCAiAh5XNBhBwEkMA0PuN7o-4yaLYB5vvXcpNmGV-u3uOMx8nQB-ExDmH7THGsE-4o8jW96LTtBmDcOZBWGrpaTjTBa058YYHXarM3t76GgIbKg</t>
  </si>
  <si>
    <t>marlondasllani2@gmail.com</t>
  </si>
  <si>
    <t>Mr. Jasper Bond</t>
  </si>
  <si>
    <t>Jasper bond</t>
  </si>
  <si>
    <t>?kw=lithuanian%20citizenship&amp;cpn=14672734044&amp;utm_source=google&amp;utm_medium=cpc&amp;utm_campaign=LT-ISR&amp;network=g&amp;utm_term=lithuanian%20citizenship&amp;gad_source=1&amp;gad_campaignid=14672734044&amp;gclid=CjwKCAiAqprNBhB6EiwAMe3yhpMszI9Aa07kgkVXaUWCKn8yDpnVwWp7Z5pQJY</t>
  </si>
  <si>
    <t>jsprbnd@gmail.com</t>
  </si>
  <si>
    <t>Ms. Norman S Miller</t>
  </si>
  <si>
    <t>Norman S Miller</t>
  </si>
  <si>
    <t>?kw&amp;cpn=23440895177&amp;utm_source=google&amp;utm_medium=cpc&amp;utm_campaign=LT-Discovery-US&amp;network&amp;utm_term&amp;gad_campaignid=23440895177&amp;wbraid=ClMKCAiAqprNBhAJEkMAMCXdQj5NWaHqbhsa_vrtvS9tJhSjj0VZYdsJYlNEIXwqQfzyUUnh7FVSXwFPAfQFjKIH5vLj8bJI_tAahyq6YFJpGgKVYA</t>
  </si>
  <si>
    <t>millerns@msu.edu</t>
  </si>
  <si>
    <t>NEW</t>
  </si>
  <si>
    <t>Oleksandr Mostovyi</t>
  </si>
  <si>
    <t>Ms. Joanne Leroux</t>
  </si>
  <si>
    <t>Joanne Leroux</t>
  </si>
  <si>
    <t>?kw&amp;cpn=23481896379&amp;utm_source=google&amp;utm_medium=cpc&amp;utm_campaign=LT-Discovery-CA&amp;network&amp;utm_term&amp;gad_source=1&amp;gad_campaignid=23481896379&amp;gclid=CjwKCAiAqprNBhB6EiwAMe3yhqjPnqt5TlXWkpjsAyT1xapkKY9hgjJ0Dx8XsIaBNjUPOPARcgvxSxoCpn4QAvD_BwE</t>
  </si>
  <si>
    <t>joanneleroux@shaw.ca</t>
  </si>
  <si>
    <t>Zaki</t>
  </si>
  <si>
    <t>Türkiye</t>
  </si>
  <si>
    <t>?kw=how%20to%20become%20lithuanian%20citizen&amp;cpn=17158881096&amp;utm_source=google&amp;utm_medium=cpc&amp;utm_campaign=LT-EU&amp;network=g&amp;utm_term=how%20to%20become%20lithuanian%20citizen&amp;gad_source=1&amp;gad_campaignid=17158881096&amp;gbraid=0AAAAADisZv_BoWBlItJyeqZinSVf0</t>
  </si>
  <si>
    <t>itxzak00@gmail.com</t>
  </si>
  <si>
    <t>Ali Ahmad</t>
  </si>
  <si>
    <t>ali ahmad</t>
  </si>
  <si>
    <t>?kw=europe%20residence%20by%20investment&amp;cpn=22658494721&amp;utm_source=google&amp;utm_medium=cpc&amp;utm_campaign=LV-RB-TOPI&amp;network=g&amp;utm_term=europe%20residence%20by%20investment&amp;gad_source=1&amp;gad_campaignid=22658494721&amp;gbraid=0AAAAADisZv_Nyc4i757xNr_p8G5HgupX</t>
  </si>
  <si>
    <t>ali@atlanticlubes.com</t>
  </si>
  <si>
    <t>Olga</t>
  </si>
  <si>
    <t>Poland</t>
  </si>
  <si>
    <t>o.gierada@employthelaw.pl</t>
  </si>
  <si>
    <t>DID NOT CONTINUE</t>
  </si>
  <si>
    <t>cvetko dabic</t>
  </si>
  <si>
    <t>Serbia</t>
  </si>
  <si>
    <t>Ms. Christine Louise Perkumas</t>
  </si>
  <si>
    <t>Christine Louise Perkumas</t>
  </si>
  <si>
    <t>?kw=lithuanian%20birthright%20citizenship&amp;cpn=14656253006&amp;utm_source=google&amp;utm_medium=cpc&amp;utm_campaign=LT-US-conversions&amp;network=g&amp;utm_term=lithuanian%20birthright%20citizenship&amp;gad_source=1&amp;gad_campaignid=14656253006&amp;gclid=CjwKCAiAzZ_NBhAEEiwAMtqKy</t>
  </si>
  <si>
    <t>clperkumas@gmail.com</t>
  </si>
  <si>
    <t>Shilpa</t>
  </si>
  <si>
    <t>United Kingdom (GB - EU)</t>
  </si>
  <si>
    <t>?kw=latvia%20golden%20visa&amp;cpn=20594231202&amp;utm_source=google&amp;utm_medium=cpc&amp;utm_campaign=LV-RBI&amp;network=g&amp;utm_term=latvia%20golden%20visa&amp;gad_source=1&amp;gad_campaignid=20594231202&amp;gbraid=0AAAAADisZv9PopnBtOchuoy10fAvHMgzd&amp;gclid=CjwKCAiAzZ_NBhAEEiwAMtqK</t>
  </si>
  <si>
    <t>shilpapuri@hotmail.com</t>
  </si>
  <si>
    <t>Ryan</t>
  </si>
  <si>
    <t>manarm22</t>
  </si>
  <si>
    <t>FULL PAYMENT IS MADE</t>
  </si>
  <si>
    <t>United States of America</t>
  </si>
  <si>
    <t>manarm22@protonmail.com</t>
  </si>
  <si>
    <t>LI YUCHEN</t>
  </si>
  <si>
    <t>Non-relevant lead</t>
  </si>
  <si>
    <t>Ms. Lakey Love</t>
  </si>
  <si>
    <t>Lakey Love</t>
  </si>
  <si>
    <t>https://www.lithuaniancitizenship.com/contact/?Bing-LT-US</t>
  </si>
  <si>
    <t>lakey.malan@gmail.com</t>
  </si>
  <si>
    <t>NO ANCESTORS</t>
  </si>
  <si>
    <t>Kemgou Voptia Etian Boress</t>
  </si>
  <si>
    <t>bkemgou@gmail.com</t>
  </si>
  <si>
    <t>Simão Bernardo ICalaba</t>
  </si>
  <si>
    <t>Angola</t>
  </si>
  <si>
    <t>https://www.lithuaniancitizenship.com/pt-pt/viver-na-lituania-em-2025-custo-estilo-de-vida-e-cidadania/</t>
  </si>
  <si>
    <t>jossiclenyo@gmail.com</t>
  </si>
  <si>
    <t>Kenny Fischer</t>
  </si>
  <si>
    <t>RETAINER AGREEMENT SENT</t>
  </si>
  <si>
    <t>https://latviancitizenship.eu/process/?direct</t>
  </si>
  <si>
    <t>ken.sunsearch@gmail.com</t>
  </si>
  <si>
    <t>Ms. Sarah Bennett</t>
  </si>
  <si>
    <t>sarah bennett</t>
  </si>
  <si>
    <t>https://www.lithuaniancitizenship.com/contact/?Lithuania--Search-Conversions-USA</t>
  </si>
  <si>
    <t>putsavage@gmail.com</t>
  </si>
  <si>
    <t>Ahmed Elagab</t>
  </si>
  <si>
    <t>?kw=%27lithuania%20passport%27&amp;cpn=14656253006&amp;utm_source=google&amp;utm_medium=cpc&amp;utm_campaign=LT-US-conversions&amp;network=g&amp;utm_term=%27lithuania%20passport%27&amp;gad_source=1&amp;gad_campaignid=14656253006&amp;gbraid=0AAAAADisZv_rnuLRpRTit2IRwv9E5jGcN&amp;gclid=CjwKC</t>
  </si>
  <si>
    <t>elagab.ahmed@gmail.com</t>
  </si>
  <si>
    <t>Stan Evans</t>
  </si>
  <si>
    <t>stanevans3@gmail.com</t>
  </si>
  <si>
    <t>Ms. Philippa Higgins</t>
  </si>
  <si>
    <t>Philippa Higgins</t>
  </si>
  <si>
    <t>South Africa</t>
  </si>
  <si>
    <t>?kw=lithuanian%20citizenship%20by%20descent&amp;cpn=14663765738&amp;utm_source=google&amp;utm_medium=cpc&amp;utm_campaign=LT-RSA&amp;network=g&amp;utm_term=lithuanian%20citizenship%20by%20descent&amp;gad_source=1&amp;gad_campaignid=14663765738&amp;gbraid=0AAAAADisZv-kQylVvfkj4BrWxfSJ4v</t>
  </si>
  <si>
    <t>pippastunes@gmail.com</t>
  </si>
  <si>
    <t>Steven Doolittle</t>
  </si>
  <si>
    <t>?utm_source=bing&amp;utm_medium=cpc&amp;utm_campaign=Bing-LT-US&amp;network=o&amp;utm_term=%27lithuania%20passport%27</t>
  </si>
  <si>
    <t>stevendoolittle5@gmail.com</t>
  </si>
  <si>
    <t>Murat YILMAZ</t>
  </si>
  <si>
    <t>LV RBI Real Estate</t>
  </si>
  <si>
    <t>Türkiye (TR - AS)</t>
  </si>
  <si>
    <t>https://latviancitizenship.eu/investment-real-estate/?LV-Leads-Search-RBI</t>
  </si>
  <si>
    <t>karmurat@hotmail.com</t>
  </si>
  <si>
    <t>Raphael Nsabimana</t>
  </si>
  <si>
    <t>United Arab Emirates</t>
  </si>
  <si>
    <t>https://latviancitizenship.eu/benefits/?not-set</t>
  </si>
  <si>
    <t>raphaelnsabimana@gmail.com</t>
  </si>
  <si>
    <t>Mahindra Saini</t>
  </si>
  <si>
    <t>India (IN - AS)</t>
  </si>
  <si>
    <t>https://latviancitizenship.eu/latvian-citizenship-will-your-spouse-get-citizenship-or-residence/</t>
  </si>
  <si>
    <t>mahindrasaini375@gmail.com</t>
  </si>
  <si>
    <t>Md,Mehedi Hasan</t>
  </si>
  <si>
    <t>?kw=eu%20residence%20by%20investment&amp;cpn=22658494721&amp;utm_source=google&amp;utm_medium=cpc&amp;utm_campaign=LV-RB-TOPI&amp;network=s&amp;utm_term=eu%20residence%20by%20investment&amp;gad_source=5&amp;gad_campaignid=22658494721&amp;gclid=EAIaIQobChMIxpXMrq2HkwMV7YdQBh3Nvjv7EAAYAS</t>
  </si>
  <si>
    <t>kkssakq@gmail.com</t>
  </si>
  <si>
    <t>Mohammed Sahil Firoz</t>
  </si>
  <si>
    <t>?kw=latvia%20golden%20visa%202025&amp;cpn=20594231202&amp;utm_source=google&amp;utm_medium=cpc&amp;utm_campaign=LV-RBI&amp;network=g&amp;utm_term=latvia%20golden%20visa%202025&amp;gad_source=1&amp;gad_campaignid=20594231202&amp;gbraid=0AAAAADisZv9PopnBtOchuoy10fAvHMgzd&amp;gclid=CjwKCAiAzZ</t>
  </si>
  <si>
    <t>sahilfiroz.sf@gmail.com</t>
  </si>
  <si>
    <t>Dean Jacobs</t>
  </si>
  <si>
    <t>United Kingdom</t>
  </si>
  <si>
    <t>?kw=lithuanian%20citizenship%20by%20descent&amp;cpn=17080759337&amp;utm_source=google&amp;utm_medium=cpc&amp;utm_campaign=LT-UK&amp;network=g&amp;utm_term=lithuanian%20citizenship%20by%20descent&amp;gad_source=1&amp;gad_campaignid=17080759337&amp;gbraid=0AAAAADisZv982yt8SiLKc-MXwU5gTVW</t>
  </si>
  <si>
    <t>deanmarcjacobs@yahoo.com</t>
  </si>
  <si>
    <t>Clarisa Andrea Korovsky</t>
  </si>
  <si>
    <t>?kw=ciudadan%C3%ADa%20lituana%20en%20argentina&amp;cpn=14731585806&amp;network=s&amp;gad_campaignid=14731585806</t>
  </si>
  <si>
    <t>clarikorovsky70@hotmail.com</t>
  </si>
  <si>
    <t>Mohammad</t>
  </si>
  <si>
    <t>https://latviancitizenship.eu/?LV-Leads-Search-RBI TOP countries</t>
  </si>
  <si>
    <t>taghipour1977@gmail.com</t>
  </si>
  <si>
    <t>Michael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</si>
  <si>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jGkM0Bou</t>
  </si>
  <si>
    <t>mgabs02@gmail.com</t>
  </si>
  <si>
    <t>Abdoulaye Traore</t>
  </si>
  <si>
    <t>Ivory Coast (CI - AF)</t>
  </si>
  <si>
    <t>?kw=investment%20visa%20latvia&amp;cpn=20594231202&amp;utm_source=google&amp;utm_medium=cpc&amp;utm_campaign=LV-RBI&amp;network=g&amp;utm_term=investment%20visa%20latvia&amp;gad_source=1&amp;gad_campaignid=20594231202&amp;gclid=CjwKCAiAzZ_NBhAEEiwAMtqKy_AfI5gVHVHIcA9nc4BHglUSS1UeytqW7y</t>
  </si>
  <si>
    <t>traoreabdoulayemartial@gmail.com</t>
  </si>
  <si>
    <t>Vera</t>
  </si>
  <si>
    <t>Belarus</t>
  </si>
  <si>
    <t>https://www.lithuaniancitizenship.com/ru/contact-ru/</t>
  </si>
  <si>
    <t>varsotskayava@gmail.com</t>
  </si>
  <si>
    <t>Melinda Johnson</t>
  </si>
  <si>
    <t>melibakio@gmail.com</t>
  </si>
  <si>
    <t>Ms. Janet Sara Stifel Katzman</t>
  </si>
  <si>
    <t>Janet Sara stifel katzman</t>
  </si>
  <si>
    <t>?kw&amp;cpn=23357613537&amp;utm_source=google&amp;utm_medium=cpc&amp;utm_campaign=LT-Discovery&amp;network&amp;utm_term&amp;gad_campaignid=23357613537&amp;wbraid=ClMKCAiAzZ_NBhA0EkMAkaWFxZjarFOOsNT7g7bqu6nDrGSk8VMCk37PI-ssw0-SxiMROYyI9eboSaFLB7Y5WpW0IEyEccXkf37i_U8j1SZNGgIE7A</t>
  </si>
  <si>
    <t>j_stifel@yahoo.es</t>
  </si>
  <si>
    <t>Fernando Francisco Stanchese</t>
  </si>
  <si>
    <t>?kw=nacionalidade%20lituana&amp;cpn=14712129487&amp;utm_source=google&amp;utm_medium=cpc&amp;utm_campaign=LT-BR&amp;network=g&amp;utm_term=nacionalidade%20lituana&amp;gad_source=1&amp;gad_campaignid=14712129487&amp;gbraid=0AAAAADisZv-L_Bhgphbo4mFRjYOvdU5fR&amp;gclid=Cj0KCQiA8KTNBhD_ARIsAOv</t>
  </si>
  <si>
    <t>fstanchese@gmail.com</t>
  </si>
  <si>
    <t>Mr. Harrison Partenio</t>
  </si>
  <si>
    <t>Harrison Partenio</t>
  </si>
  <si>
    <t>?kw=lithuanian%20citizen%20by%20descent&amp;cpn=14656253006&amp;utm_source=google&amp;utm_medium=cpc&amp;utm_campaign=LT-US-conversions&amp;network=g&amp;utm_term=lithuanian%20citizen%20by%20descent&amp;gad_source=1&amp;gad_campaignid=14656253006&amp;gbraid=0AAAAADisZv_QAnZrygiPjZmUC5W</t>
  </si>
  <si>
    <t>hdityh123@gmail.com</t>
  </si>
  <si>
    <t>James</t>
  </si>
  <si>
    <t>?kw=latvia%20residency%20by%20investment&amp;cpn=20594231202&amp;utm_source=google&amp;utm_medium=cpc&amp;utm_campaign=LV-RBI&amp;network=g&amp;utm_term=latvia%20residency%20by%20investment&amp;gad_source=1&amp;gad_campaignid=20594231202&amp;gbraid=0AAAAADisZv9jHZh25A4BhN6hJ5dls3hVL&amp;gc</t>
  </si>
  <si>
    <t>okoyefelix42@gmail.com</t>
  </si>
  <si>
    <t>office@bridgewest.eu</t>
  </si>
  <si>
    <t>Anna</t>
  </si>
  <si>
    <t>Spain/russia</t>
  </si>
  <si>
    <t>https://latviancitizenship.eu/trace-your-latvian-ancestors-and-claim-your-latvian-passport/</t>
  </si>
  <si>
    <t>ani4kina.anya@yandex.ru</t>
  </si>
  <si>
    <t>Mr. Thomas Francis Isett</t>
  </si>
  <si>
    <t>Thomas Francis Isett</t>
  </si>
  <si>
    <t>?network=s&amp;msclkid=4a6ac47e4f151c80e574add7bb2fbc23</t>
  </si>
  <si>
    <t>tisett@gmail.com</t>
  </si>
  <si>
    <t>Milos Markovic</t>
  </si>
  <si>
    <t>milos.markovic90@gmail.com</t>
  </si>
  <si>
    <t>Serbia (RS - EU)</t>
  </si>
  <si>
    <t>Md Didar</t>
  </si>
  <si>
    <t>Md didar</t>
  </si>
  <si>
    <t>?kw=eu%20residence%20by%20investment&amp;cpn=22658494721&amp;utm_source=google&amp;utm_medium=cpc&amp;utm_campaign=LV-RB-TOPI&amp;network=s&amp;utm_term=eu%20residence%20by%20investment&amp;gad_source=5&amp;gad_campaignid=22658494721&amp;gclid=EAIaIQobChMIqq7gheKJkwMVS6n9BR3lQAPxEAAYAS</t>
  </si>
  <si>
    <t>mddidarhossain190@gmail.com</t>
  </si>
  <si>
    <t>Syed</t>
  </si>
  <si>
    <t>syed</t>
  </si>
  <si>
    <t>?kw=europe%20residence%20by%20investment&amp;cpn=22658494721&amp;utm_source=google&amp;utm_medium=cpc&amp;utm_campaign=LV-RB-TOPI&amp;network=g&amp;utm_term=europe%20residence%20by%20investment&amp;gad_source=1&amp;gad_campaignid=22658494721&amp;gbraid=0AAAAADisZv9UqkawUsYsMoUOI5V4L4Kw</t>
  </si>
  <si>
    <t>syed.haider8292@gmail.com</t>
  </si>
  <si>
    <t>Mohammed Toslim</t>
  </si>
  <si>
    <t>toslimmd123@gmail.com</t>
  </si>
  <si>
    <t>Leopoldo Stein</t>
  </si>
  <si>
    <t>Colombia</t>
  </si>
  <si>
    <t>https://www.lithuaniancitizenship.com/es/contact-es/?referral</t>
  </si>
  <si>
    <t>lbsteinb@gmail.com</t>
  </si>
  <si>
    <t>Luis Carlos Martinet Realme</t>
  </si>
  <si>
    <t>?kw&amp;cpn=23481896379&amp;utm_source=google&amp;utm_medium=cpc&amp;utm_campaign=LT-Discovery-CA&amp;network&amp;utm_term&amp;gad_source=1&amp;gad_campaignid=23481896379&amp;gclid=Cj0KCQiA8KTNBhD_ARIsAOvp6DKsNcu2AuRaaLtcadttIT8tuhp4oF_HXZauQ-QcTkJsAX9AmBLeXR0aAiyMEALw_wcB</t>
  </si>
  <si>
    <t>luis.realme@hotmail.co.uk</t>
  </si>
  <si>
    <t>Ilana Soyferman</t>
  </si>
  <si>
    <t>https://latviancitizenship.eu/?Latvia-Leads-Search-USA</t>
  </si>
  <si>
    <t>ilanasoy@gmail.com</t>
  </si>
  <si>
    <t>Nohab Ahmed</t>
  </si>
  <si>
    <t>Qatar (QA - AS)</t>
  </si>
  <si>
    <t>?kw=europe%20golden%20visa&amp;cpn=22658494721&amp;utm_source=google&amp;utm_medium=cpc&amp;utm_campaign=LV-RB-TOPI&amp;network=s&amp;utm_term=europe%20golden%20visa&amp;gad_source=5&amp;gad_campaignid=22658494721&amp;gclid=EAIaIQobChMIy7mprZKKkwMVnAgGAB0ZbwD3EAAYASAAEgIwo_D_BwE</t>
  </si>
  <si>
    <t>nuhab224@gmail.com</t>
  </si>
  <si>
    <t>Robert Sargalis</t>
  </si>
  <si>
    <t>?kw&amp;cpn=23481896379&amp;utm_source=google&amp;utm_medium=cpc&amp;utm_campaign=LT-Discovery-CA&amp;network&amp;utm_term&amp;gad_source=1&amp;gad_campaignid=23481896379&amp;gclid=Cj0KCQiA8KTNBhD_ARIsAOvp6DISV-HyUfzrvuWjw9OHU_a-oGjCBlIQN7Ardx52yOFFZTB1qk88iOQaApwiEALw_wcB</t>
  </si>
  <si>
    <t>robertsargalis@sympatico.ca</t>
  </si>
  <si>
    <t>Amar Raj Singh Rathore</t>
  </si>
  <si>
    <t>Amar Raj SIngh Rathore</t>
  </si>
  <si>
    <t>amar.rathore0008@gmail.com</t>
  </si>
  <si>
    <t>Mr. Antanas Petkus</t>
  </si>
  <si>
    <t>Antanas Petkus</t>
  </si>
  <si>
    <t>?utm_source=bing&amp;utm_medium=cpc&amp;utm_campaign=Bing-LT-US&amp;network=o&amp;utm_term=lithuanian%20citizenship&amp;msclkid=f5532c3a0d851ff05147459098fc686f</t>
  </si>
  <si>
    <t>apetkus1@gmail.com</t>
  </si>
  <si>
    <t>JOHN AUFMANIS</t>
  </si>
  <si>
    <t>?kw=latvian%20passport%20by%20descent&amp;cpn=14722455523&amp;campaignid=14722455523&amp;adgroupid=131364738670&amp;keywordid=%7Bkeywordid%7D&amp;network=g&amp;device=m&amp;gad_source=1&amp;gad_campaignid=14722455523&amp;gclid=Cj0KCQiAk6rNBhCxARIsAN5mQLsmGdDZTRSEdHayQTSOZ_ytUEvKVaDXiFo</t>
  </si>
  <si>
    <t>johna@qxdesign.com.au</t>
  </si>
  <si>
    <t>Freddy Kalifa</t>
  </si>
  <si>
    <t>France</t>
  </si>
  <si>
    <t>?utm_source=chatgpt.com</t>
  </si>
  <si>
    <t>freddykalifa1@gmail.com</t>
  </si>
  <si>
    <t>AI (ChatGPT etc.)</t>
  </si>
  <si>
    <t>Elizabeth Baltinas</t>
  </si>
  <si>
    <t>INITIAL PAYMENT RECEIVED</t>
  </si>
  <si>
    <t>Australia</t>
  </si>
  <si>
    <t>elizabethbaltinas@yahoo.com</t>
  </si>
  <si>
    <t>IVAN KIBET</t>
  </si>
  <si>
    <t>?kw=can%20i%20get%20a%20lithuanian%20passport&amp;cpn=14656253006&amp;utm_source=google&amp;utm_medium=cpc&amp;utm_campaign=LT-US-conversions&amp;network=g&amp;utm_term=can%20i%20get%20a%20lithuanian%20passport&amp;gad_source=1&amp;gad_campaignid=14656253006&amp;gclid=Cj0KCQiAk6rNBhCxA</t>
  </si>
  <si>
    <t>ivankibetchirchir@gmail.com</t>
  </si>
  <si>
    <t>Luis Gustavo Bispo Cazangi</t>
  </si>
  <si>
    <t>?kw=%27cidadania%20lituania%27&amp;cpn=14712129487&amp;utm_source=google&amp;utm_medium=cpc&amp;utm_campaign=LT-BR&amp;network=g&amp;utm_term=%27cidadania%20lituania%27&amp;gad_source=1&amp;gad_campaignid=14712129487&amp;gbraid=0AAAAADisZv8LtzP7ckQJAKMvRQ49p3Emy&amp;gclid=Cj0KCQiAk6rNBhCxA</t>
  </si>
  <si>
    <t>gustavocazangi@gmail.com</t>
  </si>
  <si>
    <t>Mr. Alexander Jonesi</t>
  </si>
  <si>
    <t>Alexander Jonesi</t>
  </si>
  <si>
    <t>?kw=genealogy%20lithuanian&amp;cpn=14656253006&amp;utm_source=google&amp;utm_medium=cpc&amp;utm_campaign=LT-US-conversions&amp;network=g&amp;utm_term=genealogy%20lithuanian&amp;gad_source=1&amp;gad_campaignid=14656253006&amp;gbraid=0AAAAADisZv9WbXiL1tzV8p0NKMJ--IMDW&amp;gclid=Cj0KCQiAk6rNB</t>
  </si>
  <si>
    <t>xandermanda@gmail.com</t>
  </si>
  <si>
    <t>Stephanie</t>
  </si>
  <si>
    <t>stephanienk@aol.com</t>
  </si>
  <si>
    <t>Ms. Marsha Jacobson-Davis</t>
  </si>
  <si>
    <t>Marsha Jacobson-Davis</t>
  </si>
  <si>
    <t>https://www.lithuaniancitizenship.com/benefits/?Lithuania--Search-Conversions-USA</t>
  </si>
  <si>
    <t>marshajd@icloud.com</t>
  </si>
  <si>
    <t>Wagumba Vincent Kasule</t>
  </si>
  <si>
    <t>Uganda (UG - AF)</t>
  </si>
  <si>
    <t>https://latviancitizenship.eu/residency-by-investment/?not-set</t>
  </si>
  <si>
    <t>vincentkasule@gmail.com</t>
  </si>
  <si>
    <t>Igor Cizauskas</t>
  </si>
  <si>
    <t>?kw=nacionalidade%20lituana&amp;cpn=14712129487&amp;utm_source=google&amp;utm_medium=cpc&amp;utm_campaign=LT-BR&amp;network=g&amp;utm_term=nacionalidade%20lituana&amp;gad_source=1&amp;gad_campaignid=14712129487&amp;gbraid=0AAAAADisZv82dXxSbFv1q3F6XBy-5UtF8&amp;gclid=Cj0KCQiAk6rNBhCxARIsAN5</t>
  </si>
  <si>
    <t>i.cizauskas@gmail.com</t>
  </si>
  <si>
    <t>Ms. Ailie Morgan</t>
  </si>
  <si>
    <t>Ailie Morgan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</si>
  <si>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WbXiL1tz</t>
  </si>
  <si>
    <t>ailie.morgan@sbcglobal.net</t>
  </si>
  <si>
    <t>Mr. Dru Hill</t>
  </si>
  <si>
    <t>Dru Hill</t>
  </si>
  <si>
    <t>dehill9405@gmail.com</t>
  </si>
  <si>
    <t>Muhammad Hassan Bari</t>
  </si>
  <si>
    <t>hbari92@yahoo.com</t>
  </si>
  <si>
    <t>Balel فایز</t>
  </si>
  <si>
    <t>?kw=eu%20residence%20by%20investment&amp;cpn=22658494721&amp;utm_source=google&amp;utm_medium=cpc&amp;utm_campaign=LV-RB-TOPI&amp;network=s&amp;utm_term=eu%20residence%20by%20investment&amp;gad_source=5&amp;gad_campaignid=22658494721&amp;gclid=EAIaIQobChMI34Ct1cKMkwMV2JRQBh18jgkKEAAYAS</t>
  </si>
  <si>
    <t>fayzblal117@gmail.com</t>
  </si>
  <si>
    <t>Iolanta</t>
  </si>
  <si>
    <t>eczentrive@gmail.com</t>
  </si>
  <si>
    <t>Mr. Zak Katz</t>
  </si>
  <si>
    <t>Zak Katz</t>
  </si>
  <si>
    <t>?utm_source=bing&amp;utm_medium=cpc&amp;utm_campaign=Bing-LT-RSA&amp;network=o&amp;utm_term=lithuanian%20citizenship&amp;msclkid=27b6d9c5027316289c53b06950781d63</t>
  </si>
  <si>
    <t>takeofftech@gmail.com</t>
  </si>
  <si>
    <t>Mahmoud Fouda</t>
  </si>
  <si>
    <t>fouda666@gmail.com</t>
  </si>
  <si>
    <t>Mercy Stansalevous</t>
  </si>
  <si>
    <t>Partnership</t>
  </si>
  <si>
    <t>global@trivialchapter.com</t>
  </si>
  <si>
    <t>Mr. Grayson Neal</t>
  </si>
  <si>
    <t>Grayson Neal</t>
  </si>
  <si>
    <t>graysonneal1@gmail.com</t>
  </si>
  <si>
    <t>Mr. Jamie A. Mikkelson</t>
  </si>
  <si>
    <t>Jamie A. Mikkelson</t>
  </si>
  <si>
    <t>jamie_mikkelson@yahoo.com</t>
  </si>
  <si>
    <t>Mr. Jason Clarke</t>
  </si>
  <si>
    <t>JASON CLARKE</t>
  </si>
  <si>
    <t>?kw=lithuanian%20passport&amp;cpn=14662670148&amp;utm_source=google&amp;utm_medium=cpc&amp;utm_campaign=LT-AU&amp;network=g&amp;utm_term=lithuanian%20passport&amp;gad_source=1&amp;gad_campaignid=14662670148&amp;gbraid=0AAAAADisZv82y6d58Z6hptD60s7HtLmgr&amp;gclid=CjwKCAiAtq_NBhA_EiwA78nNWD9</t>
  </si>
  <si>
    <t>undefined 496465872.1772941078</t>
  </si>
  <si>
    <t>jasonclarke1577@gmail.com</t>
  </si>
  <si>
    <t>Simone Taskeveski</t>
  </si>
  <si>
    <t>https://www.lithuaniancitizenship.com/pt-pt/?Lithuania-Leads-Search-Brazil</t>
  </si>
  <si>
    <t>simonetask163@gmail.com</t>
  </si>
  <si>
    <t>Mr. Conall Hayes</t>
  </si>
  <si>
    <t>Conall Hayes</t>
  </si>
  <si>
    <t>?kw=obtaining%20lithuanian%20citizenship&amp;cpn=14656253006&amp;utm_source=google&amp;utm_medium=cpc&amp;utm_campaign=LT-US-conversions&amp;network=g&amp;utm_term=obtaining%20lithuanian%20citizenship&amp;gad_source=1&amp;gad_campaignid=14656253006&amp;gbraid=0AAAAADisZv9h3Jr05v4IIkr1W</t>
  </si>
  <si>
    <t>cmphayes@gmail.com</t>
  </si>
  <si>
    <t>Usman Ahmad</t>
  </si>
  <si>
    <t>Lithuania (LT - EU)</t>
  </si>
  <si>
    <t>?kw=europe%20golden%20visa&amp;cpn=22658494721&amp;utm_source=google&amp;utm_medium=cpc&amp;utm_campaign=LV-RB-TOPI&amp;network=s&amp;utm_term=europe%20golden%20visa&amp;gad_source=5&amp;gad_campaignid=22658494721&amp;gclid=EAIaIQobChMI74C-zoaQkwMVPfZ5BB3efgOmEAAYASAAEgL6KvD_BwE</t>
  </si>
  <si>
    <t>usmanahmad86786@gmail.com</t>
  </si>
  <si>
    <t>Kamrankhan</t>
  </si>
  <si>
    <t>?kw=italy%20golden%20visa&amp;cpn=22658494721&amp;utm_source=google&amp;utm_medium=cpc&amp;utm_campaign=LV-RB-TOPI&amp;network=s&amp;utm_term=italy%20golden%20visa&amp;gad_source=5&amp;gad_campaignid=22658494721&amp;gclid=EAIaIQobChMIiOuwlIuQkwMVgqf9BR1RQR2sEAAYASAAEgLTmPD_BwE</t>
  </si>
  <si>
    <t>kk1700082@gmail.com</t>
  </si>
  <si>
    <t>Ms. Ali Cocco</t>
  </si>
  <si>
    <t>Ali Cocco</t>
  </si>
  <si>
    <t>?kw=passport%20lithuanian&amp;cpn=14656253006&amp;utm_source=google&amp;utm_medium=cpc&amp;utm_campaign=LT-US-conversions&amp;network=g&amp;utm_term=passport%20lithuanian&amp;gad_source=1&amp;gad_campaignid=14656253006&amp;gbraid=0AAAAADisZv9geDsRiIryNJxI5TaLtjDov&amp;gclid=Cj0KCQiA2bTNBhD</t>
  </si>
  <si>
    <t>alicocco@mac.com</t>
  </si>
  <si>
    <t>Luca Grilli</t>
  </si>
  <si>
    <t>Latvia</t>
  </si>
  <si>
    <t>lucagrilli@icloud.com</t>
  </si>
  <si>
    <t>Rita Jeanne Serre</t>
  </si>
  <si>
    <t>ritajserre@gmail.com</t>
  </si>
  <si>
    <t>MUAZ Kalel Siraj</t>
  </si>
  <si>
    <t>MUAZ Kalel siraj</t>
  </si>
  <si>
    <t>?kw=europe%20golden%20visa&amp;cpn=22658494721&amp;utm_source=google&amp;utm_medium=cpc&amp;utm_campaign=LV-RB-TOPI&amp;network=s&amp;utm_term=europe%20golden%20visa&amp;gad_source=5&amp;gad_campaignid=22658494721&amp;gclid=EAIaIQobChMIv7aDseCRkwMVUaf9BR3yFhzPEAAYASAAEgKfLvD_BwE</t>
  </si>
  <si>
    <t>muazkaliil6@gmail.com</t>
  </si>
  <si>
    <t>JUSTINE SCHOCK</t>
  </si>
  <si>
    <t>?kw&amp;cpn=23440895177&amp;utm_source=google&amp;utm_medium=cpc&amp;utm_campaign=LT-Discovery-US&amp;network&amp;utm_term&amp;gad_campaignid=23440895177&amp;wbraid=ClMKCAiA2bTNBhB9EkMAk6yxLyWj8V7YhytVbJLle92uehHiZ8HcGWq-0rFiuxZcKDnekOo2VRnmTTq_9xzRS-gyHC0Puq4PwRolO-ZTBkS4GgJcbg</t>
  </si>
  <si>
    <t>onelifelivinak@gmail.com</t>
  </si>
  <si>
    <t>Maria Florencia Maciulaitis</t>
  </si>
  <si>
    <t>?kw=ciudadan%C3%ADa%20lituana%20en%20argentina&amp;cpn=14731585806&amp;network=g&amp;gad_campaignid=14731585806</t>
  </si>
  <si>
    <t>kyomcs96@gmail.com</t>
  </si>
  <si>
    <t>Joseph</t>
  </si>
  <si>
    <t>joseph</t>
  </si>
  <si>
    <t>https://latviancitizenship.eu/contact/</t>
  </si>
  <si>
    <t>jsphkamar@gmail.com</t>
  </si>
  <si>
    <t>EMMANUEL HENRY CUNNINGHAM</t>
  </si>
  <si>
    <t>emmanuel_cunningham@hotmail.com</t>
  </si>
  <si>
    <t>Mr. Shawn Orgel-Olson</t>
  </si>
  <si>
    <t>Shawn Orgel-Olson</t>
  </si>
  <si>
    <t>?kw=lithuanian%20citizen%20by%20descent&amp;cpn=14656253006&amp;utm_source=google&amp;utm_medium=cpc&amp;utm_campaign=LT-US-conversions&amp;network=g&amp;utm_term=lithuanian%20citizen%20by%20descent&amp;gad_source=1&amp;gad_campaignid=14656253006&amp;gbraid=0AAAAADisZv-wvTEnmGI_bKg2TiT</t>
  </si>
  <si>
    <t>sorgelolson@gmail.com</t>
  </si>
  <si>
    <t>Martin Jose Olivera</t>
  </si>
  <si>
    <t>?kw=ciudadan%C3%ADa%20lituana&amp;cpn=14731585806&amp;utm_source=google&amp;utm_medium=cpc&amp;utm_campaign=LT-AR-CO-MX-UR&amp;network=g&amp;utm_term=ciudadan%C3%ADa%20lituana&amp;gad_source=1&amp;gad_campaignid=14731585806&amp;gclid=Cj0KCQjw37nNBhDkARIsAEBGI8MvzbuQDLx5YHovDrNkvrBBk9eW</t>
  </si>
  <si>
    <t>Tinchoolivera741@gmail.com</t>
  </si>
  <si>
    <t>Lorena Milane</t>
  </si>
  <si>
    <t>?kw=lituania%20ciudadania&amp;cpn=14731585806&amp;utm_source=google&amp;utm_medium=cpc&amp;utm_campaign=LT-AR-CO-MX-UR&amp;network=g&amp;utm_term=lituania%20ciudadania&amp;gad_source=1&amp;gad_campaignid=14731585806&amp;gclid=Cj0KCQjw37nNBhDkARIsAEBGI8Mil_vlEmxQ3UGo0tR090_E7ywADiG6ea0w</t>
  </si>
  <si>
    <t>lorena.milane.75@gmail.com</t>
  </si>
  <si>
    <t>Larisa Wendfeldt</t>
  </si>
  <si>
    <t>?utm_source=bing&amp;utm_medium=cpc&amp;utm_campaign=Bing-LV-USA&amp;msclkid=46688d1d41851938c346e4b3b75e4750</t>
  </si>
  <si>
    <t>lwendfeldt@hotmail.com</t>
  </si>
  <si>
    <t>Ms. Hannah Juzenas</t>
  </si>
  <si>
    <t>Hannah Juzenas</t>
  </si>
  <si>
    <t>?kw=dual%20lithuanian%20citizenship&amp;cpn=14656253006&amp;utm_source=google&amp;utm_medium=cpc&amp;utm_campaign=LT-US-conversions&amp;network=g&amp;utm_term=dual%20lithuanian%20citizenship&amp;gad_source=1&amp;gad_campaignid=14656253006&amp;gbraid=0AAAAADisZv-m-rTAZu881F16K0UybmSRs&amp;g</t>
  </si>
  <si>
    <t>hannahjuzenas@gmail.com</t>
  </si>
  <si>
    <t>Sir</t>
  </si>
  <si>
    <t>Thanks U</t>
  </si>
  <si>
    <t>?kw=portugal%20golden%20visa%202026&amp;cpn=22658494721&amp;utm_source=google&amp;utm_medium=cpc&amp;utm_campaign=LV-RB-TOPI&amp;network=s&amp;utm_term=portugal%20golden%20visa%202026&amp;gad_source=5&amp;gad_campaignid=22658494721&amp;gclid=EAIaIQobChMI0MuX76aTkwMVr4pQBh2pvi2VEAAYASAA</t>
  </si>
  <si>
    <t>ut818259@gmail.com</t>
  </si>
  <si>
    <t>Mr. Steve Dandea</t>
  </si>
  <si>
    <t>Steve Dandea</t>
  </si>
  <si>
    <t>?kw=lithuanian%20citizenship%20by%20ancestry&amp;cpn=14656253006&amp;utm_source=google&amp;utm_medium=cpc&amp;utm_campaign=LT-US-conversions&amp;network=g&amp;utm_term=lithuanian%20citizenship%20by%20ancestry&amp;gad_source=1&amp;gad_campaignid=14656253006&amp;gclid=Cj0KCQjw37nNBhDkARI</t>
  </si>
  <si>
    <t>steve.dandrea7@gmail.com</t>
  </si>
  <si>
    <t>Harold Smilay</t>
  </si>
  <si>
    <t>Hcsmilay@gmail.com</t>
  </si>
  <si>
    <t>Max Martinez</t>
  </si>
  <si>
    <t>?kw=ciudadan%C3%ADa%20lituana&amp;cpn=14731585806&amp;utm_source=google&amp;utm_medium=cpc&amp;utm_campaign=LT-AR-CO-MX-UR&amp;network=g&amp;utm_term=ciudadan%C3%ADa%20lituana&amp;gad_source=1&amp;gad_campaignid=14731585806&amp;gbraid=0AAAAADisZv-6vcITRDUOGzBhiYLqV0gar&amp;gclid=Cj0KCQjw37</t>
  </si>
  <si>
    <t>maxmartinez0800@gmail.com</t>
  </si>
  <si>
    <t>Nicholas Januska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</si>
  <si>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84nayvBMX</t>
  </si>
  <si>
    <t>npjanuska@gmail.com</t>
  </si>
  <si>
    <t>Mr Garikapati Siva Bala Subrahmanyam</t>
  </si>
  <si>
    <t>Subrahmanyam</t>
  </si>
  <si>
    <t>India</t>
  </si>
  <si>
    <t>subrahmanyam@protonmail.com</t>
  </si>
  <si>
    <t>Jayesh Raje</t>
  </si>
  <si>
    <t>careerpoint.amd@gmail.com</t>
  </si>
  <si>
    <t>MOHAMMED AZADUL KHALED KHAN MOHAMMED AZADUL KHALED KHAN</t>
  </si>
  <si>
    <t>Bangladesh</t>
  </si>
  <si>
    <t>khaled_duet@yahoo.com</t>
  </si>
  <si>
    <t>Pavel</t>
  </si>
  <si>
    <t>pashich7@gmail.com</t>
  </si>
  <si>
    <t>Mr. David Balsher</t>
  </si>
  <si>
    <t>David Balsher</t>
  </si>
  <si>
    <t>?kw=lithuanian%20citizenship%20by%20descent&amp;cpn=14663765738&amp;utm_source=google&amp;utm_medium=cpc&amp;utm_campaign=LT-RSA&amp;network=g&amp;utm_term=lithuanian%20citizenship%20by%20descent&amp;gad_source=1&amp;gad_campaignid=14663765738&amp;gbraid=0AAAAADisZv9X8EMtNAtHqu9ViO1zIL</t>
  </si>
  <si>
    <t>balsherenterprises@gmail.com</t>
  </si>
  <si>
    <t>Abubakkar</t>
  </si>
  <si>
    <t>?kw=europe%20golden%20visa&amp;cpn=22658494721&amp;utm_source=google&amp;utm_medium=cpc&amp;utm_campaign=LV-RBI-TOP&amp;network=s&amp;utm_term=europe%20golden%20visa&amp;gad_source=5&amp;gad_campaignid=22658494721&amp;gclid=EAIaIQobChMI-eqtuZiVkwMVqqf9BR3ndAtqEAAYASAAEgKrQPD_BwE</t>
  </si>
  <si>
    <t>abubkkarnasrat@gmail.com</t>
  </si>
  <si>
    <t>Jonas André Scheguschevski</t>
  </si>
  <si>
    <t>Brazil (BR - SA)</t>
  </si>
  <si>
    <t>jonasandre@pm.me</t>
  </si>
  <si>
    <t>Svetlana D.</t>
  </si>
  <si>
    <t>glad2sy@gmail.com</t>
  </si>
  <si>
    <t>naimatullah</t>
  </si>
  <si>
    <t>naimatullahsaheel@gmail.com</t>
  </si>
  <si>
    <t>Mr. Rob Wieczorek</t>
  </si>
  <si>
    <t>ROB wieczorek</t>
  </si>
  <si>
    <t>Robwiz3@duck.com</t>
  </si>
  <si>
    <t>Ms. Michelle Miyashita</t>
  </si>
  <si>
    <t>Michelle Miyashita</t>
  </si>
  <si>
    <t>https://www.lithuaniancitizenship.com/benefits/?not-set</t>
  </si>
  <si>
    <t>micmiy707@aol.com</t>
  </si>
  <si>
    <t>HE WANG</t>
  </si>
  <si>
    <t>Hong Kong</t>
  </si>
  <si>
    <t>wh19951209@gmail.com</t>
  </si>
  <si>
    <t>Mr. Hans j Klein</t>
  </si>
  <si>
    <t>Hans j Klein</t>
  </si>
  <si>
    <t>?kw&amp;cpn=23440895177&amp;utm_source=google&amp;utm_medium=cpc&amp;utm_campaign=LT-Discovery-US&amp;network&amp;utm_term&amp;gad_campaignid=23440895177&amp;wbraid=ClMKCAjw37nNBhAyEkMAo0OGHh8YAt58m9LlNJjeJTpcpb8m44kuZl9AHChOWoygDEguAjPQRqt4KxXzllZxG6fOo5oh1Jj_5kX4BJbn4oIRGgJzDQ</t>
  </si>
  <si>
    <t>hjkhawaii@aol.com</t>
  </si>
  <si>
    <t>Majid Jahangir</t>
  </si>
  <si>
    <t>Majid jahangir</t>
  </si>
  <si>
    <t>?kw=europe%20residence%20by%20investment&amp;cpn=22658494721&amp;utm_source=google&amp;utm_medium=cpc&amp;utm_campaign=LV-RBI-TOP&amp;network=g&amp;utm_term=europe%20residence%20by%20investment&amp;gad_source=1&amp;gad_campaignid=22658494721</t>
  </si>
  <si>
    <t>almajidjewellery90@gmail.com</t>
  </si>
  <si>
    <t>Jean Claude tuyisenge</t>
  </si>
  <si>
    <t>?kw=italy%20golden%20visa&amp;cpn=22658494721&amp;utm_source=google&amp;utm_medium=cpc&amp;utm_campaign=LV-RBI-TOP&amp;network=s&amp;utm_term=italy%20golden%20visa&amp;gad_source=5&amp;gad_campaignid=22658494721&amp;gclid=EAIaIQobChMI1cGuyYuWkwMV5f55BB0dyQj4EAAYASAAEgKzHPD_BwE</t>
  </si>
  <si>
    <t>jtuyisenge504@gmail.com</t>
  </si>
  <si>
    <t>Mr. Bryan Novickis</t>
  </si>
  <si>
    <t>Bryan Novickis</t>
  </si>
  <si>
    <t>?fbclid=IwZXh0bgNhZW0CMTEAc3J0YwZhcHBfaWQPNDA5OTYyNjIzMDg1NjA5AAEe7BE29yav68cDERnQJmN-ux82PlKfE99YjPwp6qqIKIhOHKSBxpo2Bwk4XRA_aem_WV3VuL-riG0_7VvOM-U3PQ</t>
  </si>
  <si>
    <t>jets63bn@gmail.com</t>
  </si>
  <si>
    <t>Facebook</t>
  </si>
  <si>
    <t>Vic</t>
  </si>
  <si>
    <t>vcplanet@yahoo.com</t>
  </si>
  <si>
    <t>Md Abbas Ali</t>
  </si>
  <si>
    <t>?kw=italy%20golden%20visa&amp;cpn=22658494721&amp;utm_source=google&amp;utm_medium=cpc&amp;utm_campaign=LV-RBI-TOP&amp;network=s&amp;utm_term=italy%20golden%20visa&amp;gad_source=5&amp;gad_campaignid=22658494721&amp;gclid=EAIaIQobChMIqZy0iriXkwMVRaCDBx3sQiJEEAAYASAAEgJkx_D_BwE</t>
  </si>
  <si>
    <t>abbasahammed772@gmail.com</t>
  </si>
  <si>
    <t>Mr. Udi Meirav</t>
  </si>
  <si>
    <t>Udi Meirav</t>
  </si>
  <si>
    <t>https://www.lithuaniancitizenship.com/contact/ https://www.lithuaniancitizenship.com/thank-you/?Lithuania--Search-Conversions-USA</t>
  </si>
  <si>
    <t>udi.meirav@gmail.com</t>
  </si>
  <si>
    <t>Инна Маладика</t>
  </si>
  <si>
    <t>https://www.lithuaniancitizenship.com/ru/sertifikat-o-litovskom-proishozhdenii/</t>
  </si>
  <si>
    <t>innm1927@gmail.com</t>
  </si>
  <si>
    <t>Joshua Larsen</t>
  </si>
  <si>
    <t>https://www.lithuaniancitizenship.com/contact/?not-set</t>
  </si>
  <si>
    <t>Joshua.larsen.work@proton.me</t>
  </si>
  <si>
    <t>Zohaib Hassan</t>
  </si>
  <si>
    <t>hassanzohaib36@gmail.com</t>
  </si>
  <si>
    <t>Meghezzel Bachir</t>
  </si>
  <si>
    <t>Tunisia</t>
  </si>
  <si>
    <t>https://www.lithuaniancitizenship.com/investment/</t>
  </si>
  <si>
    <t>meghezzelbachir6@gmail.com</t>
  </si>
  <si>
    <t>Robiul hasan Ujjal</t>
  </si>
  <si>
    <t>?kw=italy%20golden%20visa&amp;cpn=22658494721&amp;utm_source=google&amp;utm_medium=cpc&amp;utm_campaign=LV-RBI-TOP&amp;network=s&amp;utm_term=italy%20golden%20visa&amp;gad_source=5&amp;gad_campaignid=22658494721&amp;gclid=EAIaIQobChMIutf5jYGZkwMVd_Z5BB3vMjcgEAAYASAAEgKnSfD_BwE</t>
  </si>
  <si>
    <t>robiulhasanujjal8@gmail.com</t>
  </si>
  <si>
    <t>Ali Roghani</t>
  </si>
  <si>
    <t>Netherlands (NL - EU)</t>
  </si>
  <si>
    <t>?kw=latvia%20residence%20by%20investment&amp;cpn=20594231202&amp;utm_source=google&amp;utm_medium=cpc&amp;utm_campaign=LV-RBI&amp;network=g&amp;utm_term=latvia%20residence%20by%20investment&amp;gad_source=1&amp;gad_campaignid=20594231202&amp;gclid=CjwKCAjwpcTNBhA5EiwAdO1S9uRuc02SYA16g1</t>
  </si>
  <si>
    <t>Mr.aliroghani@gmail.com</t>
  </si>
  <si>
    <t>Charlie Lockwood</t>
  </si>
  <si>
    <t>https://www.lithuaniancitizenship.com/company/team/?Lithuania--Search-Conversions-USA</t>
  </si>
  <si>
    <t>charlie.lockwood@gmail.com</t>
  </si>
  <si>
    <t>Alrx</t>
  </si>
  <si>
    <t>?kw&amp;cpn=23481896379&amp;utm_source=google&amp;utm_medium=cpc&amp;utm_campaign=LT-Discovery-CA&amp;network&amp;utm_term&amp;gad_campaignid=23481896379&amp;wbraid=ClMKCAjwgr_NBhABEkMAfzP2p9ZzLf4lhGN0nT4UOpoAoryQpnsuQ0gc8_6SS-EiWyMb3BWY8zBMlRD4zzXlMesULLgVIZ5SSIjHvm4I5ubtGgKmKg</t>
  </si>
  <si>
    <t>behroozm50@yahoo.com</t>
  </si>
  <si>
    <t>Gvanca</t>
  </si>
  <si>
    <t>gvanca</t>
  </si>
  <si>
    <t>hudhdhdfh@gmail.com</t>
  </si>
  <si>
    <t>Petro Dolhii</t>
  </si>
  <si>
    <t>petro@lithuaniancitizenship.com</t>
  </si>
  <si>
    <t>Barry abelson</t>
  </si>
  <si>
    <t>?kw=how%20to%20obtain%20lithuanian%20citizenship&amp;cpn=14656253006&amp;utm_source=google&amp;utm_medium=cpc&amp;utm_campaign=LT-US-conversions&amp;network=g&amp;utm_term=how%20to%20obtain%20lithuanian%20citizenship&amp;gad_source=1&amp;gad_campaignid=14656253006&amp;gclid=CjwKCAjwyMn</t>
  </si>
  <si>
    <t>Barry02368@aol.com</t>
  </si>
  <si>
    <t>Mr. Glenn Goldberg</t>
  </si>
  <si>
    <t>Glenn Goldberg</t>
  </si>
  <si>
    <t>https://www.lithuaniancitizenship.com/benefits/?Lithuania-Leads-Search-RSA</t>
  </si>
  <si>
    <t>raynor242@gmail.com</t>
  </si>
  <si>
    <t>Ana Paula Vilgelinas Campos</t>
  </si>
  <si>
    <t>?kw=%27lituania%20cidadania%27&amp;cpn=14712129487&amp;utm_source=google&amp;utm_medium=cpc&amp;utm_campaign=LT-BR&amp;network=g&amp;utm_term=%27lituania%20cidadania%27&amp;gad_source=1&amp;gad_campaignid=14712129487&amp;gbraid=0AAAAADisZv-sD_NIL7YXMVVxB3iUmI-wj&amp;gclid=EAIaIQobChMIzfmfq</t>
  </si>
  <si>
    <t>anavilgelinaspp@gmail.com</t>
  </si>
  <si>
    <t>Mohamed El-aaka</t>
  </si>
  <si>
    <t>Oleh Dymovski, Sheila Bartin</t>
  </si>
  <si>
    <t>Morocco (MA - AF)</t>
  </si>
  <si>
    <t>mohamedelaaka@gmail.com</t>
  </si>
  <si>
    <t>Ms. Rosemary Peterson</t>
  </si>
  <si>
    <t>Rosemary Peterson</t>
  </si>
  <si>
    <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t>
  </si>
  <si>
    <t>rpeterson2274@yahoo.com</t>
  </si>
  <si>
    <t>SARA SANCHEZ MARULANDA</t>
  </si>
  <si>
    <t>SARA_SANCHEZ1996@HOTMAIL.COM</t>
  </si>
  <si>
    <t>Andrew</t>
  </si>
  <si>
    <t>Netherlands/russia</t>
  </si>
  <si>
    <t>https://www.lithuaniancitizenship.com/eligibility/</t>
  </si>
  <si>
    <t>anonim.anonim.aaf1019@gmail.com</t>
  </si>
  <si>
    <t>Ms. Karley Karensky</t>
  </si>
  <si>
    <t>Karley Karensky</t>
  </si>
  <si>
    <t>?kw=lithuanian%20citizenship&amp;cpn=14656253006&amp;utm_source=google&amp;utm_medium=cpc&amp;utm_campaign=LT-US-conversions&amp;network=g&amp;utm_term=lithuanian%20citizenship&amp;gad_source=1&amp;gad_campaignid=14656253006&amp;gclid=CjwKCAjwyMnNBhBNEiwA-Kcgu_V8Fn2fDuU66QKzjb1qFOS9ZYL</t>
  </si>
  <si>
    <t>karleykarensky@gmail.com</t>
  </si>
  <si>
    <t>Michael Lewis</t>
  </si>
  <si>
    <t>michael@goldsettlments.com</t>
  </si>
  <si>
    <t>Andrew Marks</t>
  </si>
  <si>
    <t>am.newsletters@gmail.com</t>
  </si>
  <si>
    <t>Tarjinder singh</t>
  </si>
  <si>
    <t>?kw=lithuanian%20citizenship%20application&amp;cpn=17158881096&amp;utm_source=google&amp;utm_medium=cpc&amp;utm_campaign=LT-EU&amp;network=g&amp;utm_term=lithuanian%20citizenship%20application&amp;gad_source=1&amp;gad_campaignid=17158881096&amp;gclid=CjwKCAjwyMnNBhBNEiwA-Kcgu_9p7kFw8y8</t>
  </si>
  <si>
    <t>happychhinah@gmail.com</t>
  </si>
  <si>
    <t>JORGE MENDOZA</t>
  </si>
  <si>
    <t>?kw=golden%20visa%20latvian&amp;cpn=20594231202&amp;utm_source=google&amp;utm_medium=cpc&amp;utm_campaign=LV-RBI&amp;network=g&amp;utm_term=golden%20visa%20latvian&amp;gad_source=1&amp;gad_campaignid=20594231202&amp;gclid=CjwKCAjwyMnNBhBNEiwA-Kcgu6UfSbqtCaGdvVGn8X2fYmN2BUseEhtPgJA0NrCD</t>
  </si>
  <si>
    <t>jorgemendozasierra1997@gmail.com</t>
  </si>
  <si>
    <t>Mahfuzul Islam</t>
  </si>
  <si>
    <t>contactme.mahfuz@gmail.com</t>
  </si>
  <si>
    <t>Cynthia Lockrey</t>
  </si>
  <si>
    <t>cynthia@lockreycommunications.com</t>
  </si>
  <si>
    <t>https://www.lithuaniancitizenship.com/thank-you/?direct</t>
  </si>
  <si>
    <t>Giash Uddin</t>
  </si>
  <si>
    <t>?kw=golden%20visa%20latvia&amp;cpn=20594231202&amp;utm_source=google&amp;utm_medium=cpc&amp;utm_campaign=LV-RBI&amp;network=s&amp;utm_term=golden%20visa%20latvia&amp;gad_source=5&amp;gad_campaignid=20594231202&amp;gclid=EAIaIQobChMIsqmfuP6bkwMVZZqDBx2gwwMtEAAYASAAEgIIefD_BwE</t>
  </si>
  <si>
    <t>ugiash636@gmail.com</t>
  </si>
  <si>
    <t>Nelson Osuya</t>
  </si>
  <si>
    <t>nelsonbusiness36@gmail.com</t>
  </si>
  <si>
    <t>Ayham Esmail</t>
  </si>
  <si>
    <t>Germany (DE - EU)</t>
  </si>
  <si>
    <t>https://latviancitizenship.eu/residency-by-investment/?LV-Leads-Search-RBI</t>
  </si>
  <si>
    <t>ayhamismaeil@outlook.com</t>
  </si>
  <si>
    <t>Yevhen Demianenko</t>
  </si>
  <si>
    <t>yevhen@demianenko.net</t>
  </si>
  <si>
    <t>Arstide IRANKUNDA</t>
  </si>
  <si>
    <t>?kw=eu%20residence%20by%20investment&amp;cpn=22658494721&amp;utm_source=google&amp;utm_medium=cpc&amp;utm_campaign=LV-RBI-TOP&amp;network=s&amp;utm_term=eu%20residence%20by%20investment&amp;gad_source=5&amp;gad_campaignid=22658494721&amp;gclid=EAIaIQobChMIgJ7UgumckwMVRHpBAh0QiyFJEAAYAS</t>
  </si>
  <si>
    <t>arstideirankunda53@gmail.com</t>
  </si>
  <si>
    <t>Mashinda Tshibangu</t>
  </si>
  <si>
    <t>mashinda tshibangu</t>
  </si>
  <si>
    <t>otem1@proton.me</t>
  </si>
  <si>
    <t>Kristina Baranauskyte</t>
  </si>
  <si>
    <t>kristinabaranauskyte288@gmail.com</t>
  </si>
  <si>
    <t>Mr. Joddy Ray Murray</t>
  </si>
  <si>
    <t>Joddy Ray Murray</t>
  </si>
  <si>
    <t>?kw=citizenship%20in%20lithuania&amp;cpn=14656253006&amp;utm_source=google&amp;utm_medium=cpc&amp;utm_campaign=LT-US-conversions&amp;network=g&amp;utm_term=citizenship%20in%20lithuania&amp;gad_source=1&amp;gad_campaignid=14656253006&amp;gbraid=0AAAAADisZv9A_0f2ge7f2-k_MpO5ZbWE9&amp;gclid=C</t>
  </si>
  <si>
    <t>joddymurray@gmail.com</t>
  </si>
  <si>
    <t>Shana Maini</t>
  </si>
  <si>
    <t>Algeria</t>
  </si>
  <si>
    <t>s.maini90@gmail.com</t>
  </si>
  <si>
    <t>Immudeen Mohmad</t>
  </si>
  <si>
    <t>SIXTH FFUP SENT</t>
  </si>
  <si>
    <t>?kw=eu%20residence%20by%20investment&amp;cpn=22658494721&amp;utm_source=google&amp;utm_medium=cpc&amp;utm_campaign=LV-RBI-TOP&amp;network=s&amp;utm_term=eu%20residence%20by%20investment&amp;gad_source=5&amp;gad_campaignid=22658494721&amp;gclid=EAIaIQobChMI6Liz17qdkwMVk1JBAh0TxRZNEAAYAS</t>
  </si>
  <si>
    <t>mohmadimmudeen@gmail.com</t>
  </si>
  <si>
    <t>Karim Benmoussa</t>
  </si>
  <si>
    <t>https://latviancitizenship.eu/residency-by-investment/?LV-Leads-Search-RBI TOP countries</t>
  </si>
  <si>
    <t>benmoussajr@gmail.com</t>
  </si>
  <si>
    <t>Mr. Jeff LaBossiere</t>
  </si>
  <si>
    <t>Jeff LaBossiere</t>
  </si>
  <si>
    <t>?kw=obtaining%20lithuanian%20citizenship&amp;cpn=14656253006&amp;utm_source=google&amp;utm_medium=cpc&amp;utm_campaign=LT-US-conversions&amp;network=g&amp;utm_term=obtaining%20lithuanian%20citizenship&amp;gad_source=1&amp;gad_campaignid=14656253006&amp;gbraid=0AAAAADisZv9A_0f2ge7f2-k_M</t>
  </si>
  <si>
    <t>JEFFLABOSSIERE@GMAIL.COM</t>
  </si>
  <si>
    <t>Mark Ozolin</t>
  </si>
  <si>
    <t>Argentina (AR - SA) / russia</t>
  </si>
  <si>
    <t>https://latviancitizenship.eu/eligibility/?direct</t>
  </si>
  <si>
    <t>ozolin.mark@gmail.com</t>
  </si>
  <si>
    <t>Shahid Arif</t>
  </si>
  <si>
    <t>Shahid arif</t>
  </si>
  <si>
    <t>Czech Republic</t>
  </si>
  <si>
    <t>jobvision.lv@gmail.com</t>
  </si>
  <si>
    <t>Mohin Uddin</t>
  </si>
  <si>
    <t>mohin uddin</t>
  </si>
  <si>
    <t>?kw=portugal%20golden%20visa&amp;cpn=22658494721&amp;utm_source=google&amp;utm_medium=cpc&amp;utm_campaign=LV-RBI-TOP&amp;network=s&amp;utm_term=portugal%20golden%20visa&amp;gad_source=5&amp;gad_campaignid=22658494721&amp;gclid=EAIaIQobChMIvrSbpqyekwMVZqn9BR1_Jy7aEAAYASAAEgKA0_D_BwE</t>
  </si>
  <si>
    <t>mohinuddin100mo@gmail.com</t>
  </si>
  <si>
    <t>Ms. Erin M Jones</t>
  </si>
  <si>
    <t>Erin M Jones</t>
  </si>
  <si>
    <t>https://www.lithuaniancitizenship.com/certificate-of-right-to-restore-lithuanian-citizenship/?not-set</t>
  </si>
  <si>
    <t>violet190emj@gmail.com</t>
  </si>
  <si>
    <t>ALI HALLOUS</t>
  </si>
  <si>
    <t>https://www.lithuaniancitizenship.com/contact/</t>
  </si>
  <si>
    <t>hallouslawyers2017@gmail.com</t>
  </si>
  <si>
    <t>Joanna</t>
  </si>
  <si>
    <t>?kw=latvia%20golden%20visa&amp;cpn=20594231202&amp;utm_source=google&amp;utm_medium=cpc&amp;utm_campaign=LV-RBI&amp;network=g&amp;utm_term=latvia%20golden%20visa&amp;gad_source=1&amp;gad_campaignid=20594231202&amp;gbraid=0AAAAADisZv9Fqx2HSGPrYNeewP3uZTTeu&amp;gclid=EAIaIQobChMIpJu3rOmfkwMV</t>
  </si>
  <si>
    <t>joannajeczalik@yahoo.com</t>
  </si>
  <si>
    <t>Ms. Alexis Trimble</t>
  </si>
  <si>
    <t>Alexis Trimble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</si>
  <si>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-2OFRLEBU</t>
  </si>
  <si>
    <t>trimblealexis94@gmail.com</t>
  </si>
  <si>
    <t>Onoufrios Poimenidis</t>
  </si>
  <si>
    <t>onoufrios poimenidis</t>
  </si>
  <si>
    <t>onoufrios13@gmail.com</t>
  </si>
  <si>
    <t>Mr. Joseph saad</t>
  </si>
  <si>
    <t>Joseph saad</t>
  </si>
  <si>
    <t>?kw&amp;cpn=23357613537&amp;utm_source=google&amp;utm_medium=cpc&amp;utm_campaign=LT-Discovery&amp;network&amp;utm_term&amp;gad_source=1&amp;gad_campaignid=23357613537&amp;gclid=CjwKCAjwjtTNBhB0EiwAuswYhg7rmbURqoJ6YIAqJy3cWP27ynETxu75EgHNjqNglWbZoYEvmdmsrBoCnOAQAvD_BwE</t>
  </si>
  <si>
    <t>joesa222@yahoo.com</t>
  </si>
  <si>
    <t>Kleiver Andrés leal picon</t>
  </si>
  <si>
    <t>?kw=ciudadan%C3%ADa%20lituana&amp;cpn=14731585806&amp;utm_source=google&amp;utm_medium=cpc&amp;utm_campaign=LT-AR-CO-MX-UR&amp;network=g&amp;utm_term=ciudadan%C3%ADa%20lituana&amp;gad_source=1&amp;gad_campaignid=14731585806&amp;gbraid=0AAAAADisZv9joed3cFie71-GDC-orCDmY&amp;gclid=CjwKCAjwjt</t>
  </si>
  <si>
    <t>lealpicon@gmail.com</t>
  </si>
  <si>
    <t>Laura Castilho Mascani</t>
  </si>
  <si>
    <t>lauracmascani@gmail.com</t>
  </si>
  <si>
    <t>Mr. Michael Miller</t>
  </si>
  <si>
    <t>Michael Miller</t>
  </si>
  <si>
    <t>https://www.lithuaniancitizenship.com/?referral</t>
  </si>
  <si>
    <t>parchee683@yahoo.com</t>
  </si>
  <si>
    <t>M Shahzad</t>
  </si>
  <si>
    <t>m shahzad</t>
  </si>
  <si>
    <t>?kw=latvia%20golden%20visa&amp;cpn=20594231202&amp;utm_source=google&amp;utm_medium=cpc&amp;utm_campaign=LV-RBI&amp;network=g&amp;utm_term=latvia%20golden%20visa&amp;gad_source=1&amp;gad_campaignid=20594231202&amp;gbraid=0AAAAADisZv8d27SlruGSUnlAeIXcxkI_h&amp;gclid=CjwKCAjwyMnNBhBNEiwA-Kcg</t>
  </si>
  <si>
    <t>shaztaz1@gmail.com</t>
  </si>
  <si>
    <t>Ms. Bridget Wright</t>
  </si>
  <si>
    <t>Bridget Wright</t>
  </si>
  <si>
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-2OFRLE</t>
  </si>
  <si>
    <t>bmarie9981@gmail.com</t>
  </si>
  <si>
    <t>HAMIDULLAH QAYUMl</t>
  </si>
  <si>
    <t>?kw=europe%20golden%20visa&amp;cpn=22658494721&amp;utm_source=google&amp;utm_medium=cpc&amp;utm_campaign=LV-RBI-TOP&amp;network=s&amp;utm_term=europe%20golden%20visa&amp;gad_source=5&amp;gad_campaignid=22658494721&amp;gclid=EAIaIQobChMIrp3Xq-ahkwMVRMl5BB0iDheYEAAYASAAEgJLZ_D_BwE</t>
  </si>
  <si>
    <t>hamidullah@gmail.com</t>
  </si>
  <si>
    <t>Mikky Chukwuma</t>
  </si>
  <si>
    <t>Belgium (BE - EU)</t>
  </si>
  <si>
    <t>?kw=latvia%20residence%20permit%20real%20estate&amp;cpn=23639687984&amp;kw=latvia%20residence%20permit%20real%20estate&amp;cpn=23639687984&amp;utm_source=google&amp;utm_medium=cpc&amp;utm_campaign=LV-RBI-RE&amp;network=g&amp;utm_term=latvia%20residence%20permit%20real%20estate&amp;gad_</t>
  </si>
  <si>
    <t>mikkykeshmoney@gmail.com</t>
  </si>
  <si>
    <t>Asim Nawaz</t>
  </si>
  <si>
    <t>asimnawazjee@yahoo.com</t>
  </si>
  <si>
    <t>Naoli best</t>
  </si>
  <si>
    <t>?kw=portugal%20residency%20by%20investment&amp;cpn=22658494721&amp;utm_source=google&amp;utm_medium=cpc&amp;utm_campaign=LV-RBI-TOP&amp;network=s&amp;utm_term=portugal%20residency%20by%20investment&amp;gad_source=5&amp;gad_campaignid=22658494721&amp;gclid=EAIaIQobChMI_IrEj_2hkwMVO6f9BR</t>
  </si>
  <si>
    <t>naolibest@577gmali.com</t>
  </si>
  <si>
    <t>Franca</t>
  </si>
  <si>
    <t>?kw=latvia%20residence%20permit%20by%20investment&amp;cpn=20594231202&amp;utm_source=google&amp;utm_medium=cpc&amp;utm_campaign=LV-RBI&amp;network=g&amp;utm_term=latvia%20residence%20permit%20by%20investment&amp;gad_source=1&amp;gad_campaignid=20594231202&amp;gclid=Cj0KCQjwsdnNBhC4ARIs</t>
  </si>
  <si>
    <t>nellyfranca.eke@gmail.com</t>
  </si>
  <si>
    <t>Carmen Katz</t>
  </si>
  <si>
    <t>Portugal</t>
  </si>
  <si>
    <t>https://www.lithuaniancitizenship.com/contact/?Lithuania-Leads-Search-EU</t>
  </si>
  <si>
    <t>carmykatz@gmail.com</t>
  </si>
  <si>
    <t>Ms. Frances Hochschild</t>
  </si>
  <si>
    <t>Frances Hochschild</t>
  </si>
  <si>
    <t>fhochschild@gmail.com</t>
  </si>
  <si>
    <t>Rafaela Lira Emico</t>
  </si>
  <si>
    <t>rafaela lira emico</t>
  </si>
  <si>
    <t>?kw=%27lituania%20cidadania%27&amp;cpn=14712129487&amp;utm_source=google&amp;utm_medium=cpc&amp;utm_campaign=LT-BR&amp;network=g&amp;utm_term=%27lituania%20cidadania%27&amp;gad_source=1&amp;gad_campaignid=14712129487&amp;gbraid=0AAAAADisZv8sh0X7i2kQ75RP19Bxy2nmW&amp;gclid=Cj0KCQjwsdnNBhC4A</t>
  </si>
  <si>
    <t>rafaela.liraemico@gmail.com</t>
  </si>
  <si>
    <t>SUMANDEEP KAUR</t>
  </si>
  <si>
    <t>?kw=citizenship%20in%20latvia&amp;%3Bcpn=17080870499&amp;%3Bcampaignid=17080870499&amp;%3Badgroupid=138645502280&amp;%3Bkeywordid=%7Bkeywordid%7D&amp;%3Bnetwork=g&amp;%3Bdevice=m&amp;%3Bgad_source=1&amp;%3Bgad_campaignid=17080870499&amp;%3Bgclid=Cj0KCQjwsdnNBhC4ARIsAA_3hehb4m3ydmDd5J9Z</t>
  </si>
  <si>
    <t>sumanssidhu@gmail.com</t>
  </si>
  <si>
    <t>Mr. Karl Dingfeld</t>
  </si>
  <si>
    <t>Karl dingfeld</t>
  </si>
  <si>
    <t>karldingfeld@pm.me</t>
  </si>
  <si>
    <t>VINICIUS BAUBINAS DOS SANTOS</t>
  </si>
  <si>
    <t>?kw=%27cidadania%20lituana%27&amp;cpn=14712129487&amp;utm_source=google&amp;utm_medium=cpc&amp;utm_campaign=LT-BR&amp;network=g&amp;utm_term=%27cidadania%20lituana%27&amp;gad_source=1&amp;gad_campaignid=14712129487&amp;gclid=Cj0KCQjwsdnNBhC4ARIsAA_3hei0Re11Sp1TEz5el-62IM4sBb82GbXQHwrIi</t>
  </si>
  <si>
    <t>vinibaubinas@gmail.com</t>
  </si>
  <si>
    <t>Bhumika Malik</t>
  </si>
  <si>
    <t>?kw=latvia%20residency%20by%20investment&amp;cpn=20594231202&amp;utm_source=google&amp;utm_medium=cpc&amp;utm_campaign=LV-RBI&amp;network=g&amp;utm_term=latvia%20residency%20by%20investment&amp;gad_source=1&amp;gad_campaignid=20594231202&amp;gbraid=0AAAAADisZv_jphygL2g8mOqODDNndoHUd&amp;gc</t>
  </si>
  <si>
    <t>bhumika2006@gmail.com</t>
  </si>
  <si>
    <t>Abdul Matin</t>
  </si>
  <si>
    <t>?kw=europe%20golden%20visa&amp;cpn=22658494721&amp;utm_source=google&amp;utm_medium=cpc&amp;utm_campaign=LV-RBI-TOP&amp;network=s&amp;utm_term=europe%20golden%20visa&amp;gad_source=5&amp;gad_campaignid=22658494721&amp;gclid=EAIaIQobChMIvdzD5o-jkwMV_X9BAh1jbyVyEAAYASAAEgKAUvD_BwE</t>
  </si>
  <si>
    <t>jalalabad2097@gmail.com</t>
  </si>
  <si>
    <t>Mr. Robert Milius</t>
  </si>
  <si>
    <t>Robert Milius</t>
  </si>
  <si>
    <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_x</t>
  </si>
  <si>
    <t>rpmilius@gmail.com</t>
  </si>
  <si>
    <t>Ms. Meryl Rome, MD</t>
  </si>
  <si>
    <t>Meryl Rome, MD</t>
  </si>
  <si>
    <t>?kw=genealogy%20lithuanian&amp;cpn=14656253006&amp;utm_source=google&amp;utm_medium=cpc&amp;utm_campaign=LT-US-conversions&amp;network=g&amp;utm_term=genealogy%20lithuanian&amp;gad_source=1&amp;gad_campaignid=14656253006&amp;gclid=Cj0KCQjwsdnNBhC4ARIsAA_3hegEUVll-lG4Y96SecrZ6C9GEuWZkXj</t>
  </si>
  <si>
    <t>Merylromemd@aol.com</t>
  </si>
  <si>
    <t>GARY SUCHER</t>
  </si>
  <si>
    <t>https://latviancitizenship.eu/?Bing-LV-USA</t>
  </si>
  <si>
    <t>gsucher@gmail.com</t>
  </si>
  <si>
    <t>Lionel</t>
  </si>
  <si>
    <t>FOURTH FFUP SENT</t>
  </si>
  <si>
    <t>lionhat2023@gmail.com</t>
  </si>
  <si>
    <t>Taim</t>
  </si>
  <si>
    <t>jtaim4849@gmail.com</t>
  </si>
  <si>
    <t>Amanda Hayes</t>
  </si>
  <si>
    <t>Czechia</t>
  </si>
  <si>
    <t>?kw=passport%20lithuanian&amp;cpn=17158881096&amp;utm_source=google&amp;utm_medium=cpc&amp;utm_campaign=LT-EU&amp;network=g&amp;utm_term=passport%20lithuanian&amp;gad_source=1&amp;gad_campaignid=17158881096&amp;gbraid=0AAAAADisZv8SUVsLdArK67cYM0mEegN7g&amp;gclid=CjwKCAjw1N7NBhAoEiwAcPchp6U</t>
  </si>
  <si>
    <t>amandahayes444@gmail.com</t>
  </si>
  <si>
    <t>Александра Вергелес</t>
  </si>
  <si>
    <t>Poland / Ukraine</t>
  </si>
  <si>
    <t>https://latviancitizenship.eu/company/about-us/</t>
  </si>
  <si>
    <t>aleksandravergeles184@gmail.com</t>
  </si>
  <si>
    <t>Monsef Shalah</t>
  </si>
  <si>
    <t>monsef shalah</t>
  </si>
  <si>
    <t>Israel (IL - AS)</t>
  </si>
  <si>
    <t>?kw=latvia%20citizenship%20by%20investment&amp;cpn=20594231202&amp;utm_source=google&amp;utm_medium=cpc&amp;utm_campaign=LV-RBI&amp;network=g&amp;utm_term=latvia%20citizenship%20by%20investment&amp;gad_source=1&amp;gad_campaignid=20594231202&amp;gbraid=0AAAAADisZv8caOzOhAXfk60MGPSg08IQ</t>
  </si>
  <si>
    <t>monsef.shalah@gmail.com</t>
  </si>
  <si>
    <t>Abdulaziz Abdo</t>
  </si>
  <si>
    <t>?kw=latvia%20investment&amp;cpn=20594231202&amp;utm_source=google&amp;utm_medium=cpc&amp;utm_campaign=LV-RBI&amp;network=g&amp;utm_term=latvia%20investment&amp;gad_source=1&amp;gad_campaignid=20594231202&amp;gbraid=0AAAAADisZv8caOzOhAXfk60MGPSg08IQi&amp;gclid=CjwKCAjw1N7NBhAoEiwAcPchpwg6Ij</t>
  </si>
  <si>
    <t>abdulazizabdo65@gmail.com</t>
  </si>
  <si>
    <t>Mayumme Bonilha da Silva</t>
  </si>
  <si>
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t>
  </si>
  <si>
    <t>laboninha@gmail.com</t>
  </si>
  <si>
    <t>Bikash Bhat</t>
  </si>
  <si>
    <t>Kateryna</t>
  </si>
  <si>
    <t>Cyprus / Ukraine</t>
  </si>
  <si>
    <t>ketbarrr@gmail.com</t>
  </si>
  <si>
    <t>Demar Sparks</t>
  </si>
  <si>
    <t>demarsparks1@gmail.com</t>
  </si>
  <si>
    <t>Titas Rukas</t>
  </si>
  <si>
    <t>?kw=latvian%20citizenship%20by%20descent&amp;cpn=17080870499&amp;campaignid=17080870499&amp;adgroupid=138645502480&amp;keywordid=%7Bkeywordid%7D&amp;network=g&amp;device=m&amp;gad_source=1&amp;gad_campaignid=17080870499&amp;gbraid=0AAAAADisZv9dsM30gt8jlhw1znQab24IE&amp;gclid=CjwKCAjw1N7NBh</t>
  </si>
  <si>
    <t>titasrukas04@gmail.com</t>
  </si>
  <si>
    <t>Howard Rogg</t>
  </si>
  <si>
    <t>Cyprus</t>
  </si>
  <si>
    <t>?kw=how%20to%20get%20a%20lithuanian%20passport&amp;cpn=17158881096&amp;utm_source=google&amp;utm_medium=cpc&amp;utm_campaign=LT-EU&amp;network=g&amp;utm_term=how%20to%20get%20a%20lithuanian%20passport&amp;gad_source=1&amp;gad_campaignid=17158881096&amp;gbraid=0AAAAADisZv8SUVsLdArK67cYM</t>
  </si>
  <si>
    <t>Howarderogg@gmail.com</t>
  </si>
  <si>
    <t>Youssef Amer</t>
  </si>
  <si>
    <t>?kw=can%20i%20get%20lithuanian%20citizenship%20by%20descent&amp;cpn=14656253006&amp;utm_source=google&amp;utm_medium=cpc&amp;utm_campaign=LT-US-conversions&amp;network=g&amp;utm_term=can%20i%20get%20lithuanian%20citizenship%20by%20descent&amp;gad_source=1&amp;gad_campaignid=1465625</t>
  </si>
  <si>
    <t>yamer@hyatthills.com</t>
  </si>
  <si>
    <t>Eduardo Albarran</t>
  </si>
  <si>
    <t>?kw=%27cidadania%20lituana%27&amp;cpn=14712129487&amp;utm_source=google&amp;utm_medium=cpc&amp;utm_campaign=LT-BR&amp;network=g&amp;utm_term=%27cidadania%20lituana%27&amp;gad_source=1&amp;gad_campaignid=14712129487&amp;gbraid=0AAAAADisZv8bDnxFxtAyyA8kI0A2yicy6&amp;gclid=CjwKCAjw1N7NBhAoEiw</t>
  </si>
  <si>
    <t>eduardoaalbarran100@gmail.com</t>
  </si>
  <si>
    <t>Пяткевич Эльвира Олеговна</t>
  </si>
  <si>
    <t>Germany</t>
  </si>
  <si>
    <t>https://www.lithuaniancitizenship.com/ru/sertifikat-o-prave-na-vosstanovlenie-litovskogo-grazhdanstva/</t>
  </si>
  <si>
    <t>elvirapyatkevich@gmail.com</t>
  </si>
  <si>
    <t>Mr. Horev Ben-Asher</t>
  </si>
  <si>
    <t>Horev Ben-Asher</t>
  </si>
  <si>
    <t>horevi@gmail.com</t>
  </si>
  <si>
    <t>VILNIUS</t>
  </si>
  <si>
    <t>Jodan Sweidan</t>
  </si>
  <si>
    <t>jodansweidan@gmail.com</t>
  </si>
  <si>
    <t>Matias Criado</t>
  </si>
  <si>
    <t>https://www.lithuaniancitizenship.com/es/</t>
  </si>
  <si>
    <t>matiascriado@gmail.com</t>
  </si>
  <si>
    <t>Mr. Jake Cedar</t>
  </si>
  <si>
    <t>Jake Cedar</t>
  </si>
  <si>
    <t>https://www.lithuaniancitizenship.com/?Lithuania--Search-Conversions-USA</t>
  </si>
  <si>
    <t>jakehcedar@gmail.com</t>
  </si>
  <si>
    <t>James Kenneth Ross</t>
  </si>
  <si>
    <t>https://www.lithuaniancitizenship.com/faq/?Lithuania--Search-Conversions-USA</t>
  </si>
  <si>
    <t>jkross1989@yahoo.com</t>
  </si>
  <si>
    <t>Balaji Athreya</t>
  </si>
  <si>
    <t>Balaji athreya</t>
  </si>
  <si>
    <t>https://latviancitizenship.eu/investment-real-estate/?LV-Leads-Search-RBI-RE TOP countries</t>
  </si>
  <si>
    <t>balarani@yahoo.com</t>
  </si>
  <si>
    <t>Mr. Lawrence Wilson</t>
  </si>
  <si>
    <t>Lawrence Wilson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</si>
  <si>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_x9psgl0</t>
  </si>
  <si>
    <t>maxxt2@yahoo.com</t>
  </si>
  <si>
    <t>Matias Levin Degrange</t>
  </si>
  <si>
    <t>?kw=lithuanian%20citizenship%20by%20descent&amp;cpn=17080759337&amp;utm_source=google&amp;utm_medium=cpc&amp;utm_campaign=LT-UK&amp;network=g&amp;utm_term=lithuanian%20citizenship%20by%20descent&amp;gad_source=1&amp;gad_campaignid=17080759337&amp;gbraid=0AAAAADisZv-_l65ZJ19kxjrEc11_UNw</t>
  </si>
  <si>
    <t>mldegrange2211@gmail.com</t>
  </si>
  <si>
    <t>Ms. Kathleen Schultz</t>
  </si>
  <si>
    <t>Kathleen Schultz</t>
  </si>
  <si>
    <t>?kw&amp;cpn=23440895177&amp;utm_source=google&amp;utm_medium=cpc&amp;utm_campaign=LT-Discovery-US&amp;network&amp;utm_term&amp;gad_campaignid=23440895177&amp;wbraid=ClQKCQjwsdnNBhDjARJDADmAlzNDXZO9coHFufE_iP6m-kCiN94VXoVu-bBuYv5nNLMITyFFtHSMCOOp6Ij01QyJhRqXh7hHaBsejqO1hrv1IBoCObk</t>
  </si>
  <si>
    <t>schlaf9@yahoo.com</t>
  </si>
  <si>
    <t>Ms. Lauren Flores</t>
  </si>
  <si>
    <t>Lauren Flores</t>
  </si>
  <si>
    <t>?kw=lithuania%20passport%20by%20descent&amp;cpn=14656253006&amp;utm_source=google&amp;utm_medium=cpc&amp;utm_campaign=LT-US-conversions&amp;network=g&amp;utm_term=lithuania%20passport%20by%20descent&amp;gad_source=1&amp;gad_campaignid=14656253006&amp;gbraid=0AAAAADisZv_ACXqB-8IQK7yGsH2</t>
  </si>
  <si>
    <t>floreslauren0107@gmail.com</t>
  </si>
  <si>
    <t>Nouar Rabie</t>
  </si>
  <si>
    <t>nouarabie@gmail.com</t>
  </si>
  <si>
    <t>RAVINDER KAPOOR</t>
  </si>
  <si>
    <t>RAVINDER.KAPOOR1@GMAIL.COM</t>
  </si>
  <si>
    <t>Gajrndra Magar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</si>
  <si>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ioGy1tOmkwMVzKf9BR3O0CKtEAAYASAA</t>
  </si>
  <si>
    <t>mahargajendra587@gmail.com</t>
  </si>
  <si>
    <t>Artem</t>
  </si>
  <si>
    <t>Netherlands</t>
  </si>
  <si>
    <t>https://www.lithuaniancitizenship.com/ru/eligibility-ru/</t>
  </si>
  <si>
    <t>kravtsov.ae-99@yandex.ru</t>
  </si>
  <si>
    <t>Stephanie Hazel Wilson</t>
  </si>
  <si>
    <t>stephaniehazelwilson@icloud.com</t>
  </si>
  <si>
    <t>Waqar Javed</t>
  </si>
  <si>
    <t>Dharma Waitkunas</t>
  </si>
  <si>
    <t>https://www.lithuaniancitizenship.com/certificate-of-right-to-restore-lithuanian-citizenship/?direct</t>
  </si>
  <si>
    <t>waitkunas99@gmail.com</t>
  </si>
  <si>
    <t>Mr. Harvey Deutschendorf</t>
  </si>
  <si>
    <t>Harvey Deutschendorf</t>
  </si>
  <si>
    <t>https://www.lithuaniancitizenship.com/?Lithuania Discovery-CA</t>
  </si>
  <si>
    <t>harvey.eiguy@shaw.ca</t>
  </si>
  <si>
    <t>Marlon Aderbal de Oliveira Sampaio</t>
  </si>
  <si>
    <t>marlon aderbal de oliveira sampaio</t>
  </si>
  <si>
    <t>?kw=como%20tirar%20cidadania%20lituana&amp;cpn=14712129487&amp;utm_source=google&amp;utm_medium=cpc&amp;utm_campaign=LT-BR&amp;network=g&amp;utm_term=como%20tirar%20cidadania%20lituana&amp;gad_source=1&amp;gad_campaignid=14712129487&amp;gbraid=0AAAAADisZv-xT7HJKIkkurBUAUours48E&amp;gclid=C</t>
  </si>
  <si>
    <t>contato.marlonaderbal@gmail.com</t>
  </si>
  <si>
    <t>Ms. Leslie Guditis</t>
  </si>
  <si>
    <t>Leslie Guditis</t>
  </si>
  <si>
    <t>?kw=lithuanian%20citizen%20by%20descent&amp;cpn=14656253006&amp;utm_source=google&amp;utm_medium=cpc&amp;utm_campaign=LT-US-conversions&amp;network=g&amp;utm_term=lithuanian%20citizen%20by%20descent&amp;gad_source=1&amp;gad_campaignid=14656253006&amp;gclid=Cj0KCQjw9-PNBhDfARIsABHN6-1wT</t>
  </si>
  <si>
    <t>doctorleslieg@gmail.com</t>
  </si>
  <si>
    <t>Benjamin Burton</t>
  </si>
  <si>
    <t>?kw=citizenship%20in%20lithuania&amp;cpn=14656253006&amp;utm_source=google&amp;utm_medium=cpc&amp;utm_campaign=LT-US-conversions&amp;network=g&amp;utm_term=citizenship%20in%20lithuania&amp;gad_source=1&amp;gad_campaignid=14656253006&amp;gbraid=0AAAAADisZv8AucVIMg_TA4XkGYY7R_6Mk&amp;gclid=C</t>
  </si>
  <si>
    <t>bpburton2003@yahoo.com</t>
  </si>
  <si>
    <t>Mr. Michael Colbach</t>
  </si>
  <si>
    <t>michael Colbach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</si>
  <si>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AucVIMg_</t>
  </si>
  <si>
    <t>mike@colbachlaw.com</t>
  </si>
  <si>
    <t>Mr. Scott Peacock</t>
  </si>
  <si>
    <t>Scott Peacock</t>
  </si>
  <si>
    <t>?kw=lithuanian%20birthright%20citizenship&amp;cpn=14656253006&amp;utm_source=google&amp;utm_medium=cpc&amp;utm_campaign=LT-US-conversions&amp;network=g&amp;utm_term=lithuanian%20birthright%20citizenship&amp;gad_source=1&amp;gad_campaignid=14656253006&amp;gbraid=0AAAAADisZv8AucVIMg_TA4X</t>
  </si>
  <si>
    <t>speacock72@gmail.com</t>
  </si>
  <si>
    <t>Lindzie Ashby</t>
  </si>
  <si>
    <t>Linzashby@gmail.com</t>
  </si>
  <si>
    <t>Lolita</t>
  </si>
  <si>
    <t>?kw=lithuanian%20citizenship%20lawyer&amp;cpn=14656253006&amp;utm_source=google&amp;utm_medium=cpc&amp;utm_campaign=LT-US-conversions&amp;network=g&amp;utm_term=lithuanian%20citizenship%20lawyer&amp;gad_source=1&amp;gad_campaignid=14656253006&amp;gclid=Cj0KCQjw9-PNBhDfARIsABHN6-1VP4rmp</t>
  </si>
  <si>
    <t>vasara95@yahoo.com</t>
  </si>
  <si>
    <t>Thomas Baltutis</t>
  </si>
  <si>
    <t>?utm_source=bing&amp;utm_medium=cpc&amp;utm_campaign=Bing-LT-US&amp;network=o&amp;utm_term=lithuanian%20descent&amp;msclkid=1257da50b4701a6f9847b3e970f8c875</t>
  </si>
  <si>
    <t>tfbaltutis@gmail.com</t>
  </si>
  <si>
    <t>Donna Stralkus</t>
  </si>
  <si>
    <t>Donnastralkus@gmail.com</t>
  </si>
  <si>
    <t>Gabriela Cariuska Boti</t>
  </si>
  <si>
    <t>https://www.lithuaniancitizenship.com/pt-pt/contact-pt/</t>
  </si>
  <si>
    <t>gabriela.cariuska@hotmail.com</t>
  </si>
  <si>
    <t>Ms. Elizabeth Law</t>
  </si>
  <si>
    <t>Elizabeth Law</t>
  </si>
  <si>
    <t>?kw&amp;cpn=23440895177&amp;utm_source=google&amp;utm_medium=cpc&amp;utm_campaign=LT-Discovery-US&amp;network&amp;utm_term&amp;gad_source=1&amp;gad_campaignid=23440895177&amp;gclid=Cj0KCQjw9-PNBhDfARIsABHN6-3CUJBl7epOkI_x4vA8H2JPxpESgtKlaX7ST_heanQuZXycg09vsi0aApqLEALw_wcB</t>
  </si>
  <si>
    <t>elizabethglaw29@gmail.com</t>
  </si>
  <si>
    <t>Mr. Loey Tawil</t>
  </si>
  <si>
    <t>Loey tawil</t>
  </si>
  <si>
    <t>?kw&amp;cpn=23357613537&amp;utm_source=google&amp;utm_medium=cpc&amp;utm_campaign=LT-Discovery&amp;network&amp;utm_term&amp;gad_source=1&amp;gad_campaignid=23357613537&amp;gbraid=0AAAAADisZv_llXkl1frq-N0Yt6IydoJvd&amp;gclid=Cj0KCQjw9-PNBhDfARIsABHN6-293nLr0Ax5Si1t1Bur5F9xdULMcIEvwSyXeZlGP3</t>
  </si>
  <si>
    <t>loeyabed@gmail.com</t>
  </si>
  <si>
    <t>Nathalia Teudschbein Araújo</t>
  </si>
  <si>
    <t>nathalia.ta92@gmail.com</t>
  </si>
  <si>
    <t>Geoffrey Laurence ROGG</t>
  </si>
  <si>
    <t>?kw&amp;cpn=23357613537&amp;utm_source=google&amp;utm_medium=cpc&amp;utm_campaign=LT-Discovery&amp;network&amp;utm_term&amp;gad_campaignid=23357613537&amp;wbraid=ClMKCAjw9-PNBhB7EkMAsOLqeoesa7yFYPpHaYeJF350-XmQCjT_z4Lzw0BKGNoFHK0rStWkPmlwjlA4KrLM14TFPTFrTx4y8cBRIqq14W94GgLFrg</t>
  </si>
  <si>
    <t>g.l.rogg@me.com</t>
  </si>
  <si>
    <t>Md Sabir</t>
  </si>
  <si>
    <t>?kw=residence%20permit%20latvian&amp;cpn=20594231202&amp;utm_source=google&amp;utm_medium=cpc&amp;utm_campaign=LV-RBI&amp;network=g&amp;utm_term=residence%20permit%20latvian&amp;gad_source=1&amp;gad_campaignid=20594231202&amp;gclid=Cj0KCQjwmunNBhDbARIsAOndKpnRqKb6Wih_6mDnCGoAHHE_lkScbs</t>
  </si>
  <si>
    <t>md0237072@gmail.com</t>
  </si>
  <si>
    <t>Mr. Andriejus Simkus-Sukauskas</t>
  </si>
  <si>
    <t>Andriejus Simkus-Sukauskas</t>
  </si>
  <si>
    <t>?kw=lithuanian%20citizenship%20application&amp;cpn=14663474296&amp;utm_source=google&amp;utm_medium=cpc&amp;utm_campaign=LT-CA&amp;network=g&amp;utm_term=lithuanian%20citizenship%20application&amp;gad_source=1&amp;gad_campaignid=14663474296&amp;gbraid=0AAAAADisZv8_6-FtsW5OgofJQNMoYlWtK</t>
  </si>
  <si>
    <t>andriejussukauskas@gmail.com</t>
  </si>
  <si>
    <t>Ms. Regina Kortas</t>
  </si>
  <si>
    <t>regina kortas</t>
  </si>
  <si>
    <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munNBhD</t>
  </si>
  <si>
    <t>sanddol@hotmail.com</t>
  </si>
  <si>
    <t>?not set</t>
  </si>
  <si>
    <t>Daniel Grove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</si>
  <si>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93oW_PwYX</t>
  </si>
  <si>
    <t>danielajgrove@gmail.com</t>
  </si>
  <si>
    <t>Daphny Klisys Spinelli</t>
  </si>
  <si>
    <t>klisysdaphny@hotmail.com</t>
  </si>
  <si>
    <t>Matthew Leibowitz</t>
  </si>
  <si>
    <t>matt.leibowitz@gmail.com</t>
  </si>
  <si>
    <t>MD NAZMUL HASAN</t>
  </si>
  <si>
    <t>nazmulh0308@gmail.com</t>
  </si>
  <si>
    <t>Angelee Bawek</t>
  </si>
  <si>
    <t>?utm_source=bing&amp;utm_medium=cpc&amp;utm_campaign=Bing-LT-US&amp;network=o&amp;utm_term=lithuanian%20citizenship%20by%20descent&amp;msclkid=0efa2382bd28146597db4a39be5a6bb8</t>
  </si>
  <si>
    <t>angeleebawek@gmail.com</t>
  </si>
  <si>
    <t>Kashim Khan</t>
  </si>
  <si>
    <t>kashimk64@gmail.com</t>
  </si>
  <si>
    <t>Kelcey Civilikas</t>
  </si>
  <si>
    <t>?utm_source=bing&amp;utm_medium=cpc&amp;utm_campaign=Bing-LT-US&amp;network=o&amp;utm_term=get%20lithuanian%20citizenship&amp;msclkid=07a98202e4c510748217ebb9cd4d0fec</t>
  </si>
  <si>
    <t>Kelcey.civilikas@gmail.com</t>
  </si>
  <si>
    <t>Mina</t>
  </si>
  <si>
    <t>Kuwait (KW - AS)</t>
  </si>
  <si>
    <t>minaadel1234@gmail.com</t>
  </si>
  <si>
    <t>waleedkhan</t>
  </si>
  <si>
    <t>?kw=greece%20golden%20visa&amp;cpn=22658494721&amp;utm_source=google&amp;utm_medium=cpc&amp;utm_campaign=LV-RBI-TOP&amp;network=s&amp;utm_term=greece%20golden%20visa&amp;gad_source=5&amp;gad_campaignid=22658494721&amp;gclid=EAIaIQobChMIsZjxofOqkwMVJ4xQBh2P6ji6EAAYASAAEgKFb_D_BwE</t>
  </si>
  <si>
    <t>waleedkhankuhat@gmail.com</t>
  </si>
  <si>
    <t>Prakash Tamang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</si>
  <si>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mt_btIerkwMVPMh5BB3ZUxN-EAAYASAA</t>
  </si>
  <si>
    <t>sarupraku@gmail.com</t>
  </si>
  <si>
    <t>Ms. Moira Suttner Nell</t>
  </si>
  <si>
    <t>Moira Suttner Nell</t>
  </si>
  <si>
    <t>?kw&amp;cpn=23481896379&amp;utm_source=google&amp;utm_medium=cpc&amp;utm_campaign=LT-Discovery-CA&amp;network&amp;utm_term&amp;gad_campaignid=23481896379&amp;wbraid=ClMKCAjw9-PNBhB7EkMAsOLqej_4LYAkZgn182Ryd47eoQtlHygaXO_sUqAWL5mrDpDgsfCNdvn9p2WpCG2QV5U-j5KV2ULOc1mHuipMFU6kGgLXRw</t>
  </si>
  <si>
    <t>nellmoira@gmail.com</t>
  </si>
  <si>
    <t>Ms. Ume Aimen</t>
  </si>
  <si>
    <t>Ume aimen</t>
  </si>
  <si>
    <t>?kw&amp;cpn=23481896379&amp;utm_source=google&amp;utm_medium=cpc&amp;utm_campaign=LT-Discovery-CA&amp;network&amp;utm_term&amp;gad_campaignid=23481896379&amp;wbraid=ClQKCQjwmunNBhD9ARJDABCh3VLjspUVHCjplvEDrDtE1ihbi_7RdCRnZpVf3Zx6m6N27uxuyzh_FG2NEOab9qp4EPoT89vNRdYN21unz5yLbhoC2eg</t>
  </si>
  <si>
    <t>aynna.naqvi786@gmail.com</t>
  </si>
  <si>
    <t>İbrahim Bişarat</t>
  </si>
  <si>
    <t>?utm_source=perplexity</t>
  </si>
  <si>
    <t>ibrahim.m.bisharat@gmail.com</t>
  </si>
  <si>
    <t>Devon Fiorelli</t>
  </si>
  <si>
    <t>devfi1204@gmail.com</t>
  </si>
  <si>
    <t>Anil Kumar</t>
  </si>
  <si>
    <t>acaarav662@gmail.com</t>
  </si>
  <si>
    <t>Leandro Radzvilaviez Grande</t>
  </si>
  <si>
    <t>leandrogrande@outlook.com</t>
  </si>
  <si>
    <t>Mr. Marcus Lerner</t>
  </si>
  <si>
    <t>Marcus Lerner</t>
  </si>
  <si>
    <t>?kw=obtaining%20lithuanian%20citizenship&amp;cpn=14656253006&amp;utm_source=google&amp;utm_medium=cpc&amp;utm_campaign=LT-US-conversions&amp;network=g&amp;utm_term=obtaining%20lithuanian%20citizenship&amp;gad_source=1&amp;gad_campaignid=14656253006&amp;gbraid=0AAAAADisZv8lxeQUmiqTNrGrs</t>
  </si>
  <si>
    <t>marcuswlerner@gmail.com</t>
  </si>
  <si>
    <t>Nigina Ruzieva</t>
  </si>
  <si>
    <t>nigina</t>
  </si>
  <si>
    <t>United Kingdom/russia</t>
  </si>
  <si>
    <t>muminov06@mail.ru</t>
  </si>
  <si>
    <t>RICARDO CESAR BELLO</t>
  </si>
  <si>
    <t>FIFTH FFUP SENT</t>
  </si>
  <si>
    <t>?kw=cidadania%20lituana%20como%20tirar&amp;cpn=14712129487&amp;utm_source=google&amp;utm_medium=cpc&amp;utm_campaign=LT-BR&amp;network=g&amp;utm_term=cidadania%20lituana%20como%20tirar&amp;gad_source=1&amp;gad_campaignid=14712129487&amp;gbraid=0AAAAADisZv92LJmdHMu-e_ZJyC8I5eYqf&amp;gclid=C</t>
  </si>
  <si>
    <t>ricardo.bello82@outlook.com</t>
  </si>
  <si>
    <t>Steinbruner</t>
  </si>
  <si>
    <t>?utm_source=bing&amp;utm_medium=cpc&amp;utm_campaign=Bing-LV-USA&amp;msclkid=1f9ded98093d1bfa965f84247e397f11</t>
  </si>
  <si>
    <t>Seadragonreef5000@gmail.com</t>
  </si>
  <si>
    <t>Jay</t>
  </si>
  <si>
    <t>jay</t>
  </si>
  <si>
    <t>https://www.lithuaniancitizenship.com/open-a-company-in-lithuania/</t>
  </si>
  <si>
    <t>bdsenterprises@gmail.com</t>
  </si>
  <si>
    <t>Jade Puff</t>
  </si>
  <si>
    <t>jade_puff@hotmail.com</t>
  </si>
  <si>
    <t>Khalid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</si>
  <si>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18qGzaWtkwMVX7hoCR1I3wHGEAAYASAA</t>
  </si>
  <si>
    <t>jaberkhalid960@gmail.com</t>
  </si>
  <si>
    <t>Lucas Hernandez</t>
  </si>
  <si>
    <t>Maldives (MV - AS)</t>
  </si>
  <si>
    <t>https://latviancitizenship.eu/residency-by-investment/?LV-Leads-Search-RBI-RE</t>
  </si>
  <si>
    <t>softwarenet.pagos@gmail.com</t>
  </si>
  <si>
    <t>Ms. Sadie DeWolfe</t>
  </si>
  <si>
    <t>Sadie DeWolfe</t>
  </si>
  <si>
    <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t>
  </si>
  <si>
    <t>sadie.dewolfert@gmail.com</t>
  </si>
  <si>
    <t>Van Bau Nguyen</t>
  </si>
  <si>
    <t>van bau nguyen</t>
  </si>
  <si>
    <t>?kw=latvia%20residency%20program&amp;cpn=20594231202&amp;utm_source=google&amp;utm_medium=cpc&amp;utm_campaign=LV-RBI&amp;network=g&amp;utm_term=latvia%20residency%20program&amp;gad_source=1&amp;gad_campaignid=20594231202&amp;gclid=Cj0KCQjw4PPNBhD8ARIsAMo-icwudQlbcc5_VJ3-zThkAx2e77fkX_</t>
  </si>
  <si>
    <t>jos.nguyenbau@gmail.com</t>
  </si>
  <si>
    <t>Guilherme Petiquer da Silva</t>
  </si>
  <si>
    <t>?kw=%27cidadania%20lituana%27&amp;cpn=14712129487&amp;utm_source=google&amp;utm_medium=cpc&amp;utm_campaign=LT-BR&amp;network=g&amp;utm_term=%27cidadania%20lituana%27&amp;gad_source=1&amp;gad_campaignid=14712129487&amp;gclid=Cj0KCQjw4PPNBhD8ARIsAMo-icwwr5iZZT5nRPJJChtvVW5r4_0CuRrOnTHZd</t>
  </si>
  <si>
    <t>petiquerguilherme@gmail.com</t>
  </si>
  <si>
    <t>Lang CÃ©dric</t>
  </si>
  <si>
    <t>Luxembourg</t>
  </si>
  <si>
    <t>langcedric434@gmail.com</t>
  </si>
  <si>
    <t>Kristina Sepetys</t>
  </si>
  <si>
    <t>kmsepetys@yahoo.com</t>
  </si>
  <si>
    <t>Sidney Roberto Chiachetti Junior</t>
  </si>
  <si>
    <t>?kw=nacionalidade%20lituana&amp;cpn=14712129487&amp;utm_source=google&amp;utm_medium=cpc&amp;utm_campaign=LT-BR&amp;network=g&amp;utm_term=nacionalidade%20lituana&amp;gad_source=1&amp;gad_campaignid=14712129487&amp;gbraid=0AAAAADisZv9E6mP2ijm-it6JixW8auf4D&amp;gclid=Cj0KCQjw4PPNBhD8ARIsAMo</t>
  </si>
  <si>
    <t>schiachetti@gmail.com</t>
  </si>
  <si>
    <t>Adam Lundin</t>
  </si>
  <si>
    <t>adam.lundin@gmail.com</t>
  </si>
  <si>
    <t>Josh LaPine</t>
  </si>
  <si>
    <t>joshslapine@gmail.com</t>
  </si>
  <si>
    <t>Latissa Rimes Boleckis</t>
  </si>
  <si>
    <t>?kw=como%20tirar%20cidadania%20lituana&amp;cpn=14712129487&amp;utm_source=google&amp;utm_medium=cpc&amp;utm_campaign=LT-BR&amp;network=g&amp;utm_term=como%20tirar%20cidadania%20lituana&amp;gad_source=1&amp;gad_campaignid=14712129487&amp;gbraid=0AAAAADisZv9E6mP2ijm-it6JixW8auf4D&amp;gclid=C</t>
  </si>
  <si>
    <t>larissa_rimes@hotmail.com</t>
  </si>
  <si>
    <t>Godfrey Katthage</t>
  </si>
  <si>
    <t>?kw=residence%20permit%20latvian&amp;cpn=20594231202&amp;utm_source=google&amp;utm_medium=cpc&amp;utm_campaign=LV-RBI&amp;network=g&amp;utm_term=residence%20permit%20latvian&amp;gad_source=1&amp;gad_campaignid=20594231202&amp;gclid=Cj0KCQjw4PPNBhD8ARIsAMo-icyY-OOnsmpCyQnZA6seGMoOcRblBi</t>
  </si>
  <si>
    <t>ckatthage@gmail.com</t>
  </si>
  <si>
    <t>Tekarra Valiulis</t>
  </si>
  <si>
    <t>tekarravaliulis@gmail.com</t>
  </si>
  <si>
    <t>Irfan Ali</t>
  </si>
  <si>
    <t>Irfan ali</t>
  </si>
  <si>
    <t>?kw&amp;cpn=23440895177&amp;utm_source=google&amp;utm_medium=cpc&amp;utm_campaign=LT-Discovery-US&amp;network&amp;utm_term&amp;gad_campaignid=23440895177&amp;wbraid=ClQKCQjwve7NBhD4ARJDAP6fBP20mU6-S7j06voirj8pXR7k_d5940e-j9HYfahG80yzaYYq1X2xcBjjYgLoB0xkGPpX2RdJMCCikEsli4wyARoC_Jc</t>
  </si>
  <si>
    <t>faryalali4758@gmail.com</t>
  </si>
  <si>
    <t>Gladys Irene Rothman</t>
  </si>
  <si>
    <t>?kw&amp;cpn=23481896379&amp;utm_source=google&amp;utm_medium=cpc&amp;utm_campaign=LT-Discovery-CA&amp;network&amp;utm_term&amp;gad_campaignid=23481896379&amp;wbraid=ClQKCQjw4PPNBhDsARJDAAwY4RLPIdC8G2vMFwv16uPWyt6z0SAlAGt3pB0lE-GteP3-J-6jlGfHvfkShJHvWrGnq9K30Rw0O7O1e3Q0WtmYIxoC0Hg</t>
  </si>
  <si>
    <t>gladysrothman45@gmail.com</t>
  </si>
  <si>
    <t>Hadj Othmane Mohamed Ali</t>
  </si>
  <si>
    <t>m.othmane09@gmail.com</t>
  </si>
  <si>
    <t>Jahangir Alam</t>
  </si>
  <si>
    <t>stglobalsourcing@gmail.com</t>
  </si>
  <si>
    <t>Ms. Lisette S Larkin</t>
  </si>
  <si>
    <t>Lisette S Larkin</t>
  </si>
  <si>
    <t>?kw=genealogy%20lithuanian&amp;cpn=14656253006&amp;utm_source=google&amp;utm_medium=cpc&amp;utm_campaign=LT-US-conversions&amp;network=g&amp;utm_term=genealogy%20lithuanian&amp;gad_source=1&amp;gad_campaignid=14656253006&amp;gclid=CjwKCAjwg_nNBhAGEiwAiYPYA0UO6sbkW196oaqFOR2gwDxVwU-CtR_</t>
  </si>
  <si>
    <t>schnellelarkin@gmail.com</t>
  </si>
  <si>
    <t>Abdulla Ahmed Alhahammasi</t>
  </si>
  <si>
    <t>abdulla ahmed alhahammasi</t>
  </si>
  <si>
    <t>abdallaadel@hotmail.co.uk</t>
  </si>
  <si>
    <t>Thaís Palacio</t>
  </si>
  <si>
    <t>?kw=cidadania%20por%20descend%C3%AAncia%20lituana&amp;cpn=14712129487&amp;utm_source=google&amp;utm_medium=cpc&amp;utm_campaign=LT-BR&amp;network=g&amp;utm_term=cidadania%20por%20descend%C3%AAncia%20lituana&amp;gad_source=1&amp;gad_campaignid=14712129487&amp;gbraid=0AAAAADisZv8PB5b2oge</t>
  </si>
  <si>
    <t>thaispalacio02@gmail.com</t>
  </si>
  <si>
    <t>Tatiane Barbosa Bagdonas</t>
  </si>
  <si>
    <t>?kw=%27lituania%20cidadania%27&amp;cpn=14712129487&amp;utm_source=google&amp;utm_medium=cpc&amp;utm_campaign=LT-BR&amp;network=g&amp;utm_term=%27lituania%20cidadania%27&amp;gad_source=1&amp;gad_campaignid=14712129487&amp;gclid=CjwKCAjwg_nNBhAGEiwAiYPYA1-Prp3SDbK77YQD3_AHSaPeFHCWP1wRtG_</t>
  </si>
  <si>
    <t>tatiane.bagdonas@gmail.com</t>
  </si>
  <si>
    <t>Tahir Ahmed Begum</t>
  </si>
  <si>
    <t>Tahir Ahmed begum</t>
  </si>
  <si>
    <t>Spain (ES - EU)</t>
  </si>
  <si>
    <t>https://latviancitizenship.eu/residency-by-investment/</t>
  </si>
  <si>
    <t>zaritahir@hotmail.com</t>
  </si>
  <si>
    <t>Alex Wander Nenartavis</t>
  </si>
  <si>
    <t>https://www.lithuaniancitizenship.com/pt-pt/?direct</t>
  </si>
  <si>
    <t>alex4@terra.com.br</t>
  </si>
  <si>
    <t>Wilson Andrés Muñoz rengifo</t>
  </si>
  <si>
    <t>?kw=ciudadan%C3%ADa%20lituana&amp;cpn=14731585806&amp;utm_source=google&amp;utm_medium=cpc&amp;utm_campaign=LT-AR-CO-MX-UR&amp;network=g&amp;utm_term=ciudadan%C3%ADa%20lituana&amp;gad_source=1&amp;gad_campaignid=14731585806&amp;gclid=CjwKCAjwg_nNBhAGEiwAiYPYA8M-FZ_nKXzX4aURXXCwhgGzz3Mv</t>
  </si>
  <si>
    <t>anasolim154@gmail.com</t>
  </si>
  <si>
    <t>Jason lockwood</t>
  </si>
  <si>
    <t>?kw&amp;cpn=23481896379&amp;utm_source=google&amp;utm_medium=cpc&amp;utm_campaign=LT-Discovery-CA&amp;network&amp;utm_term&amp;gad_source=1&amp;gad_campaignid=23481896379&amp;gclid=CjwKCAjwg_nNBhAGEiwAiYPYA2tjau3BJl6wJzI6mLCLHliJbr6NolI6JCC4fVvVEEBb5kB367BYfxoCKqwQAvD_BwE</t>
  </si>
  <si>
    <t>Lockwoodjason64@gmail.com</t>
  </si>
  <si>
    <t>Joanne K. Raymond</t>
  </si>
  <si>
    <t>?kw=genealogy%20lithuanian&amp;cpn=14656253006&amp;utm_source=google&amp;utm_medium=cpc&amp;utm_campaign=LT-US-conversions&amp;network=g&amp;utm_term=genealogy%20lithuanian&amp;gad_source=1&amp;gad_campaignid=14656253006&amp;gclid=CjwKCAjwg_nNBhAGEiwAiYPYA_116ThoBdMHmS6dVaOLj9QdMY7GRZq</t>
  </si>
  <si>
    <t>jkraymond2@gmail.com</t>
  </si>
  <si>
    <t>Calendly</t>
  </si>
  <si>
    <t>Stephano Rezende Petrauskas</t>
  </si>
  <si>
    <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t>
  </si>
  <si>
    <t>stephanopetrauskas@hotmail.com</t>
  </si>
  <si>
    <t>GURNOOR SINGH</t>
  </si>
  <si>
    <t>?kw=latvia%20golden%20visa%20official%20website&amp;cpn=20594231202&amp;utm_source=google&amp;utm_medium=cpc&amp;utm_campaign=LV-RBI&amp;network=g&amp;utm_term=latvia%20golden%20visa%20official%20website&amp;gad_source=1&amp;gad_campaignid=20594231202&amp;gbraid=0AAAAADisZv8sqmFNEkaGNU</t>
  </si>
  <si>
    <t>gurnoor.singh.nri@gmail.com</t>
  </si>
  <si>
    <t>PARTHIBAN</t>
  </si>
  <si>
    <t>parthiban.jayapalan@gmail.com</t>
  </si>
  <si>
    <t>Lipika DasGupta</t>
  </si>
  <si>
    <t>lipika.dhara@gmail.com</t>
  </si>
  <si>
    <t>Ms. Lara Pillat</t>
  </si>
  <si>
    <t>Lara Pillat</t>
  </si>
  <si>
    <t>?kw=how%20to%20apply%20for%20lithuanian%20citizenship&amp;cpn=14663474296&amp;utm_source=google&amp;utm_medium=cpc&amp;utm_campaign=LT-CA&amp;network=g&amp;utm_term=how%20to%20apply%20for%20lithuanian%20citizenship&amp;gad_source=1&amp;gad_campaignid=14663474296&amp;gbraid=0AAAAADisZv9</t>
  </si>
  <si>
    <t>laramariarenee@outlook.com</t>
  </si>
  <si>
    <t>Scott Dorman</t>
  </si>
  <si>
    <t>sdorman456@gmail.com</t>
  </si>
  <si>
    <t>Sadegh Karami</t>
  </si>
  <si>
    <t>https://latviancitizenship.eu/contact/?LV-Leads-Search-RBI TOP countries</t>
  </si>
  <si>
    <t>sadegh.karami1975@gmail.com</t>
  </si>
  <si>
    <t>Dérod Adrian Silva Maciulevicius</t>
  </si>
  <si>
    <t>?kw=cidadania%20lituana%20como%20tirar&amp;cpn=14712129487&amp;utm_source=google&amp;utm_medium=cpc&amp;utm_campaign=LT-BR&amp;network=g&amp;utm_term=cidadania%20lituana%20como%20tirar&amp;gad_source=1&amp;gad_campaignid=14712129487&amp;gclid=Cj0KCQjwpv7NBhCzARIsADkIfWzgxpfaTiEoRxS47Ol</t>
  </si>
  <si>
    <t>derodtmaciulevicius@gmail.com</t>
  </si>
  <si>
    <t>Marina Gibavicius</t>
  </si>
  <si>
    <t>https://www.lithuaniancitizenship.com/es/lithuanian-passport/?Lithuania-Leads-Search-Argentina/Colombia/Uruguay/Mexico</t>
  </si>
  <si>
    <t>maragibavicius@gmail.com</t>
  </si>
  <si>
    <t>José Boisier</t>
  </si>
  <si>
    <t>Chile</t>
  </si>
  <si>
    <t>https://www.lithuaniancitizenship.com/es/certificado-de-ascendencia-lituana/?referral</t>
  </si>
  <si>
    <t>jnboisier@gmail.com</t>
  </si>
  <si>
    <t>Shahid Alam</t>
  </si>
  <si>
    <t>?kw=portugal%20golden%20visa&amp;cpn=22658494721&amp;utm_source=google&amp;utm_medium=cpc&amp;utm_campaign=LV-RBI-TOP&amp;network=s&amp;utm_term=portugal%20golden%20visa&amp;gad_source=5&amp;gad_campaignid=22658494721&amp;gclid=EAIaIQobChMIweSi-6m0kwMV46b9BR0Bmiu9EAAYASAAEgL3evD_BwE</t>
  </si>
  <si>
    <t>alamshahid0528@gmail.com</t>
  </si>
  <si>
    <t>Issam Manson</t>
  </si>
  <si>
    <t>عصام المنصوري</t>
  </si>
  <si>
    <t>isssammnsouri@gmail.com</t>
  </si>
  <si>
    <t>Kil Yung</t>
  </si>
  <si>
    <t>ceo@gmail.com</t>
  </si>
  <si>
    <t>Mr. Nicholas Ethan Stankus</t>
  </si>
  <si>
    <t>Nicholas Ethan Stankus</t>
  </si>
  <si>
    <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t>
  </si>
  <si>
    <t>ethstank@gmail.com</t>
  </si>
  <si>
    <t>Tariq</t>
  </si>
  <si>
    <t>Bahrain (BH - AS)</t>
  </si>
  <si>
    <t>?kw=latvia%20golden%20visa&amp;cpn=20594231202&amp;utm_source=google&amp;utm_medium=cpc&amp;utm_campaign=LV-RBI&amp;network=g&amp;utm_term=latvia%20golden%20visa&amp;gad_source=1&amp;gad_campaignid=20594231202&amp;gbraid=0AAAAADisZv-234GRGwdln_Hr03MpzwOnK</t>
  </si>
  <si>
    <t>alikhan.tariq@yahoo.com</t>
  </si>
  <si>
    <t>Full Name</t>
  </si>
  <si>
    <t>?kw=lithuanian%20passport&amp;cpn=14656253006&amp;utm_source=google&amp;utm_medium=cpc&amp;utm_campaign=LT-US-conversions&amp;network=g&amp;utm_term=lithuanian%20passport&amp;gad_source=1&amp;gad_campaignid=14656253006&amp;gclid=CjwKCAjwyYPOBhBxEiwAgpT8P7vYH6OfkINwfy9KhqmSavkiTTWzz6zTy</t>
  </si>
  <si>
    <t>badhombre@soldiers.com</t>
  </si>
  <si>
    <t>SPAM</t>
  </si>
  <si>
    <t>Joshua Levy</t>
  </si>
  <si>
    <t>https://www.lithuaniancitizenship.com/contact/?Lithuania-Leads-Search-UK</t>
  </si>
  <si>
    <t>josh.vansant@gmail.com</t>
  </si>
  <si>
    <t>Fabien</t>
  </si>
  <si>
    <t>fa13gz@gmail.com</t>
  </si>
  <si>
    <t>Attorney Simon D Dippenaar</t>
  </si>
  <si>
    <t>sdippenaar@sdlaw.co.za</t>
  </si>
  <si>
    <t>Shepstone &amp; Wylie</t>
  </si>
  <si>
    <t>info@wylie.co.za</t>
  </si>
  <si>
    <t>Jason Morris</t>
  </si>
  <si>
    <t>jasonm@snaidmorris.co.za</t>
  </si>
  <si>
    <t>Grace Hladilek</t>
  </si>
  <si>
    <t>?kw=citizenship%20in%20lithuania&amp;cpn=14656253006&amp;utm_source=google&amp;utm_medium=cpc&amp;utm_campaign=LT-US-conversions&amp;network=g&amp;utm_term=citizenship%20in%20lithuania&amp;gad_source=1&amp;gad_campaignid=14656253006&amp;gbraid=0AAAAADisZv8YSXCjBTxk_X5cC0eEjjiGc&amp;gclid=C</t>
  </si>
  <si>
    <t>gracehladilek@gmail.com</t>
  </si>
  <si>
    <t>Sumon Ahmed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</si>
  <si>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18m_ypa2kwMV5Kn9BR1lDgNpEAAYASAA</t>
  </si>
  <si>
    <t>rsrobi984@gmail.com</t>
  </si>
  <si>
    <t>Zainab Tarawally</t>
  </si>
  <si>
    <t>Zainatara@yahoo.com</t>
  </si>
  <si>
    <t>Hope Goldman Meyer</t>
  </si>
  <si>
    <t>Hope Meyer</t>
  </si>
  <si>
    <t>hopemeyer96@gmail.com</t>
  </si>
  <si>
    <t>Kotton Lee</t>
  </si>
  <si>
    <t>?kw=lithuanian%20descent%20citizenship&amp;cpn=14656253006&amp;utm_source=google&amp;utm_medium=cpc&amp;utm_campaign=LT-US-conversions&amp;network=g&amp;utm_term=lithuanian%20descent%20citizenship&amp;gad_source=1&amp;gad_campaignid=14656253006&amp;gbraid=0AAAAADisZv8YSXCjBTxk_X5cC0eEj</t>
  </si>
  <si>
    <t>kottonlee7@gmail.com</t>
  </si>
  <si>
    <t>Jahirul Haque</t>
  </si>
  <si>
    <t>?kw=portugal%20residency%20by%20investment&amp;cpn=22658494721&amp;utm_source=google&amp;utm_medium=cpc&amp;utm_campaign=LV-RBI-TOP&amp;network=s&amp;utm_term=portugal%20residency%20by%20investment&amp;gad_source=5&amp;gad_campaignid=22658494721&amp;gclid=EAIaIQobChMIwu32uqq2kwMVKQIGAB</t>
  </si>
  <si>
    <t>jahirulaqu@gmail.com</t>
  </si>
  <si>
    <t>Hossan Hossan haji</t>
  </si>
  <si>
    <t>?kw=portugal%20residency%20by%20investment&amp;cpn=22658494721&amp;utm_source=google&amp;utm_medium=cpc&amp;utm_campaign=LV-RBI-TOP&amp;network=s&amp;utm_term=portugal%20residency%20by%20investment&amp;gad_source=5&amp;gad_campaignid=22658494721&amp;gclid=EAIaIQobChMI4MWOpba2kwMVMZtoCR</t>
  </si>
  <si>
    <t>hossanhajihossan@gmail.com</t>
  </si>
  <si>
    <t>Gilmar Luiz Tomasson</t>
  </si>
  <si>
    <t>gltomasson@gmail.com</t>
  </si>
  <si>
    <t>Hailey Dahl</t>
  </si>
  <si>
    <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9zfMfFq</t>
  </si>
  <si>
    <t>hhaileydahl@gmail.com</t>
  </si>
  <si>
    <t>Charles Wahl</t>
  </si>
  <si>
    <t>https://www.lithuaniancitizenship.com/immigration-lawyers-in-lithuania/?direct</t>
  </si>
  <si>
    <t>cwahl8@comcast.net</t>
  </si>
  <si>
    <t>Vinicius dos Anjos SLikta</t>
  </si>
  <si>
    <t>?kw=%27cidadania%20lituana%27&amp;cpn=14712129487&amp;utm_source=google&amp;utm_medium=cpc&amp;utm_campaign=LT-BR&amp;network=g&amp;utm_term=%27cidadania%20lituana%27&amp;gad_source=1&amp;gad_campaignid=14712129487&amp;gbraid=0AAAAADisZv_dDfhCHOwCxRL0-65cvOuWK&amp;gclid=CjwKCAjwyYPOBhBxEiw</t>
  </si>
  <si>
    <t>sliktavas@gmail.com</t>
  </si>
  <si>
    <t>Saba Tsaava</t>
  </si>
  <si>
    <t>?kw=citizenship%20lithuanian&amp;cpn=17158881096&amp;utm_source=google&amp;utm_medium=cpc&amp;utm_campaign=LT-EU&amp;network=g&amp;utm_term=citizenship%20lithuanian&amp;gad_source=1&amp;gad_campaignid=17158881096&amp;gbraid=0AAAAADisZv8k6XdHTpPO4E_vgX7FZMZOS&amp;gclid=CjwKCAjwyYPOBhBxEiwAg</t>
  </si>
  <si>
    <t>sabenzzzo11@gmail.com</t>
  </si>
  <si>
    <t>John Daniels</t>
  </si>
  <si>
    <t>?kw&amp;cpn=23481896379&amp;utm_source=google&amp;utm_medium=cpc&amp;utm_campaign=LT-Discovery-CA&amp;network&amp;utm_term&amp;gad_source=1&amp;gad_campaignid=23481896379&amp;gclid=CjwKCAjwyYPOBhBxEiwAgpT8P9whdwmoeIpS-47j6-Sj_kyDxEV0OJvn_wbZHQk5TuRZvfFL8xVuphoCEbMQAvD_BwE</t>
  </si>
  <si>
    <t>danielsabt@sympatico.ca</t>
  </si>
  <si>
    <t>Sergey Korablikov</t>
  </si>
  <si>
    <t>?kw&amp;cpn=23357613537&amp;utm_source=google&amp;utm_medium=cpc&amp;utm_campaign=LT-Discovery&amp;network&amp;utm_term&amp;gad_source=1&amp;gad_campaignid=23357613537&amp;gclid=CjwKCAjwyYPOBhBxEiwAgpT8P7ig1R-d0a9HAzIorh3U3f-mayqr1jGF4VWyPTXIi0Yr9oPBaOYWcBoC1bcQAvD_BwE</t>
  </si>
  <si>
    <t>sergeykovar43@gmail.com</t>
  </si>
  <si>
    <t>Andrew Marks de Chabris</t>
  </si>
  <si>
    <t>?kw=latvia%20residency%20by%20bank%20deposit&amp;cpn=23644310089&amp;utm_source=google&amp;utm_medium=cpc&amp;utm_campaign=LV-RBI-RE-TOP&amp;network=g&amp;utm_term=latvia%20residency%20by%20bank%20deposit&amp;gad_source=1&amp;gad_campaignid=23644310089&amp;gbraid=0AAAAADisZv8ES_Q37pDOt</t>
  </si>
  <si>
    <t>andrew.mdc@icloud.com</t>
  </si>
  <si>
    <t>Matas Matuzas</t>
  </si>
  <si>
    <t>matas matuzas</t>
  </si>
  <si>
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9W2gw</t>
  </si>
  <si>
    <t>mmatuzas05@gmail.com</t>
  </si>
  <si>
    <t>Aleksandr</t>
  </si>
  <si>
    <t>bpchol22@gmail.com</t>
  </si>
  <si>
    <t>Murilo Costa konstantinovas</t>
  </si>
  <si>
    <t>?kw=como%20tirar%20cidadania%20lituana&amp;cpn=14712129487&amp;utm_source=google&amp;utm_medium=cpc&amp;utm_campaign=LT-BR&amp;network=g&amp;utm_term=como%20tirar%20cidadania%20lituana&amp;gad_source=1&amp;gad_campaignid=14712129487&amp;gbraid=0AAAAADisZv9-3Tep8-EfeqN22RKHdO7Tr&amp;gclid=C</t>
  </si>
  <si>
    <t>tkfire3@gmail.com</t>
  </si>
  <si>
    <t>Kevin</t>
  </si>
  <si>
    <t>kevinzolubas@gmail.com</t>
  </si>
  <si>
    <t>?kw=%27cidadania%20lituana%27&amp;cpn=14712129487&amp;utm_source=google&amp;utm_medium=cpc&amp;utm_campaign=LT-BR&amp;network=g&amp;utm_term=%27cidadania%20lituana%27&amp;gad_source=1&amp;gad_campaignid=14712129487&amp;gbraid=0AAAAADisZv-or3DKURDHlKQAaZAV0hhOX&amp;gclid=Cj0KCQjw7IjOBhDyARI</t>
  </si>
  <si>
    <t>Abdullah al Mamun</t>
  </si>
  <si>
    <t>abdullah al Mamun</t>
  </si>
  <si>
    <t>Saudi Arabia</t>
  </si>
  <si>
    <t>a.mamun5170@gmail.com</t>
  </si>
  <si>
    <t>Faisal shahzad</t>
  </si>
  <si>
    <t>Pakistan (PK - AS)</t>
  </si>
  <si>
    <t>shahzadfaisal216@gmail.com</t>
  </si>
  <si>
    <t>Asim Nawaz Khan</t>
  </si>
  <si>
    <t>akandokpakistan@gmail.com</t>
  </si>
  <si>
    <t>Sarah Yokubaitis</t>
  </si>
  <si>
    <t>syokubaitis57@gmail.com</t>
  </si>
  <si>
    <t>Marc N. Berenbach</t>
  </si>
  <si>
    <t>https://www.lithuaniancitizenship.com/litvaks-history-jewish-heritage-in-lithuania/</t>
  </si>
  <si>
    <t>saftasaba@gmail.com</t>
  </si>
  <si>
    <t>William Anton Waterfield</t>
  </si>
  <si>
    <t>https://www.lithuaniancitizenship.com/contact/?Lithuania-Leads-Search-Canada</t>
  </si>
  <si>
    <t>billwaterfield@gmail.com</t>
  </si>
  <si>
    <t>Igor Chystokletov</t>
  </si>
  <si>
    <t>igor chystokletov</t>
  </si>
  <si>
    <t>Vietnam (VN - AS)</t>
  </si>
  <si>
    <t>?kw=latvia%20residence%20by%20investment&amp;cpn=20594231202&amp;utm_source=google&amp;utm_medium=cpc&amp;utm_campaign=LV-RBI&amp;network=g&amp;utm_term=latvia%20residence%20by%20investment&amp;gad_source=1&amp;gad_campaignid=20594231202&amp;gbraid=0AAAAADisZv-c1ol_TWLutmafBSquieXhU&amp;gc</t>
  </si>
  <si>
    <t>chystokletov@gmail.com</t>
  </si>
  <si>
    <t>Lewis Beasley</t>
  </si>
  <si>
    <t>Lewisbea110205@gmail.com</t>
  </si>
  <si>
    <t>Louis David Ferrari</t>
  </si>
  <si>
    <t>?kw=lithuanian%20ancestry%20search&amp;cpn=14656253006&amp;utm_source=google&amp;utm_medium=cpc&amp;utm_campaign=LT-US-conversions&amp;network=g&amp;utm_term=lithuanian%20ancestry%20search&amp;gad_source=1&amp;gad_campaignid=14656253006&amp;gbraid=0AAAAADisZv-fAEQLm2u6SIYb0VrYQbIFg&amp;gcl</t>
  </si>
  <si>
    <t>davidiscalling44@yahoo.com</t>
  </si>
  <si>
    <t>Briar Jabar</t>
  </si>
  <si>
    <t>briar@cri.bookingadvisors.com</t>
  </si>
  <si>
    <t>Carlos Montoya Ayala</t>
  </si>
  <si>
    <t>?kw=ciudadan%C3%ADa%20lituana&amp;cpn=14731585806&amp;utm_source=google&amp;utm_medium=cpc&amp;utm_campaign=LT-AR-CO-MX-UR&amp;network=g&amp;utm_term=ciudadan%C3%ADa%20lituana&amp;gad_source=1&amp;gad_campaignid=14731585806&amp;gclid=Cj0KCQjwj47OBhCmARIsAF5wUEFdufP_m4KsTWWNkPWdAqB77uhP</t>
  </si>
  <si>
    <t>viajesmontoya@gmail.com</t>
  </si>
  <si>
    <t>Waqas Ali</t>
  </si>
  <si>
    <t>https://latviancitizenship.eu/how-to-get-a-work-permit-in-latvia/</t>
  </si>
  <si>
    <t>khanwaqasali03@gmail.com</t>
  </si>
  <si>
    <t>антон малеев</t>
  </si>
  <si>
    <t>maleev_anton@inbox.ru</t>
  </si>
  <si>
    <t>Christian Vives</t>
  </si>
  <si>
    <t>vivesfr@yahoo.fr</t>
  </si>
  <si>
    <t>ÃZKAN SARAL</t>
  </si>
  <si>
    <t>info@onelife.com.tr</t>
  </si>
  <si>
    <t>Mariam Salem</t>
  </si>
  <si>
    <t>Libya</t>
  </si>
  <si>
    <t>?kw=latvia%20golden%20visa&amp;cpn=20594231202&amp;utm_source=google&amp;utm_medium=cpc&amp;utm_campaign=LV-RBI&amp;network=g&amp;utm_term=latvia%20golden%20visa&amp;gad_source=1&amp;gad_campaignid=20594231202&amp;gbraid=0AAAAADisZv8VqzEBs6lWRLs59pG_rWaqm&amp;gclid=Cj0KCQjwj47OBhCmARIsAF5w</t>
  </si>
  <si>
    <t>mariamsalem80@gmail.com</t>
  </si>
  <si>
    <t>Herb Klein</t>
  </si>
  <si>
    <t>herbklein@gmail.com</t>
  </si>
  <si>
    <t>Mr. Roger Berman</t>
  </si>
  <si>
    <t>Roger Berman</t>
  </si>
  <si>
    <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fAEQ</t>
  </si>
  <si>
    <t>rbermanboston@gmail.com</t>
  </si>
  <si>
    <t>Emily Silva Sarapina</t>
  </si>
  <si>
    <t>Venezuela</t>
  </si>
  <si>
    <t>sarapinas021@gmail.com</t>
  </si>
  <si>
    <t>dinesh murugesan</t>
  </si>
  <si>
    <t>dinesh040722@gmail.com</t>
  </si>
  <si>
    <t>Martin Drigotas</t>
  </si>
  <si>
    <t>mdd0987@gmail.com</t>
  </si>
  <si>
    <t>Olga Yashchishina</t>
  </si>
  <si>
    <t>The Netherlands</t>
  </si>
  <si>
    <t>https://www.lithuaniancitizenship.com/ru/registracziya-rozhdennyh-za-graniczej-detej-kak-grazhdan-litvy/</t>
  </si>
  <si>
    <t>Leonville@mail.ru</t>
  </si>
  <si>
    <t>APPLIED BY THEMSELVES</t>
  </si>
  <si>
    <t>Jolita Snieskiene</t>
  </si>
  <si>
    <t>Jolita snieskiene</t>
  </si>
  <si>
    <t>https://www.lithuaniancitizenship.com/registration-of-children-born-to-lithuanian-citizens/</t>
  </si>
  <si>
    <t>jadvile@gmail.com</t>
  </si>
  <si>
    <t>Jordan Black</t>
  </si>
  <si>
    <t>jblack30300@gmail.com</t>
  </si>
  <si>
    <t>Jeetu Singh</t>
  </si>
  <si>
    <t>?kw&amp;cpn=23357613537&amp;utm_source=google&amp;utm_medium=cpc&amp;utm_campaign=LT-Discovery&amp;network&amp;utm_term&amp;gad_campaignid=23357613537&amp;wbraid=ClQKCQjwj47OBhDHARJDAOza9m8Ptuk9irkLaNut77ozgABD_SZwnkFHDpYw_MSfTGe__gJWNWiePOe409QaWOmEXtjr2zQ8NtdXdRNCVDPTMBoC2Is</t>
  </si>
  <si>
    <t>jitendrasinghhp70@gmail.com</t>
  </si>
  <si>
    <t>Emre Alper Aydin</t>
  </si>
  <si>
    <t>https://latviancitizenship.eu/company/team/?LV-Leads-Search-RBI-RE TOP countries</t>
  </si>
  <si>
    <t>alper_emr@yahoo.com</t>
  </si>
  <si>
    <t>Daniel Eigenheer Guglielmetti Dobravolskis</t>
  </si>
  <si>
    <t>?kw=%27cidadania%20lituana%27&amp;cpn=14712129487&amp;utm_source=google&amp;utm_medium=cpc&amp;utm_campaign=LT-BR&amp;network=g&amp;utm_term=%27cidadania%20lituana%27&amp;gad_source=1&amp;gad_campaignid=14712129487&amp;gbraid=0AAAAADisZv82m69Po1mtLpxX5_sxZmqcS&amp;gclid=Cj0KCQjwj47OBhCmARI</t>
  </si>
  <si>
    <t>daniel.eigugli@gmail.com</t>
  </si>
  <si>
    <t>Peter H Miller</t>
  </si>
  <si>
    <t>?kw&amp;cpn=23481896379&amp;utm_source=google&amp;utm_medium=cpc&amp;utm_campaign=LT-Discovery-CA&amp;network&amp;utm_term&amp;gad_source=1&amp;gad_campaignid=23481896379&amp;gclid=CjwKCAjwspPOBhB9EiwATFbi5ALwEVq16euW2_cBG4_Ahd7ekBVVCkGewL4OVpd1tbsDc0mf7IQCURoCcVQQAvD_BwE</t>
  </si>
  <si>
    <t>petermiller1944@gmail.com</t>
  </si>
  <si>
    <t>jan novak</t>
  </si>
  <si>
    <t>aquaregia@email.cz</t>
  </si>
  <si>
    <t>Diego Tendler</t>
  </si>
  <si>
    <t>https://www.lithuaniancitizenship.com/es/contact-es/</t>
  </si>
  <si>
    <t>tendler_die@yahoo.com</t>
  </si>
  <si>
    <t>Lautaro Torres</t>
  </si>
  <si>
    <t>Argentina (AR - SA)</t>
  </si>
  <si>
    <t>https://latviancitizenship.eu/</t>
  </si>
  <si>
    <t>Lautarotorresbusiness@gmail.com</t>
  </si>
  <si>
    <t>John Carmichael</t>
  </si>
  <si>
    <t>?kw=can%20you%20get%20lithuanian%20citizenship%20through%20great%20grandparents&amp;cpn=14656253006&amp;utm_source=google&amp;utm_medium=cpc&amp;utm_campaign=LT-US-conversions&amp;network=g&amp;utm_term=can%20you%20get%20lithuanian%20citizenship%20through%20great%20grandpar</t>
  </si>
  <si>
    <t>johncarmichael04@outlook.com</t>
  </si>
  <si>
    <t>Лада Вайчуте</t>
  </si>
  <si>
    <t>?kw=%D0%B3%D1%80%D0%B0%D0%B6%D0%B4%D0%B0%D0%BD%D1%81%D1%82%D0%B2%D0%BE%20%D0%BB%D0%B8%D1%82%D0%B2%D1%8B&amp;cpn=23681560526&amp;utm_source=google&amp;utm_medium=cpc&amp;utm_campaign=LT-ru-lang-conversions&amp;network=g&amp;utm_term=%D0%B3%D1%80%D0%B0%D0%B6%D0%B4%D0%B0%D0%BD</t>
  </si>
  <si>
    <t>ladavaichute@yandex.ru</t>
  </si>
  <si>
    <t>Лесовский Дмитрий</t>
  </si>
  <si>
    <t>https://www.lithuaniancitizenship.com/ru/lithuania-dual-citizenship/</t>
  </si>
  <si>
    <t>dmitryles2016@gmail.com</t>
  </si>
  <si>
    <t>Helder Cesar Ferreira de Abreu</t>
  </si>
  <si>
    <t>ogitra@msn.com</t>
  </si>
  <si>
    <t>Mark Fitzgerald</t>
  </si>
  <si>
    <t>mark.t.fitzgerald@gmail.com</t>
  </si>
  <si>
    <t>SECOND FFUP SENT</t>
  </si>
  <si>
    <t>https://www.lithuaniancitizenship.com/investment/?Lithuania--Search-Conversions-USA</t>
  </si>
  <si>
    <t>Susan Slicis Darrell</t>
  </si>
  <si>
    <t>?kw=can%20i%20get%20a%20lithuanian%20passport&amp;cpn=14656253006&amp;utm_source=google&amp;utm_medium=cpc&amp;utm_campaign=LT-US-conversions&amp;network=g&amp;utm_term=can%20i%20get%20a%20lithuanian%20passport&amp;gad_source=1&amp;gad_campaignid=14656253006&amp;gclid=CjwKCAjwspPOBhB9E</t>
  </si>
  <si>
    <t>sdarrellag@hotmail.com</t>
  </si>
  <si>
    <t>Mohamed Alimasi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</si>
  <si>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_8bD0e6-kwMVEZtQBh1JBBqFEAAYASAA</t>
  </si>
  <si>
    <t>mohamedalmasi62@gmail.com</t>
  </si>
  <si>
    <t>Danielle Willard</t>
  </si>
  <si>
    <t>daniellewillard@yahoo.com</t>
  </si>
  <si>
    <t>Linzy</t>
  </si>
  <si>
    <t>冼玲霄</t>
  </si>
  <si>
    <t>China</t>
  </si>
  <si>
    <t>xianlingxiao@bijcorp.com</t>
  </si>
  <si>
    <t>Chiranjeevi Lanka</t>
  </si>
  <si>
    <t>?kw=latvia%20investment&amp;cpn=20594231202&amp;utm_source=google&amp;utm_medium=cpc&amp;utm_campaign=LV-RBI&amp;network=g&amp;utm_term=latvia%20investment&amp;gad_source=1&amp;gad_campaignid=20594231202&amp;gbraid=0AAAAADisZv_w95f26d3gGCSB_9XAgcDdj&amp;gclid=CjwKCAjwspPOBhB9EiwATFbi5ICoVf</t>
  </si>
  <si>
    <t>prabhuravi.lanka@gmail.com</t>
  </si>
  <si>
    <t>Lana Maydew</t>
  </si>
  <si>
    <t>lana@jlia.co.za</t>
  </si>
  <si>
    <t>Mian Zulfiqaar</t>
  </si>
  <si>
    <t>mian zulfiqaar</t>
  </si>
  <si>
    <t>Taiwan (TW - AS)</t>
  </si>
  <si>
    <t>?kw=europe%20residence%20by%20investment&amp;cpn=22658494721&amp;utm_source=google&amp;utm_medium=cpc&amp;utm_campaign=LV-RBI-TOP&amp;network=g&amp;utm_term=europe%20residence%20by%20investment&amp;gad_source=1&amp;gad_campaignid=22658494721&amp;gbraid=0AAAAADisZv8IlIa-L8mlpbjs0ZA6hgtn</t>
  </si>
  <si>
    <t>zulfiqar@163.com</t>
  </si>
  <si>
    <t>Vannary Tieng</t>
  </si>
  <si>
    <t>vtieng@yahoo.fr</t>
  </si>
  <si>
    <t>Aaron .Sliski</t>
  </si>
  <si>
    <t>aaron.sliski@gmail.com</t>
  </si>
  <si>
    <t>Akbar Husain</t>
  </si>
  <si>
    <t>THIRD FFUP SENT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</si>
  <si>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wuHCiPu_kwMViJlQBh2ncT07EAAYASAA</t>
  </si>
  <si>
    <t>mdakberhosseb@gmail.com</t>
  </si>
  <si>
    <t>kuszai.c</t>
  </si>
  <si>
    <t>Davi Juan Antunes Motta</t>
  </si>
  <si>
    <t>Davi Juan</t>
  </si>
  <si>
    <t>davijuan.antunes@hotmail.com</t>
  </si>
  <si>
    <t>sudhan</t>
  </si>
  <si>
    <t>sudhan.hhs10@gmail.com</t>
  </si>
  <si>
    <t>Kamran</t>
  </si>
  <si>
    <t>?kw=residence%20permit%20latvian&amp;cpn=20594231202&amp;utm_source=google&amp;utm_medium=cpc&amp;utm_campaign=LV-RBI&amp;network=g&amp;utm_term=residence%20permit%20latvian&amp;gad_source=1&amp;gad_campaignid=20594231202&amp;gbraid=0AAAAADisZv_w95f26d3gGCSB_9XAgcDdj&amp;gclid=Cj0KCQjw1ZjO</t>
  </si>
  <si>
    <t>Kamranr17@hotmail.com</t>
  </si>
  <si>
    <t>Sandra Salter</t>
  </si>
  <si>
    <t>sandra.salter@rogers.com</t>
  </si>
  <si>
    <t>Jeremy Sue</t>
  </si>
  <si>
    <t>New Zealand</t>
  </si>
  <si>
    <t>jbsue00@gmail.com</t>
  </si>
  <si>
    <t>Artem Zalaletdinov</t>
  </si>
  <si>
    <t>https://www.lithuaniancitizenship.com/ru/kak-poluchit-grazhdanstvo-litvy-po-kornyam/?direct</t>
  </si>
  <si>
    <t>artartful@inbox.ru</t>
  </si>
  <si>
    <t>Marianne Galvicius</t>
  </si>
  <si>
    <t>?kw=nacionalidad%20lituana&amp;cpn=14731585806&amp;utm_source=google&amp;utm_medium=cpc&amp;utm_campaign=LT-AR-CO-MX-UR&amp;network=g&amp;utm_term=nacionalidad%20lituana&amp;gad_source=1&amp;gad_campaignid=14731585806&amp;gbraid=0AAAAADisZv_7MXjVWwuB7-EJmX-xrGL2v&amp;gclid=Cj0KCQjw1ZjOBhCm</t>
  </si>
  <si>
    <t>mariannegalvicius@gmail.com</t>
  </si>
  <si>
    <t>Steven M Douglass</t>
  </si>
  <si>
    <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OHyna5II</t>
  </si>
  <si>
    <t>stdouglass86@gmail.com</t>
  </si>
  <si>
    <t>Michelle Dickenson</t>
  </si>
  <si>
    <t>?kw=genealogy%20lithuanian&amp;cpn=17158881096&amp;utm_source=google&amp;utm_medium=cpc&amp;utm_campaign=LT-EU&amp;network=g&amp;utm_term=genealogy%20lithuanian&amp;gad_source=1&amp;gad_campaignid=17158881096&amp;gbraid=0AAAAADisZv_0JcDGe3sL9SDhAsojUBPwI&amp;gclid=Cj0KCQjw1ZjOBhCmARIsADDuF</t>
  </si>
  <si>
    <t>sunnegrl7@gmail.com</t>
  </si>
  <si>
    <t>HAMAD YOUSAF</t>
  </si>
  <si>
    <t>hamadyousaf.16arid@gmail.com</t>
  </si>
  <si>
    <t>Saiful Islam</t>
  </si>
  <si>
    <t>?kw=portugal%20residency%20by%20investment&amp;cpn=22658494721&amp;utm_source=google&amp;utm_medium=cpc&amp;utm_campaign=LV-RBI-TOP&amp;network=s&amp;utm_term=portugal%20residency%20by%20investment&amp;gad_source=5&amp;gad_campaignid=22658494721&amp;gclid=EAIaIQobChMIuKS_-43CkwMVKotQBh</t>
  </si>
  <si>
    <t>saifulislam8980000@gmail.com</t>
  </si>
  <si>
    <t>Khan Wali</t>
  </si>
  <si>
    <t>awpareshan@gmail.com</t>
  </si>
  <si>
    <t>Aryan</t>
  </si>
  <si>
    <t>?kw=europe%20residence%20by%20investment&amp;cpn=22658494721&amp;utm_source=google&amp;utm_medium=cpc&amp;utm_campaign=LV-RBI-TOP&amp;network=g&amp;utm_term=europe%20residence%20by%20investment&amp;gad_source=1&amp;gad_campaignid=22658494721&amp;gbraid=0AAAAADisZv-Pk-XAR_7IfGRqu_3iT1eV</t>
  </si>
  <si>
    <t>aryansayal99@gmail.com</t>
  </si>
  <si>
    <t>FURKAT SIDIKOV</t>
  </si>
  <si>
    <t>Uzbekistan</t>
  </si>
  <si>
    <t>?kw=%D0%BB%D0%B8%D1%82%D0%BE%D0%B2%D1%81%D0%BA%D0%B8%D0%B9%20%D0%BF%D0%B0%D1%81%D0%BF%D0%BE%D1%80%D1%82&amp;cpn=23681560526&amp;utm_source=google&amp;utm_medium=cpc&amp;utm_campaign=LT-ru-lang-conversions&amp;network=g&amp;utm_term=%D0%BB%D0%B8%D1%82%D0%BE%D0%B2%D1%81%D0%BA</t>
  </si>
  <si>
    <t>f84670575@gmail.com</t>
  </si>
  <si>
    <t>LUCAS OTAVIO SIQUEIRA CASTRO</t>
  </si>
  <si>
    <t>?kw=%27cidadania%20lituana%27&amp;cpn=14712129487&amp;utm_source=google&amp;utm_medium=cpc&amp;utm_campaign=LT-BR&amp;network=g&amp;utm_term=%27cidadania%20lituana%27&amp;gad_source=1&amp;gad_campaignid=14712129487&amp;gclid=CjwKCAjw-J3OBhBuEiwAwqZ_h66STv3xoM1djjHXgozz22FZDMbgTKXbQQJpu</t>
  </si>
  <si>
    <t>lucasotaviosiq@gmail.com</t>
  </si>
  <si>
    <t>Emerson Mockaites</t>
  </si>
  <si>
    <t>Emerson mockaites</t>
  </si>
  <si>
    <t>?kw=cidadania%20lituana%20como%20tirar&amp;cpn=14712129487&amp;utm_source=google&amp;utm_medium=cpc&amp;utm_campaign=LT-BR&amp;network=g&amp;utm_term=cidadania%20lituana%20como%20tirar&amp;gad_source=1&amp;gad_campaignid=14712129487&amp;gclid=CjwKCAjw-J3OBhBuEiwAwqZ_h2zEzrC1z-Y97PblWxG</t>
  </si>
  <si>
    <t>emersonmock@hotmail.com</t>
  </si>
  <si>
    <t>David Silverstein</t>
  </si>
  <si>
    <t>?kw&amp;cpn=23481896379&amp;utm_source=google&amp;utm_medium=cpc&amp;utm_campaign=LT-Discovery-CA&amp;network&amp;utm_term&amp;gad_source=1&amp;gad_campaignid=23481896379&amp;gclid=CjwKCAjw-J3OBhBuEiwAwqZ_h2JcaFCZ6lbKGkbFdHQ8P-KgRQBwghpTimE2SKDUlUiwBS4vqXH7zBoCqf8QAvD_BwE</t>
  </si>
  <si>
    <t>dsilv@rogers.com</t>
  </si>
  <si>
    <t>Husen Yasin</t>
  </si>
  <si>
    <t>?kw&amp;cpn=23481896379&amp;utm_source=google&amp;utm_medium=cpc&amp;utm_campaign=LT-Discovery-CA&amp;network&amp;utm_term&amp;gad_source=1&amp;gad_campaignid=23481896379&amp;gclid=CjwKCAjw-J3OBhBuEiwAwqZ_h94r3dvsw-uzWLR0yy8bKURUiihbFbmkU5gp1Rd37Ni-3dTQMsWqkBoChPgQAvD_BwE</t>
  </si>
  <si>
    <t>huseny598@gmail.com</t>
  </si>
  <si>
    <t>Bronya Bobrov</t>
  </si>
  <si>
    <t>?utm_source=bing&amp;utm_medium=cpc&amp;utm_campaign=Bing-LV-USA&amp;msclkid=0de97c03d12b1f9e965215cb4a73cde4</t>
  </si>
  <si>
    <t>bbobrov@sbcglobal.net</t>
  </si>
  <si>
    <t>Rufat Abasov</t>
  </si>
  <si>
    <t>rufat@staffco.io</t>
  </si>
  <si>
    <t>Jose Bellemans</t>
  </si>
  <si>
    <t>?kw=lituania%20ciudadania&amp;cpn=14731585806&amp;utm_source=google&amp;utm_medium=cpc&amp;utm_campaign=LT-AR-CO-MX-UR&amp;network=g&amp;utm_term=lituania%20ciudadania&amp;gad_source=1&amp;gad_campaignid=14731585806&amp;gbraid=0AAAAADisZv-jJLUc_7IeopbR_GOGbI3Zj&amp;gclid=Cj0KCQjwm6POBhCrAR</t>
  </si>
  <si>
    <t>josebellemans6@gmail.com</t>
  </si>
  <si>
    <t>Walli Ullah Hassan</t>
  </si>
  <si>
    <t>walli Ullah Hassan</t>
  </si>
  <si>
    <t>?kw=latvia%20investment&amp;cpn=20594231202&amp;utm_source=google&amp;utm_medium=cpc&amp;utm_campaign=LV-RBI&amp;network=g&amp;utm_term=latvia%20investment&amp;gad_source=1&amp;gad_campaignid=20594231202&amp;gbraid=0AAAAADisZv8naPEX6mBathLWvSxgbB07s&amp;gclid=CjwKCAjwspPOBhB9EiwATFbi5H2Ac7</t>
  </si>
  <si>
    <t>walli_hasan@yahoo.com</t>
  </si>
  <si>
    <t>Debbie Marcow</t>
  </si>
  <si>
    <t>France (FR - EU)</t>
  </si>
  <si>
    <t>https://latviancitizenship.eu/how-to-prove-latvian-descent-a-step-by-step-document-guide/</t>
  </si>
  <si>
    <t>debbie.marcow@gmail.com</t>
  </si>
  <si>
    <t>Valda Wittkop</t>
  </si>
  <si>
    <t>?kw&amp;cpn=23440895177&amp;utm_source=google&amp;utm_medium=cpc&amp;utm_campaign=LT-Discovery-US&amp;network&amp;utm_term&amp;gad_source=1&amp;gad_campaignid=23440895177&amp;gclid=CjwKCAjw-J3OBhBuEiwAwqZ_h3vVuNiH1h-rsWzhl5sD6_WvLeGghUdATRB9Xtr6eEeQ7xch6mmPdBoCggYQAvD_BwE</t>
  </si>
  <si>
    <t>miwittkop@gmail.com</t>
  </si>
  <si>
    <t>Jonathan Maas</t>
  </si>
  <si>
    <t>jondavidmaas@gmail.com</t>
  </si>
  <si>
    <t>Jennifer Rae Peters</t>
  </si>
  <si>
    <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t>
  </si>
  <si>
    <t>jenirae_peters@hotmail.com</t>
  </si>
  <si>
    <t>Aline Broga Kizirian</t>
  </si>
  <si>
    <t>Aline broga kizirian</t>
  </si>
  <si>
    <t>?kw=nacionalidade%20lituana&amp;cpn=14712129487&amp;utm_source=google&amp;utm_medium=cpc&amp;utm_campaign=LT-BR&amp;network=g&amp;utm_term=nacionalidade%20lituana&amp;gad_source=1&amp;gad_campaignid=14712129487&amp;gbraid=0AAAAADisZv9QCtJDrDWKT4iqAdL1g365_&amp;gclid=Cj0KCQjwm6POBhCrARIsAIG</t>
  </si>
  <si>
    <t>alinekizirian9@gmail.com</t>
  </si>
  <si>
    <t>Michael Leonas Fuerst-Smith</t>
  </si>
  <si>
    <t>Mifuerst95@gmail.com</t>
  </si>
  <si>
    <t>Muhammad Aslam</t>
  </si>
  <si>
    <t>mughaliaconsultancy@gmail.com</t>
  </si>
  <si>
    <t>Daniel Leigh</t>
  </si>
  <si>
    <t>daniel.leigh@yahoo.co.uk</t>
  </si>
  <si>
    <t>Vladlena Shulezhko</t>
  </si>
  <si>
    <t>vladlena.shulezhko@trate.com</t>
  </si>
  <si>
    <t>William Bagnall</t>
  </si>
  <si>
    <t>https://www.lithuaniancitizenship.com/contact/?Lithuania-Leads-Search-Australia</t>
  </si>
  <si>
    <t>bagnall_w@yahoo.com</t>
  </si>
  <si>
    <t>Guilherme Bellopede Ambrozevicius</t>
  </si>
  <si>
    <t>?kw=como%20tirar%20cidadania%20lituana&amp;cpn=14712129487&amp;utm_source=google&amp;utm_medium=cpc&amp;utm_campaign=LT-BR&amp;network=g&amp;utm_term=como%20tirar%20cidadania%20lituana&amp;gad_source=1&amp;gad_campaignid=14712129487&amp;gbraid=0AAAAADisZv8gy0n50ley2k-K79yZK3eDy&amp;gclid=C</t>
  </si>
  <si>
    <t>guiguibellopede@gmail.com</t>
  </si>
  <si>
    <t>Júlia Lima Capeli</t>
  </si>
  <si>
    <t>?kw=%27cidadania%20lituana%27&amp;cpn=14712129487&amp;utm_source=google&amp;utm_medium=cpc&amp;utm_campaign=LT-BR&amp;network=g&amp;utm_term=%27cidadania%20lituana%27&amp;gad_source=1&amp;gad_campaignid=14712129487&amp;gbraid=0AAAAADisZv8gy0n50ley2k-K79yZK3eDy&amp;gclid=CjwKCAjwvqjOBhAGEiw</t>
  </si>
  <si>
    <t>julialimacapeli99@gmail.com</t>
  </si>
  <si>
    <t>Deltyn bryer</t>
  </si>
  <si>
    <t>bdeltyn@gmail.com</t>
  </si>
  <si>
    <t>Danielle Bautriamacius</t>
  </si>
  <si>
    <t>danibautriamacius@yahoo.com.br</t>
  </si>
  <si>
    <t>Kerry Pal</t>
  </si>
  <si>
    <t>kpal2067@yahoo.com</t>
  </si>
  <si>
    <t>Sajib Islam</t>
  </si>
  <si>
    <t>?kw=portugal%20residency%20by%20investment&amp;cpn=22658494721&amp;utm_source=google&amp;utm_medium=cpc&amp;utm_campaign=LV-RBI-TOP&amp;network=s&amp;utm_term=portugal%20residency%20by%20investment&amp;gad_source=5&amp;gad_campaignid=22658494721&amp;gclid=EAIaIQobChMI8fPamvTIkwMVSbpoCR</t>
  </si>
  <si>
    <t>islamsajib102@gmail.com</t>
  </si>
  <si>
    <t>MELCHIOR MARCONDES SOARES</t>
  </si>
  <si>
    <t>?kw=cidadania%20lituana%20como%20tirar&amp;cpn=14712129487&amp;utm_source=google&amp;utm_medium=cpc&amp;utm_campaign=LT-BR&amp;network=g&amp;utm_term=cidadania%20lituana%20como%20tirar&amp;gad_source=1&amp;gad_campaignid=14712129487&amp;gclid=CjwKCAjwvqjOBhAGEiwAngeQnbtvpXLK_4d1aTWorlL</t>
  </si>
  <si>
    <t>melchiorms.ms@gmail.com</t>
  </si>
  <si>
    <t>Jeff Brown</t>
  </si>
  <si>
    <t>j.brown909@icloud.com</t>
  </si>
  <si>
    <t>Monique Hutchinson</t>
  </si>
  <si>
    <t>hutchinson.moniquen@gmail.com</t>
  </si>
  <si>
    <t>Jacob</t>
  </si>
  <si>
    <t>Jacob Burman</t>
  </si>
  <si>
    <t>burman.jacob@gmail.com</t>
  </si>
  <si>
    <t>Newsletter</t>
  </si>
  <si>
    <t>Khagendra Bahadur Bhandari</t>
  </si>
  <si>
    <t>?kw=portugal%20golden%20visa%202026&amp;cpn=22658494721&amp;utm_source=google&amp;utm_medium=cpc&amp;utm_campaign=LV-RBI-TOP&amp;network=s&amp;utm_term=portugal%20golden%20visa%202026&amp;gad_source=5&amp;gad_campaignid=22658494721&amp;gclid=EAIaIQobChMIhInl4b_JkwMVOvZ5BB2jFiNJEAAYASAA</t>
  </si>
  <si>
    <t>bhandaritarzan82@gmail.com</t>
  </si>
  <si>
    <t>Olga T.</t>
  </si>
  <si>
    <t>terentieva.olga@gmail.com</t>
  </si>
  <si>
    <t>ashraf eshmawy</t>
  </si>
  <si>
    <t>a.ashraf.eshmawy@gmail.com</t>
  </si>
  <si>
    <t>Jas Sidak</t>
  </si>
  <si>
    <t>jas.sidak@maxeltracker.com</t>
  </si>
  <si>
    <t>MR. MATTHEW BLACKWELL</t>
  </si>
  <si>
    <t>MATTHEW BLACKWELL</t>
  </si>
  <si>
    <t>https://www.lithuaniancitizenship.com/contact/?cross-network</t>
  </si>
  <si>
    <t>MATTHEWJBLACKWELL77@GMAIL.COM</t>
  </si>
  <si>
    <t>MRS KATE TANNING</t>
  </si>
  <si>
    <t>?kw&amp;cpn=23440895177&amp;utm_source=google&amp;utm_medium=cpc&amp;utm_campaign=LT-Discovery-US&amp;network&amp;utm_term&amp;gad_campaignid=23440895177&amp;wbraid=ClMKCAjwvqjOBhA0EkMAzCFyojNtrpE_mXJY9T7eyOk57QPUTMzmZRESi-xxd_uWXlNZCQujorK-fi-960Zh_XLG0nhNp7K9L0YEEopuQcJGGgJcwg</t>
  </si>
  <si>
    <t>ktanning1003@gmail.com</t>
  </si>
  <si>
    <t>Chetan Patel</t>
  </si>
  <si>
    <t>?kw&amp;cpn=23440895177&amp;utm_source=google&amp;utm_medium=cpc&amp;utm_campaign=LT-Discovery-US&amp;network&amp;utm_term&amp;gad_campaignid=23440895177&amp;wbraid=ClMKCAjwvqjOBhA0EkMAzCFyotjyeJeLi0XDnkfrvMXrveZY00vU_gDhbbEe3WjPYhTsKMlhlgA1IXq6nguJL0dcBmnpH_kMnA2Tzi0VeroqGgJjtA</t>
  </si>
  <si>
    <t>chuckpatel1971@yahoo.com</t>
  </si>
  <si>
    <t>Profit after marketing expenditure</t>
  </si>
  <si>
    <t>Act. result month</t>
  </si>
  <si>
    <t>Plan month</t>
  </si>
  <si>
    <t>Act. result 3 months average</t>
  </si>
  <si>
    <t>Plan 3 months av.</t>
  </si>
  <si>
    <t>Revenue</t>
  </si>
  <si>
    <t>Sales</t>
  </si>
  <si>
    <t>Marketing cost</t>
  </si>
  <si>
    <t>Paid traffic</t>
  </si>
  <si>
    <t>Paid traffic 3 months average</t>
  </si>
  <si>
    <t>Signed contracts</t>
  </si>
  <si>
    <t>LT contracts</t>
  </si>
  <si>
    <t>LV contracts</t>
  </si>
  <si>
    <t># of leads</t>
  </si>
  <si>
    <t># of clicks</t>
  </si>
  <si>
    <t>LT</t>
  </si>
  <si>
    <t>Others</t>
  </si>
  <si>
    <t>LV</t>
  </si>
  <si>
    <t>LV RBI</t>
  </si>
  <si>
    <t>Company formation</t>
  </si>
  <si>
    <t>Total LT&amp;LV leads from paid traffic</t>
  </si>
  <si>
    <t>Total LT&amp;LV leads from other sources</t>
  </si>
  <si>
    <t>Conversion Lead / Contract</t>
  </si>
  <si>
    <t>LT 3 months</t>
  </si>
  <si>
    <t>LV 3 months</t>
  </si>
  <si>
    <t>Assigner</t>
  </si>
  <si>
    <t>Source</t>
  </si>
  <si>
    <t>Start date</t>
  </si>
  <si>
    <t>Link to task</t>
  </si>
  <si>
    <t>[Action Required] New Event: Gabriel Chiode - 10:00 Tue, 3 Mar 2026 - 30 Minute Meeting</t>
  </si>
  <si>
    <t>New</t>
  </si>
  <si>
    <t>https://decivitate.planfix.com/task/10939</t>
  </si>
  <si>
    <t>[Action Required] New Event: Robert Balzekas - 15:00 Wed, 11 Mar 2026 - 30 Minute Meeting</t>
  </si>
  <si>
    <t>https://decivitate.planfix.com/task/11141</t>
  </si>
  <si>
    <t>[Action Required] New Event: Harold Smilay - 10:00 Tue, 10 Mar 2026 - 30 Minute Meeting</t>
  </si>
  <si>
    <t>https://decivitate.planfix.com/task/11235</t>
  </si>
  <si>
    <t>[Action Required] New Event: Nicholas Januska - 14:00 Wed, 11 Mar 2026 - 30 Minute Meeting</t>
  </si>
  <si>
    <t>https://decivitate.planfix.com/task/11241</t>
  </si>
  <si>
    <t>[Action Required] New Event: Arlo Dolven - 15:30 Mon, 16 Mar 2026 - 30 Minute Meeting</t>
  </si>
  <si>
    <t>https://decivitate.planfix.com/task/11298</t>
  </si>
  <si>
    <t>[Action Required] New Event: Charlie Lockwood - 15:30 Tue, 17 Mar 2026 - 30 Minute Meeting</t>
  </si>
  <si>
    <t>https://decivitate.planfix.com/task/11311</t>
  </si>
  <si>
    <t>[Action Required] New Event: John Phillips - 10:30 Tue, 17 Mar 2026 - 30 Minute Meeting</t>
  </si>
  <si>
    <t>https://decivitate.planfix.com/task/11397</t>
  </si>
  <si>
    <t>[Action Required] New Event: Tobie Klibansky - 15:00 Tue, 17 Mar 2026 - 30 Minute Meeting</t>
  </si>
  <si>
    <t>https://decivitate.planfix.com/task/11406</t>
  </si>
  <si>
    <t>[Action Required] New Event: Jake Cedar - 15:00 Mon, 16 Mar 2026 - 30 Minute Meeting</t>
  </si>
  <si>
    <t>https://decivitate.planfix.com/task/11419</t>
  </si>
  <si>
    <t>[Action Required] New Event: Andreev - 14:30 Wed, 18 Mar 2026 - 30 Minute Meeting</t>
  </si>
  <si>
    <t>https://decivitate.planfix.com/task/11527</t>
  </si>
  <si>
    <t>[Action Required] New Event: Dharma Waitkunas - 15:00 Wed, 18 Mar 2026 - 30 Minute Meeting</t>
  </si>
  <si>
    <t>https://decivitate.planfix.com/task/11541</t>
  </si>
  <si>
    <t>[Action Required] New Event: Devon Fiorelli - 15:00 Tue, 24 Mar 2026 - 30 Minute Meeting</t>
  </si>
  <si>
    <t>https://decivitate.planfix.com/task/11652</t>
  </si>
  <si>
    <t>[Action Required] New Event: jay - 15:00 Wed, 25 Mar 2026 - 30 Minute Meeting</t>
  </si>
  <si>
    <t>https://decivitate.planfix.com/task/11667</t>
  </si>
  <si>
    <t>[Action Required] New Event: Diana Bittern - 15:00 Mon, 23 Mar 2026 - 30 Minute Meeting</t>
  </si>
  <si>
    <t>Diana Bittern</t>
  </si>
  <si>
    <t>https://decivitate.planfix.com/task/11700</t>
  </si>
  <si>
    <t>[Action Required] New Event: Scott Dorman - 15:30 Mon, 30 Mar 2026 - 30 Minute Meeting</t>
  </si>
  <si>
    <t>https://decivitate.planfix.com/task/11752</t>
  </si>
  <si>
    <t>[Action Required] New Event: Gurran P Kane - 15:30 Mon, 23 Mar 2026 - 30 Minute Meeting</t>
  </si>
  <si>
    <t>Gurran P Kane</t>
  </si>
  <si>
    <t>https://decivitate.planfix.com/task/11765</t>
  </si>
  <si>
    <t>[Action Required] New Event: Mariana - 15:00 Mon, 30 Mar 2026 - 30 Minute Meeting</t>
  </si>
  <si>
    <t>Mariana</t>
  </si>
  <si>
    <t>https://decivitate.planfix.com/task/11934</t>
  </si>
  <si>
    <t>[Action Required] New Event: Artem Zalaletdinov - 12:30 Tue, 31 Mar 2026 - 30 Minute Meeting</t>
  </si>
  <si>
    <t>https://decivitate.planfix.com/task/12048</t>
  </si>
  <si>
    <t>[Action Required] New Event: Алена - 15:30 Tue, 31 Mar 2026 - 30 Minute Meeting</t>
  </si>
  <si>
    <t>Алена</t>
  </si>
  <si>
    <t>https://decivitate.planfix.com/task/12097</t>
  </si>
  <si>
    <t>Total (including Bridgewest &amp; Calendly)</t>
  </si>
  <si>
    <t>Marketing expense</t>
  </si>
  <si>
    <t>LT Comp.</t>
  </si>
  <si>
    <t>Instagram</t>
  </si>
  <si>
    <t>Google</t>
  </si>
  <si>
    <t>Bing</t>
  </si>
  <si>
    <t>Total spent</t>
  </si>
  <si>
    <t>Total leads</t>
  </si>
  <si>
    <t>Spent per contract</t>
  </si>
  <si>
    <t>Conversion Lead/Contract</t>
  </si>
  <si>
    <t>Traffic</t>
  </si>
  <si>
    <t>Website conversion</t>
  </si>
  <si>
    <t>FB leads</t>
  </si>
  <si>
    <t>Inst leads</t>
  </si>
  <si>
    <t>Google leads</t>
  </si>
  <si>
    <t>Bing leads</t>
  </si>
  <si>
    <t>Other leads</t>
  </si>
  <si>
    <t>Conversion Lead/Contract (cit)</t>
  </si>
  <si>
    <t>Total</t>
  </si>
  <si>
    <t>CPL FB</t>
  </si>
  <si>
    <t>CPL Inst</t>
  </si>
  <si>
    <t>CPL Google</t>
  </si>
  <si>
    <t>CPL Bing</t>
  </si>
  <si>
    <t>CPL total leads</t>
  </si>
  <si>
    <t>Contracts by source</t>
  </si>
  <si>
    <t>Organic search</t>
  </si>
  <si>
    <t>others</t>
  </si>
  <si>
    <t>Source not defined (website form)</t>
  </si>
  <si>
    <t>Conclusions</t>
  </si>
  <si>
    <t>1 марта 2026 г. - 31 марта 2026 г.</t>
  </si>
  <si>
    <t>Кампания</t>
  </si>
  <si>
    <t>Статус кампании</t>
  </si>
  <si>
    <t>Тип кампании</t>
  </si>
  <si>
    <t>Страна/территория (сопоставлено)</t>
  </si>
  <si>
    <t>Группа объявлений</t>
  </si>
  <si>
    <t>Kлики</t>
  </si>
  <si>
    <t>Показы</t>
  </si>
  <si>
    <t>CTR</t>
  </si>
  <si>
    <t>Код валюты</t>
  </si>
  <si>
    <t>Ср. цена за клик</t>
  </si>
  <si>
    <t>Расходы</t>
  </si>
  <si>
    <t>Конверсии</t>
  </si>
  <si>
    <t>Конверсии по показам</t>
  </si>
  <si>
    <t>Стоимость/конв.</t>
  </si>
  <si>
    <t>Коэфф. конверсии</t>
  </si>
  <si>
    <t>Lithuania Discovery-US</t>
  </si>
  <si>
    <t>Включено</t>
  </si>
  <si>
    <t>Создание спроса</t>
  </si>
  <si>
    <t>Соединенные Штаты Америки</t>
  </si>
  <si>
    <t>Ad group 1</t>
  </si>
  <si>
    <t>491</t>
  </si>
  <si>
    <t>17 159</t>
  </si>
  <si>
    <t>2,86%</t>
  </si>
  <si>
    <t>EUR</t>
  </si>
  <si>
    <t>0,62</t>
  </si>
  <si>
    <t>304,95</t>
  </si>
  <si>
    <t>23,00</t>
  </si>
  <si>
    <t>0</t>
  </si>
  <si>
    <t>13,26</t>
  </si>
  <si>
    <t>4,68%</t>
  </si>
  <si>
    <t>Lithuania Discovery</t>
  </si>
  <si>
    <t>Израиль</t>
  </si>
  <si>
    <t>439</t>
  </si>
  <si>
    <t>15 865</t>
  </si>
  <si>
    <t>2,77%</t>
  </si>
  <si>
    <t>0,23</t>
  </si>
  <si>
    <t>100,23</t>
  </si>
  <si>
    <t>8,00</t>
  </si>
  <si>
    <t>12,53</t>
  </si>
  <si>
    <t>1,82%</t>
  </si>
  <si>
    <t>Lithuania--Search-Conversions-USA</t>
  </si>
  <si>
    <t>Поиск</t>
  </si>
  <si>
    <t>SKAG 1</t>
  </si>
  <si>
    <t>424</t>
  </si>
  <si>
    <t>2 897</t>
  </si>
  <si>
    <t>14,64%</t>
  </si>
  <si>
    <t>2,28</t>
  </si>
  <si>
    <t>966,26</t>
  </si>
  <si>
    <t>29,00</t>
  </si>
  <si>
    <t>33,32</t>
  </si>
  <si>
    <t>6,84%</t>
  </si>
  <si>
    <t>LV-Leads-Search-RBI TOP countries</t>
  </si>
  <si>
    <t>Объединенные Арабские Эмираты</t>
  </si>
  <si>
    <t>LV RBI Business</t>
  </si>
  <si>
    <t>375</t>
  </si>
  <si>
    <t>2 502</t>
  </si>
  <si>
    <t>14,99%</t>
  </si>
  <si>
    <t>1,15</t>
  </si>
  <si>
    <t>431,16</t>
  </si>
  <si>
    <t>61,00</t>
  </si>
  <si>
    <t>7,07</t>
  </si>
  <si>
    <t>16,27%</t>
  </si>
  <si>
    <t>Lithuania Discovery-CA</t>
  </si>
  <si>
    <t>Канада</t>
  </si>
  <si>
    <t>329</t>
  </si>
  <si>
    <t>12 165</t>
  </si>
  <si>
    <t>2,70%</t>
  </si>
  <si>
    <t>0,46</t>
  </si>
  <si>
    <t>152,86</t>
  </si>
  <si>
    <t>14,00</t>
  </si>
  <si>
    <t>10,92</t>
  </si>
  <si>
    <t>4,26%</t>
  </si>
  <si>
    <t>Lithuania-Leads-Search-Brazil</t>
  </si>
  <si>
    <t>Бразилия</t>
  </si>
  <si>
    <t>Citizenship-pt</t>
  </si>
  <si>
    <t>251</t>
  </si>
  <si>
    <t>1 826</t>
  </si>
  <si>
    <t>13,75%</t>
  </si>
  <si>
    <t>1,61</t>
  </si>
  <si>
    <t>403,72</t>
  </si>
  <si>
    <t>42,00</t>
  </si>
  <si>
    <t>9,61</t>
  </si>
  <si>
    <t>16,73%</t>
  </si>
  <si>
    <t>Ancestry</t>
  </si>
  <si>
    <t>185</t>
  </si>
  <si>
    <t>1 405</t>
  </si>
  <si>
    <t>13,17%</t>
  </si>
  <si>
    <t>2,62</t>
  </si>
  <si>
    <t>485,31</t>
  </si>
  <si>
    <t>15,50</t>
  </si>
  <si>
    <t>31,31</t>
  </si>
  <si>
    <t>8,38%</t>
  </si>
  <si>
    <t>Катар</t>
  </si>
  <si>
    <t>162</t>
  </si>
  <si>
    <t>601</t>
  </si>
  <si>
    <t>26,96%</t>
  </si>
  <si>
    <t>0,99</t>
  </si>
  <si>
    <t>160,21</t>
  </si>
  <si>
    <t>37,00</t>
  </si>
  <si>
    <t>4,33</t>
  </si>
  <si>
    <t>22,84%</t>
  </si>
  <si>
    <t>Lithuania-Leads-Search-Argentina/Colombia/Uruguay/Mexico</t>
  </si>
  <si>
    <t>Аргентина</t>
  </si>
  <si>
    <t>Ciudadanía</t>
  </si>
  <si>
    <t>158</t>
  </si>
  <si>
    <t>2 725</t>
  </si>
  <si>
    <t>5,80%</t>
  </si>
  <si>
    <t>0,56</t>
  </si>
  <si>
    <t>88,94</t>
  </si>
  <si>
    <t>10,00</t>
  </si>
  <si>
    <t>8,89</t>
  </si>
  <si>
    <t>6,33%</t>
  </si>
  <si>
    <t>Citizenship</t>
  </si>
  <si>
    <t>110</t>
  </si>
  <si>
    <t>887</t>
  </si>
  <si>
    <t>12,40%</t>
  </si>
  <si>
    <t>1,25</t>
  </si>
  <si>
    <t>137,89</t>
  </si>
  <si>
    <t>7,50</t>
  </si>
  <si>
    <t>18,39</t>
  </si>
  <si>
    <t>6,82%</t>
  </si>
  <si>
    <t>SKAG 2</t>
  </si>
  <si>
    <t>108</t>
  </si>
  <si>
    <t>825</t>
  </si>
  <si>
    <t>13,09%</t>
  </si>
  <si>
    <t>2,11</t>
  </si>
  <si>
    <t>227,80</t>
  </si>
  <si>
    <t>16,00</t>
  </si>
  <si>
    <t>14,24</t>
  </si>
  <si>
    <t>14,81%</t>
  </si>
  <si>
    <t>Passport #2</t>
  </si>
  <si>
    <t>75</t>
  </si>
  <si>
    <t>596</t>
  </si>
  <si>
    <t>12,58%</t>
  </si>
  <si>
    <t>2,24</t>
  </si>
  <si>
    <t>168,28</t>
  </si>
  <si>
    <t>11,00</t>
  </si>
  <si>
    <t>15,30</t>
  </si>
  <si>
    <t>14,67%</t>
  </si>
  <si>
    <t>Lithuania-Leads-Search-Canada</t>
  </si>
  <si>
    <t>62</t>
  </si>
  <si>
    <t>323</t>
  </si>
  <si>
    <t>19,20%</t>
  </si>
  <si>
    <t>1,93</t>
  </si>
  <si>
    <t>119,58</t>
  </si>
  <si>
    <t>4,00</t>
  </si>
  <si>
    <t>29,90</t>
  </si>
  <si>
    <t>6,45%</t>
  </si>
  <si>
    <t>Великобритания</t>
  </si>
  <si>
    <t>57</t>
  </si>
  <si>
    <t>2 143</t>
  </si>
  <si>
    <t>2,66%</t>
  </si>
  <si>
    <t>31,91</t>
  </si>
  <si>
    <t>0,00</t>
  </si>
  <si>
    <t>0,00%</t>
  </si>
  <si>
    <t>LV-Leads-Search-RBI</t>
  </si>
  <si>
    <t>51</t>
  </si>
  <si>
    <t>507</t>
  </si>
  <si>
    <t>10,06%</t>
  </si>
  <si>
    <t>1,04</t>
  </si>
  <si>
    <t>53,10</t>
  </si>
  <si>
    <t>3,00</t>
  </si>
  <si>
    <t>17,70</t>
  </si>
  <si>
    <t>5,88%</t>
  </si>
  <si>
    <t>44</t>
  </si>
  <si>
    <t>522</t>
  </si>
  <si>
    <t>8,43%</t>
  </si>
  <si>
    <t>0,59</t>
  </si>
  <si>
    <t>25,82</t>
  </si>
  <si>
    <t>1,00</t>
  </si>
  <si>
    <t>2,27%</t>
  </si>
  <si>
    <t>40</t>
  </si>
  <si>
    <t>315</t>
  </si>
  <si>
    <t>12,70%</t>
  </si>
  <si>
    <t>0,71</t>
  </si>
  <si>
    <t>28,56</t>
  </si>
  <si>
    <t>7,14</t>
  </si>
  <si>
    <t>10,00%</t>
  </si>
  <si>
    <t>Австралия</t>
  </si>
  <si>
    <t>39</t>
  </si>
  <si>
    <t>1 038</t>
  </si>
  <si>
    <t>3,76%</t>
  </si>
  <si>
    <t>0,51</t>
  </si>
  <si>
    <t>19,85</t>
  </si>
  <si>
    <t>34</t>
  </si>
  <si>
    <t>395</t>
  </si>
  <si>
    <t>8,61%</t>
  </si>
  <si>
    <t>0,77</t>
  </si>
  <si>
    <t>26,16</t>
  </si>
  <si>
    <t>Latvia-Leads-Search-UK</t>
  </si>
  <si>
    <t>Passport</t>
  </si>
  <si>
    <t>30</t>
  </si>
  <si>
    <t>344</t>
  </si>
  <si>
    <t>8,72%</t>
  </si>
  <si>
    <t>29,73</t>
  </si>
  <si>
    <t>Latvia-Leads-Search-Australia</t>
  </si>
  <si>
    <t>29</t>
  </si>
  <si>
    <t>217</t>
  </si>
  <si>
    <t>13,36%</t>
  </si>
  <si>
    <t>2,25</t>
  </si>
  <si>
    <t>65,14</t>
  </si>
  <si>
    <t>LV-Leads-Search-RBI-RE TOP countries</t>
  </si>
  <si>
    <t>LV RBI only Real Estate</t>
  </si>
  <si>
    <t>236</t>
  </si>
  <si>
    <t>12,29%</t>
  </si>
  <si>
    <t>3,06</t>
  </si>
  <si>
    <t>88,73</t>
  </si>
  <si>
    <t>3,45%</t>
  </si>
  <si>
    <t>28</t>
  </si>
  <si>
    <t>124</t>
  </si>
  <si>
    <t>22,58%</t>
  </si>
  <si>
    <t>59,14</t>
  </si>
  <si>
    <t>3,57%</t>
  </si>
  <si>
    <t>Колумбия</t>
  </si>
  <si>
    <t>246</t>
  </si>
  <si>
    <t>11,38%</t>
  </si>
  <si>
    <t>1,57</t>
  </si>
  <si>
    <t>44,06</t>
  </si>
  <si>
    <t>14,69</t>
  </si>
  <si>
    <t>10,71%</t>
  </si>
  <si>
    <t>355</t>
  </si>
  <si>
    <t>7,89%</t>
  </si>
  <si>
    <t>1,12</t>
  </si>
  <si>
    <t>31,24</t>
  </si>
  <si>
    <t>2,00</t>
  </si>
  <si>
    <t>15,62</t>
  </si>
  <si>
    <t>7,14%</t>
  </si>
  <si>
    <t>222</t>
  </si>
  <si>
    <t>12,61%</t>
  </si>
  <si>
    <t>2,18</t>
  </si>
  <si>
    <t>60,98</t>
  </si>
  <si>
    <t>27</t>
  </si>
  <si>
    <t>240</t>
  </si>
  <si>
    <t>11,25%</t>
  </si>
  <si>
    <t>0,89</t>
  </si>
  <si>
    <t>23,91</t>
  </si>
  <si>
    <t>Lithuania-Leads-Search-UK</t>
  </si>
  <si>
    <t>26</t>
  </si>
  <si>
    <t>199</t>
  </si>
  <si>
    <t>13,07%</t>
  </si>
  <si>
    <t>1,40</t>
  </si>
  <si>
    <t>36,45</t>
  </si>
  <si>
    <t>18,23</t>
  </si>
  <si>
    <t>7,69%</t>
  </si>
  <si>
    <t>Passport #3</t>
  </si>
  <si>
    <t>24</t>
  </si>
  <si>
    <t>215</t>
  </si>
  <si>
    <t>11,16%</t>
  </si>
  <si>
    <t>2,51</t>
  </si>
  <si>
    <t>60,20</t>
  </si>
  <si>
    <t>4,17%</t>
  </si>
  <si>
    <t>254</t>
  </si>
  <si>
    <t>9,45%</t>
  </si>
  <si>
    <t>0,76</t>
  </si>
  <si>
    <t>18,12</t>
  </si>
  <si>
    <t>4,53</t>
  </si>
  <si>
    <t>16,67%</t>
  </si>
  <si>
    <t>Саудовская Аравия</t>
  </si>
  <si>
    <t>203</t>
  </si>
  <si>
    <t>11,82%</t>
  </si>
  <si>
    <t>1,17</t>
  </si>
  <si>
    <t>27,99</t>
  </si>
  <si>
    <t>9,33</t>
  </si>
  <si>
    <t>12,50%</t>
  </si>
  <si>
    <t>186</t>
  </si>
  <si>
    <t>12,90%</t>
  </si>
  <si>
    <t>2,01</t>
  </si>
  <si>
    <t>48,33</t>
  </si>
  <si>
    <t>Latvia-Leads-Search-USA</t>
  </si>
  <si>
    <t>23</t>
  </si>
  <si>
    <t>225</t>
  </si>
  <si>
    <t>10,22%</t>
  </si>
  <si>
    <t>1,83</t>
  </si>
  <si>
    <t>42,13</t>
  </si>
  <si>
    <t>4,35%</t>
  </si>
  <si>
    <t>244</t>
  </si>
  <si>
    <t>9,43%</t>
  </si>
  <si>
    <t>2,32</t>
  </si>
  <si>
    <t>53,46</t>
  </si>
  <si>
    <t>Латвия</t>
  </si>
  <si>
    <t>22</t>
  </si>
  <si>
    <t>316</t>
  </si>
  <si>
    <t>6,96%</t>
  </si>
  <si>
    <t>0,55</t>
  </si>
  <si>
    <t>12,13</t>
  </si>
  <si>
    <t>Lithuania--Search-Conversions-ru-lang</t>
  </si>
  <si>
    <t>Литва</t>
  </si>
  <si>
    <t>Литовское гражданство</t>
  </si>
  <si>
    <t>356</t>
  </si>
  <si>
    <t>6,18%</t>
  </si>
  <si>
    <t>0,53</t>
  </si>
  <si>
    <t>11,76</t>
  </si>
  <si>
    <t>21</t>
  </si>
  <si>
    <t>175</t>
  </si>
  <si>
    <t>12,00%</t>
  </si>
  <si>
    <t>2,30</t>
  </si>
  <si>
    <t>4,76%</t>
  </si>
  <si>
    <t>Бахрейн</t>
  </si>
  <si>
    <t>20</t>
  </si>
  <si>
    <t>141</t>
  </si>
  <si>
    <t>14,18%</t>
  </si>
  <si>
    <t>20,71</t>
  </si>
  <si>
    <t>5,00%</t>
  </si>
  <si>
    <t>19</t>
  </si>
  <si>
    <t>129</t>
  </si>
  <si>
    <t>14,73%</t>
  </si>
  <si>
    <t>2,19</t>
  </si>
  <si>
    <t>41,54</t>
  </si>
  <si>
    <t>5,19</t>
  </si>
  <si>
    <t>42,11%</t>
  </si>
  <si>
    <t>Lithuania-Leads-Search-RSA</t>
  </si>
  <si>
    <t>Южная Африка</t>
  </si>
  <si>
    <t>18</t>
  </si>
  <si>
    <t>112</t>
  </si>
  <si>
    <t>16,07%</t>
  </si>
  <si>
    <t>1,92</t>
  </si>
  <si>
    <t>34,60</t>
  </si>
  <si>
    <t>5,56%</t>
  </si>
  <si>
    <t>Lithuania-Leads-Search-Israel</t>
  </si>
  <si>
    <t>17</t>
  </si>
  <si>
    <t>259</t>
  </si>
  <si>
    <t>6,56%</t>
  </si>
  <si>
    <t>2,99</t>
  </si>
  <si>
    <t>50,78</t>
  </si>
  <si>
    <t>120</t>
  </si>
  <si>
    <t>14,17%</t>
  </si>
  <si>
    <t>0,79</t>
  </si>
  <si>
    <t>13,37</t>
  </si>
  <si>
    <t>6,68</t>
  </si>
  <si>
    <t>11,76%</t>
  </si>
  <si>
    <t>LV-Leads-Search-RBI-RE</t>
  </si>
  <si>
    <t>16</t>
  </si>
  <si>
    <t>197</t>
  </si>
  <si>
    <t>8,12%</t>
  </si>
  <si>
    <t>1,01</t>
  </si>
  <si>
    <t>16,18</t>
  </si>
  <si>
    <t>Latvia-Leads-Search-Canada</t>
  </si>
  <si>
    <t>15</t>
  </si>
  <si>
    <t>13,89%</t>
  </si>
  <si>
    <t>1,68</t>
  </si>
  <si>
    <t>25,14</t>
  </si>
  <si>
    <t>Lithuania-Leads-Search-Australia</t>
  </si>
  <si>
    <t>14</t>
  </si>
  <si>
    <t>55</t>
  </si>
  <si>
    <t>25,45%</t>
  </si>
  <si>
    <t>3,01</t>
  </si>
  <si>
    <t>42,07</t>
  </si>
  <si>
    <t>14,02</t>
  </si>
  <si>
    <t>21,43%</t>
  </si>
  <si>
    <t>130</t>
  </si>
  <si>
    <t>10,77%</t>
  </si>
  <si>
    <t>2,08</t>
  </si>
  <si>
    <t>29,06</t>
  </si>
  <si>
    <t>13</t>
  </si>
  <si>
    <t>85</t>
  </si>
  <si>
    <t>15,29%</t>
  </si>
  <si>
    <t>2,23</t>
  </si>
  <si>
    <t>28,95</t>
  </si>
  <si>
    <t>Украина</t>
  </si>
  <si>
    <t>147</t>
  </si>
  <si>
    <t>8,84%</t>
  </si>
  <si>
    <t>0,44</t>
  </si>
  <si>
    <t>5,71</t>
  </si>
  <si>
    <t>Citizenship - March 25</t>
  </si>
  <si>
    <t>11</t>
  </si>
  <si>
    <t>33</t>
  </si>
  <si>
    <t>33,33%</t>
  </si>
  <si>
    <t>2,48</t>
  </si>
  <si>
    <t>27,28</t>
  </si>
  <si>
    <t>Мексика</t>
  </si>
  <si>
    <t>169</t>
  </si>
  <si>
    <t>6,51%</t>
  </si>
  <si>
    <t>1,27</t>
  </si>
  <si>
    <t>13,92</t>
  </si>
  <si>
    <t>Таиланд</t>
  </si>
  <si>
    <t>98</t>
  </si>
  <si>
    <t>11,22%</t>
  </si>
  <si>
    <t>0,63</t>
  </si>
  <si>
    <t>6,90</t>
  </si>
  <si>
    <t>10</t>
  </si>
  <si>
    <t>61</t>
  </si>
  <si>
    <t>16,39%</t>
  </si>
  <si>
    <t>13,96</t>
  </si>
  <si>
    <t>Lithuania-Leads-Search-EU</t>
  </si>
  <si>
    <t>Франция</t>
  </si>
  <si>
    <t>29,41%</t>
  </si>
  <si>
    <t>1,44</t>
  </si>
  <si>
    <t>14,38</t>
  </si>
  <si>
    <t>88</t>
  </si>
  <si>
    <t>11,36%</t>
  </si>
  <si>
    <t>0,67</t>
  </si>
  <si>
    <t>6,69</t>
  </si>
  <si>
    <t>3,35</t>
  </si>
  <si>
    <t>20,00%</t>
  </si>
  <si>
    <t>13,33%</t>
  </si>
  <si>
    <t>0,81</t>
  </si>
  <si>
    <t>8,08</t>
  </si>
  <si>
    <t>Гонконг</t>
  </si>
  <si>
    <t>132</t>
  </si>
  <si>
    <t>7,58%</t>
  </si>
  <si>
    <t>0,47</t>
  </si>
  <si>
    <t>4,71</t>
  </si>
  <si>
    <t>Вьетнам</t>
  </si>
  <si>
    <t>9</t>
  </si>
  <si>
    <t>74</t>
  </si>
  <si>
    <t>12,16%</t>
  </si>
  <si>
    <t>3,96</t>
  </si>
  <si>
    <t>11,11%</t>
  </si>
  <si>
    <t>Иордания</t>
  </si>
  <si>
    <t>25</t>
  </si>
  <si>
    <t>36,00%</t>
  </si>
  <si>
    <t>0,38</t>
  </si>
  <si>
    <t>3,41</t>
  </si>
  <si>
    <t>Турция</t>
  </si>
  <si>
    <t>125</t>
  </si>
  <si>
    <t>7,20%</t>
  </si>
  <si>
    <t>0,37</t>
  </si>
  <si>
    <t>3,29</t>
  </si>
  <si>
    <t>Ирландия</t>
  </si>
  <si>
    <t>8</t>
  </si>
  <si>
    <t>78</t>
  </si>
  <si>
    <t>10,26%</t>
  </si>
  <si>
    <t>2,63</t>
  </si>
  <si>
    <t>21,03</t>
  </si>
  <si>
    <t>83</t>
  </si>
  <si>
    <t>9,64%</t>
  </si>
  <si>
    <t>0,82</t>
  </si>
  <si>
    <t>6,53</t>
  </si>
  <si>
    <t>Ливан</t>
  </si>
  <si>
    <t>71</t>
  </si>
  <si>
    <t>11,27%</t>
  </si>
  <si>
    <t>1,43</t>
  </si>
  <si>
    <t>50,00%</t>
  </si>
  <si>
    <t>Швеция</t>
  </si>
  <si>
    <t>59</t>
  </si>
  <si>
    <t>13,56%</t>
  </si>
  <si>
    <t>6,34</t>
  </si>
  <si>
    <t>7</t>
  </si>
  <si>
    <t>41</t>
  </si>
  <si>
    <t>17,07%</t>
  </si>
  <si>
    <t>2,33</t>
  </si>
  <si>
    <t>16,33</t>
  </si>
  <si>
    <t>8,17</t>
  </si>
  <si>
    <t>28,57%</t>
  </si>
  <si>
    <t>45</t>
  </si>
  <si>
    <t>15,56%</t>
  </si>
  <si>
    <t>1,81</t>
  </si>
  <si>
    <t>12,65</t>
  </si>
  <si>
    <t>14,29%</t>
  </si>
  <si>
    <t>Венгрия</t>
  </si>
  <si>
    <t>24,14%</t>
  </si>
  <si>
    <t>0,35</t>
  </si>
  <si>
    <t>2,42</t>
  </si>
  <si>
    <t>Кувейт</t>
  </si>
  <si>
    <t>72</t>
  </si>
  <si>
    <t>9,72%</t>
  </si>
  <si>
    <t>0,92</t>
  </si>
  <si>
    <t>6,44</t>
  </si>
  <si>
    <t>Нидерланды</t>
  </si>
  <si>
    <t>67</t>
  </si>
  <si>
    <t>10,45%</t>
  </si>
  <si>
    <t>5,55</t>
  </si>
  <si>
    <t>Польша</t>
  </si>
  <si>
    <t>50</t>
  </si>
  <si>
    <t>14,00%</t>
  </si>
  <si>
    <t>3,70</t>
  </si>
  <si>
    <t>1,85</t>
  </si>
  <si>
    <t>11,48%</t>
  </si>
  <si>
    <t>1,99</t>
  </si>
  <si>
    <t>13,94</t>
  </si>
  <si>
    <t>17,50%</t>
  </si>
  <si>
    <t>0,68</t>
  </si>
  <si>
    <t>4,74</t>
  </si>
  <si>
    <t>117</t>
  </si>
  <si>
    <t>5,98%</t>
  </si>
  <si>
    <t>3,31</t>
  </si>
  <si>
    <t>23,14</t>
  </si>
  <si>
    <t>58</t>
  </si>
  <si>
    <t>12,07%</t>
  </si>
  <si>
    <t>0,42</t>
  </si>
  <si>
    <t>2,97</t>
  </si>
  <si>
    <t>6</t>
  </si>
  <si>
    <t>68</t>
  </si>
  <si>
    <t>8,82%</t>
  </si>
  <si>
    <t>3,69</t>
  </si>
  <si>
    <t>22,14</t>
  </si>
  <si>
    <t>1,78</t>
  </si>
  <si>
    <t>10,65</t>
  </si>
  <si>
    <t>26,09%</t>
  </si>
  <si>
    <t>2,85</t>
  </si>
  <si>
    <t>17,09</t>
  </si>
  <si>
    <t>Германия</t>
  </si>
  <si>
    <t>14,63%</t>
  </si>
  <si>
    <t>11,54</t>
  </si>
  <si>
    <t>5,77</t>
  </si>
  <si>
    <t>46,15%</t>
  </si>
  <si>
    <t>1,10</t>
  </si>
  <si>
    <t>6,61</t>
  </si>
  <si>
    <t>Австрия</t>
  </si>
  <si>
    <t>24,00%</t>
  </si>
  <si>
    <t>4,84</t>
  </si>
  <si>
    <t>Азербайджан</t>
  </si>
  <si>
    <t>25,00%</t>
  </si>
  <si>
    <t>3,16</t>
  </si>
  <si>
    <t>46</t>
  </si>
  <si>
    <t>13,04%</t>
  </si>
  <si>
    <t>0,85</t>
  </si>
  <si>
    <t>5,13</t>
  </si>
  <si>
    <t>Кипр</t>
  </si>
  <si>
    <t>Оман</t>
  </si>
  <si>
    <t>53</t>
  </si>
  <si>
    <t>11,32%</t>
  </si>
  <si>
    <t>0,69</t>
  </si>
  <si>
    <t>4,12</t>
  </si>
  <si>
    <t>Сирия</t>
  </si>
  <si>
    <t>30,00%</t>
  </si>
  <si>
    <t>2,75</t>
  </si>
  <si>
    <t>Китай</t>
  </si>
  <si>
    <t>63</t>
  </si>
  <si>
    <t>9,52%</t>
  </si>
  <si>
    <t>0,57</t>
  </si>
  <si>
    <t>3,44</t>
  </si>
  <si>
    <t>Тайвань</t>
  </si>
  <si>
    <t>3,08</t>
  </si>
  <si>
    <t>54</t>
  </si>
  <si>
    <t>1,60</t>
  </si>
  <si>
    <t>9,62</t>
  </si>
  <si>
    <t>5</t>
  </si>
  <si>
    <t>17,86%</t>
  </si>
  <si>
    <t>1,67</t>
  </si>
  <si>
    <t>8,34</t>
  </si>
  <si>
    <t>Уругвай</t>
  </si>
  <si>
    <t>79</t>
  </si>
  <si>
    <t>1,51</t>
  </si>
  <si>
    <t>7,55</t>
  </si>
  <si>
    <t>9,80%</t>
  </si>
  <si>
    <t>3,86</t>
  </si>
  <si>
    <t>1,39</t>
  </si>
  <si>
    <t>6,96</t>
  </si>
  <si>
    <t>8,06%</t>
  </si>
  <si>
    <t>2,37</t>
  </si>
  <si>
    <t>11,87</t>
  </si>
  <si>
    <t>Испания</t>
  </si>
  <si>
    <t>36</t>
  </si>
  <si>
    <t>1,69</t>
  </si>
  <si>
    <t>8,43</t>
  </si>
  <si>
    <t>1,59</t>
  </si>
  <si>
    <t>7,93</t>
  </si>
  <si>
    <t>Португалия</t>
  </si>
  <si>
    <t>71,43%</t>
  </si>
  <si>
    <t>1,53</t>
  </si>
  <si>
    <t>7,63</t>
  </si>
  <si>
    <t>7,46%</t>
  </si>
  <si>
    <t>0,91</t>
  </si>
  <si>
    <t>4,55</t>
  </si>
  <si>
    <t>40,00%</t>
  </si>
  <si>
    <t>52</t>
  </si>
  <si>
    <t>9,62%</t>
  </si>
  <si>
    <t>0,33</t>
  </si>
  <si>
    <t>1,65</t>
  </si>
  <si>
    <t>8,20%</t>
  </si>
  <si>
    <t>0,52</t>
  </si>
  <si>
    <t>2,60</t>
  </si>
  <si>
    <t>35</t>
  </si>
  <si>
    <t>1,64</t>
  </si>
  <si>
    <t>8,21</t>
  </si>
  <si>
    <t>31</t>
  </si>
  <si>
    <t>16,13%</t>
  </si>
  <si>
    <t>1,47</t>
  </si>
  <si>
    <t>7,37</t>
  </si>
  <si>
    <t>27,78%</t>
  </si>
  <si>
    <t>2,52</t>
  </si>
  <si>
    <t>12,58</t>
  </si>
  <si>
    <t>82</t>
  </si>
  <si>
    <t>6,10%</t>
  </si>
  <si>
    <t>1,95</t>
  </si>
  <si>
    <t>9,77</t>
  </si>
  <si>
    <t>8,44</t>
  </si>
  <si>
    <t>35,71%</t>
  </si>
  <si>
    <t>0,40</t>
  </si>
  <si>
    <t>2,80</t>
  </si>
  <si>
    <t>0,93</t>
  </si>
  <si>
    <t>60,00%</t>
  </si>
  <si>
    <t>4</t>
  </si>
  <si>
    <t>19,05%</t>
  </si>
  <si>
    <t>7,31</t>
  </si>
  <si>
    <t>57,14%</t>
  </si>
  <si>
    <t>2,45</t>
  </si>
  <si>
    <t>9,80</t>
  </si>
  <si>
    <t>8,00%</t>
  </si>
  <si>
    <t>1,48</t>
  </si>
  <si>
    <t>5,91</t>
  </si>
  <si>
    <t>47</t>
  </si>
  <si>
    <t>8,51%</t>
  </si>
  <si>
    <t>3,39</t>
  </si>
  <si>
    <t>13,54</t>
  </si>
  <si>
    <t>22,22%</t>
  </si>
  <si>
    <t>4,41</t>
  </si>
  <si>
    <t>23,53%</t>
  </si>
  <si>
    <t>2,12</t>
  </si>
  <si>
    <t>8,48</t>
  </si>
  <si>
    <t>Италия</t>
  </si>
  <si>
    <t>2,09</t>
  </si>
  <si>
    <t>8,36</t>
  </si>
  <si>
    <t>0,48</t>
  </si>
  <si>
    <t>15,38%</t>
  </si>
  <si>
    <t>Чехия</t>
  </si>
  <si>
    <t>26,67%</t>
  </si>
  <si>
    <t>1,16</t>
  </si>
  <si>
    <t>4,64</t>
  </si>
  <si>
    <t>3,22</t>
  </si>
  <si>
    <t>12,86</t>
  </si>
  <si>
    <t>16,00%</t>
  </si>
  <si>
    <t>5,60</t>
  </si>
  <si>
    <t>36,36%</t>
  </si>
  <si>
    <t>0,75</t>
  </si>
  <si>
    <t>21,05%</t>
  </si>
  <si>
    <t>0,65</t>
  </si>
  <si>
    <t>2,58</t>
  </si>
  <si>
    <t>Грузия</t>
  </si>
  <si>
    <t>13,79%</t>
  </si>
  <si>
    <t>0,86</t>
  </si>
  <si>
    <t>3,45</t>
  </si>
  <si>
    <t>1,50</t>
  </si>
  <si>
    <t>Сингапур</t>
  </si>
  <si>
    <t>60</t>
  </si>
  <si>
    <t>6,67%</t>
  </si>
  <si>
    <t>0,78</t>
  </si>
  <si>
    <t>3,11</t>
  </si>
  <si>
    <t>18,18%</t>
  </si>
  <si>
    <t>6,67</t>
  </si>
  <si>
    <t>66</t>
  </si>
  <si>
    <t>6,06%</t>
  </si>
  <si>
    <t>13,81</t>
  </si>
  <si>
    <t>8,89%</t>
  </si>
  <si>
    <t>0,17</t>
  </si>
  <si>
    <t>3</t>
  </si>
  <si>
    <t>32</t>
  </si>
  <si>
    <t>9,38%</t>
  </si>
  <si>
    <t>2,43</t>
  </si>
  <si>
    <t>7,29</t>
  </si>
  <si>
    <t>37</t>
  </si>
  <si>
    <t>8,11%</t>
  </si>
  <si>
    <t>7,87</t>
  </si>
  <si>
    <t>2,06</t>
  </si>
  <si>
    <t>6,19</t>
  </si>
  <si>
    <t>2,56</t>
  </si>
  <si>
    <t>7,69</t>
  </si>
  <si>
    <t>Греция</t>
  </si>
  <si>
    <t>17,65%</t>
  </si>
  <si>
    <t>0,80</t>
  </si>
  <si>
    <t>2,39</t>
  </si>
  <si>
    <t>3,52</t>
  </si>
  <si>
    <t>10,55</t>
  </si>
  <si>
    <t>Армения</t>
  </si>
  <si>
    <t>11,54%</t>
  </si>
  <si>
    <t>Ливия</t>
  </si>
  <si>
    <t>0,84</t>
  </si>
  <si>
    <t>66,67%</t>
  </si>
  <si>
    <t>Малайзия</t>
  </si>
  <si>
    <t>5,77%</t>
  </si>
  <si>
    <t>0,28</t>
  </si>
  <si>
    <t>0,83</t>
  </si>
  <si>
    <t>Мальта</t>
  </si>
  <si>
    <t>10,34%</t>
  </si>
  <si>
    <t>8,33%</t>
  </si>
  <si>
    <t>Новая Зеландия</t>
  </si>
  <si>
    <t>0,45</t>
  </si>
  <si>
    <t>1,34</t>
  </si>
  <si>
    <t>1,41</t>
  </si>
  <si>
    <t>Швейцария</t>
  </si>
  <si>
    <t>42</t>
  </si>
  <si>
    <t>2,67</t>
  </si>
  <si>
    <t>18,75%</t>
  </si>
  <si>
    <t>3,76</t>
  </si>
  <si>
    <t>11,29</t>
  </si>
  <si>
    <t>2,15</t>
  </si>
  <si>
    <t>6,46</t>
  </si>
  <si>
    <t>Узбекистан</t>
  </si>
  <si>
    <t>0,73</t>
  </si>
  <si>
    <t>2</t>
  </si>
  <si>
    <t>3,25</t>
  </si>
  <si>
    <t>6,50</t>
  </si>
  <si>
    <t>12</t>
  </si>
  <si>
    <t>2,54</t>
  </si>
  <si>
    <t>3,23</t>
  </si>
  <si>
    <t>6,90%</t>
  </si>
  <si>
    <t>4,22</t>
  </si>
  <si>
    <t>1,97</t>
  </si>
  <si>
    <t>3,94</t>
  </si>
  <si>
    <t>7,41%</t>
  </si>
  <si>
    <t>1,09</t>
  </si>
  <si>
    <t>0,96</t>
  </si>
  <si>
    <t>100,00%</t>
  </si>
  <si>
    <t>Румыния</t>
  </si>
  <si>
    <t>1,02</t>
  </si>
  <si>
    <t>2,04</t>
  </si>
  <si>
    <t>2,65</t>
  </si>
  <si>
    <t>5,30</t>
  </si>
  <si>
    <t>1,45</t>
  </si>
  <si>
    <t>Бельгия</t>
  </si>
  <si>
    <t>2,02</t>
  </si>
  <si>
    <t>4,04</t>
  </si>
  <si>
    <t>Албания</t>
  </si>
  <si>
    <t>10,53%</t>
  </si>
  <si>
    <t>0,43</t>
  </si>
  <si>
    <t>Гайана</t>
  </si>
  <si>
    <t>0,39</t>
  </si>
  <si>
    <t>0,41</t>
  </si>
  <si>
    <t>1,06</t>
  </si>
  <si>
    <t>Кот-д'Ивуар</t>
  </si>
  <si>
    <t>0,74</t>
  </si>
  <si>
    <t>Норвегия</t>
  </si>
  <si>
    <t>Палестина</t>
  </si>
  <si>
    <t>1,66</t>
  </si>
  <si>
    <t>3,32</t>
  </si>
  <si>
    <t>Словакия</t>
  </si>
  <si>
    <t>1,79</t>
  </si>
  <si>
    <t>Финляндия</t>
  </si>
  <si>
    <t>Южная Корея</t>
  </si>
  <si>
    <t>1,19</t>
  </si>
  <si>
    <t>2,38</t>
  </si>
  <si>
    <t>Япония</t>
  </si>
  <si>
    <t>1,58</t>
  </si>
  <si>
    <t>8,70%</t>
  </si>
  <si>
    <t>2,81</t>
  </si>
  <si>
    <t>5,61</t>
  </si>
  <si>
    <t>9,09%</t>
  </si>
  <si>
    <t>3,02</t>
  </si>
  <si>
    <t>6,04</t>
  </si>
  <si>
    <t>0,64</t>
  </si>
  <si>
    <t>4,15</t>
  </si>
  <si>
    <t>1,28</t>
  </si>
  <si>
    <t>2,55</t>
  </si>
  <si>
    <t>3,36</t>
  </si>
  <si>
    <t>Мальдивы</t>
  </si>
  <si>
    <t>1,33</t>
  </si>
  <si>
    <t>2,90</t>
  </si>
  <si>
    <t>1,20</t>
  </si>
  <si>
    <t>2,40</t>
  </si>
  <si>
    <t>Хорватия</t>
  </si>
  <si>
    <t>Эстония</t>
  </si>
  <si>
    <t>1,29</t>
  </si>
  <si>
    <t>2,59</t>
  </si>
  <si>
    <t>Болгария</t>
  </si>
  <si>
    <t>Казахстан</t>
  </si>
  <si>
    <t>65</t>
  </si>
  <si>
    <t>3,08%</t>
  </si>
  <si>
    <t>Кыргызстан</t>
  </si>
  <si>
    <t>0,31</t>
  </si>
  <si>
    <t>Молдова</t>
  </si>
  <si>
    <t>0,94</t>
  </si>
  <si>
    <t>1</t>
  </si>
  <si>
    <t>1,26</t>
  </si>
  <si>
    <t>3,13%</t>
  </si>
  <si>
    <t>0,72</t>
  </si>
  <si>
    <t>1,63</t>
  </si>
  <si>
    <t>3,13</t>
  </si>
  <si>
    <t>0,95</t>
  </si>
  <si>
    <t>3,43</t>
  </si>
  <si>
    <t>Люксембург</t>
  </si>
  <si>
    <t>3,33%</t>
  </si>
  <si>
    <t>Словения</t>
  </si>
  <si>
    <t>0,04</t>
  </si>
  <si>
    <t>1,74</t>
  </si>
  <si>
    <t>3,75</t>
  </si>
  <si>
    <t>0,49</t>
  </si>
  <si>
    <t>1,23</t>
  </si>
  <si>
    <t>2,64</t>
  </si>
  <si>
    <t>3,17</t>
  </si>
  <si>
    <t>5,01</t>
  </si>
  <si>
    <t>2,20</t>
  </si>
  <si>
    <t>0,18</t>
  </si>
  <si>
    <t>Бермуды</t>
  </si>
  <si>
    <t>3,85%</t>
  </si>
  <si>
    <t>1,91</t>
  </si>
  <si>
    <t>Босния и Герцеговина</t>
  </si>
  <si>
    <t>Гватемала</t>
  </si>
  <si>
    <t>0,29</t>
  </si>
  <si>
    <t>Иран</t>
  </si>
  <si>
    <t>0,07</t>
  </si>
  <si>
    <t>200,00%</t>
  </si>
  <si>
    <t>4,00%</t>
  </si>
  <si>
    <t>Острова Теркс и Кайкос</t>
  </si>
  <si>
    <t>0,19</t>
  </si>
  <si>
    <t>Северная Македония</t>
  </si>
  <si>
    <t>0,13</t>
  </si>
  <si>
    <t>Соломоновы о-ва</t>
  </si>
  <si>
    <t>0,66</t>
  </si>
  <si>
    <t>0,11</t>
  </si>
  <si>
    <t>0,22</t>
  </si>
  <si>
    <t>0,15</t>
  </si>
  <si>
    <t>2,46</t>
  </si>
  <si>
    <t>1,75</t>
  </si>
  <si>
    <t>1,05</t>
  </si>
  <si>
    <t>1,36</t>
  </si>
  <si>
    <t>Дания</t>
  </si>
  <si>
    <t>14,40</t>
  </si>
  <si>
    <t>Сербия</t>
  </si>
  <si>
    <t>0,21</t>
  </si>
  <si>
    <t>73</t>
  </si>
  <si>
    <t>1,37%</t>
  </si>
  <si>
    <t>Экваториальная Гвинея</t>
  </si>
  <si>
    <t>3,78</t>
  </si>
  <si>
    <t>4,88</t>
  </si>
  <si>
    <t>3,38</t>
  </si>
  <si>
    <t>0,03</t>
  </si>
  <si>
    <t>0,26</t>
  </si>
  <si>
    <t>Таджикистан</t>
  </si>
  <si>
    <t>Туркменистан</t>
  </si>
  <si>
    <t>0,08</t>
  </si>
  <si>
    <t>о. Маврикий</t>
  </si>
  <si>
    <t>Американские Виргинские острова</t>
  </si>
  <si>
    <t>Андорра</t>
  </si>
  <si>
    <t>Антигуа и Барбуда</t>
  </si>
  <si>
    <t>Багамы</t>
  </si>
  <si>
    <t>Барбадос</t>
  </si>
  <si>
    <t>Белиз</t>
  </si>
  <si>
    <t>Бруней</t>
  </si>
  <si>
    <t>Габон</t>
  </si>
  <si>
    <t>Гваделупа</t>
  </si>
  <si>
    <t>Гернси</t>
  </si>
  <si>
    <t>Гибралтар</t>
  </si>
  <si>
    <t>Гренада</t>
  </si>
  <si>
    <t>Гренландия</t>
  </si>
  <si>
    <t>Исландия</t>
  </si>
  <si>
    <t>Косово</t>
  </si>
  <si>
    <t>Острова Кайман</t>
  </si>
  <si>
    <t>Панама</t>
  </si>
  <si>
    <t>Папуа-Новая Гвинея</t>
  </si>
  <si>
    <t>Пуэрто-Рико</t>
  </si>
  <si>
    <t>Суринам</t>
  </si>
  <si>
    <t>Фиджи</t>
  </si>
  <si>
    <t>Кюрасао</t>
  </si>
  <si>
    <t>Сан-Марино</t>
  </si>
  <si>
    <t>Тринидад и Тобаго</t>
  </si>
  <si>
    <t>о-в Мэн</t>
  </si>
  <si>
    <t>Египет</t>
  </si>
  <si>
    <t>Индия</t>
  </si>
  <si>
    <t>Индонезия</t>
  </si>
  <si>
    <t>Намибия</t>
  </si>
  <si>
    <t>Черногория</t>
  </si>
  <si>
    <t>Report Name: Geographic by campaigns</t>
  </si>
  <si>
    <t>Report Time: 3/1/2026,3/31/2026</t>
  </si>
  <si>
    <t>Time Zone: (GMT-08:00) Pacific Time (US &amp; Canada); Tijuana</t>
  </si>
  <si>
    <t>Last Completed Available Day: 4/08/2026 5:55:00 AM (GMT)</t>
  </si>
  <si>
    <t>Last Completed Available Hour: 4/08/2026 5:55:00 AM (GMT)</t>
  </si>
  <si>
    <t>Account name</t>
  </si>
  <si>
    <t>Campaign name</t>
  </si>
  <si>
    <t>Country/region (physical location)</t>
  </si>
  <si>
    <t>State/province (physical location)</t>
  </si>
  <si>
    <t>Physical location</t>
  </si>
  <si>
    <t>Metro area (physical location)</t>
  </si>
  <si>
    <t>Impressions</t>
  </si>
  <si>
    <t>Clicks</t>
  </si>
  <si>
    <t>Avg. CPC</t>
  </si>
  <si>
    <t>Spend</t>
  </si>
  <si>
    <t>Top impression rate</t>
  </si>
  <si>
    <t>Absolute top impression rate</t>
  </si>
  <si>
    <t>Account 2 - DC</t>
  </si>
  <si>
    <t>Lithuania-Leads-Search-USA</t>
  </si>
  <si>
    <t>California</t>
  </si>
  <si>
    <t>San Diego</t>
  </si>
  <si>
    <t>Torrey Pines</t>
  </si>
  <si>
    <t>Bakersfield, CA</t>
  </si>
  <si>
    <t>Bakersfield</t>
  </si>
  <si>
    <t>Chico-Redding, CA</t>
  </si>
  <si>
    <t>Chico</t>
  </si>
  <si>
    <t>95973</t>
  </si>
  <si>
    <t>Fresno-Visalia, CA</t>
  </si>
  <si>
    <t>Sanger</t>
  </si>
  <si>
    <t>93657</t>
  </si>
  <si>
    <t>Los Angeles, CA</t>
  </si>
  <si>
    <t>Azusa</t>
  </si>
  <si>
    <t>91702</t>
  </si>
  <si>
    <t>Baldwin Park</t>
  </si>
  <si>
    <t>91706</t>
  </si>
  <si>
    <t>Bellflower</t>
  </si>
  <si>
    <t>90706</t>
  </si>
  <si>
    <t>Big Bear Lake</t>
  </si>
  <si>
    <t>92315</t>
  </si>
  <si>
    <t>Calabasas</t>
  </si>
  <si>
    <t>91302</t>
  </si>
  <si>
    <t>El Monte</t>
  </si>
  <si>
    <t>Glendale</t>
  </si>
  <si>
    <t>Glendora</t>
  </si>
  <si>
    <t>91740</t>
  </si>
  <si>
    <t>Irvine</t>
  </si>
  <si>
    <t>92614</t>
  </si>
  <si>
    <t>Los Angeles</t>
  </si>
  <si>
    <t>90012</t>
  </si>
  <si>
    <t>90017</t>
  </si>
  <si>
    <t>90024</t>
  </si>
  <si>
    <t>90036</t>
  </si>
  <si>
    <t>90039</t>
  </si>
  <si>
    <t>90040</t>
  </si>
  <si>
    <t>90043</t>
  </si>
  <si>
    <t>90044</t>
  </si>
  <si>
    <t>90049</t>
  </si>
  <si>
    <t>90059</t>
  </si>
  <si>
    <t>91303</t>
  </si>
  <si>
    <t>91335</t>
  </si>
  <si>
    <t>Redondo Beach</t>
  </si>
  <si>
    <t>90277</t>
  </si>
  <si>
    <t>Riverside</t>
  </si>
  <si>
    <t>92505</t>
  </si>
  <si>
    <t>Rosamond</t>
  </si>
  <si>
    <t>93560</t>
  </si>
  <si>
    <t>San Bernardino</t>
  </si>
  <si>
    <t>92410</t>
  </si>
  <si>
    <t>Santa Ana</t>
  </si>
  <si>
    <t>92701</t>
  </si>
  <si>
    <t>Santa Monica</t>
  </si>
  <si>
    <t>90402</t>
  </si>
  <si>
    <t>Torrance</t>
  </si>
  <si>
    <t>90505</t>
  </si>
  <si>
    <t>Ventura</t>
  </si>
  <si>
    <t>93001</t>
  </si>
  <si>
    <t>Monterey-Salinas, CA</t>
  </si>
  <si>
    <t>Carmel</t>
  </si>
  <si>
    <t>93923</t>
  </si>
  <si>
    <t>Watsonville</t>
  </si>
  <si>
    <t>95076</t>
  </si>
  <si>
    <t>Sacramento-Stockton-Modesto, CA</t>
  </si>
  <si>
    <t>95307</t>
  </si>
  <si>
    <t>Citrus Heights</t>
  </si>
  <si>
    <t>95610</t>
  </si>
  <si>
    <t>Elk Grove</t>
  </si>
  <si>
    <t>95758</t>
  </si>
  <si>
    <t>Manteca</t>
  </si>
  <si>
    <t>95337</t>
  </si>
  <si>
    <t>Sacramento</t>
  </si>
  <si>
    <t>95811</t>
  </si>
  <si>
    <t>95823</t>
  </si>
  <si>
    <t>95831</t>
  </si>
  <si>
    <t>Sonora</t>
  </si>
  <si>
    <t>95370</t>
  </si>
  <si>
    <t>Stockton</t>
  </si>
  <si>
    <t>95207</t>
  </si>
  <si>
    <t>Vacaville</t>
  </si>
  <si>
    <t>95688</t>
  </si>
  <si>
    <t>San Diego, CA</t>
  </si>
  <si>
    <t>92007</t>
  </si>
  <si>
    <t>Carlsbad</t>
  </si>
  <si>
    <t>Del Mar</t>
  </si>
  <si>
    <t>92014</t>
  </si>
  <si>
    <t>El Cajon</t>
  </si>
  <si>
    <t>92020</t>
  </si>
  <si>
    <t>Poway</t>
  </si>
  <si>
    <t>92064</t>
  </si>
  <si>
    <t>92104</t>
  </si>
  <si>
    <t>92105</t>
  </si>
  <si>
    <t>92106</t>
  </si>
  <si>
    <t>92109</t>
  </si>
  <si>
    <t>92113</t>
  </si>
  <si>
    <t>92114</t>
  </si>
  <si>
    <t>92119</t>
  </si>
  <si>
    <t>92121</t>
  </si>
  <si>
    <t>92130</t>
  </si>
  <si>
    <t>92139</t>
  </si>
  <si>
    <t>San Francisco-Oakland-San Jose, CA</t>
  </si>
  <si>
    <t>Albany</t>
  </si>
  <si>
    <t>94706</t>
  </si>
  <si>
    <t>Antioch</t>
  </si>
  <si>
    <t>Daly City</t>
  </si>
  <si>
    <t>94015</t>
  </si>
  <si>
    <t>Fremont</t>
  </si>
  <si>
    <t>94538</t>
  </si>
  <si>
    <t>Hayward</t>
  </si>
  <si>
    <t>94545</t>
  </si>
  <si>
    <t>Martinez</t>
  </si>
  <si>
    <t>94553</t>
  </si>
  <si>
    <t>Moraga</t>
  </si>
  <si>
    <t>94556</t>
  </si>
  <si>
    <t>Morgan Hill</t>
  </si>
  <si>
    <t>95037</t>
  </si>
  <si>
    <t>Oakland</t>
  </si>
  <si>
    <t>94605</t>
  </si>
  <si>
    <t>94612</t>
  </si>
  <si>
    <t>94618</t>
  </si>
  <si>
    <t>Pacifica</t>
  </si>
  <si>
    <t>94044</t>
  </si>
  <si>
    <t>Palo Alto</t>
  </si>
  <si>
    <t>94303</t>
  </si>
  <si>
    <t>Portola Valley</t>
  </si>
  <si>
    <t>94028</t>
  </si>
  <si>
    <t>Richmond</t>
  </si>
  <si>
    <t>94804</t>
  </si>
  <si>
    <t>94805</t>
  </si>
  <si>
    <t>San Francisco</t>
  </si>
  <si>
    <t>94102</t>
  </si>
  <si>
    <t>94103</t>
  </si>
  <si>
    <t>94117</t>
  </si>
  <si>
    <t>94123</t>
  </si>
  <si>
    <t>San Jose</t>
  </si>
  <si>
    <t>San Rafael</t>
  </si>
  <si>
    <t>Santa Rosa</t>
  </si>
  <si>
    <t>95405</t>
  </si>
  <si>
    <t>South San Francisco</t>
  </si>
  <si>
    <t>94080</t>
  </si>
  <si>
    <t>Walnut Creek</t>
  </si>
  <si>
    <t>94596</t>
  </si>
  <si>
    <t>Santa Barbara-Santa Maria-San Luis Obispo, CA</t>
  </si>
  <si>
    <t>Santa Barbara</t>
  </si>
  <si>
    <t>93101</t>
  </si>
  <si>
    <t>93111</t>
  </si>
  <si>
    <t>Connecticut</t>
  </si>
  <si>
    <t>Hartford &amp; New Haven, CT</t>
  </si>
  <si>
    <t>Farmington</t>
  </si>
  <si>
    <t>06032</t>
  </si>
  <si>
    <t>Glastonbury</t>
  </si>
  <si>
    <t>06033</t>
  </si>
  <si>
    <t>Hartford</t>
  </si>
  <si>
    <t>06105</t>
  </si>
  <si>
    <t>06114</t>
  </si>
  <si>
    <t>Middletown</t>
  </si>
  <si>
    <t>06457</t>
  </si>
  <si>
    <t>West Hartford</t>
  </si>
  <si>
    <t>06107</t>
  </si>
  <si>
    <t>Wolcott</t>
  </si>
  <si>
    <t>06716</t>
  </si>
  <si>
    <t>New York, NY</t>
  </si>
  <si>
    <t>Fairfield</t>
  </si>
  <si>
    <t>06824</t>
  </si>
  <si>
    <t>Stamford</t>
  </si>
  <si>
    <t>Delaware</t>
  </si>
  <si>
    <t>Philadelphia, PA</t>
  </si>
  <si>
    <t>Newark</t>
  </si>
  <si>
    <t>19702</t>
  </si>
  <si>
    <t>19713</t>
  </si>
  <si>
    <t>District of Columbia</t>
  </si>
  <si>
    <t>Washington, DC (Hagerstown, MD)</t>
  </si>
  <si>
    <t>Washington</t>
  </si>
  <si>
    <t>20001</t>
  </si>
  <si>
    <t>20003</t>
  </si>
  <si>
    <t>20004</t>
  </si>
  <si>
    <t>20007</t>
  </si>
  <si>
    <t>20016</t>
  </si>
  <si>
    <t>20018</t>
  </si>
  <si>
    <t>Florida</t>
  </si>
  <si>
    <t>Ft. Myers-Naples, FL</t>
  </si>
  <si>
    <t>Fort Myers</t>
  </si>
  <si>
    <t>33908</t>
  </si>
  <si>
    <t>Naples</t>
  </si>
  <si>
    <t>34103</t>
  </si>
  <si>
    <t>34105</t>
  </si>
  <si>
    <t>Punta Gorda</t>
  </si>
  <si>
    <t>33950</t>
  </si>
  <si>
    <t>Gainesville, FL</t>
  </si>
  <si>
    <t>Gainesville</t>
  </si>
  <si>
    <t>32601</t>
  </si>
  <si>
    <t>Jacksonville, FL</t>
  </si>
  <si>
    <t>Jacksonville</t>
  </si>
  <si>
    <t>32218</t>
  </si>
  <si>
    <t>Middleburg</t>
  </si>
  <si>
    <t>32068</t>
  </si>
  <si>
    <t>Ponte Vedra Beach</t>
  </si>
  <si>
    <t>32081</t>
  </si>
  <si>
    <t>St Augustine</t>
  </si>
  <si>
    <t>32084</t>
  </si>
  <si>
    <t>Miami-Ft. Lauderdale, FL</t>
  </si>
  <si>
    <t>Fort Lauderdale</t>
  </si>
  <si>
    <t>33319</t>
  </si>
  <si>
    <t>Miami</t>
  </si>
  <si>
    <t>33168</t>
  </si>
  <si>
    <t>33174</t>
  </si>
  <si>
    <t>Mobile, AL-Pensacola (Ft. Walton Beach), FL</t>
  </si>
  <si>
    <t>Cantonment</t>
  </si>
  <si>
    <t>32533</t>
  </si>
  <si>
    <t>Fort Walton Beach</t>
  </si>
  <si>
    <t>32547</t>
  </si>
  <si>
    <t>Orlando-Daytona Beach-Melbourne, FL</t>
  </si>
  <si>
    <t>Altamonte Springs</t>
  </si>
  <si>
    <t>32701</t>
  </si>
  <si>
    <t>Cape Canaveral</t>
  </si>
  <si>
    <t>Orlando</t>
  </si>
  <si>
    <t>32801</t>
  </si>
  <si>
    <t>32819</t>
  </si>
  <si>
    <t>32835</t>
  </si>
  <si>
    <t>32836</t>
  </si>
  <si>
    <t>Titusville</t>
  </si>
  <si>
    <t>32780</t>
  </si>
  <si>
    <t>Webster</t>
  </si>
  <si>
    <t>33597</t>
  </si>
  <si>
    <t>Winter Park</t>
  </si>
  <si>
    <t>32792</t>
  </si>
  <si>
    <t>Tampa-St. Petersburg (Sarasota), FL</t>
  </si>
  <si>
    <t>Dunedin</t>
  </si>
  <si>
    <t>Largo</t>
  </si>
  <si>
    <t>Parrish</t>
  </si>
  <si>
    <t>34219</t>
  </si>
  <si>
    <t>Pinellas Park</t>
  </si>
  <si>
    <t>33782</t>
  </si>
  <si>
    <t>Sun City Center</t>
  </si>
  <si>
    <t>33573</t>
  </si>
  <si>
    <t>Winter Haven</t>
  </si>
  <si>
    <t>West Palm Beach-Ft. Pierce, FL</t>
  </si>
  <si>
    <t>Fort Pierce</t>
  </si>
  <si>
    <t>34950</t>
  </si>
  <si>
    <t>Jensen Beach</t>
  </si>
  <si>
    <t>Palm Beach</t>
  </si>
  <si>
    <t>33480</t>
  </si>
  <si>
    <t>Palm Beach Gardens</t>
  </si>
  <si>
    <t>33410</t>
  </si>
  <si>
    <t>Port St Lucie</t>
  </si>
  <si>
    <t>34952</t>
  </si>
  <si>
    <t>Wellington</t>
  </si>
  <si>
    <t>33414</t>
  </si>
  <si>
    <t>Illinois</t>
  </si>
  <si>
    <t>Chicago, IL</t>
  </si>
  <si>
    <t>60062</t>
  </si>
  <si>
    <t>Aurora</t>
  </si>
  <si>
    <t>60505</t>
  </si>
  <si>
    <t>Bartlett</t>
  </si>
  <si>
    <t>60103</t>
  </si>
  <si>
    <t>Batavia</t>
  </si>
  <si>
    <t>60510</t>
  </si>
  <si>
    <t>Chicago</t>
  </si>
  <si>
    <t>60602</t>
  </si>
  <si>
    <t>60606</t>
  </si>
  <si>
    <t>60609</t>
  </si>
  <si>
    <t>60613</t>
  </si>
  <si>
    <t>60614</t>
  </si>
  <si>
    <t>60636</t>
  </si>
  <si>
    <t>60637</t>
  </si>
  <si>
    <t>60641</t>
  </si>
  <si>
    <t>60645</t>
  </si>
  <si>
    <t>60647</t>
  </si>
  <si>
    <t>60657</t>
  </si>
  <si>
    <t>Cicero</t>
  </si>
  <si>
    <t>Crystal Lake</t>
  </si>
  <si>
    <t>60014</t>
  </si>
  <si>
    <t>Elmhurst</t>
  </si>
  <si>
    <t>60126</t>
  </si>
  <si>
    <t>Frankfort</t>
  </si>
  <si>
    <t>60423</t>
  </si>
  <si>
    <t>Glen Ellyn</t>
  </si>
  <si>
    <t>60137</t>
  </si>
  <si>
    <t>Glenview</t>
  </si>
  <si>
    <t>60025</t>
  </si>
  <si>
    <t>60026</t>
  </si>
  <si>
    <t>Hanover Park</t>
  </si>
  <si>
    <t>60133</t>
  </si>
  <si>
    <t>La Grange</t>
  </si>
  <si>
    <t>60525</t>
  </si>
  <si>
    <t>Lombard</t>
  </si>
  <si>
    <t>60148</t>
  </si>
  <si>
    <t>McHenry</t>
  </si>
  <si>
    <t>60051</t>
  </si>
  <si>
    <t>Naperville</t>
  </si>
  <si>
    <t>60540</t>
  </si>
  <si>
    <t>Orland Park</t>
  </si>
  <si>
    <t>60462</t>
  </si>
  <si>
    <t>Shorewood</t>
  </si>
  <si>
    <t>60404</t>
  </si>
  <si>
    <t>Sugar Grove</t>
  </si>
  <si>
    <t>Vernon Hills</t>
  </si>
  <si>
    <t>60061</t>
  </si>
  <si>
    <t>Western Springs</t>
  </si>
  <si>
    <t>60558</t>
  </si>
  <si>
    <t>Westmont</t>
  </si>
  <si>
    <t>60559</t>
  </si>
  <si>
    <t>Winnetka</t>
  </si>
  <si>
    <t>60093</t>
  </si>
  <si>
    <t>Woodridge</t>
  </si>
  <si>
    <t>60517</t>
  </si>
  <si>
    <t>Yorkville</t>
  </si>
  <si>
    <t>60560</t>
  </si>
  <si>
    <t>Davenport, IA-Rock Island-Moline, IL</t>
  </si>
  <si>
    <t>Milan</t>
  </si>
  <si>
    <t>61264</t>
  </si>
  <si>
    <t>Paducah, KY-Cape Girardeau, MO-Harrisburg, IL</t>
  </si>
  <si>
    <t>Herrin</t>
  </si>
  <si>
    <t>62948</t>
  </si>
  <si>
    <t>Peoria-Bloomington, IL</t>
  </si>
  <si>
    <t>Chillicothe</t>
  </si>
  <si>
    <t>61523</t>
  </si>
  <si>
    <t>Peoria</t>
  </si>
  <si>
    <t>61614</t>
  </si>
  <si>
    <t>Rockford, IL</t>
  </si>
  <si>
    <t>Rockford</t>
  </si>
  <si>
    <t>61114</t>
  </si>
  <si>
    <t>St. Louis, MO</t>
  </si>
  <si>
    <t>East Alton</t>
  </si>
  <si>
    <t>Indiana</t>
  </si>
  <si>
    <t>Merrillville</t>
  </si>
  <si>
    <t>46410</t>
  </si>
  <si>
    <t>Indianapolis, IN</t>
  </si>
  <si>
    <t>46033</t>
  </si>
  <si>
    <t>Indianapolis</t>
  </si>
  <si>
    <t>46204</t>
  </si>
  <si>
    <t>South Bend-Elkhart, IN</t>
  </si>
  <si>
    <t>Argos</t>
  </si>
  <si>
    <t>46501</t>
  </si>
  <si>
    <t>Iowa</t>
  </si>
  <si>
    <t>Cedar Rapids-Waterloo-Iowa City &amp; Dubuque, IA</t>
  </si>
  <si>
    <t>Iowa City</t>
  </si>
  <si>
    <t>52245</t>
  </si>
  <si>
    <t>Des Moines-Ames, IA</t>
  </si>
  <si>
    <t>Audubon</t>
  </si>
  <si>
    <t>50025</t>
  </si>
  <si>
    <t>Des Moines</t>
  </si>
  <si>
    <t>50312</t>
  </si>
  <si>
    <t>Laurens</t>
  </si>
  <si>
    <t>50554</t>
  </si>
  <si>
    <t>Omaha, NE</t>
  </si>
  <si>
    <t>Dunlap</t>
  </si>
  <si>
    <t>51529</t>
  </si>
  <si>
    <t>Griswold</t>
  </si>
  <si>
    <t>51535</t>
  </si>
  <si>
    <t>Kansas</t>
  </si>
  <si>
    <t>Topeka, KS</t>
  </si>
  <si>
    <t>Marysville</t>
  </si>
  <si>
    <t>Tulsa, OK</t>
  </si>
  <si>
    <t>Independence</t>
  </si>
  <si>
    <t>67301</t>
  </si>
  <si>
    <t>Wichita-Hutchinson Plus, KS</t>
  </si>
  <si>
    <t>Pretty Prairie</t>
  </si>
  <si>
    <t>67570</t>
  </si>
  <si>
    <t>Maine</t>
  </si>
  <si>
    <t>Bangor, ME</t>
  </si>
  <si>
    <t>Lincolnville</t>
  </si>
  <si>
    <t>04849</t>
  </si>
  <si>
    <t>Portland-Auburn, ME</t>
  </si>
  <si>
    <t>04046</t>
  </si>
  <si>
    <t>Freeport</t>
  </si>
  <si>
    <t>04032</t>
  </si>
  <si>
    <t>Portland</t>
  </si>
  <si>
    <t>04101</t>
  </si>
  <si>
    <t>Maryland</t>
  </si>
  <si>
    <t>Baltimore, MD</t>
  </si>
  <si>
    <t>Baltimore</t>
  </si>
  <si>
    <t>21215</t>
  </si>
  <si>
    <t>21216</t>
  </si>
  <si>
    <t>Catonsville</t>
  </si>
  <si>
    <t>21228</t>
  </si>
  <si>
    <t>Cockeysville</t>
  </si>
  <si>
    <t>21030</t>
  </si>
  <si>
    <t>Columbia</t>
  </si>
  <si>
    <t>21044</t>
  </si>
  <si>
    <t>Mays Chapel</t>
  </si>
  <si>
    <t>21093</t>
  </si>
  <si>
    <t>Nottingham</t>
  </si>
  <si>
    <t>21236</t>
  </si>
  <si>
    <t>Frederick</t>
  </si>
  <si>
    <t>21702</t>
  </si>
  <si>
    <t>21703</t>
  </si>
  <si>
    <t>Hagerstown</t>
  </si>
  <si>
    <t>21740</t>
  </si>
  <si>
    <t>Silver Spring</t>
  </si>
  <si>
    <t>20906</t>
  </si>
  <si>
    <t>20910</t>
  </si>
  <si>
    <t>Upper Marlboro</t>
  </si>
  <si>
    <t>20774</t>
  </si>
  <si>
    <t>Massachusetts</t>
  </si>
  <si>
    <t>Albany-Schenectady-Troy, NY</t>
  </si>
  <si>
    <t>North Adams</t>
  </si>
  <si>
    <t>01247</t>
  </si>
  <si>
    <t>Boston, MA (Manchester, NH)</t>
  </si>
  <si>
    <t>02035</t>
  </si>
  <si>
    <t>02481</t>
  </si>
  <si>
    <t>Amesbury</t>
  </si>
  <si>
    <t>01913</t>
  </si>
  <si>
    <t>Andover</t>
  </si>
  <si>
    <t>01810</t>
  </si>
  <si>
    <t>Ashland</t>
  </si>
  <si>
    <t>01721</t>
  </si>
  <si>
    <t>Boston</t>
  </si>
  <si>
    <t>02109</t>
  </si>
  <si>
    <t>02111</t>
  </si>
  <si>
    <t>Bridgewater</t>
  </si>
  <si>
    <t>02324</t>
  </si>
  <si>
    <t>Cambridge</t>
  </si>
  <si>
    <t>02138</t>
  </si>
  <si>
    <t>Carver</t>
  </si>
  <si>
    <t>02330</t>
  </si>
  <si>
    <t>Gloucester</t>
  </si>
  <si>
    <t>Haverhill</t>
  </si>
  <si>
    <t>01835</t>
  </si>
  <si>
    <t>Lowell</t>
  </si>
  <si>
    <t>01850</t>
  </si>
  <si>
    <t>01851</t>
  </si>
  <si>
    <t>Marion</t>
  </si>
  <si>
    <t>02738</t>
  </si>
  <si>
    <t>Marlborough</t>
  </si>
  <si>
    <t>Mashpee</t>
  </si>
  <si>
    <t>02649</t>
  </si>
  <si>
    <t>Natick</t>
  </si>
  <si>
    <t>01760</t>
  </si>
  <si>
    <t>Needham</t>
  </si>
  <si>
    <t>02492</t>
  </si>
  <si>
    <t>Northborough</t>
  </si>
  <si>
    <t>01532</t>
  </si>
  <si>
    <t>Peabody</t>
  </si>
  <si>
    <t>01960</t>
  </si>
  <si>
    <t>Plainville</t>
  </si>
  <si>
    <t>02762</t>
  </si>
  <si>
    <t>Plymouth</t>
  </si>
  <si>
    <t>02360</t>
  </si>
  <si>
    <t>Reading</t>
  </si>
  <si>
    <t>Revere</t>
  </si>
  <si>
    <t>02128</t>
  </si>
  <si>
    <t>Saugus</t>
  </si>
  <si>
    <t>01906</t>
  </si>
  <si>
    <t>Waltham</t>
  </si>
  <si>
    <t>02451</t>
  </si>
  <si>
    <t>02453</t>
  </si>
  <si>
    <t>Watertown</t>
  </si>
  <si>
    <t>Providence, RI-New Bedford, MA</t>
  </si>
  <si>
    <t>New Bedford</t>
  </si>
  <si>
    <t>02740</t>
  </si>
  <si>
    <t>Springfield-Holyoke, MA</t>
  </si>
  <si>
    <t>Hadley</t>
  </si>
  <si>
    <t>01035</t>
  </si>
  <si>
    <t>Holyoke</t>
  </si>
  <si>
    <t>01040</t>
  </si>
  <si>
    <t>Ludlow</t>
  </si>
  <si>
    <t>Springfield</t>
  </si>
  <si>
    <t>01104</t>
  </si>
  <si>
    <t>Michigan</t>
  </si>
  <si>
    <t>Alpena, MI</t>
  </si>
  <si>
    <t>Alpena</t>
  </si>
  <si>
    <t>Detroit, MI</t>
  </si>
  <si>
    <t>Auburn Hills</t>
  </si>
  <si>
    <t>48326</t>
  </si>
  <si>
    <t>Bloomfield Hills</t>
  </si>
  <si>
    <t>48301</t>
  </si>
  <si>
    <t>Roseville</t>
  </si>
  <si>
    <t>48066</t>
  </si>
  <si>
    <t>Utica</t>
  </si>
  <si>
    <t>48315</t>
  </si>
  <si>
    <t>Warren</t>
  </si>
  <si>
    <t>48093</t>
  </si>
  <si>
    <t>Flint-Saginaw-Bay City, MI</t>
  </si>
  <si>
    <t>Midland</t>
  </si>
  <si>
    <t>48640</t>
  </si>
  <si>
    <t>Grand Rapids-Kalamazoo-Battle Creek, MI</t>
  </si>
  <si>
    <t>Portage</t>
  </si>
  <si>
    <t>49002</t>
  </si>
  <si>
    <t>Lansing, MI</t>
  </si>
  <si>
    <t>Okemos</t>
  </si>
  <si>
    <t>48864</t>
  </si>
  <si>
    <t>Benton Harbor</t>
  </si>
  <si>
    <t>Dowagiac</t>
  </si>
  <si>
    <t>49047</t>
  </si>
  <si>
    <t>Toledo, OH</t>
  </si>
  <si>
    <t>Adrian</t>
  </si>
  <si>
    <t>Traverse City-Cadillac, MI</t>
  </si>
  <si>
    <t>East Jordan</t>
  </si>
  <si>
    <t>49727</t>
  </si>
  <si>
    <t>Roscommon</t>
  </si>
  <si>
    <t>48653</t>
  </si>
  <si>
    <t>Minnesota</t>
  </si>
  <si>
    <t>Duluth, MN-Superior, WI</t>
  </si>
  <si>
    <t>Two Harbors</t>
  </si>
  <si>
    <t>55616</t>
  </si>
  <si>
    <t>Minneapolis-St. Paul, MN</t>
  </si>
  <si>
    <t>Anoka</t>
  </si>
  <si>
    <t>55303</t>
  </si>
  <si>
    <t>Minneapolis</t>
  </si>
  <si>
    <t>55401</t>
  </si>
  <si>
    <t>55416</t>
  </si>
  <si>
    <t>55417</t>
  </si>
  <si>
    <t>55419</t>
  </si>
  <si>
    <t>55426</t>
  </si>
  <si>
    <t>Redwood Falls</t>
  </si>
  <si>
    <t>56283</t>
  </si>
  <si>
    <t>Shakopee</t>
  </si>
  <si>
    <t>55379</t>
  </si>
  <si>
    <t>St Paul</t>
  </si>
  <si>
    <t>55110</t>
  </si>
  <si>
    <t>55128</t>
  </si>
  <si>
    <t>Missouri</t>
  </si>
  <si>
    <t>Kansas City, MO</t>
  </si>
  <si>
    <t>Kansas City</t>
  </si>
  <si>
    <t>64133</t>
  </si>
  <si>
    <t>64157</t>
  </si>
  <si>
    <t>Nebraska</t>
  </si>
  <si>
    <t>Omaha</t>
  </si>
  <si>
    <t>68116</t>
  </si>
  <si>
    <t>New Hampshire</t>
  </si>
  <si>
    <t>Derry</t>
  </si>
  <si>
    <t>03038</t>
  </si>
  <si>
    <t>Portsmouth</t>
  </si>
  <si>
    <t>03801</t>
  </si>
  <si>
    <t>Rochester</t>
  </si>
  <si>
    <t>03867</t>
  </si>
  <si>
    <t>Stratham</t>
  </si>
  <si>
    <t>03885</t>
  </si>
  <si>
    <t>Burlington, VT-Plattsburgh, NY</t>
  </si>
  <si>
    <t>Campton</t>
  </si>
  <si>
    <t>03223</t>
  </si>
  <si>
    <t>Enfield</t>
  </si>
  <si>
    <t>03748</t>
  </si>
  <si>
    <t>Lebanon</t>
  </si>
  <si>
    <t>03766</t>
  </si>
  <si>
    <t>New Jersey</t>
  </si>
  <si>
    <t>07003</t>
  </si>
  <si>
    <t>07730</t>
  </si>
  <si>
    <t>07746</t>
  </si>
  <si>
    <t>Franklin</t>
  </si>
  <si>
    <t>Frenchtown</t>
  </si>
  <si>
    <t>08825</t>
  </si>
  <si>
    <t>Madison</t>
  </si>
  <si>
    <t>07940</t>
  </si>
  <si>
    <t>Maplewood</t>
  </si>
  <si>
    <t>07040</t>
  </si>
  <si>
    <t>Mountainside</t>
  </si>
  <si>
    <t>07092</t>
  </si>
  <si>
    <t>07102</t>
  </si>
  <si>
    <t>07112</t>
  </si>
  <si>
    <t>Newton</t>
  </si>
  <si>
    <t>07860</t>
  </si>
  <si>
    <t>Nutley</t>
  </si>
  <si>
    <t>07110</t>
  </si>
  <si>
    <t>Paramus</t>
  </si>
  <si>
    <t>07652</t>
  </si>
  <si>
    <t>Passaic</t>
  </si>
  <si>
    <t>Ridgewood</t>
  </si>
  <si>
    <t>Sea Girt</t>
  </si>
  <si>
    <t>08750</t>
  </si>
  <si>
    <t>Sparta</t>
  </si>
  <si>
    <t>07871</t>
  </si>
  <si>
    <t>07081</t>
  </si>
  <si>
    <t>Union</t>
  </si>
  <si>
    <t>07083</t>
  </si>
  <si>
    <t>Wayne</t>
  </si>
  <si>
    <t>07470</t>
  </si>
  <si>
    <t>West New York</t>
  </si>
  <si>
    <t>Absecon</t>
  </si>
  <si>
    <t>08201</t>
  </si>
  <si>
    <t>Hammonton</t>
  </si>
  <si>
    <t>08037</t>
  </si>
  <si>
    <t>Mantua</t>
  </si>
  <si>
    <t>08051</t>
  </si>
  <si>
    <t>Mount Laurel</t>
  </si>
  <si>
    <t>08054</t>
  </si>
  <si>
    <t>Trenton</t>
  </si>
  <si>
    <t>08618</t>
  </si>
  <si>
    <t>New York</t>
  </si>
  <si>
    <t>Poughkeepsie</t>
  </si>
  <si>
    <t>12414</t>
  </si>
  <si>
    <t>Glens Falls</t>
  </si>
  <si>
    <t>12801</t>
  </si>
  <si>
    <t>Rensselaer</t>
  </si>
  <si>
    <t>12144</t>
  </si>
  <si>
    <t>Schenectady</t>
  </si>
  <si>
    <t>12306</t>
  </si>
  <si>
    <t>Troy</t>
  </si>
  <si>
    <t>12182</t>
  </si>
  <si>
    <t>Binghamton, NY</t>
  </si>
  <si>
    <t>13901</t>
  </si>
  <si>
    <t>Vestal</t>
  </si>
  <si>
    <t>13850</t>
  </si>
  <si>
    <t>Buffalo, NY</t>
  </si>
  <si>
    <t>Buffalo</t>
  </si>
  <si>
    <t>14203</t>
  </si>
  <si>
    <t>14214</t>
  </si>
  <si>
    <t>Clarence</t>
  </si>
  <si>
    <t>14031</t>
  </si>
  <si>
    <t>North Tonawanda</t>
  </si>
  <si>
    <t>14120</t>
  </si>
  <si>
    <t>11377</t>
  </si>
  <si>
    <t>11937</t>
  </si>
  <si>
    <t>12493</t>
  </si>
  <si>
    <t>Beacon</t>
  </si>
  <si>
    <t>12508</t>
  </si>
  <si>
    <t>Brooklyn</t>
  </si>
  <si>
    <t>11209</t>
  </si>
  <si>
    <t>11211</t>
  </si>
  <si>
    <t>11222</t>
  </si>
  <si>
    <t>Eastchester</t>
  </si>
  <si>
    <t>10709</t>
  </si>
  <si>
    <t>Farmingdale</t>
  </si>
  <si>
    <t>Floral Park</t>
  </si>
  <si>
    <t>11001</t>
  </si>
  <si>
    <t>Great Neck</t>
  </si>
  <si>
    <t>Mount Kisco</t>
  </si>
  <si>
    <t>New Rochelle</t>
  </si>
  <si>
    <t>10801</t>
  </si>
  <si>
    <t>10003</t>
  </si>
  <si>
    <t>10004</t>
  </si>
  <si>
    <t>10007</t>
  </si>
  <si>
    <t>10009</t>
  </si>
  <si>
    <t>10013</t>
  </si>
  <si>
    <t>10014</t>
  </si>
  <si>
    <t>10025</t>
  </si>
  <si>
    <t>10038</t>
  </si>
  <si>
    <t>10118</t>
  </si>
  <si>
    <t>10280</t>
  </si>
  <si>
    <t>11120</t>
  </si>
  <si>
    <t>11691</t>
  </si>
  <si>
    <t>Peekskill</t>
  </si>
  <si>
    <t>10566</t>
  </si>
  <si>
    <t>Queens</t>
  </si>
  <si>
    <t>11439</t>
  </si>
  <si>
    <t>Tappan</t>
  </si>
  <si>
    <t>10983</t>
  </si>
  <si>
    <t>Wantagh</t>
  </si>
  <si>
    <t>11793</t>
  </si>
  <si>
    <t>Wappingers Falls</t>
  </si>
  <si>
    <t>12590</t>
  </si>
  <si>
    <t>Yonkers</t>
  </si>
  <si>
    <t>10710</t>
  </si>
  <si>
    <t>Rochester, NY</t>
  </si>
  <si>
    <t>14424</t>
  </si>
  <si>
    <t>Fairport</t>
  </si>
  <si>
    <t>14450</t>
  </si>
  <si>
    <t>14614</t>
  </si>
  <si>
    <t>Syracuse, NY</t>
  </si>
  <si>
    <t>Liverpool</t>
  </si>
  <si>
    <t>13088</t>
  </si>
  <si>
    <t>Rome</t>
  </si>
  <si>
    <t>13440</t>
  </si>
  <si>
    <t>Watertown, NY</t>
  </si>
  <si>
    <t>Chaumont</t>
  </si>
  <si>
    <t>13622</t>
  </si>
  <si>
    <t>Pennsylvania</t>
  </si>
  <si>
    <t>Berks County</t>
  </si>
  <si>
    <t>Ivyland</t>
  </si>
  <si>
    <t>Erie, PA</t>
  </si>
  <si>
    <t>Meadville</t>
  </si>
  <si>
    <t>16335</t>
  </si>
  <si>
    <t>Harrisburg-Lancaster-Lebanon-York, PA</t>
  </si>
  <si>
    <t>Camp Hill</t>
  </si>
  <si>
    <t>17011</t>
  </si>
  <si>
    <t>Gettysburg</t>
  </si>
  <si>
    <t>17325</t>
  </si>
  <si>
    <t>Greencastle</t>
  </si>
  <si>
    <t>17225</t>
  </si>
  <si>
    <t>Harrisburg</t>
  </si>
  <si>
    <t>17110</t>
  </si>
  <si>
    <t>New Cumberland</t>
  </si>
  <si>
    <t>17070</t>
  </si>
  <si>
    <t>New Freedom</t>
  </si>
  <si>
    <t>17349</t>
  </si>
  <si>
    <t>JOHNSTOWN-ALTOONA-STATE COLLEGE, PA</t>
  </si>
  <si>
    <t>Johnstown</t>
  </si>
  <si>
    <t>15905</t>
  </si>
  <si>
    <t>State College</t>
  </si>
  <si>
    <t>16803</t>
  </si>
  <si>
    <t>Berwyn</t>
  </si>
  <si>
    <t>19312</t>
  </si>
  <si>
    <t>Chalfont</t>
  </si>
  <si>
    <t>18914</t>
  </si>
  <si>
    <t>Collegeville</t>
  </si>
  <si>
    <t>19426</t>
  </si>
  <si>
    <t>Philadelphia</t>
  </si>
  <si>
    <t>19104</t>
  </si>
  <si>
    <t>19123</t>
  </si>
  <si>
    <t>19125</t>
  </si>
  <si>
    <t>19139</t>
  </si>
  <si>
    <t>19143</t>
  </si>
  <si>
    <t>19144</t>
  </si>
  <si>
    <t>19151</t>
  </si>
  <si>
    <t>19601</t>
  </si>
  <si>
    <t>19087</t>
  </si>
  <si>
    <t>West Chester</t>
  </si>
  <si>
    <t>19382</t>
  </si>
  <si>
    <t>Pittsburgh, PA</t>
  </si>
  <si>
    <t>Brownsville</t>
  </si>
  <si>
    <t>15417</t>
  </si>
  <si>
    <t>Irwin</t>
  </si>
  <si>
    <t>15642</t>
  </si>
  <si>
    <t>New Castle</t>
  </si>
  <si>
    <t>16105</t>
  </si>
  <si>
    <t>New Kensington</t>
  </si>
  <si>
    <t>15068</t>
  </si>
  <si>
    <t>Pittsburgh</t>
  </si>
  <si>
    <t>15213</t>
  </si>
  <si>
    <t>15217</t>
  </si>
  <si>
    <t>15220</t>
  </si>
  <si>
    <t>Waynesburg</t>
  </si>
  <si>
    <t>15370</t>
  </si>
  <si>
    <t>WILKES BARRE-SCRANTON-HAZLETON, PA</t>
  </si>
  <si>
    <t>18405</t>
  </si>
  <si>
    <t>Bloomsburg</t>
  </si>
  <si>
    <t>17815</t>
  </si>
  <si>
    <t>Dallas</t>
  </si>
  <si>
    <t>18612</t>
  </si>
  <si>
    <t>Stroudsburg</t>
  </si>
  <si>
    <t>18360</t>
  </si>
  <si>
    <t>Rhode Island</t>
  </si>
  <si>
    <t>Pawtucket</t>
  </si>
  <si>
    <t>02860</t>
  </si>
  <si>
    <t>Providence</t>
  </si>
  <si>
    <t>02909</t>
  </si>
  <si>
    <t>Warwick</t>
  </si>
  <si>
    <t>Texas</t>
  </si>
  <si>
    <t>Austin, TX</t>
  </si>
  <si>
    <t>Cedar Creek</t>
  </si>
  <si>
    <t>78612</t>
  </si>
  <si>
    <t>Dallas-Ft. Worth, TX</t>
  </si>
  <si>
    <t>75230</t>
  </si>
  <si>
    <t>Euless</t>
  </si>
  <si>
    <t>76040</t>
  </si>
  <si>
    <t>Fort Worth</t>
  </si>
  <si>
    <t>76114</t>
  </si>
  <si>
    <t>North Richland Hills</t>
  </si>
  <si>
    <t>76182</t>
  </si>
  <si>
    <t>Prosper</t>
  </si>
  <si>
    <t>75078</t>
  </si>
  <si>
    <t>Richardson</t>
  </si>
  <si>
    <t>75080</t>
  </si>
  <si>
    <t>El Paso, TX (Las Cruces, NM)</t>
  </si>
  <si>
    <t>El Paso</t>
  </si>
  <si>
    <t>79902</t>
  </si>
  <si>
    <t>Harlingen-Weslaco-Brownsville-McAllen, TX</t>
  </si>
  <si>
    <t>Harlingen</t>
  </si>
  <si>
    <t>Houston, TX</t>
  </si>
  <si>
    <t>Houston</t>
  </si>
  <si>
    <t>77054</t>
  </si>
  <si>
    <t>77064</t>
  </si>
  <si>
    <t>77072</t>
  </si>
  <si>
    <t>77087</t>
  </si>
  <si>
    <t>77089</t>
  </si>
  <si>
    <t>77339</t>
  </si>
  <si>
    <t>Katy</t>
  </si>
  <si>
    <t>77450</t>
  </si>
  <si>
    <t>Spring</t>
  </si>
  <si>
    <t>77379</t>
  </si>
  <si>
    <t>77380</t>
  </si>
  <si>
    <t>77389</t>
  </si>
  <si>
    <t>Lubbock, TX</t>
  </si>
  <si>
    <t>Lubbock</t>
  </si>
  <si>
    <t>79424</t>
  </si>
  <si>
    <t>San Antonio, TX</t>
  </si>
  <si>
    <t>Cibolo</t>
  </si>
  <si>
    <t>78108</t>
  </si>
  <si>
    <t>San Antonio</t>
  </si>
  <si>
    <t>78250</t>
  </si>
  <si>
    <t>Waco-Temple-Bryan, TX</t>
  </si>
  <si>
    <t>Killeen</t>
  </si>
  <si>
    <t>76549</t>
  </si>
  <si>
    <t>Wichita Falls, TX &amp; Lawton, OK</t>
  </si>
  <si>
    <t>Bowie</t>
  </si>
  <si>
    <t>76230</t>
  </si>
  <si>
    <t>Vermont</t>
  </si>
  <si>
    <t>05488</t>
  </si>
  <si>
    <t>Colchester</t>
  </si>
  <si>
    <t>05446</t>
  </si>
  <si>
    <t>Milton</t>
  </si>
  <si>
    <t>Montpelier</t>
  </si>
  <si>
    <t>05602</t>
  </si>
  <si>
    <t>Quechee</t>
  </si>
  <si>
    <t>05059</t>
  </si>
  <si>
    <t>Virginia</t>
  </si>
  <si>
    <t>Harrisonburg, VA</t>
  </si>
  <si>
    <t>Harrisonburg</t>
  </si>
  <si>
    <t>22801</t>
  </si>
  <si>
    <t>Norfolk-Portsmouth-Newport News, VA</t>
  </si>
  <si>
    <t>23696</t>
  </si>
  <si>
    <t>Chesapeake</t>
  </si>
  <si>
    <t>Hampton</t>
  </si>
  <si>
    <t>23669</t>
  </si>
  <si>
    <t>Virginia Beach</t>
  </si>
  <si>
    <t>23455</t>
  </si>
  <si>
    <t>23462</t>
  </si>
  <si>
    <t>Williamsburg</t>
  </si>
  <si>
    <t>23188</t>
  </si>
  <si>
    <t>Richmond-Petersburg, VA</t>
  </si>
  <si>
    <t>Chester</t>
  </si>
  <si>
    <t>23831</t>
  </si>
  <si>
    <t>Heathsville</t>
  </si>
  <si>
    <t>22473</t>
  </si>
  <si>
    <t>23225</t>
  </si>
  <si>
    <t>23235</t>
  </si>
  <si>
    <t>20124</t>
  </si>
  <si>
    <t>22003</t>
  </si>
  <si>
    <t>Alexandria</t>
  </si>
  <si>
    <t>22302</t>
  </si>
  <si>
    <t>22304</t>
  </si>
  <si>
    <t>22310</t>
  </si>
  <si>
    <t>22314</t>
  </si>
  <si>
    <t>Arlington</t>
  </si>
  <si>
    <t>22204</t>
  </si>
  <si>
    <t>22207</t>
  </si>
  <si>
    <t>Ashburn</t>
  </si>
  <si>
    <t>20147</t>
  </si>
  <si>
    <t>20149</t>
  </si>
  <si>
    <t>Fairfax</t>
  </si>
  <si>
    <t>22030</t>
  </si>
  <si>
    <t>22032</t>
  </si>
  <si>
    <t>Lorton</t>
  </si>
  <si>
    <t>22079</t>
  </si>
  <si>
    <t>Lovettsville</t>
  </si>
  <si>
    <t>20180</t>
  </si>
  <si>
    <t>Woodbridge</t>
  </si>
  <si>
    <t>22192</t>
  </si>
  <si>
    <t>22193</t>
  </si>
  <si>
    <t>West Virginia</t>
  </si>
  <si>
    <t>Wheeling, WV-Steubenville, OH</t>
  </si>
  <si>
    <t>New Martinsville</t>
  </si>
  <si>
    <t>Australian Capital Territory</t>
  </si>
  <si>
    <t>2605</t>
  </si>
  <si>
    <t>New South Wales</t>
  </si>
  <si>
    <t>2100</t>
  </si>
  <si>
    <t>2122</t>
  </si>
  <si>
    <t>2153</t>
  </si>
  <si>
    <t>2154</t>
  </si>
  <si>
    <t>2170</t>
  </si>
  <si>
    <t>2761</t>
  </si>
  <si>
    <t>2770</t>
  </si>
  <si>
    <t>Sydney</t>
  </si>
  <si>
    <t>Queensland</t>
  </si>
  <si>
    <t>4000</t>
  </si>
  <si>
    <t>4069</t>
  </si>
  <si>
    <t>4101</t>
  </si>
  <si>
    <t>4109</t>
  </si>
  <si>
    <t>4124</t>
  </si>
  <si>
    <t>4127</t>
  </si>
  <si>
    <t>Brisbane</t>
  </si>
  <si>
    <t>Victoria</t>
  </si>
  <si>
    <t>3000</t>
  </si>
  <si>
    <t>3003</t>
  </si>
  <si>
    <t>3056</t>
  </si>
  <si>
    <t>3057</t>
  </si>
  <si>
    <t>3064</t>
  </si>
  <si>
    <t>3101</t>
  </si>
  <si>
    <t>3175</t>
  </si>
  <si>
    <t>3188</t>
  </si>
  <si>
    <t>Melbourne</t>
  </si>
  <si>
    <t>Western Australia</t>
  </si>
  <si>
    <t>6000</t>
  </si>
  <si>
    <t>6011</t>
  </si>
  <si>
    <t>6020</t>
  </si>
  <si>
    <t>6150</t>
  </si>
  <si>
    <t>6164</t>
  </si>
  <si>
    <t>Caversham</t>
  </si>
  <si>
    <t>Alberta</t>
  </si>
  <si>
    <t>T0K</t>
  </si>
  <si>
    <t>T0L</t>
  </si>
  <si>
    <t>Calgary</t>
  </si>
  <si>
    <t>T2M</t>
  </si>
  <si>
    <t>T2P</t>
  </si>
  <si>
    <t>T2V</t>
  </si>
  <si>
    <t>T2Y</t>
  </si>
  <si>
    <t>T3K</t>
  </si>
  <si>
    <t>Edmonton</t>
  </si>
  <si>
    <t>T5K</t>
  </si>
  <si>
    <t>T5P</t>
  </si>
  <si>
    <t>T5T</t>
  </si>
  <si>
    <t>T6G</t>
  </si>
  <si>
    <t>Grande Prairie</t>
  </si>
  <si>
    <t>T8V</t>
  </si>
  <si>
    <t>Red Deer</t>
  </si>
  <si>
    <t>T4N</t>
  </si>
  <si>
    <t>Sherwood Park</t>
  </si>
  <si>
    <t>British Columbia</t>
  </si>
  <si>
    <t>Capital</t>
  </si>
  <si>
    <t>V8S</t>
  </si>
  <si>
    <t>Central Okanagan</t>
  </si>
  <si>
    <t>Kelowna</t>
  </si>
  <si>
    <t>V1Y</t>
  </si>
  <si>
    <t>East Kootenay</t>
  </si>
  <si>
    <t>Elkford</t>
  </si>
  <si>
    <t>Greater Vancouver</t>
  </si>
  <si>
    <t>Surrey</t>
  </si>
  <si>
    <t>V3W</t>
  </si>
  <si>
    <t>Vancouver</t>
  </si>
  <si>
    <t>Downtown Vancouver</t>
  </si>
  <si>
    <t>V6J</t>
  </si>
  <si>
    <t>V6K</t>
  </si>
  <si>
    <t>V6N</t>
  </si>
  <si>
    <t>Nanaimo</t>
  </si>
  <si>
    <t>Lantzville</t>
  </si>
  <si>
    <t>V0R</t>
  </si>
  <si>
    <t>Thompson-Nicola</t>
  </si>
  <si>
    <t>V0K</t>
  </si>
  <si>
    <t>Manitoba</t>
  </si>
  <si>
    <t>Killarney</t>
  </si>
  <si>
    <t>R0K</t>
  </si>
  <si>
    <t>New Brunswick</t>
  </si>
  <si>
    <t>Westmorland</t>
  </si>
  <si>
    <t>Moncton</t>
  </si>
  <si>
    <t>E1C</t>
  </si>
  <si>
    <t>Nova Scotia</t>
  </si>
  <si>
    <t>Cape Breton</t>
  </si>
  <si>
    <t>Ontario</t>
  </si>
  <si>
    <t>Chatham-Kent</t>
  </si>
  <si>
    <t>Chatham</t>
  </si>
  <si>
    <t>N7L</t>
  </si>
  <si>
    <t>Durham</t>
  </si>
  <si>
    <t>Port Perry</t>
  </si>
  <si>
    <t>L9L</t>
  </si>
  <si>
    <t>Essex</t>
  </si>
  <si>
    <t>LaSalle</t>
  </si>
  <si>
    <t>N9J</t>
  </si>
  <si>
    <t>Frontenac</t>
  </si>
  <si>
    <t>Kingston</t>
  </si>
  <si>
    <t>K7L</t>
  </si>
  <si>
    <t>Greater Sudbury</t>
  </si>
  <si>
    <t>P3E</t>
  </si>
  <si>
    <t>Halton</t>
  </si>
  <si>
    <t>Oakville</t>
  </si>
  <si>
    <t>L6H</t>
  </si>
  <si>
    <t>Hastings</t>
  </si>
  <si>
    <t>Frankford</t>
  </si>
  <si>
    <t>K0K</t>
  </si>
  <si>
    <t>Lanark</t>
  </si>
  <si>
    <t>Smiths Falls</t>
  </si>
  <si>
    <t>Leeds and Grenville</t>
  </si>
  <si>
    <t>Brockville</t>
  </si>
  <si>
    <t>K6V</t>
  </si>
  <si>
    <t>Middlesex</t>
  </si>
  <si>
    <t>London</t>
  </si>
  <si>
    <t>N5V</t>
  </si>
  <si>
    <t>Ottawa</t>
  </si>
  <si>
    <t>Kanata</t>
  </si>
  <si>
    <t>K2M</t>
  </si>
  <si>
    <t>K1N</t>
  </si>
  <si>
    <t>K1V</t>
  </si>
  <si>
    <t>K2A</t>
  </si>
  <si>
    <t>K2S</t>
  </si>
  <si>
    <t>Vanier</t>
  </si>
  <si>
    <t>Parry Sound</t>
  </si>
  <si>
    <t>Callander</t>
  </si>
  <si>
    <t>P0H</t>
  </si>
  <si>
    <t>Peel</t>
  </si>
  <si>
    <t>Caledon</t>
  </si>
  <si>
    <t>L7G</t>
  </si>
  <si>
    <t>Inglewood</t>
  </si>
  <si>
    <t>L7C</t>
  </si>
  <si>
    <t>Mississauga</t>
  </si>
  <si>
    <t>Simcoe</t>
  </si>
  <si>
    <t>Collingwood</t>
  </si>
  <si>
    <t>Toronto</t>
  </si>
  <si>
    <t>Etobicoke</t>
  </si>
  <si>
    <t>M8V</t>
  </si>
  <si>
    <t>M9P</t>
  </si>
  <si>
    <t>M9R</t>
  </si>
  <si>
    <t>North York</t>
  </si>
  <si>
    <t>M5M</t>
  </si>
  <si>
    <t>Scarborough</t>
  </si>
  <si>
    <t>M1E</t>
  </si>
  <si>
    <t>M5A</t>
  </si>
  <si>
    <t>M6H</t>
  </si>
  <si>
    <t>York</t>
  </si>
  <si>
    <t>M9N</t>
  </si>
  <si>
    <t>Waterloo</t>
  </si>
  <si>
    <t>N3C</t>
  </si>
  <si>
    <t>Kitchener</t>
  </si>
  <si>
    <t>N2N</t>
  </si>
  <si>
    <t>N2T</t>
  </si>
  <si>
    <t>Woolwich</t>
  </si>
  <si>
    <t>N0B 1M0</t>
  </si>
  <si>
    <t>Quebec</t>
  </si>
  <si>
    <t>Chicoutimi</t>
  </si>
  <si>
    <t>G7H</t>
  </si>
  <si>
    <t>Antoine-Labelle Regional County Municipality</t>
  </si>
  <si>
    <t>Mont-Laurier</t>
  </si>
  <si>
    <t>J9L</t>
  </si>
  <si>
    <t>Beauce-Sartigan Regional County Municipality</t>
  </si>
  <si>
    <t>G0M</t>
  </si>
  <si>
    <t>Capitale-Nationale</t>
  </si>
  <si>
    <t>Québec</t>
  </si>
  <si>
    <t>G1B</t>
  </si>
  <si>
    <t>Deux-Montagnes Regional County Municipality</t>
  </si>
  <si>
    <t>Saint-Joseph-du-Lac</t>
  </si>
  <si>
    <t>J0N</t>
  </si>
  <si>
    <t>Montreal</t>
  </si>
  <si>
    <t>H1B</t>
  </si>
  <si>
    <t>Mont-Royal</t>
  </si>
  <si>
    <t>H2V</t>
  </si>
  <si>
    <t>H1M</t>
  </si>
  <si>
    <t>H1N</t>
  </si>
  <si>
    <t>H3G</t>
  </si>
  <si>
    <t>Saskatchewan</t>
  </si>
  <si>
    <t>S0J</t>
  </si>
  <si>
    <t>Saskatoon</t>
  </si>
  <si>
    <t>S7M</t>
  </si>
  <si>
    <t>Gauteng</t>
  </si>
  <si>
    <t>Centurion</t>
  </si>
  <si>
    <t>0157</t>
  </si>
  <si>
    <t>Western Cape</t>
  </si>
  <si>
    <t>City of Cape Town</t>
  </si>
  <si>
    <t>Cape Town</t>
  </si>
  <si>
    <t>Signal Hill</t>
  </si>
  <si>
    <t>Alabama</t>
  </si>
  <si>
    <t>Birmingham (Anniston and Tuscaloosa), AL</t>
  </si>
  <si>
    <t>Birmingham</t>
  </si>
  <si>
    <t>Oneonta</t>
  </si>
  <si>
    <t>Arizona</t>
  </si>
  <si>
    <t>Phoenix (Prescott), AZ</t>
  </si>
  <si>
    <t>86432</t>
  </si>
  <si>
    <t>Casa Grande</t>
  </si>
  <si>
    <t>85194</t>
  </si>
  <si>
    <t>Flagstaff</t>
  </si>
  <si>
    <t>86005</t>
  </si>
  <si>
    <t>Surprise</t>
  </si>
  <si>
    <t>Tempe</t>
  </si>
  <si>
    <t>85282</t>
  </si>
  <si>
    <t>Arkansas</t>
  </si>
  <si>
    <t>Little Rock-Pine Bluff, AR</t>
  </si>
  <si>
    <t>North Little Rock</t>
  </si>
  <si>
    <t>72116</t>
  </si>
  <si>
    <t>Hanford</t>
  </si>
  <si>
    <t>93230</t>
  </si>
  <si>
    <t>91202</t>
  </si>
  <si>
    <t>90004</t>
  </si>
  <si>
    <t>90007</t>
  </si>
  <si>
    <t>90013</t>
  </si>
  <si>
    <t>90020</t>
  </si>
  <si>
    <t>90022</t>
  </si>
  <si>
    <t>90041</t>
  </si>
  <si>
    <t>91316</t>
  </si>
  <si>
    <t>91356</t>
  </si>
  <si>
    <t>Mission Viejo</t>
  </si>
  <si>
    <t>92691</t>
  </si>
  <si>
    <t>Mojave</t>
  </si>
  <si>
    <t>93501</t>
  </si>
  <si>
    <t>Orange</t>
  </si>
  <si>
    <t>92867</t>
  </si>
  <si>
    <t>Pasadena</t>
  </si>
  <si>
    <t>San Fernando</t>
  </si>
  <si>
    <t>91340</t>
  </si>
  <si>
    <t>San Pedro</t>
  </si>
  <si>
    <t>90731</t>
  </si>
  <si>
    <t>Monterey</t>
  </si>
  <si>
    <t>93942</t>
  </si>
  <si>
    <t>Pacific Grove</t>
  </si>
  <si>
    <t>93950</t>
  </si>
  <si>
    <t>Palm Springs, CA</t>
  </si>
  <si>
    <t>Cathedral City</t>
  </si>
  <si>
    <t>92234</t>
  </si>
  <si>
    <t>Indian Wells</t>
  </si>
  <si>
    <t>92210</t>
  </si>
  <si>
    <t>Palm Springs</t>
  </si>
  <si>
    <t>92264</t>
  </si>
  <si>
    <t>Carmichael</t>
  </si>
  <si>
    <t>95608</t>
  </si>
  <si>
    <t>95817</t>
  </si>
  <si>
    <t>95821</t>
  </si>
  <si>
    <t>92108</t>
  </si>
  <si>
    <t>Livermore</t>
  </si>
  <si>
    <t>94551</t>
  </si>
  <si>
    <t>Los Gatos</t>
  </si>
  <si>
    <t>Milpitas</t>
  </si>
  <si>
    <t>94611</t>
  </si>
  <si>
    <t>Petaluma</t>
  </si>
  <si>
    <t>94954</t>
  </si>
  <si>
    <t>Pleasanton</t>
  </si>
  <si>
    <t>94566</t>
  </si>
  <si>
    <t>94107</t>
  </si>
  <si>
    <t>95112</t>
  </si>
  <si>
    <t>95124</t>
  </si>
  <si>
    <t>95127</t>
  </si>
  <si>
    <t>95133</t>
  </si>
  <si>
    <t>95141</t>
  </si>
  <si>
    <t>San Mateo</t>
  </si>
  <si>
    <t>94402</t>
  </si>
  <si>
    <t>Santa Clara</t>
  </si>
  <si>
    <t>95054</t>
  </si>
  <si>
    <t>Santa Maria</t>
  </si>
  <si>
    <t>93458</t>
  </si>
  <si>
    <t>Colorado</t>
  </si>
  <si>
    <t>Colorado Springs-Pueblo, CO</t>
  </si>
  <si>
    <t>Pueblo</t>
  </si>
  <si>
    <t>Denver, CO</t>
  </si>
  <si>
    <t>Denver</t>
  </si>
  <si>
    <t>80203</t>
  </si>
  <si>
    <t>80206</t>
  </si>
  <si>
    <t>80209</t>
  </si>
  <si>
    <t>80221</t>
  </si>
  <si>
    <t>Fort Collins</t>
  </si>
  <si>
    <t>80525</t>
  </si>
  <si>
    <t>Littleton</t>
  </si>
  <si>
    <t>80128</t>
  </si>
  <si>
    <t>Parker</t>
  </si>
  <si>
    <t>Groton</t>
  </si>
  <si>
    <t>06340</t>
  </si>
  <si>
    <t>Meriden</t>
  </si>
  <si>
    <t>06450</t>
  </si>
  <si>
    <t>Vernon</t>
  </si>
  <si>
    <t>06066</t>
  </si>
  <si>
    <t>06110</t>
  </si>
  <si>
    <t>Windsor</t>
  </si>
  <si>
    <t>06095</t>
  </si>
  <si>
    <t>Bridgeport</t>
  </si>
  <si>
    <t>06606</t>
  </si>
  <si>
    <t>20002</t>
  </si>
  <si>
    <t>20005</t>
  </si>
  <si>
    <t>20008</t>
  </si>
  <si>
    <t>Cape Coral</t>
  </si>
  <si>
    <t>33914</t>
  </si>
  <si>
    <t>Port Charlotte</t>
  </si>
  <si>
    <t>33948</t>
  </si>
  <si>
    <t>33952</t>
  </si>
  <si>
    <t>32208</t>
  </si>
  <si>
    <t>Deerfield Beach</t>
  </si>
  <si>
    <t>33172</t>
  </si>
  <si>
    <t>New Smyrna Beach</t>
  </si>
  <si>
    <t>Port Orange</t>
  </si>
  <si>
    <t>32129</t>
  </si>
  <si>
    <t>Sanford</t>
  </si>
  <si>
    <t>32773</t>
  </si>
  <si>
    <t>Panama City, FL</t>
  </si>
  <si>
    <t>Panama City</t>
  </si>
  <si>
    <t>Tallahassee, FL-Thomasville, GA</t>
  </si>
  <si>
    <t>Tallahassee</t>
  </si>
  <si>
    <t>32301</t>
  </si>
  <si>
    <t>Clearwater</t>
  </si>
  <si>
    <t>33762</t>
  </si>
  <si>
    <t>Englewood</t>
  </si>
  <si>
    <t>34223</t>
  </si>
  <si>
    <t>34224</t>
  </si>
  <si>
    <t>Land O' Lakes</t>
  </si>
  <si>
    <t>34639</t>
  </si>
  <si>
    <t>Sarasota</t>
  </si>
  <si>
    <t>34236</t>
  </si>
  <si>
    <t>Tampa</t>
  </si>
  <si>
    <t>33620</t>
  </si>
  <si>
    <t>33880</t>
  </si>
  <si>
    <t>Georgia</t>
  </si>
  <si>
    <t>Johns Creek</t>
  </si>
  <si>
    <t>Atlanta, GA</t>
  </si>
  <si>
    <t>Alpharetta</t>
  </si>
  <si>
    <t>30022</t>
  </si>
  <si>
    <t>Atlanta</t>
  </si>
  <si>
    <t>30301</t>
  </si>
  <si>
    <t>Clayton</t>
  </si>
  <si>
    <t>30525</t>
  </si>
  <si>
    <t>Cumming</t>
  </si>
  <si>
    <t>30040</t>
  </si>
  <si>
    <t>Douglasville</t>
  </si>
  <si>
    <t>30135</t>
  </si>
  <si>
    <t>Marietta</t>
  </si>
  <si>
    <t>30064</t>
  </si>
  <si>
    <t>McDonough</t>
  </si>
  <si>
    <t>30252</t>
  </si>
  <si>
    <t>Smyrna</t>
  </si>
  <si>
    <t>30080</t>
  </si>
  <si>
    <t>COLUMBUS, GA (OPELIKA, AL)</t>
  </si>
  <si>
    <t>Columbus</t>
  </si>
  <si>
    <t>31901</t>
  </si>
  <si>
    <t>Savannah, GA</t>
  </si>
  <si>
    <t>Savannah</t>
  </si>
  <si>
    <t>Hawaii</t>
  </si>
  <si>
    <t>Honolulu, HI</t>
  </si>
  <si>
    <t>Honolulu</t>
  </si>
  <si>
    <t>96817</t>
  </si>
  <si>
    <t>Mililani Town</t>
  </si>
  <si>
    <t>96789</t>
  </si>
  <si>
    <t>Idaho</t>
  </si>
  <si>
    <t>Boise, ID</t>
  </si>
  <si>
    <t>Boise</t>
  </si>
  <si>
    <t>83706</t>
  </si>
  <si>
    <t>Buffalo Grove</t>
  </si>
  <si>
    <t>60089</t>
  </si>
  <si>
    <t>60607</t>
  </si>
  <si>
    <t>60608</t>
  </si>
  <si>
    <t>60628</t>
  </si>
  <si>
    <t>60804</t>
  </si>
  <si>
    <t>Lake Villa</t>
  </si>
  <si>
    <t>60046</t>
  </si>
  <si>
    <t>Lisle</t>
  </si>
  <si>
    <t>60532</t>
  </si>
  <si>
    <t>60563</t>
  </si>
  <si>
    <t>Plainfield</t>
  </si>
  <si>
    <t>60586</t>
  </si>
  <si>
    <t>Round Lake</t>
  </si>
  <si>
    <t>60073</t>
  </si>
  <si>
    <t>Clinton</t>
  </si>
  <si>
    <t>52732</t>
  </si>
  <si>
    <t>Clive</t>
  </si>
  <si>
    <t>50325</t>
  </si>
  <si>
    <t>50309</t>
  </si>
  <si>
    <t>Charter Oak</t>
  </si>
  <si>
    <t>51439</t>
  </si>
  <si>
    <t>Kentucky</t>
  </si>
  <si>
    <t>Cincinnati, OH</t>
  </si>
  <si>
    <t>Florence</t>
  </si>
  <si>
    <t>Knoxville, TN</t>
  </si>
  <si>
    <t>40856</t>
  </si>
  <si>
    <t>Lexington, KY</t>
  </si>
  <si>
    <t>Lexington</t>
  </si>
  <si>
    <t>40515</t>
  </si>
  <si>
    <t>Louisiana</t>
  </si>
  <si>
    <t>New Orleans, LA</t>
  </si>
  <si>
    <t>New Orleans</t>
  </si>
  <si>
    <t>70115</t>
  </si>
  <si>
    <t>04564</t>
  </si>
  <si>
    <t>04274</t>
  </si>
  <si>
    <t>21701</t>
  </si>
  <si>
    <t>21742</t>
  </si>
  <si>
    <t>Laurel</t>
  </si>
  <si>
    <t>20723</t>
  </si>
  <si>
    <t>Olney</t>
  </si>
  <si>
    <t>20832</t>
  </si>
  <si>
    <t>02474</t>
  </si>
  <si>
    <t>02132</t>
  </si>
  <si>
    <t>02293</t>
  </si>
  <si>
    <t>Concord</t>
  </si>
  <si>
    <t>01742</t>
  </si>
  <si>
    <t>Medford</t>
  </si>
  <si>
    <t>02155</t>
  </si>
  <si>
    <t>01867</t>
  </si>
  <si>
    <t>Somerville</t>
  </si>
  <si>
    <t>02143</t>
  </si>
  <si>
    <t>Mansfield</t>
  </si>
  <si>
    <t>02048</t>
  </si>
  <si>
    <t>Westport</t>
  </si>
  <si>
    <t>02790</t>
  </si>
  <si>
    <t>Amherst</t>
  </si>
  <si>
    <t>01002</t>
  </si>
  <si>
    <t>01062</t>
  </si>
  <si>
    <t>49707</t>
  </si>
  <si>
    <t>48472</t>
  </si>
  <si>
    <t>48334</t>
  </si>
  <si>
    <t>Ypsilanti</t>
  </si>
  <si>
    <t>48197</t>
  </si>
  <si>
    <t>Flint</t>
  </si>
  <si>
    <t>48503</t>
  </si>
  <si>
    <t>Mount Pleasant</t>
  </si>
  <si>
    <t>48858</t>
  </si>
  <si>
    <t>Grandville</t>
  </si>
  <si>
    <t>49418</t>
  </si>
  <si>
    <t>East Lansing</t>
  </si>
  <si>
    <t>48823</t>
  </si>
  <si>
    <t>Grass Lake</t>
  </si>
  <si>
    <t>49240</t>
  </si>
  <si>
    <t>Jackson</t>
  </si>
  <si>
    <t>49203</t>
  </si>
  <si>
    <t>Duluth</t>
  </si>
  <si>
    <t>55802</t>
  </si>
  <si>
    <t>Ely</t>
  </si>
  <si>
    <t>55731</t>
  </si>
  <si>
    <t>Eden Prairie</t>
  </si>
  <si>
    <t>55347</t>
  </si>
  <si>
    <t>Elk River</t>
  </si>
  <si>
    <t>55330</t>
  </si>
  <si>
    <t>55413</t>
  </si>
  <si>
    <t>55422</t>
  </si>
  <si>
    <t>Nevis</t>
  </si>
  <si>
    <t>56467</t>
  </si>
  <si>
    <t>Sandstone</t>
  </si>
  <si>
    <t>55118</t>
  </si>
  <si>
    <t>55127</t>
  </si>
  <si>
    <t>Wayzata</t>
  </si>
  <si>
    <t>55391</t>
  </si>
  <si>
    <t>Mississippi</t>
  </si>
  <si>
    <t>Jackson, MS</t>
  </si>
  <si>
    <t>39110</t>
  </si>
  <si>
    <t>Ridgeland</t>
  </si>
  <si>
    <t>39157</t>
  </si>
  <si>
    <t>Columbia-Jefferson City, MO</t>
  </si>
  <si>
    <t>Jefferson City</t>
  </si>
  <si>
    <t>65109</t>
  </si>
  <si>
    <t>64106</t>
  </si>
  <si>
    <t>64131</t>
  </si>
  <si>
    <t>Springfield, MO</t>
  </si>
  <si>
    <t>65634</t>
  </si>
  <si>
    <t>65802</t>
  </si>
  <si>
    <t>St. Joseph, MO</t>
  </si>
  <si>
    <t>St Joseph</t>
  </si>
  <si>
    <t>64506</t>
  </si>
  <si>
    <t>St Louis</t>
  </si>
  <si>
    <t>63139</t>
  </si>
  <si>
    <t>Nevada</t>
  </si>
  <si>
    <t>Las Vegas, NV</t>
  </si>
  <si>
    <t>Henderson</t>
  </si>
  <si>
    <t>89074</t>
  </si>
  <si>
    <t>Las Vegas</t>
  </si>
  <si>
    <t>89108</t>
  </si>
  <si>
    <t>89130</t>
  </si>
  <si>
    <t>North Las Vegas</t>
  </si>
  <si>
    <t>89032</t>
  </si>
  <si>
    <t>Reno, NV</t>
  </si>
  <si>
    <t>Reno</t>
  </si>
  <si>
    <t>89521</t>
  </si>
  <si>
    <t>Dover</t>
  </si>
  <si>
    <t>03820</t>
  </si>
  <si>
    <t>Meredith</t>
  </si>
  <si>
    <t>03253</t>
  </si>
  <si>
    <t>West Deptford</t>
  </si>
  <si>
    <t>Belmar</t>
  </si>
  <si>
    <t>07719</t>
  </si>
  <si>
    <t>Cranford</t>
  </si>
  <si>
    <t>07016</t>
  </si>
  <si>
    <t>East Brunswick</t>
  </si>
  <si>
    <t>08816</t>
  </si>
  <si>
    <t>Jersey City</t>
  </si>
  <si>
    <t>07306</t>
  </si>
  <si>
    <t>Lakewood</t>
  </si>
  <si>
    <t>08701</t>
  </si>
  <si>
    <t>New Mexico</t>
  </si>
  <si>
    <t>Albuquerque-Santa Fe, NM</t>
  </si>
  <si>
    <t>Albuquerque</t>
  </si>
  <si>
    <t>87120</t>
  </si>
  <si>
    <t>14226</t>
  </si>
  <si>
    <t>14261</t>
  </si>
  <si>
    <t>11357</t>
  </si>
  <si>
    <t>Baldwin</t>
  </si>
  <si>
    <t>11510</t>
  </si>
  <si>
    <t>11201</t>
  </si>
  <si>
    <t>11208</t>
  </si>
  <si>
    <t>11215</t>
  </si>
  <si>
    <t>11218</t>
  </si>
  <si>
    <t>12401</t>
  </si>
  <si>
    <t>10006</t>
  </si>
  <si>
    <t>10016</t>
  </si>
  <si>
    <t>10017</t>
  </si>
  <si>
    <t>10022</t>
  </si>
  <si>
    <t>10023</t>
  </si>
  <si>
    <t>10065</t>
  </si>
  <si>
    <t>Oceanside</t>
  </si>
  <si>
    <t>11572</t>
  </si>
  <si>
    <t>Port Washington</t>
  </si>
  <si>
    <t>Staten Island</t>
  </si>
  <si>
    <t>10312</t>
  </si>
  <si>
    <t>14605</t>
  </si>
  <si>
    <t>14607</t>
  </si>
  <si>
    <t>14624</t>
  </si>
  <si>
    <t>Utica, NY</t>
  </si>
  <si>
    <t>13502</t>
  </si>
  <si>
    <t>North Carolina</t>
  </si>
  <si>
    <t>Charlotte, NC</t>
  </si>
  <si>
    <t>Boone</t>
  </si>
  <si>
    <t>28607</t>
  </si>
  <si>
    <t>Charlotte</t>
  </si>
  <si>
    <t>28202</t>
  </si>
  <si>
    <t>28277</t>
  </si>
  <si>
    <t>Matthews</t>
  </si>
  <si>
    <t>Greensboro-High Point-Winston Salem, NC</t>
  </si>
  <si>
    <t>Mocksville</t>
  </si>
  <si>
    <t>27028</t>
  </si>
  <si>
    <t>Greenville-New Bern-Washington, NC</t>
  </si>
  <si>
    <t>Camp Lejeune</t>
  </si>
  <si>
    <t>28547</t>
  </si>
  <si>
    <t>28540</t>
  </si>
  <si>
    <t>Raleigh-Durham (Fayetteville), NC</t>
  </si>
  <si>
    <t>27527</t>
  </si>
  <si>
    <t>Knightdale</t>
  </si>
  <si>
    <t>27545</t>
  </si>
  <si>
    <t>Tarboro</t>
  </si>
  <si>
    <t>27886</t>
  </si>
  <si>
    <t>Wilmington, NC</t>
  </si>
  <si>
    <t>Castle Hayne</t>
  </si>
  <si>
    <t>28429</t>
  </si>
  <si>
    <t>Ohio</t>
  </si>
  <si>
    <t>45036</t>
  </si>
  <si>
    <t>Cleveland-Akron (Canton), OH</t>
  </si>
  <si>
    <t>North Olmsted</t>
  </si>
  <si>
    <t>44070</t>
  </si>
  <si>
    <t>Columbus, OH</t>
  </si>
  <si>
    <t>43085</t>
  </si>
  <si>
    <t>43206</t>
  </si>
  <si>
    <t>43221</t>
  </si>
  <si>
    <t>43235</t>
  </si>
  <si>
    <t>Dayton, OH</t>
  </si>
  <si>
    <t>Dayton</t>
  </si>
  <si>
    <t>45412</t>
  </si>
  <si>
    <t>45420</t>
  </si>
  <si>
    <t>Toledo</t>
  </si>
  <si>
    <t>43612</t>
  </si>
  <si>
    <t>43613</t>
  </si>
  <si>
    <t>Steubenville</t>
  </si>
  <si>
    <t>43952</t>
  </si>
  <si>
    <t>43964</t>
  </si>
  <si>
    <t>Youngstown, OH</t>
  </si>
  <si>
    <t>Youngstown</t>
  </si>
  <si>
    <t>44502</t>
  </si>
  <si>
    <t>Oklahoma</t>
  </si>
  <si>
    <t>Oklahoma City, OK</t>
  </si>
  <si>
    <t>Norman</t>
  </si>
  <si>
    <t>Oklahoma City</t>
  </si>
  <si>
    <t>73135</t>
  </si>
  <si>
    <t>Tulsa</t>
  </si>
  <si>
    <t>74120</t>
  </si>
  <si>
    <t>Oregon</t>
  </si>
  <si>
    <t>Bend, OR</t>
  </si>
  <si>
    <t>Bend</t>
  </si>
  <si>
    <t>Eugene, OR</t>
  </si>
  <si>
    <t>Coquille</t>
  </si>
  <si>
    <t>97423</t>
  </si>
  <si>
    <t>Eugene</t>
  </si>
  <si>
    <t>97401</t>
  </si>
  <si>
    <t>Portland, OR</t>
  </si>
  <si>
    <t>Beaverton</t>
  </si>
  <si>
    <t>97008</t>
  </si>
  <si>
    <t>Forest Grove</t>
  </si>
  <si>
    <t>97116</t>
  </si>
  <si>
    <t>Gladstone</t>
  </si>
  <si>
    <t>97027</t>
  </si>
  <si>
    <t>Hillsboro</t>
  </si>
  <si>
    <t>97124</t>
  </si>
  <si>
    <t>97206</t>
  </si>
  <si>
    <t>97213</t>
  </si>
  <si>
    <t>97218</t>
  </si>
  <si>
    <t>97222</t>
  </si>
  <si>
    <t>Yakima-Pasco-Richland-Kennewick, WA</t>
  </si>
  <si>
    <t>Boardman</t>
  </si>
  <si>
    <t>97818</t>
  </si>
  <si>
    <t>Dallastown</t>
  </si>
  <si>
    <t>17313</t>
  </si>
  <si>
    <t>17111</t>
  </si>
  <si>
    <t>Bellefonte</t>
  </si>
  <si>
    <t>16823</t>
  </si>
  <si>
    <t>Easton</t>
  </si>
  <si>
    <t>18042</t>
  </si>
  <si>
    <t>Havertown</t>
  </si>
  <si>
    <t>19083</t>
  </si>
  <si>
    <t>19107</t>
  </si>
  <si>
    <t>19124</t>
  </si>
  <si>
    <t>19140</t>
  </si>
  <si>
    <t>Bethel Park</t>
  </si>
  <si>
    <t>15102</t>
  </si>
  <si>
    <t>15201</t>
  </si>
  <si>
    <t>15223</t>
  </si>
  <si>
    <t>15239</t>
  </si>
  <si>
    <t>02918</t>
  </si>
  <si>
    <t>South Carolina</t>
  </si>
  <si>
    <t>Columbia, SC</t>
  </si>
  <si>
    <t>Greenville-Spartanburg, SC-Asheville, NC-Anderson, SC</t>
  </si>
  <si>
    <t>Anderson</t>
  </si>
  <si>
    <t>29621</t>
  </si>
  <si>
    <t>Pelzer</t>
  </si>
  <si>
    <t>29669</t>
  </si>
  <si>
    <t>Simpsonville</t>
  </si>
  <si>
    <t>29681</t>
  </si>
  <si>
    <t>Myrtle Beach-Florence, SC</t>
  </si>
  <si>
    <t>Hartsville</t>
  </si>
  <si>
    <t>29550</t>
  </si>
  <si>
    <t>Myrtle Beach</t>
  </si>
  <si>
    <t>29577</t>
  </si>
  <si>
    <t>South Dakota</t>
  </si>
  <si>
    <t>Sioux City, IA</t>
  </si>
  <si>
    <t>Alcester</t>
  </si>
  <si>
    <t>57001</t>
  </si>
  <si>
    <t>Sioux Falls(Mitchell), SD</t>
  </si>
  <si>
    <t>57274</t>
  </si>
  <si>
    <t>Tennessee</t>
  </si>
  <si>
    <t>Crossville</t>
  </si>
  <si>
    <t>38571</t>
  </si>
  <si>
    <t>Knoxville</t>
  </si>
  <si>
    <t>37923</t>
  </si>
  <si>
    <t>Memphis, TN</t>
  </si>
  <si>
    <t>Memphis</t>
  </si>
  <si>
    <t>38104</t>
  </si>
  <si>
    <t>Nashville, TN</t>
  </si>
  <si>
    <t>Clarksville</t>
  </si>
  <si>
    <t>37042</t>
  </si>
  <si>
    <t>Nashville</t>
  </si>
  <si>
    <t>37207</t>
  </si>
  <si>
    <t>Tri-Cities, TN-VA</t>
  </si>
  <si>
    <t>Bluff City</t>
  </si>
  <si>
    <t>37618</t>
  </si>
  <si>
    <t>Argyle</t>
  </si>
  <si>
    <t>76226</t>
  </si>
  <si>
    <t>Ennis</t>
  </si>
  <si>
    <t>75119</t>
  </si>
  <si>
    <t>Hurst</t>
  </si>
  <si>
    <t>76053</t>
  </si>
  <si>
    <t>Lewisville</t>
  </si>
  <si>
    <t>Plano</t>
  </si>
  <si>
    <t>75093</t>
  </si>
  <si>
    <t>Royse City</t>
  </si>
  <si>
    <t>75189</t>
  </si>
  <si>
    <t>Terrell</t>
  </si>
  <si>
    <t>77055</t>
  </si>
  <si>
    <t>Sugar Land</t>
  </si>
  <si>
    <t>77479</t>
  </si>
  <si>
    <t>Canyon Lake</t>
  </si>
  <si>
    <t>New Braunfels</t>
  </si>
  <si>
    <t>78132</t>
  </si>
  <si>
    <t>78207</t>
  </si>
  <si>
    <t>Tyler-Longview(Lufkin &amp; Nacogdoches), TX</t>
  </si>
  <si>
    <t>Tyler</t>
  </si>
  <si>
    <t>75701</t>
  </si>
  <si>
    <t>College Station</t>
  </si>
  <si>
    <t>77840</t>
  </si>
  <si>
    <t>Utah</t>
  </si>
  <si>
    <t>Harrisville</t>
  </si>
  <si>
    <t>Salt Lake City, UT</t>
  </si>
  <si>
    <t>Midvale</t>
  </si>
  <si>
    <t>84047</t>
  </si>
  <si>
    <t>Ogden</t>
  </si>
  <si>
    <t>84403</t>
  </si>
  <si>
    <t>Salt Lake City</t>
  </si>
  <si>
    <t>84108</t>
  </si>
  <si>
    <t>Springville</t>
  </si>
  <si>
    <t>84663</t>
  </si>
  <si>
    <t>West Valley City</t>
  </si>
  <si>
    <t>84120</t>
  </si>
  <si>
    <t>23220</t>
  </si>
  <si>
    <t>Roanoke-Lynchburg, VA</t>
  </si>
  <si>
    <t>Roanoke</t>
  </si>
  <si>
    <t>24017</t>
  </si>
  <si>
    <t>22033</t>
  </si>
  <si>
    <t>98682</t>
  </si>
  <si>
    <t>Seattle-Tacoma, WA</t>
  </si>
  <si>
    <t>98223</t>
  </si>
  <si>
    <t>Bellingham</t>
  </si>
  <si>
    <t>98225</t>
  </si>
  <si>
    <t>98229</t>
  </si>
  <si>
    <t>Camano</t>
  </si>
  <si>
    <t>98282</t>
  </si>
  <si>
    <t>Federal Way</t>
  </si>
  <si>
    <t>98003</t>
  </si>
  <si>
    <t>Gig Harbor</t>
  </si>
  <si>
    <t>98335</t>
  </si>
  <si>
    <t>Kent</t>
  </si>
  <si>
    <t>98030</t>
  </si>
  <si>
    <t>98032</t>
  </si>
  <si>
    <t>Kirkland</t>
  </si>
  <si>
    <t>98033</t>
  </si>
  <si>
    <t>Olympia</t>
  </si>
  <si>
    <t>98501</t>
  </si>
  <si>
    <t>Seattle</t>
  </si>
  <si>
    <t>98101</t>
  </si>
  <si>
    <t>98103</t>
  </si>
  <si>
    <t>98104</t>
  </si>
  <si>
    <t>98116</t>
  </si>
  <si>
    <t>98117</t>
  </si>
  <si>
    <t>98118</t>
  </si>
  <si>
    <t>98119</t>
  </si>
  <si>
    <t>98121</t>
  </si>
  <si>
    <t>98160</t>
  </si>
  <si>
    <t>Snoqualmie</t>
  </si>
  <si>
    <t>98065</t>
  </si>
  <si>
    <t>Tacoma</t>
  </si>
  <si>
    <t>98404</t>
  </si>
  <si>
    <t>Spokane, WA</t>
  </si>
  <si>
    <t>Okanogan</t>
  </si>
  <si>
    <t>98840</t>
  </si>
  <si>
    <t>Spokane</t>
  </si>
  <si>
    <t>99208</t>
  </si>
  <si>
    <t>Ellensburg</t>
  </si>
  <si>
    <t>98926</t>
  </si>
  <si>
    <t>Yakima</t>
  </si>
  <si>
    <t>98902</t>
  </si>
  <si>
    <t>Wisconsin</t>
  </si>
  <si>
    <t>Elm Grove</t>
  </si>
  <si>
    <t>Green Bay-Appleton, WI</t>
  </si>
  <si>
    <t>De Pere</t>
  </si>
  <si>
    <t>54115</t>
  </si>
  <si>
    <t>Green Bay</t>
  </si>
  <si>
    <t>54313</t>
  </si>
  <si>
    <t>La Crosse-Eau Claire, WI</t>
  </si>
  <si>
    <t>La Crosse</t>
  </si>
  <si>
    <t>54603</t>
  </si>
  <si>
    <t>Madison, WI</t>
  </si>
  <si>
    <t>Beloit</t>
  </si>
  <si>
    <t>53511</t>
  </si>
  <si>
    <t>Milwaukee, WI</t>
  </si>
  <si>
    <t>Milwaukee</t>
  </si>
  <si>
    <t>53206</t>
  </si>
  <si>
    <t>53207</t>
  </si>
  <si>
    <t>Racine</t>
  </si>
  <si>
    <t>53406</t>
  </si>
  <si>
    <t>St Francis</t>
  </si>
  <si>
    <t>53235</t>
  </si>
  <si>
    <t>West Bend</t>
  </si>
  <si>
    <t>53095</t>
  </si>
  <si>
    <t>Wyoming</t>
  </si>
  <si>
    <t>Cheyenne, WY-Scottsbluff, NE</t>
  </si>
  <si>
    <t>Cheyenne</t>
  </si>
  <si>
    <t>82001</t>
  </si>
  <si>
    <t>Federal District</t>
  </si>
  <si>
    <t>Brasília</t>
  </si>
  <si>
    <t>Minas Gerais</t>
  </si>
  <si>
    <t>Rio Grande do Norte</t>
  </si>
  <si>
    <t>Natal</t>
  </si>
  <si>
    <t>59073</t>
  </si>
  <si>
    <t>Rio Grande do Sul</t>
  </si>
  <si>
    <t>Porto Alegre</t>
  </si>
  <si>
    <t>São Paulo</t>
  </si>
  <si>
    <t>Ribeirão Preto</t>
  </si>
  <si>
    <t>Santo André</t>
  </si>
  <si>
    <t>Auckland</t>
  </si>
  <si>
    <t>1010</t>
  </si>
  <si>
    <t>1061</t>
  </si>
  <si>
    <t>2013</t>
  </si>
  <si>
    <t>Wellington City</t>
  </si>
  <si>
    <t>LT-Leads-Search-RBI</t>
  </si>
  <si>
    <t>HONG KONG SAR</t>
  </si>
  <si>
    <t>Hong Kong SAR</t>
  </si>
  <si>
    <t>New Territories</t>
  </si>
  <si>
    <t>Delhi</t>
  </si>
  <si>
    <t>New Delhi</t>
  </si>
  <si>
    <t>110008</t>
  </si>
  <si>
    <t>Karnataka</t>
  </si>
  <si>
    <t>Bengaluru</t>
  </si>
  <si>
    <t>560015</t>
  </si>
  <si>
    <t>560038</t>
  </si>
  <si>
    <t>560064</t>
  </si>
  <si>
    <t>560066</t>
  </si>
  <si>
    <t>562130</t>
  </si>
  <si>
    <t>Hoskote</t>
  </si>
  <si>
    <t>562114</t>
  </si>
  <si>
    <t>Maharashtra</t>
  </si>
  <si>
    <t>Mumbai</t>
  </si>
  <si>
    <t>400004</t>
  </si>
  <si>
    <t>400008</t>
  </si>
  <si>
    <t>400017</t>
  </si>
  <si>
    <t>400018</t>
  </si>
  <si>
    <t>400025</t>
  </si>
  <si>
    <t>400032</t>
  </si>
  <si>
    <t>400050</t>
  </si>
  <si>
    <t>400052</t>
  </si>
  <si>
    <t>400093</t>
  </si>
  <si>
    <t>400104</t>
  </si>
  <si>
    <t>Beirut Governorate</t>
  </si>
  <si>
    <t>Beirut</t>
  </si>
  <si>
    <t>Malaysia</t>
  </si>
  <si>
    <t>Federal Territory of Kuala Lumpur</t>
  </si>
  <si>
    <t>Kuala Lumpur</t>
  </si>
  <si>
    <t>50470</t>
  </si>
  <si>
    <t>55000</t>
  </si>
  <si>
    <t>55100</t>
  </si>
  <si>
    <t>55200</t>
  </si>
  <si>
    <t>Setapak</t>
  </si>
  <si>
    <t>Johor</t>
  </si>
  <si>
    <t>Johor Bahru</t>
  </si>
  <si>
    <t>Johor Baharu</t>
  </si>
  <si>
    <t>81100</t>
  </si>
  <si>
    <t>Skudai</t>
  </si>
  <si>
    <t>81300</t>
  </si>
  <si>
    <t>Sarawak</t>
  </si>
  <si>
    <t>Serian</t>
  </si>
  <si>
    <t>94700</t>
  </si>
  <si>
    <t>Sibu</t>
  </si>
  <si>
    <t>96000</t>
  </si>
  <si>
    <t>Selangor</t>
  </si>
  <si>
    <t>Petaling Jaya</t>
  </si>
  <si>
    <t>47410</t>
  </si>
  <si>
    <t>47820</t>
  </si>
  <si>
    <t>Subang Jaya</t>
  </si>
  <si>
    <t>47500</t>
  </si>
  <si>
    <t>Philippines</t>
  </si>
  <si>
    <t>Calabarzon</t>
  </si>
  <si>
    <t>Cavite</t>
  </si>
  <si>
    <t>Dasmariñas</t>
  </si>
  <si>
    <t>Imus</t>
  </si>
  <si>
    <t>Laguna</t>
  </si>
  <si>
    <t>Los Banos</t>
  </si>
  <si>
    <t>Central Luzon</t>
  </si>
  <si>
    <t>Bulacan</t>
  </si>
  <si>
    <t>Malolos</t>
  </si>
  <si>
    <t>Nueva Ecija</t>
  </si>
  <si>
    <t>Cabanatuan</t>
  </si>
  <si>
    <t>Pampanga</t>
  </si>
  <si>
    <t>Angeles</t>
  </si>
  <si>
    <t>Tarlac</t>
  </si>
  <si>
    <t>Tarlac City</t>
  </si>
  <si>
    <t>Central Visayas</t>
  </si>
  <si>
    <t>Cebu</t>
  </si>
  <si>
    <t>Cordillera Administrative Region</t>
  </si>
  <si>
    <t>Davao Region</t>
  </si>
  <si>
    <t>Metro Manila</t>
  </si>
  <si>
    <t>Las Piñas</t>
  </si>
  <si>
    <t>Pulang Lupa Uno</t>
  </si>
  <si>
    <t>Makati</t>
  </si>
  <si>
    <t>Bel-Air</t>
  </si>
  <si>
    <t>San Lorenzo</t>
  </si>
  <si>
    <t>Malabon</t>
  </si>
  <si>
    <t>Manila</t>
  </si>
  <si>
    <t>Pasig</t>
  </si>
  <si>
    <t>Maybuñga</t>
  </si>
  <si>
    <t>Quezon City</t>
  </si>
  <si>
    <t>San Juan</t>
  </si>
  <si>
    <t>Northern Mindanao</t>
  </si>
  <si>
    <t>Zamboanga Peninsula</t>
  </si>
  <si>
    <t>Thailand</t>
  </si>
  <si>
    <t>Bangkok</t>
  </si>
  <si>
    <t>Bang Na Nuea</t>
  </si>
  <si>
    <t>10100</t>
  </si>
  <si>
    <t>10110</t>
  </si>
  <si>
    <t>10120</t>
  </si>
  <si>
    <t>10160</t>
  </si>
  <si>
    <t>10400</t>
  </si>
  <si>
    <t>Bang Rak</t>
  </si>
  <si>
    <t>Dusit</t>
  </si>
  <si>
    <t>Buri Ram Province</t>
  </si>
  <si>
    <t>Mueang Buri Ram</t>
  </si>
  <si>
    <t>Isan</t>
  </si>
  <si>
    <t>Chachoengsao Province</t>
  </si>
  <si>
    <t>Bang Pakong</t>
  </si>
  <si>
    <t>Khao Din</t>
  </si>
  <si>
    <t>Chanthaburi Province</t>
  </si>
  <si>
    <t>Chiang Mai Province</t>
  </si>
  <si>
    <t>Chiang Mai</t>
  </si>
  <si>
    <t>Mueang Chiang Mai</t>
  </si>
  <si>
    <t>Suthep</t>
  </si>
  <si>
    <t>Chon Buri Province</t>
  </si>
  <si>
    <t>Pattaya</t>
  </si>
  <si>
    <t>Bang Lamung</t>
  </si>
  <si>
    <t>Krabi Province</t>
  </si>
  <si>
    <t>Ao Nang</t>
  </si>
  <si>
    <t>Loei Province</t>
  </si>
  <si>
    <t>Pattani Province</t>
  </si>
  <si>
    <t>Phuket Province</t>
  </si>
  <si>
    <t>Phuket</t>
  </si>
  <si>
    <t>Mueang Phuket</t>
  </si>
  <si>
    <t>Ko Kaeo</t>
  </si>
  <si>
    <t>Rayong Province</t>
  </si>
  <si>
    <t>Mueang Rayong</t>
  </si>
  <si>
    <t>Rayong</t>
  </si>
  <si>
    <t>Samut Prakan Province</t>
  </si>
  <si>
    <t>Phra Pradaeng</t>
  </si>
  <si>
    <t>Surat Thani Province</t>
  </si>
  <si>
    <t>Ko Pha-Ngan</t>
  </si>
  <si>
    <t>Turkey</t>
  </si>
  <si>
    <t>Ankara</t>
  </si>
  <si>
    <t>06420</t>
  </si>
  <si>
    <t>Antalya</t>
  </si>
  <si>
    <t>Balıkesir</t>
  </si>
  <si>
    <t>Istanbul</t>
  </si>
  <si>
    <t>Bayrampasa</t>
  </si>
  <si>
    <t>Gungoren</t>
  </si>
  <si>
    <t>Kartal</t>
  </si>
  <si>
    <t>İzmir</t>
  </si>
  <si>
    <t>Bornova</t>
  </si>
  <si>
    <t>Barrhead</t>
  </si>
  <si>
    <t>T7N</t>
  </si>
  <si>
    <t>Beaumont</t>
  </si>
  <si>
    <t>T2J</t>
  </si>
  <si>
    <t>T2L</t>
  </si>
  <si>
    <t>T5Z</t>
  </si>
  <si>
    <t>T8X</t>
  </si>
  <si>
    <t>T0A</t>
  </si>
  <si>
    <t>Bulkley-Nechako</t>
  </si>
  <si>
    <t>Burns Lake</t>
  </si>
  <si>
    <t>V0J</t>
  </si>
  <si>
    <t>Port Moody</t>
  </si>
  <si>
    <t>V3H</t>
  </si>
  <si>
    <t>V5T</t>
  </si>
  <si>
    <t>V5Y</t>
  </si>
  <si>
    <t>V5Z</t>
  </si>
  <si>
    <t>Stonewall</t>
  </si>
  <si>
    <t>R0C</t>
  </si>
  <si>
    <t>Winnipeg</t>
  </si>
  <si>
    <t>R2P</t>
  </si>
  <si>
    <t>Newfoundland and Labrador</t>
  </si>
  <si>
    <t>Torbay</t>
  </si>
  <si>
    <t>A1K</t>
  </si>
  <si>
    <t>Halifax</t>
  </si>
  <si>
    <t>B3J</t>
  </si>
  <si>
    <t>B3M</t>
  </si>
  <si>
    <t>Whitby</t>
  </si>
  <si>
    <t>L1R</t>
  </si>
  <si>
    <t>Forest</t>
  </si>
  <si>
    <t>Lennox and Addington</t>
  </si>
  <si>
    <t>Napanee</t>
  </si>
  <si>
    <t>K7R</t>
  </si>
  <si>
    <t>Niagara</t>
  </si>
  <si>
    <t>Port Colborne</t>
  </si>
  <si>
    <t>L3K</t>
  </si>
  <si>
    <t>St Catharines</t>
  </si>
  <si>
    <t>L2P</t>
  </si>
  <si>
    <t>K2T</t>
  </si>
  <si>
    <t>K1G</t>
  </si>
  <si>
    <t>Brampton</t>
  </si>
  <si>
    <t>L5K</t>
  </si>
  <si>
    <t>Renfrew</t>
  </si>
  <si>
    <t>K0J</t>
  </si>
  <si>
    <t>Pembroke</t>
  </si>
  <si>
    <t>K8A</t>
  </si>
  <si>
    <t>K8B</t>
  </si>
  <si>
    <t>Springwater</t>
  </si>
  <si>
    <t>M1S</t>
  </si>
  <si>
    <t>M4W</t>
  </si>
  <si>
    <t>M4X</t>
  </si>
  <si>
    <t>M5P</t>
  </si>
  <si>
    <t>M5S</t>
  </si>
  <si>
    <t>M5V</t>
  </si>
  <si>
    <t>M6R</t>
  </si>
  <si>
    <t>M6S</t>
  </si>
  <si>
    <t>New Hamburg</t>
  </si>
  <si>
    <t>N3A</t>
  </si>
  <si>
    <t>Gatineau</t>
  </si>
  <si>
    <t>J8T</t>
  </si>
  <si>
    <t>Laval</t>
  </si>
  <si>
    <t>H7E</t>
  </si>
  <si>
    <t>H7X</t>
  </si>
  <si>
    <t>H3H</t>
  </si>
  <si>
    <t>H4W</t>
  </si>
  <si>
    <t>Comuna 4</t>
  </si>
  <si>
    <t>Parque Patricios</t>
  </si>
  <si>
    <t>Comuna 5</t>
  </si>
  <si>
    <t>Almagro</t>
  </si>
  <si>
    <t>Buenos Aires Province</t>
  </si>
  <si>
    <t>Partido de Avellaneda</t>
  </si>
  <si>
    <t>Avellaneda</t>
  </si>
  <si>
    <t>Partido de La Matanza</t>
  </si>
  <si>
    <t>Lomas del Mirador</t>
  </si>
  <si>
    <t>Neuquén Province</t>
  </si>
  <si>
    <t>Departamento Confluencia</t>
  </si>
  <si>
    <t>Neuquén</t>
  </si>
  <si>
    <t>Tucumán</t>
  </si>
  <si>
    <t>Austria</t>
  </si>
  <si>
    <t>Vienna</t>
  </si>
  <si>
    <t>1150</t>
  </si>
  <si>
    <t>Belgium</t>
  </si>
  <si>
    <t>Brussels Region</t>
  </si>
  <si>
    <t>Flemish Region</t>
  </si>
  <si>
    <t>Antwerp</t>
  </si>
  <si>
    <t>2060</t>
  </si>
  <si>
    <t>Walloon Region</t>
  </si>
  <si>
    <t>Walloon Brabant</t>
  </si>
  <si>
    <t>La Hulpe</t>
  </si>
  <si>
    <t>Switzerland</t>
  </si>
  <si>
    <t>Geneva</t>
  </si>
  <si>
    <t>Lucerne</t>
  </si>
  <si>
    <t>Root</t>
  </si>
  <si>
    <t>6037</t>
  </si>
  <si>
    <t>Schwyz</t>
  </si>
  <si>
    <t>Ingenbohl</t>
  </si>
  <si>
    <t>6440</t>
  </si>
  <si>
    <t>Ticino</t>
  </si>
  <si>
    <t>Lugano</t>
  </si>
  <si>
    <t>Zurich</t>
  </si>
  <si>
    <t>Bülach</t>
  </si>
  <si>
    <t>Opfikon</t>
  </si>
  <si>
    <t>8152</t>
  </si>
  <si>
    <t>8048</t>
  </si>
  <si>
    <t>Nicosia</t>
  </si>
  <si>
    <t>Prague</t>
  </si>
  <si>
    <t>140 00</t>
  </si>
  <si>
    <t>150 00</t>
  </si>
  <si>
    <t>Ústí nad Labem Region</t>
  </si>
  <si>
    <t>Louny</t>
  </si>
  <si>
    <t>Bavaria</t>
  </si>
  <si>
    <t>Bamberg</t>
  </si>
  <si>
    <t>Gundelsheim</t>
  </si>
  <si>
    <t>96163</t>
  </si>
  <si>
    <t>Munich (District)</t>
  </si>
  <si>
    <t>Munich</t>
  </si>
  <si>
    <t>80538</t>
  </si>
  <si>
    <t>Berlin</t>
  </si>
  <si>
    <t>Stadt Berlin</t>
  </si>
  <si>
    <t>10247</t>
  </si>
  <si>
    <t>10785</t>
  </si>
  <si>
    <t>10967</t>
  </si>
  <si>
    <t>12627</t>
  </si>
  <si>
    <t>Hamburg</t>
  </si>
  <si>
    <t>Stadt Hamburg</t>
  </si>
  <si>
    <t>Hesse</t>
  </si>
  <si>
    <t>Frankfurt am Main</t>
  </si>
  <si>
    <t>Frankfurt</t>
  </si>
  <si>
    <t>60316</t>
  </si>
  <si>
    <t>Innenstadt</t>
  </si>
  <si>
    <t>Marburg-Biedenkopf</t>
  </si>
  <si>
    <t>Marburg an der Lahn</t>
  </si>
  <si>
    <t>35037</t>
  </si>
  <si>
    <t>Wiesbaden</t>
  </si>
  <si>
    <t>65195</t>
  </si>
  <si>
    <t>Mecklenburg-West Pomerania</t>
  </si>
  <si>
    <t>Vorpommern-Rügen</t>
  </si>
  <si>
    <t>18356</t>
  </si>
  <si>
    <t>North Rhine-Westphalia</t>
  </si>
  <si>
    <t>Düsseldorf</t>
  </si>
  <si>
    <t>40470</t>
  </si>
  <si>
    <t>40477</t>
  </si>
  <si>
    <t>Gütersloh</t>
  </si>
  <si>
    <t>Steinhagen</t>
  </si>
  <si>
    <t>Solingen</t>
  </si>
  <si>
    <t>42697</t>
  </si>
  <si>
    <t>Rhineland-Palatinate</t>
  </si>
  <si>
    <t>Kusel</t>
  </si>
  <si>
    <t>Hinzweiler</t>
  </si>
  <si>
    <t>67756</t>
  </si>
  <si>
    <t>Denmark</t>
  </si>
  <si>
    <t>Capital Region of Denmark</t>
  </si>
  <si>
    <t>Brøndby Municipality</t>
  </si>
  <si>
    <t>Copenhagen Municipality</t>
  </si>
  <si>
    <t>Copenhagen</t>
  </si>
  <si>
    <t>Spain</t>
  </si>
  <si>
    <t>Andalusia</t>
  </si>
  <si>
    <t>Cadiz</t>
  </si>
  <si>
    <t>Rota</t>
  </si>
  <si>
    <t>11520</t>
  </si>
  <si>
    <t>Cantabria</t>
  </si>
  <si>
    <t>Provincia de Cantabria</t>
  </si>
  <si>
    <t>Catalonia</t>
  </si>
  <si>
    <t>Barcelona</t>
  </si>
  <si>
    <t>El Prat de Llobregat</t>
  </si>
  <si>
    <t>08820</t>
  </si>
  <si>
    <t>Community of Madrid</t>
  </si>
  <si>
    <t>Madrid</t>
  </si>
  <si>
    <t>Región de Murcia</t>
  </si>
  <si>
    <t>Murcia</t>
  </si>
  <si>
    <t>Cartagena</t>
  </si>
  <si>
    <t>Valencian Community</t>
  </si>
  <si>
    <t>Alicante</t>
  </si>
  <si>
    <t>03540</t>
  </si>
  <si>
    <t>Finland</t>
  </si>
  <si>
    <t>Uusimaa</t>
  </si>
  <si>
    <t>Helsinki</t>
  </si>
  <si>
    <t>Provence-Alpes-Côte D'Azur</t>
  </si>
  <si>
    <t>Maritime Alps</t>
  </si>
  <si>
    <t>Nice</t>
  </si>
  <si>
    <t>06000</t>
  </si>
  <si>
    <t>Ireland</t>
  </si>
  <si>
    <t>County Cork</t>
  </si>
  <si>
    <t>Cork</t>
  </si>
  <si>
    <t>County Dublin</t>
  </si>
  <si>
    <t>Dublin</t>
  </si>
  <si>
    <t>Fingal</t>
  </si>
  <si>
    <t>County Limerick</t>
  </si>
  <si>
    <t>Limerick</t>
  </si>
  <si>
    <t>County Meath</t>
  </si>
  <si>
    <t>Navan</t>
  </si>
  <si>
    <t>County Offaly</t>
  </si>
  <si>
    <t>Tullamore</t>
  </si>
  <si>
    <t>Italy</t>
  </si>
  <si>
    <t>Abruzzi</t>
  </si>
  <si>
    <t>L'Aquila</t>
  </si>
  <si>
    <t>Avezzano</t>
  </si>
  <si>
    <t>Campania</t>
  </si>
  <si>
    <t>Marano di Napoli</t>
  </si>
  <si>
    <t>Monte di Procida</t>
  </si>
  <si>
    <t>80070</t>
  </si>
  <si>
    <t>Lombardy</t>
  </si>
  <si>
    <t>Bergamo</t>
  </si>
  <si>
    <t>Castelli Calepio</t>
  </si>
  <si>
    <t>24060</t>
  </si>
  <si>
    <t>Trentino-Alto Adige</t>
  </si>
  <si>
    <t>Bolzano</t>
  </si>
  <si>
    <t>Merano</t>
  </si>
  <si>
    <t>39012</t>
  </si>
  <si>
    <t>Tuscany</t>
  </si>
  <si>
    <t>Campi Bisenzio</t>
  </si>
  <si>
    <t>50013</t>
  </si>
  <si>
    <t>Veneto</t>
  </si>
  <si>
    <t>Padua</t>
  </si>
  <si>
    <t>Vigonza</t>
  </si>
  <si>
    <t>Malta</t>
  </si>
  <si>
    <t>Msida</t>
  </si>
  <si>
    <t>Friesland</t>
  </si>
  <si>
    <t>Hitzum</t>
  </si>
  <si>
    <t>8805</t>
  </si>
  <si>
    <t>Limburg</t>
  </si>
  <si>
    <t>Gemeente Brunssum</t>
  </si>
  <si>
    <t>Brunssum</t>
  </si>
  <si>
    <t>Maastricht</t>
  </si>
  <si>
    <t>Maastricht-Centrum</t>
  </si>
  <si>
    <t>North Holland</t>
  </si>
  <si>
    <t>Amsterdam</t>
  </si>
  <si>
    <t>1082</t>
  </si>
  <si>
    <t>1101</t>
  </si>
  <si>
    <t>Bijlmermeer</t>
  </si>
  <si>
    <t>Kuyavian-Pomeranian Voivodeship</t>
  </si>
  <si>
    <t>Toruń</t>
  </si>
  <si>
    <t>Lublin Voivodeship</t>
  </si>
  <si>
    <t>Biała Podlaska</t>
  </si>
  <si>
    <t>Masovian Voivodeship</t>
  </si>
  <si>
    <t>Leiria</t>
  </si>
  <si>
    <t>Lisbon</t>
  </si>
  <si>
    <t>Lisboa</t>
  </si>
  <si>
    <t>Romania</t>
  </si>
  <si>
    <t>Bucharest</t>
  </si>
  <si>
    <t>Titan</t>
  </si>
  <si>
    <t>Tulcea</t>
  </si>
  <si>
    <t>Sweden</t>
  </si>
  <si>
    <t>Jönköping County</t>
  </si>
  <si>
    <t>Jönköpings Municipality</t>
  </si>
  <si>
    <t>Jönköping</t>
  </si>
  <si>
    <t>Stockholm County</t>
  </si>
  <si>
    <t>Lidingö Municipality</t>
  </si>
  <si>
    <t>Lidingö</t>
  </si>
  <si>
    <t>Stockholm Municipality</t>
  </si>
  <si>
    <t>Stockholm</t>
  </si>
  <si>
    <t>Slovakia</t>
  </si>
  <si>
    <t>Region of Bratislava</t>
  </si>
  <si>
    <t>Bratislava</t>
  </si>
  <si>
    <t>851 07</t>
  </si>
  <si>
    <t>-</t>
  </si>
  <si>
    <t>©2026 Microsoft Corporation. All rights reserved.</t>
  </si>
  <si>
    <t>Names</t>
  </si>
  <si>
    <t>PHONE NUMBER</t>
  </si>
  <si>
    <t>EMAIL</t>
  </si>
  <si>
    <t>COMMUNICATING</t>
  </si>
  <si>
    <t>FROM</t>
  </si>
  <si>
    <t>DATE RETAINER WAS SENT</t>
  </si>
  <si>
    <t>COUNTRY</t>
  </si>
  <si>
    <t>LV/LT</t>
  </si>
  <si>
    <t>Sheila</t>
  </si>
  <si>
    <t>website form</t>
  </si>
  <si>
    <t>USA</t>
  </si>
  <si>
    <t>Paid</t>
  </si>
  <si>
    <t>bing</t>
  </si>
  <si>
    <t>others (direct email phone call referral etc )</t>
  </si>
  <si>
    <t>Oleh</t>
  </si>
  <si>
    <t>organic</t>
  </si>
  <si>
    <t>adw</t>
  </si>
  <si>
    <t>RBI LV</t>
  </si>
  <si>
    <t>Waiting for payment</t>
  </si>
  <si>
    <t>Oleksandr</t>
  </si>
  <si>
    <t>Ryan Moorhead</t>
  </si>
  <si>
    <t>1352388-1439</t>
  </si>
  <si>
    <t>4 Mar 2026</t>
  </si>
  <si>
    <t>Gabriel Vysomirskis Chiode</t>
  </si>
  <si>
    <t>55 11 94242-2028</t>
  </si>
  <si>
    <t>gabrielchioode@gmail.com</t>
  </si>
  <si>
    <t>Beatriz Sadauskas Henrique</t>
  </si>
  <si>
    <t>beatriz_sadauskas@yahoo.com.br</t>
  </si>
  <si>
    <t>9 Mar 2026</t>
  </si>
  <si>
    <t>Israel Vitorin</t>
  </si>
  <si>
    <t>bagdaaudisky@gmail.com</t>
  </si>
  <si>
    <t>10 Mar 2026</t>
  </si>
  <si>
    <t>Marlon do Nascimento Barbosa</t>
  </si>
  <si>
    <t>advogadomarlon@hotmail.com</t>
  </si>
  <si>
    <t>11 Mar 2026</t>
  </si>
  <si>
    <t>+380 50 401 4933</t>
  </si>
  <si>
    <t>Yevhen@Demianenko.net</t>
  </si>
  <si>
    <t>16 Mar 2026</t>
  </si>
  <si>
    <t>Daniel Zoboli Bazilevski</t>
  </si>
  <si>
    <t>55 11 98281-2632</t>
  </si>
  <si>
    <t>dzbazilevski@gmail.com</t>
  </si>
  <si>
    <t>Fabio Marques Kmiliauskis</t>
  </si>
  <si>
    <t>fabio@pontualapoio.com.br</t>
  </si>
  <si>
    <t>18 Mar 2026</t>
  </si>
  <si>
    <t>19 Mar 2026</t>
  </si>
  <si>
    <t>1 876 217-8462</t>
  </si>
  <si>
    <t>Jamaica</t>
  </si>
  <si>
    <t>Company registration</t>
  </si>
  <si>
    <t>John S. Phillips</t>
  </si>
  <si>
    <t>1 214-636-4730</t>
  </si>
  <si>
    <t>johnsphillips@sbcglobal.net</t>
  </si>
  <si>
    <t>30 Mar 2026</t>
  </si>
  <si>
    <t>26 Mar 2026</t>
  </si>
  <si>
    <t>Frank Daniel Shooflar</t>
  </si>
  <si>
    <t>shooflar.frank@gmail.com</t>
  </si>
  <si>
    <t>Matthew Burns</t>
  </si>
  <si>
    <t>burns.m@outlook.com</t>
  </si>
  <si>
    <t>24 Mar 2026</t>
  </si>
  <si>
    <t>Nicole Vide</t>
  </si>
  <si>
    <t>jnvide@gmail.com</t>
  </si>
  <si>
    <t>5 Mar 2026</t>
  </si>
  <si>
    <t>Elizabeth Baltinas
Anya might join</t>
  </si>
  <si>
    <t>elizabethbaltinas@yahoo.com
anya@baltinas.com</t>
  </si>
  <si>
    <t>23 Mar 2026</t>
  </si>
  <si>
    <t>Cassinta Marsden</t>
  </si>
  <si>
    <t>cassinta.m@gmail.com</t>
  </si>
  <si>
    <t>27 Mar 2026</t>
  </si>
  <si>
    <t>Jacob Vanags</t>
  </si>
  <si>
    <t>jacobvanags@gmail.com</t>
  </si>
  <si>
    <t>Puerto Rico</t>
  </si>
  <si>
    <t>Bernadette DuBose</t>
  </si>
  <si>
    <t>Bdubose517@gmail.com</t>
  </si>
  <si>
    <t>AI (ChatGPT, etc)</t>
  </si>
  <si>
    <t>Julia Silvestrow Bagno</t>
  </si>
  <si>
    <t>55 31 987758482/49 174 4057320</t>
  </si>
  <si>
    <t>julia.silvestrow@gmail.com</t>
  </si>
  <si>
    <t>31 Mar 2026</t>
  </si>
  <si>
    <t>FEBRUARY</t>
  </si>
  <si>
    <t>MARCH vs FEBRUARY, %</t>
  </si>
  <si>
    <t>MARCH vs FEBRUARY (leads)</t>
  </si>
  <si>
    <t>MARCH vs FEBRUARY (leads, %)</t>
  </si>
  <si>
    <t>MARCH vs FEBRUARY</t>
  </si>
  <si>
    <t>Leads</t>
  </si>
  <si>
    <t>Conversion lead / contract</t>
  </si>
  <si>
    <t>Difference, %</t>
  </si>
  <si>
    <t>Organic</t>
  </si>
  <si>
    <t>Others (wrote by email)</t>
  </si>
  <si>
    <t>Facebook &amp; Instagram</t>
  </si>
  <si>
    <t>Website (source not identified)</t>
  </si>
  <si>
    <t>CR</t>
  </si>
  <si>
    <t>Spent</t>
  </si>
  <si>
    <t>CPC</t>
  </si>
  <si>
    <t>CPL</t>
  </si>
  <si>
    <t>Mexico</t>
  </si>
  <si>
    <t>ru-leads</t>
  </si>
  <si>
    <t>Europe</t>
  </si>
  <si>
    <t>UK</t>
  </si>
  <si>
    <t>Australia + New Zeland</t>
  </si>
  <si>
    <t>Month</t>
  </si>
  <si>
    <t>Non-relevant</t>
  </si>
  <si>
    <t>February</t>
  </si>
  <si>
    <t>March</t>
  </si>
  <si>
    <t>April</t>
  </si>
  <si>
    <t>May</t>
  </si>
  <si>
    <t>June</t>
  </si>
  <si>
    <t>July</t>
  </si>
  <si>
    <t>August</t>
  </si>
  <si>
    <t>December</t>
  </si>
  <si>
    <t>January</t>
  </si>
  <si>
    <t>LV RBI property</t>
  </si>
  <si>
    <t>No data</t>
  </si>
  <si>
    <t>LV RBI company</t>
  </si>
  <si>
    <t>LV RBI leads in total</t>
  </si>
  <si>
    <t>Leads FEBRUARY</t>
  </si>
  <si>
    <t>Google Ads FEBRUARY</t>
  </si>
  <si>
    <t>The ru campaign was launched in March. Need to monitor its performance and turn off bad GEOs. For some reason, search queries are being sent in the wrong encoding, so I can't see which queries are generating leads. Need to figure this out.</t>
  </si>
  <si>
    <t>A good number of contracts from Brazil. That saves the numbers.</t>
  </si>
  <si>
    <t>The reason for the decline in leads in Latvia is unclear.</t>
  </si>
  <si>
    <t>I launched this campaign in March after seeing a message from Kristine about issues with the RBIs at the company. However, this product is less appealing and more complex. The cost per lead is higher. I turned off the campaign.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</si>
</sst>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6" tint="-0.499984740745262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FFFF"/>
      <name val="Calibri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1F497D"/>
      <name val="Calibri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Lato 2"/>
    </font>
    <font>
      <sz val="10"/>
      <color rgb="FF18191B"/>
      <name val="Arial"/>
      <family val="2"/>
      <charset val="204"/>
    </font>
    <font>
      <u/>
      <sz val="10"/>
      <color rgb="FF1155CC"/>
      <name val="Arial"/>
      <family val="2"/>
      <charset val="204"/>
    </font>
    <font>
      <sz val="10"/>
      <color rgb="FF000000"/>
      <name val="Roboto"/>
      <charset val="204"/>
    </font>
    <font>
      <b/>
      <sz val="16"/>
      <color theme="6" tint="-0.249977111117893"/>
      <name val="Arial"/>
      <family val="2"/>
      <charset val="204"/>
    </font>
    <font>
      <b/>
      <sz val="16"/>
      <color rgb="FFC00000"/>
      <name val="Arial"/>
      <family val="2"/>
      <charset val="204"/>
    </font>
    <font>
      <b/>
      <sz val="14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28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6"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22" fontId="1" fillId="0" borderId="0" xfId="0" applyNumberFormat="1" applyFont="1"/>
    <xf numFmtId="0" fontId="3" fillId="0" borderId="0" xfId="0" applyFont="1"/>
    <xf numFmtId="17" fontId="0" fillId="0" borderId="0" xfId="0" applyNumberFormat="1"/>
    <xf numFmtId="0" fontId="0" fillId="0" borderId="0" xfId="0"/>
    <xf numFmtId="1" fontId="0" fillId="0" borderId="0" xfId="0" applyNumberFormat="1"/>
    <xf numFmtId="0" fontId="0" fillId="2" borderId="0" xfId="0" applyFill="1"/>
    <xf numFmtId="0" fontId="4" fillId="0" borderId="0" xfId="0" applyFont="1"/>
    <xf numFmtId="0" fontId="5" fillId="0" borderId="0" xfId="0" applyFont="1"/>
    <xf numFmtId="164" fontId="0" fillId="0" borderId="0" xfId="1" applyNumberFormat="1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9" fontId="0" fillId="0" borderId="0" xfId="1" applyFont="1"/>
    <xf numFmtId="0" fontId="7" fillId="0" borderId="0" xfId="0" applyFont="1"/>
    <xf numFmtId="2" fontId="7" fillId="0" borderId="0" xfId="0" applyNumberFormat="1" applyFont="1"/>
    <xf numFmtId="164" fontId="7" fillId="0" borderId="0" xfId="1" applyNumberFormat="1" applyFont="1"/>
    <xf numFmtId="1" fontId="7" fillId="0" borderId="0" xfId="1" applyNumberFormat="1" applyFont="1" applyFill="1"/>
    <xf numFmtId="0" fontId="8" fillId="2" borderId="0" xfId="0" applyFont="1" applyFill="1"/>
    <xf numFmtId="1" fontId="8" fillId="0" borderId="0" xfId="1" applyNumberFormat="1" applyFont="1" applyFill="1"/>
    <xf numFmtId="164" fontId="0" fillId="0" borderId="0" xfId="0" applyNumberFormat="1"/>
    <xf numFmtId="9" fontId="7" fillId="0" borderId="0" xfId="1" applyFont="1"/>
    <xf numFmtId="2" fontId="0" fillId="0" borderId="0" xfId="0" applyNumberFormat="1"/>
    <xf numFmtId="2" fontId="9" fillId="0" borderId="0" xfId="0" applyNumberFormat="1" applyFont="1"/>
    <xf numFmtId="1" fontId="7" fillId="0" borderId="0" xfId="1" applyNumberFormat="1" applyFont="1"/>
    <xf numFmtId="1" fontId="0" fillId="0" borderId="0" xfId="1" applyNumberFormat="1" applyFont="1"/>
    <xf numFmtId="0" fontId="7" fillId="0" borderId="0" xfId="1" applyNumberFormat="1" applyFont="1"/>
    <xf numFmtId="0" fontId="0" fillId="0" borderId="0" xfId="1" applyNumberFormat="1" applyFont="1"/>
    <xf numFmtId="0" fontId="10" fillId="0" borderId="0" xfId="0" applyFont="1"/>
    <xf numFmtId="0" fontId="8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2" fontId="1" fillId="0" borderId="0" xfId="0" applyNumberFormat="1" applyFont="1"/>
    <xf numFmtId="0" fontId="7" fillId="3" borderId="3" xfId="0" applyFont="1" applyFill="1" applyBorder="1" applyAlignment="1">
      <alignment vertical="top"/>
    </xf>
    <xf numFmtId="0" fontId="7" fillId="3" borderId="4" xfId="0" applyFont="1" applyFill="1" applyBorder="1" applyAlignment="1">
      <alignment vertical="top"/>
    </xf>
    <xf numFmtId="0" fontId="16" fillId="3" borderId="4" xfId="0" applyFont="1" applyFill="1" applyBorder="1" applyAlignment="1">
      <alignment vertical="top"/>
    </xf>
    <xf numFmtId="0" fontId="17" fillId="0" borderId="4" xfId="0" applyFont="1" applyBorder="1" applyAlignment="1">
      <alignment vertical="top"/>
    </xf>
    <xf numFmtId="0" fontId="17" fillId="4" borderId="5" xfId="0" applyFont="1" applyFill="1" applyBorder="1" applyAlignment="1">
      <alignment vertical="top"/>
    </xf>
    <xf numFmtId="0" fontId="17" fillId="4" borderId="6" xfId="0" applyFont="1" applyFill="1" applyBorder="1" applyAlignment="1">
      <alignment vertical="top"/>
    </xf>
    <xf numFmtId="0" fontId="17" fillId="0" borderId="6" xfId="0" applyFont="1" applyBorder="1" applyAlignment="1">
      <alignment vertical="top"/>
    </xf>
    <xf numFmtId="0" fontId="17" fillId="0" borderId="6" xfId="0" applyFont="1" applyBorder="1"/>
    <xf numFmtId="0" fontId="17" fillId="0" borderId="5" xfId="0" applyFont="1" applyBorder="1" applyAlignment="1">
      <alignment vertical="top"/>
    </xf>
    <xf numFmtId="0" fontId="18" fillId="4" borderId="5" xfId="0" applyFont="1" applyFill="1" applyBorder="1"/>
    <xf numFmtId="0" fontId="19" fillId="4" borderId="6" xfId="0" applyFont="1" applyFill="1" applyBorder="1"/>
    <xf numFmtId="0" fontId="19" fillId="4" borderId="7" xfId="0" applyFont="1" applyFill="1" applyBorder="1" applyAlignment="1">
      <alignment horizontal="right"/>
    </xf>
    <xf numFmtId="0" fontId="20" fillId="4" borderId="6" xfId="0" applyFont="1" applyFill="1" applyBorder="1"/>
    <xf numFmtId="0" fontId="19" fillId="4" borderId="6" xfId="0" applyFont="1" applyFill="1" applyBorder="1" applyAlignment="1">
      <alignment horizontal="right"/>
    </xf>
    <xf numFmtId="0" fontId="19" fillId="0" borderId="6" xfId="0" applyFont="1" applyBorder="1"/>
    <xf numFmtId="0" fontId="8" fillId="4" borderId="6" xfId="0" applyFont="1" applyFill="1" applyBorder="1"/>
    <xf numFmtId="0" fontId="21" fillId="0" borderId="6" xfId="0" applyFont="1" applyBorder="1" applyAlignment="1">
      <alignment vertical="top"/>
    </xf>
    <xf numFmtId="3" fontId="17" fillId="0" borderId="6" xfId="0" applyNumberFormat="1" applyFont="1" applyBorder="1" applyAlignment="1">
      <alignment vertical="top"/>
    </xf>
    <xf numFmtId="0" fontId="22" fillId="4" borderId="5" xfId="0" applyFont="1" applyFill="1" applyBorder="1"/>
    <xf numFmtId="0" fontId="17" fillId="0" borderId="3" xfId="0" applyFont="1" applyBorder="1" applyAlignment="1">
      <alignment vertical="top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6" borderId="32" xfId="0" applyFill="1" applyBorder="1" applyAlignment="1">
      <alignment horizontal="center" vertical="center" wrapText="1"/>
    </xf>
    <xf numFmtId="0" fontId="8" fillId="0" borderId="33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" fontId="0" fillId="0" borderId="33" xfId="1" applyNumberFormat="1" applyFont="1" applyFill="1" applyBorder="1"/>
    <xf numFmtId="9" fontId="0" fillId="0" borderId="37" xfId="1" applyFont="1" applyFill="1" applyBorder="1"/>
    <xf numFmtId="0" fontId="8" fillId="0" borderId="36" xfId="0" applyFont="1" applyBorder="1" applyAlignment="1">
      <alignment vertical="center"/>
    </xf>
    <xf numFmtId="2" fontId="0" fillId="0" borderId="37" xfId="0" applyNumberFormat="1" applyBorder="1" applyAlignment="1">
      <alignment vertical="center"/>
    </xf>
    <xf numFmtId="2" fontId="0" fillId="0" borderId="38" xfId="0" applyNumberFormat="1" applyBorder="1"/>
    <xf numFmtId="0" fontId="0" fillId="0" borderId="36" xfId="0" applyBorder="1" applyAlignment="1">
      <alignment vertical="center"/>
    </xf>
    <xf numFmtId="2" fontId="0" fillId="0" borderId="36" xfId="0" applyNumberFormat="1" applyBorder="1"/>
    <xf numFmtId="164" fontId="0" fillId="0" borderId="38" xfId="1" applyNumberFormat="1" applyFont="1" applyBorder="1"/>
    <xf numFmtId="0" fontId="0" fillId="5" borderId="34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37" xfId="0" applyFill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164" fontId="0" fillId="0" borderId="15" xfId="1" applyNumberFormat="1" applyFont="1" applyBorder="1"/>
    <xf numFmtId="1" fontId="0" fillId="6" borderId="39" xfId="1" applyNumberFormat="1" applyFont="1" applyFill="1" applyBorder="1"/>
    <xf numFmtId="9" fontId="0" fillId="6" borderId="37" xfId="1" applyFont="1" applyFill="1" applyBorder="1"/>
    <xf numFmtId="0" fontId="0" fillId="6" borderId="36" xfId="0" applyFill="1" applyBorder="1" applyAlignment="1">
      <alignment vertical="center"/>
    </xf>
    <xf numFmtId="2" fontId="0" fillId="6" borderId="37" xfId="0" applyNumberFormat="1" applyFill="1" applyBorder="1" applyAlignment="1">
      <alignment vertical="center"/>
    </xf>
    <xf numFmtId="2" fontId="0" fillId="6" borderId="37" xfId="0" applyNumberFormat="1" applyFill="1" applyBorder="1"/>
    <xf numFmtId="9" fontId="0" fillId="6" borderId="12" xfId="1" applyFont="1" applyFill="1" applyBorder="1"/>
    <xf numFmtId="9" fontId="0" fillId="6" borderId="13" xfId="0" applyNumberFormat="1" applyFill="1" applyBorder="1"/>
    <xf numFmtId="9" fontId="0" fillId="6" borderId="13" xfId="1" applyFont="1" applyFill="1" applyBorder="1"/>
    <xf numFmtId="9" fontId="0" fillId="6" borderId="15" xfId="1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3" xfId="0" applyBorder="1" applyAlignment="1">
      <alignment vertical="center"/>
    </xf>
    <xf numFmtId="2" fontId="0" fillId="0" borderId="44" xfId="0" applyNumberFormat="1" applyBorder="1"/>
    <xf numFmtId="2" fontId="0" fillId="0" borderId="43" xfId="0" applyNumberFormat="1" applyBorder="1"/>
    <xf numFmtId="164" fontId="0" fillId="0" borderId="44" xfId="1" applyNumberFormat="1" applyFont="1" applyBorder="1"/>
    <xf numFmtId="0" fontId="0" fillId="5" borderId="41" xfId="0" applyFill="1" applyBorder="1"/>
    <xf numFmtId="0" fontId="0" fillId="5" borderId="42" xfId="0" applyFill="1" applyBorder="1"/>
    <xf numFmtId="0" fontId="0" fillId="5" borderId="43" xfId="0" applyFill="1" applyBorder="1"/>
    <xf numFmtId="0" fontId="0" fillId="5" borderId="45" xfId="0" applyFill="1" applyBorder="1"/>
    <xf numFmtId="164" fontId="0" fillId="0" borderId="41" xfId="1" applyNumberFormat="1" applyFont="1" applyBorder="1"/>
    <xf numFmtId="164" fontId="0" fillId="0" borderId="43" xfId="1" applyNumberFormat="1" applyFont="1" applyBorder="1"/>
    <xf numFmtId="0" fontId="0" fillId="6" borderId="43" xfId="0" applyFill="1" applyBorder="1" applyAlignment="1">
      <alignment vertical="center"/>
    </xf>
    <xf numFmtId="2" fontId="0" fillId="6" borderId="45" xfId="0" applyNumberFormat="1" applyFill="1" applyBorder="1"/>
    <xf numFmtId="9" fontId="0" fillId="6" borderId="41" xfId="1" applyFont="1" applyFill="1" applyBorder="1"/>
    <xf numFmtId="9" fontId="0" fillId="6" borderId="43" xfId="0" applyNumberFormat="1" applyFill="1" applyBorder="1"/>
    <xf numFmtId="9" fontId="0" fillId="6" borderId="43" xfId="1" applyFont="1" applyFill="1" applyBorder="1"/>
    <xf numFmtId="9" fontId="0" fillId="6" borderId="44" xfId="1" applyFont="1" applyFill="1" applyBorder="1"/>
    <xf numFmtId="0" fontId="0" fillId="6" borderId="43" xfId="0" applyFill="1" applyBorder="1"/>
    <xf numFmtId="0" fontId="8" fillId="0" borderId="40" xfId="0" applyFont="1" applyBorder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" fontId="0" fillId="0" borderId="46" xfId="1" applyNumberFormat="1" applyFont="1" applyFill="1" applyBorder="1"/>
    <xf numFmtId="9" fontId="0" fillId="0" borderId="47" xfId="1" applyFont="1" applyFill="1" applyBorder="1"/>
    <xf numFmtId="2" fontId="0" fillId="0" borderId="48" xfId="0" applyNumberFormat="1" applyBorder="1"/>
    <xf numFmtId="2" fontId="0" fillId="0" borderId="25" xfId="0" applyNumberFormat="1" applyBorder="1"/>
    <xf numFmtId="2" fontId="0" fillId="0" borderId="20" xfId="0" applyNumberFormat="1" applyBorder="1"/>
    <xf numFmtId="164" fontId="0" fillId="0" borderId="25" xfId="1" applyNumberFormat="1" applyFont="1" applyBorder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48" xfId="0" applyFill="1" applyBorder="1"/>
    <xf numFmtId="164" fontId="0" fillId="0" borderId="18" xfId="1" applyNumberFormat="1" applyFont="1" applyBorder="1"/>
    <xf numFmtId="164" fontId="0" fillId="0" borderId="20" xfId="1" applyNumberFormat="1" applyFont="1" applyBorder="1"/>
    <xf numFmtId="1" fontId="0" fillId="6" borderId="8" xfId="1" applyNumberFormat="1" applyFont="1" applyFill="1" applyBorder="1"/>
    <xf numFmtId="9" fontId="0" fillId="6" borderId="47" xfId="1" applyFont="1" applyFill="1" applyBorder="1"/>
    <xf numFmtId="0" fontId="0" fillId="6" borderId="20" xfId="0" applyFill="1" applyBorder="1"/>
    <xf numFmtId="2" fontId="0" fillId="6" borderId="48" xfId="0" applyNumberFormat="1" applyFill="1" applyBorder="1"/>
    <xf numFmtId="9" fontId="0" fillId="6" borderId="18" xfId="1" applyFont="1" applyFill="1" applyBorder="1"/>
    <xf numFmtId="9" fontId="0" fillId="6" borderId="20" xfId="0" applyNumberFormat="1" applyFill="1" applyBorder="1"/>
    <xf numFmtId="9" fontId="0" fillId="6" borderId="20" xfId="1" applyFont="1" applyFill="1" applyBorder="1"/>
    <xf numFmtId="9" fontId="0" fillId="6" borderId="25" xfId="1" applyFont="1" applyFill="1" applyBorder="1"/>
    <xf numFmtId="1" fontId="0" fillId="0" borderId="0" xfId="1" applyNumberFormat="1" applyFont="1" applyFill="1" applyBorder="1"/>
    <xf numFmtId="164" fontId="0" fillId="0" borderId="0" xfId="1" applyNumberFormat="1" applyFont="1" applyFill="1" applyBorder="1"/>
    <xf numFmtId="9" fontId="0" fillId="0" borderId="0" xfId="1" applyFont="1" applyFill="1" applyBorder="1"/>
    <xf numFmtId="2" fontId="0" fillId="0" borderId="30" xfId="0" applyNumberFormat="1" applyBorder="1"/>
    <xf numFmtId="0" fontId="0" fillId="5" borderId="0" xfId="0" applyFill="1"/>
    <xf numFmtId="164" fontId="0" fillId="0" borderId="0" xfId="1" applyNumberFormat="1" applyFont="1" applyBorder="1"/>
    <xf numFmtId="1" fontId="0" fillId="6" borderId="0" xfId="1" applyNumberFormat="1" applyFont="1" applyFill="1" applyBorder="1"/>
    <xf numFmtId="9" fontId="0" fillId="6" borderId="0" xfId="1" applyFont="1" applyFill="1" applyBorder="1"/>
    <xf numFmtId="0" fontId="0" fillId="6" borderId="0" xfId="0" applyFill="1"/>
    <xf numFmtId="2" fontId="0" fillId="6" borderId="0" xfId="0" applyNumberFormat="1" applyFill="1"/>
    <xf numFmtId="9" fontId="0" fillId="6" borderId="0" xfId="1" applyFont="1" applyFill="1"/>
    <xf numFmtId="9" fontId="0" fillId="6" borderId="0" xfId="0" applyNumberFormat="1" applyFill="1"/>
    <xf numFmtId="0" fontId="24" fillId="0" borderId="0" xfId="0" applyFont="1"/>
    <xf numFmtId="0" fontId="0" fillId="0" borderId="25" xfId="0" applyBorder="1" applyAlignment="1">
      <alignment horizontal="center" vertical="center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0" borderId="33" xfId="0" applyBorder="1"/>
    <xf numFmtId="1" fontId="0" fillId="0" borderId="33" xfId="1" applyNumberFormat="1" applyFont="1" applyBorder="1"/>
    <xf numFmtId="9" fontId="0" fillId="0" borderId="37" xfId="1" applyFont="1" applyBorder="1"/>
    <xf numFmtId="1" fontId="0" fillId="7" borderId="34" xfId="0" applyNumberFormat="1" applyFill="1" applyBorder="1"/>
    <xf numFmtId="2" fontId="0" fillId="7" borderId="35" xfId="0" applyNumberFormat="1" applyFill="1" applyBorder="1"/>
    <xf numFmtId="1" fontId="0" fillId="7" borderId="36" xfId="0" applyNumberFormat="1" applyFill="1" applyBorder="1"/>
    <xf numFmtId="0" fontId="0" fillId="7" borderId="37" xfId="0" applyFill="1" applyBorder="1"/>
    <xf numFmtId="164" fontId="0" fillId="0" borderId="34" xfId="1" applyNumberFormat="1" applyFont="1" applyBorder="1"/>
    <xf numFmtId="164" fontId="0" fillId="0" borderId="36" xfId="1" applyNumberFormat="1" applyFont="1" applyBorder="1"/>
    <xf numFmtId="1" fontId="0" fillId="6" borderId="33" xfId="1" applyNumberFormat="1" applyFont="1" applyFill="1" applyBorder="1"/>
    <xf numFmtId="9" fontId="0" fillId="6" borderId="34" xfId="1" applyFont="1" applyFill="1" applyBorder="1"/>
    <xf numFmtId="9" fontId="0" fillId="6" borderId="36" xfId="0" applyNumberFormat="1" applyFill="1" applyBorder="1"/>
    <xf numFmtId="9" fontId="0" fillId="6" borderId="36" xfId="1" applyFont="1" applyFill="1" applyBorder="1"/>
    <xf numFmtId="9" fontId="0" fillId="6" borderId="38" xfId="1" applyFont="1" applyFill="1" applyBorder="1"/>
    <xf numFmtId="1" fontId="0" fillId="7" borderId="41" xfId="0" applyNumberFormat="1" applyFill="1" applyBorder="1"/>
    <xf numFmtId="2" fontId="0" fillId="7" borderId="42" xfId="0" applyNumberFormat="1" applyFill="1" applyBorder="1"/>
    <xf numFmtId="1" fontId="0" fillId="7" borderId="43" xfId="0" applyNumberFormat="1" applyFill="1" applyBorder="1"/>
    <xf numFmtId="0" fontId="0" fillId="7" borderId="45" xfId="0" applyFill="1" applyBorder="1"/>
    <xf numFmtId="1" fontId="0" fillId="0" borderId="46" xfId="1" applyNumberFormat="1" applyFont="1" applyBorder="1"/>
    <xf numFmtId="9" fontId="0" fillId="0" borderId="47" xfId="1" applyFont="1" applyBorder="1"/>
    <xf numFmtId="1" fontId="0" fillId="7" borderId="18" xfId="0" applyNumberFormat="1" applyFill="1" applyBorder="1"/>
    <xf numFmtId="2" fontId="0" fillId="7" borderId="19" xfId="0" applyNumberFormat="1" applyFill="1" applyBorder="1"/>
    <xf numFmtId="1" fontId="0" fillId="7" borderId="20" xfId="0" applyNumberFormat="1" applyFill="1" applyBorder="1"/>
    <xf numFmtId="0" fontId="0" fillId="7" borderId="48" xfId="0" applyFill="1" applyBorder="1"/>
    <xf numFmtId="1" fontId="0" fillId="6" borderId="46" xfId="1" applyNumberFormat="1" applyFont="1" applyFill="1" applyBorder="1"/>
    <xf numFmtId="0" fontId="0" fillId="0" borderId="30" xfId="0" applyBorder="1"/>
    <xf numFmtId="10" fontId="0" fillId="0" borderId="0" xfId="0" applyNumberFormat="1"/>
    <xf numFmtId="1" fontId="0" fillId="7" borderId="0" xfId="0" applyNumberFormat="1" applyFill="1"/>
    <xf numFmtId="0" fontId="0" fillId="7" borderId="49" xfId="0" applyFill="1" applyBorder="1"/>
    <xf numFmtId="1" fontId="0" fillId="6" borderId="0" xfId="0" applyNumberFormat="1" applyFill="1"/>
    <xf numFmtId="0" fontId="25" fillId="0" borderId="0" xfId="0" applyFont="1"/>
    <xf numFmtId="0" fontId="0" fillId="0" borderId="48" xfId="0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Fill="1" applyBorder="1" applyAlignment="1">
      <alignment horizontal="right"/>
    </xf>
    <xf numFmtId="0" fontId="8" fillId="0" borderId="5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0" xfId="0" applyFont="1" applyAlignment="1"/>
  </cellXfs>
  <cellStyles count="2">
    <cellStyle name="Обычный" xfId="0" builtinId="0"/>
    <cellStyle name="Процентный" xfId="1" builtinId="5"/>
  </cellStyles>
  <dxfs count="20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numbers'!$A$25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numbers'!$B$24:$X$24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numbers'!$B$25:$X$25</c:f>
              <c:numCache>
                <c:formatCode>General</c:formatCode>
                <c:ptCount val="23"/>
                <c:pt idx="0">
                  <c:v>72930</c:v>
                </c:pt>
                <c:pt idx="1">
                  <c:v>56670</c:v>
                </c:pt>
                <c:pt idx="2">
                  <c:v>39667</c:v>
                </c:pt>
                <c:pt idx="3">
                  <c:v>43130</c:v>
                </c:pt>
                <c:pt idx="4">
                  <c:v>65123</c:v>
                </c:pt>
                <c:pt idx="5">
                  <c:v>60249</c:v>
                </c:pt>
                <c:pt idx="6">
                  <c:v>47823</c:v>
                </c:pt>
                <c:pt idx="7">
                  <c:v>47943</c:v>
                </c:pt>
                <c:pt idx="8">
                  <c:v>43785</c:v>
                </c:pt>
                <c:pt idx="9">
                  <c:v>38550</c:v>
                </c:pt>
                <c:pt idx="10">
                  <c:v>69986</c:v>
                </c:pt>
                <c:pt idx="11">
                  <c:v>50099</c:v>
                </c:pt>
                <c:pt idx="12">
                  <c:v>75054</c:v>
                </c:pt>
                <c:pt idx="13">
                  <c:v>62626</c:v>
                </c:pt>
                <c:pt idx="14">
                  <c:v>57743</c:v>
                </c:pt>
                <c:pt idx="15">
                  <c:v>73294</c:v>
                </c:pt>
                <c:pt idx="16">
                  <c:v>61758</c:v>
                </c:pt>
                <c:pt idx="17">
                  <c:v>41510</c:v>
                </c:pt>
                <c:pt idx="18">
                  <c:v>65447</c:v>
                </c:pt>
                <c:pt idx="19">
                  <c:v>49940</c:v>
                </c:pt>
                <c:pt idx="20">
                  <c:v>32653</c:v>
                </c:pt>
                <c:pt idx="21">
                  <c:v>23780</c:v>
                </c:pt>
                <c:pt idx="22">
                  <c:v>47009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4-400F-BF88-A06EC27FA0F1}"/>
            </c:ext>
          </c:extLst>
        </c:ser>
        <c:ser>
          <c:idx val="1"/>
          <c:order val="1"/>
          <c:tx>
            <c:strRef>
              <c:f>'Main numbers'!$A$26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numbers'!$B$24:$X$24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numbers'!$B$26:$X$26</c:f>
              <c:numCache>
                <c:formatCode>0</c:formatCode>
                <c:ptCount val="23"/>
                <c:pt idx="0">
                  <c:v>56422.333333333336</c:v>
                </c:pt>
                <c:pt idx="1">
                  <c:v>46489</c:v>
                </c:pt>
                <c:pt idx="2">
                  <c:v>49306.666666666664</c:v>
                </c:pt>
                <c:pt idx="3">
                  <c:v>56167.333333333336</c:v>
                </c:pt>
                <c:pt idx="4">
                  <c:v>57731.666666666664</c:v>
                </c:pt>
                <c:pt idx="5">
                  <c:v>52005</c:v>
                </c:pt>
                <c:pt idx="6">
                  <c:v>46517</c:v>
                </c:pt>
                <c:pt idx="7">
                  <c:v>43426</c:v>
                </c:pt>
                <c:pt idx="8">
                  <c:v>50773.666666666664</c:v>
                </c:pt>
                <c:pt idx="9">
                  <c:v>52878.333333333336</c:v>
                </c:pt>
                <c:pt idx="10">
                  <c:v>65046.333333333336</c:v>
                </c:pt>
                <c:pt idx="11" formatCode="General">
                  <c:v>62593</c:v>
                </c:pt>
                <c:pt idx="12" formatCode="General">
                  <c:v>65141</c:v>
                </c:pt>
                <c:pt idx="13" formatCode="General">
                  <c:v>64554.333333333336</c:v>
                </c:pt>
                <c:pt idx="14" formatCode="General">
                  <c:v>64265</c:v>
                </c:pt>
                <c:pt idx="15" formatCode="General">
                  <c:v>58854</c:v>
                </c:pt>
                <c:pt idx="16" formatCode="General">
                  <c:v>56238.333333333336</c:v>
                </c:pt>
                <c:pt idx="17" formatCode="General">
                  <c:v>52299</c:v>
                </c:pt>
                <c:pt idx="18" formatCode="General">
                  <c:v>49346.666666666664</c:v>
                </c:pt>
                <c:pt idx="19" formatCode="General">
                  <c:v>35457.666666666664</c:v>
                </c:pt>
                <c:pt idx="20" formatCode="General">
                  <c:v>34480.666666666664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4-400F-BF88-A06EC27FA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425424"/>
        <c:axId val="1973429584"/>
      </c:lineChart>
      <c:dateAx>
        <c:axId val="1973425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3429584"/>
        <c:crosses val="autoZero"/>
        <c:auto val="1"/>
        <c:lblOffset val="100"/>
        <c:baseTimeUnit val="months"/>
      </c:dateAx>
      <c:valAx>
        <c:axId val="1973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342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numbers'!$A$46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numbers'!$B$45:$X$45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numbers'!$B$46:$X$46</c:f>
              <c:numCache>
                <c:formatCode>General</c:formatCode>
                <c:ptCount val="23"/>
                <c:pt idx="0">
                  <c:v>73410</c:v>
                </c:pt>
                <c:pt idx="1">
                  <c:v>97400</c:v>
                </c:pt>
                <c:pt idx="2">
                  <c:v>76850</c:v>
                </c:pt>
                <c:pt idx="3">
                  <c:v>42850</c:v>
                </c:pt>
                <c:pt idx="4">
                  <c:v>58500</c:v>
                </c:pt>
                <c:pt idx="5">
                  <c:v>88650</c:v>
                </c:pt>
                <c:pt idx="6">
                  <c:v>95050</c:v>
                </c:pt>
                <c:pt idx="7">
                  <c:v>68300</c:v>
                </c:pt>
                <c:pt idx="8">
                  <c:v>120450</c:v>
                </c:pt>
                <c:pt idx="9">
                  <c:v>85850</c:v>
                </c:pt>
                <c:pt idx="10">
                  <c:v>107750</c:v>
                </c:pt>
                <c:pt idx="11">
                  <c:v>63200</c:v>
                </c:pt>
                <c:pt idx="12">
                  <c:v>46570</c:v>
                </c:pt>
                <c:pt idx="13">
                  <c:v>124700</c:v>
                </c:pt>
                <c:pt idx="14">
                  <c:v>56150</c:v>
                </c:pt>
                <c:pt idx="15">
                  <c:v>54270</c:v>
                </c:pt>
                <c:pt idx="16">
                  <c:v>60790</c:v>
                </c:pt>
                <c:pt idx="17">
                  <c:v>60200</c:v>
                </c:pt>
                <c:pt idx="18">
                  <c:v>63850</c:v>
                </c:pt>
                <c:pt idx="19">
                  <c:v>112310</c:v>
                </c:pt>
                <c:pt idx="20">
                  <c:v>64050</c:v>
                </c:pt>
                <c:pt idx="21">
                  <c:v>71972</c:v>
                </c:pt>
                <c:pt idx="22">
                  <c:v>40250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F-4551-8029-FDC58F22A5AC}"/>
            </c:ext>
          </c:extLst>
        </c:ser>
        <c:ser>
          <c:idx val="1"/>
          <c:order val="1"/>
          <c:tx>
            <c:strRef>
              <c:f>'Main numbers'!$A$47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numbers'!$B$45:$X$45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numbers'!$B$47:$X$47</c:f>
              <c:numCache>
                <c:formatCode>0</c:formatCode>
                <c:ptCount val="23"/>
                <c:pt idx="0">
                  <c:v>82553.333333333328</c:v>
                </c:pt>
                <c:pt idx="1">
                  <c:v>72366.666666666672</c:v>
                </c:pt>
                <c:pt idx="2">
                  <c:v>59400</c:v>
                </c:pt>
                <c:pt idx="3">
                  <c:v>63333.333333333336</c:v>
                </c:pt>
                <c:pt idx="4">
                  <c:v>80733.333333333328</c:v>
                </c:pt>
                <c:pt idx="5">
                  <c:v>84000</c:v>
                </c:pt>
                <c:pt idx="6">
                  <c:v>94600</c:v>
                </c:pt>
                <c:pt idx="7">
                  <c:v>91533.333333333328</c:v>
                </c:pt>
                <c:pt idx="8">
                  <c:v>104683.33333333333</c:v>
                </c:pt>
                <c:pt idx="9">
                  <c:v>85600</c:v>
                </c:pt>
                <c:pt idx="10">
                  <c:v>72506.666666666672</c:v>
                </c:pt>
                <c:pt idx="11">
                  <c:v>78156.666666666672</c:v>
                </c:pt>
                <c:pt idx="12">
                  <c:v>75806.666666666672</c:v>
                </c:pt>
                <c:pt idx="13">
                  <c:v>78373.333333333328</c:v>
                </c:pt>
                <c:pt idx="14">
                  <c:v>57070</c:v>
                </c:pt>
                <c:pt idx="15">
                  <c:v>58420</c:v>
                </c:pt>
                <c:pt idx="16">
                  <c:v>61613.333333333336</c:v>
                </c:pt>
                <c:pt idx="17">
                  <c:v>78786.666666666672</c:v>
                </c:pt>
                <c:pt idx="18">
                  <c:v>80070</c:v>
                </c:pt>
                <c:pt idx="19">
                  <c:v>82777.333333333328</c:v>
                </c:pt>
                <c:pt idx="20">
                  <c:v>58757.333333333336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F-4551-8029-FDC58F22A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8336"/>
        <c:axId val="42797920"/>
      </c:lineChart>
      <c:dateAx>
        <c:axId val="42798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2797920"/>
        <c:crosses val="autoZero"/>
        <c:auto val="1"/>
        <c:lblOffset val="100"/>
        <c:baseTimeUnit val="months"/>
      </c:dateAx>
      <c:valAx>
        <c:axId val="427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27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Signed contracts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numbers'!$A$91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numbers'!$B$90:$X$90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numbers'!$B$91:$X$91</c:f>
              <c:numCache>
                <c:formatCode>General</c:formatCode>
                <c:ptCount val="23"/>
                <c:pt idx="0">
                  <c:v>23</c:v>
                </c:pt>
                <c:pt idx="1">
                  <c:v>17</c:v>
                </c:pt>
                <c:pt idx="2">
                  <c:v>26</c:v>
                </c:pt>
                <c:pt idx="3">
                  <c:v>13</c:v>
                </c:pt>
                <c:pt idx="4">
                  <c:v>18</c:v>
                </c:pt>
                <c:pt idx="5">
                  <c:v>22</c:v>
                </c:pt>
                <c:pt idx="6">
                  <c:v>30</c:v>
                </c:pt>
                <c:pt idx="7">
                  <c:v>25</c:v>
                </c:pt>
                <c:pt idx="8">
                  <c:v>42</c:v>
                </c:pt>
                <c:pt idx="9">
                  <c:v>30</c:v>
                </c:pt>
                <c:pt idx="10">
                  <c:v>42</c:v>
                </c:pt>
                <c:pt idx="11">
                  <c:v>29</c:v>
                </c:pt>
                <c:pt idx="12">
                  <c:v>22</c:v>
                </c:pt>
                <c:pt idx="13">
                  <c:v>33</c:v>
                </c:pt>
                <c:pt idx="14">
                  <c:v>23</c:v>
                </c:pt>
                <c:pt idx="15">
                  <c:v>16</c:v>
                </c:pt>
                <c:pt idx="16">
                  <c:v>34</c:v>
                </c:pt>
                <c:pt idx="17">
                  <c:v>28</c:v>
                </c:pt>
                <c:pt idx="18">
                  <c:v>29</c:v>
                </c:pt>
                <c:pt idx="19">
                  <c:v>39</c:v>
                </c:pt>
                <c:pt idx="20">
                  <c:v>34</c:v>
                </c:pt>
                <c:pt idx="21">
                  <c:v>18</c:v>
                </c:pt>
                <c:pt idx="2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8-40FC-8ADD-4584C5928F2C}"/>
            </c:ext>
          </c:extLst>
        </c:ser>
        <c:ser>
          <c:idx val="1"/>
          <c:order val="1"/>
          <c:tx>
            <c:strRef>
              <c:f>'Main numbers'!$A$92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numbers'!$B$90:$X$90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numbers'!$B$92:$X$92</c:f>
              <c:numCache>
                <c:formatCode>0</c:formatCode>
                <c:ptCount val="23"/>
                <c:pt idx="0">
                  <c:v>22</c:v>
                </c:pt>
                <c:pt idx="1">
                  <c:v>18.666666666666668</c:v>
                </c:pt>
                <c:pt idx="2">
                  <c:v>19</c:v>
                </c:pt>
                <c:pt idx="3">
                  <c:v>17.666666666666668</c:v>
                </c:pt>
                <c:pt idx="4">
                  <c:v>23.333333333333332</c:v>
                </c:pt>
                <c:pt idx="5">
                  <c:v>25.666666666666668</c:v>
                </c:pt>
                <c:pt idx="6">
                  <c:v>32.333333333333336</c:v>
                </c:pt>
                <c:pt idx="7">
                  <c:v>32.333333333333336</c:v>
                </c:pt>
                <c:pt idx="8">
                  <c:v>38</c:v>
                </c:pt>
                <c:pt idx="9">
                  <c:v>33.666666666666664</c:v>
                </c:pt>
                <c:pt idx="10">
                  <c:v>31</c:v>
                </c:pt>
                <c:pt idx="11">
                  <c:v>28</c:v>
                </c:pt>
                <c:pt idx="12">
                  <c:v>26</c:v>
                </c:pt>
                <c:pt idx="13">
                  <c:v>24</c:v>
                </c:pt>
                <c:pt idx="14">
                  <c:v>24.333333333333332</c:v>
                </c:pt>
                <c:pt idx="15">
                  <c:v>26</c:v>
                </c:pt>
                <c:pt idx="16">
                  <c:v>30.333333333333332</c:v>
                </c:pt>
                <c:pt idx="17">
                  <c:v>32</c:v>
                </c:pt>
                <c:pt idx="18">
                  <c:v>34</c:v>
                </c:pt>
                <c:pt idx="19">
                  <c:v>30.333333333333332</c:v>
                </c:pt>
                <c:pt idx="20">
                  <c:v>25.333333333333332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8-40FC-8ADD-4584C592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68384"/>
        <c:axId val="42791264"/>
      </c:lineChart>
      <c:dateAx>
        <c:axId val="42768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2791264"/>
        <c:crosses val="autoZero"/>
        <c:auto val="1"/>
        <c:lblOffset val="100"/>
        <c:baseTimeUnit val="months"/>
      </c:dateAx>
      <c:valAx>
        <c:axId val="427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27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leads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numbers'!$A$114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numbers'!$B$113:$X$113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numbers'!$B$114:$X$114</c:f>
              <c:numCache>
                <c:formatCode>General</c:formatCode>
                <c:ptCount val="23"/>
                <c:pt idx="0">
                  <c:v>461</c:v>
                </c:pt>
                <c:pt idx="1">
                  <c:v>461</c:v>
                </c:pt>
                <c:pt idx="2">
                  <c:v>807</c:v>
                </c:pt>
                <c:pt idx="3">
                  <c:v>746</c:v>
                </c:pt>
                <c:pt idx="4">
                  <c:v>666</c:v>
                </c:pt>
                <c:pt idx="5">
                  <c:v>678</c:v>
                </c:pt>
                <c:pt idx="6">
                  <c:v>758</c:v>
                </c:pt>
                <c:pt idx="7">
                  <c:v>775</c:v>
                </c:pt>
                <c:pt idx="8">
                  <c:v>762</c:v>
                </c:pt>
                <c:pt idx="9">
                  <c:v>755</c:v>
                </c:pt>
                <c:pt idx="10">
                  <c:v>670</c:v>
                </c:pt>
                <c:pt idx="11">
                  <c:v>669</c:v>
                </c:pt>
                <c:pt idx="12">
                  <c:v>683</c:v>
                </c:pt>
                <c:pt idx="13">
                  <c:v>599</c:v>
                </c:pt>
                <c:pt idx="14">
                  <c:v>546</c:v>
                </c:pt>
                <c:pt idx="15">
                  <c:v>451</c:v>
                </c:pt>
                <c:pt idx="16">
                  <c:v>825</c:v>
                </c:pt>
                <c:pt idx="17">
                  <c:v>640</c:v>
                </c:pt>
                <c:pt idx="18">
                  <c:v>579</c:v>
                </c:pt>
                <c:pt idx="19">
                  <c:v>562</c:v>
                </c:pt>
                <c:pt idx="20">
                  <c:v>707</c:v>
                </c:pt>
                <c:pt idx="21">
                  <c:v>530</c:v>
                </c:pt>
                <c:pt idx="22">
                  <c:v>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3-4B3A-935E-5C1BFE908085}"/>
            </c:ext>
          </c:extLst>
        </c:ser>
        <c:ser>
          <c:idx val="1"/>
          <c:order val="1"/>
          <c:tx>
            <c:strRef>
              <c:f>'Main numbers'!$A$115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numbers'!$B$113:$X$113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numbers'!$B$115:$X$115</c:f>
              <c:numCache>
                <c:formatCode>0</c:formatCode>
                <c:ptCount val="23"/>
                <c:pt idx="0">
                  <c:v>576.33333333333337</c:v>
                </c:pt>
                <c:pt idx="1">
                  <c:v>671.33333333333337</c:v>
                </c:pt>
                <c:pt idx="2">
                  <c:v>739.66666666666663</c:v>
                </c:pt>
                <c:pt idx="3">
                  <c:v>696.66666666666663</c:v>
                </c:pt>
                <c:pt idx="4">
                  <c:v>700.66666666666663</c:v>
                </c:pt>
                <c:pt idx="5">
                  <c:v>737</c:v>
                </c:pt>
                <c:pt idx="6">
                  <c:v>765</c:v>
                </c:pt>
                <c:pt idx="7">
                  <c:v>764</c:v>
                </c:pt>
                <c:pt idx="8">
                  <c:v>729</c:v>
                </c:pt>
                <c:pt idx="9">
                  <c:v>698</c:v>
                </c:pt>
                <c:pt idx="10">
                  <c:v>674</c:v>
                </c:pt>
                <c:pt idx="11">
                  <c:v>650.33333333333337</c:v>
                </c:pt>
                <c:pt idx="12">
                  <c:v>609.33333333333337</c:v>
                </c:pt>
                <c:pt idx="13">
                  <c:v>532</c:v>
                </c:pt>
                <c:pt idx="14">
                  <c:v>607.33333333333337</c:v>
                </c:pt>
                <c:pt idx="15">
                  <c:v>638.66666666666663</c:v>
                </c:pt>
                <c:pt idx="16">
                  <c:v>681.33333333333337</c:v>
                </c:pt>
                <c:pt idx="17">
                  <c:v>593.66666666666663</c:v>
                </c:pt>
                <c:pt idx="18">
                  <c:v>616</c:v>
                </c:pt>
                <c:pt idx="19">
                  <c:v>599.66666666666663</c:v>
                </c:pt>
                <c:pt idx="20">
                  <c:v>583.66666666666663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3-4B3A-935E-5C1BFE908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50528"/>
        <c:axId val="47956768"/>
      </c:lineChart>
      <c:dateAx>
        <c:axId val="47950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7956768"/>
        <c:crosses val="autoZero"/>
        <c:auto val="1"/>
        <c:lblOffset val="100"/>
        <c:baseTimeUnit val="months"/>
      </c:dateAx>
      <c:valAx>
        <c:axId val="479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79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clicks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numbers'!$A$134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numbers'!$B$133:$X$133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numbers'!$B$134:$X$134</c:f>
              <c:numCache>
                <c:formatCode>0</c:formatCode>
                <c:ptCount val="23"/>
                <c:pt idx="0">
                  <c:v>5344</c:v>
                </c:pt>
                <c:pt idx="1">
                  <c:v>5302</c:v>
                </c:pt>
                <c:pt idx="2">
                  <c:v>10646</c:v>
                </c:pt>
                <c:pt idx="3">
                  <c:v>10309</c:v>
                </c:pt>
                <c:pt idx="4">
                  <c:v>10618</c:v>
                </c:pt>
                <c:pt idx="5">
                  <c:v>11397</c:v>
                </c:pt>
                <c:pt idx="6">
                  <c:v>9252</c:v>
                </c:pt>
                <c:pt idx="7">
                  <c:v>10473</c:v>
                </c:pt>
                <c:pt idx="8">
                  <c:v>11192</c:v>
                </c:pt>
                <c:pt idx="9" formatCode="General">
                  <c:v>10770</c:v>
                </c:pt>
                <c:pt idx="10" formatCode="General">
                  <c:v>10487</c:v>
                </c:pt>
                <c:pt idx="11" formatCode="General">
                  <c:v>9512</c:v>
                </c:pt>
                <c:pt idx="12" formatCode="General">
                  <c:v>8128</c:v>
                </c:pt>
                <c:pt idx="13" formatCode="General">
                  <c:v>6864</c:v>
                </c:pt>
                <c:pt idx="14" formatCode="General">
                  <c:v>7250</c:v>
                </c:pt>
                <c:pt idx="15" formatCode="General">
                  <c:v>6354</c:v>
                </c:pt>
                <c:pt idx="16" formatCode="General">
                  <c:v>9676</c:v>
                </c:pt>
                <c:pt idx="17" formatCode="General">
                  <c:v>9213</c:v>
                </c:pt>
                <c:pt idx="18" formatCode="General">
                  <c:v>9685</c:v>
                </c:pt>
                <c:pt idx="19" formatCode="General">
                  <c:v>9485</c:v>
                </c:pt>
                <c:pt idx="20" formatCode="General">
                  <c:v>10661</c:v>
                </c:pt>
                <c:pt idx="21" formatCode="General">
                  <c:v>9205</c:v>
                </c:pt>
                <c:pt idx="22" formatCode="General">
                  <c:v>9672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4-4951-818F-FD43702CD5C7}"/>
            </c:ext>
          </c:extLst>
        </c:ser>
        <c:ser>
          <c:idx val="1"/>
          <c:order val="1"/>
          <c:tx>
            <c:strRef>
              <c:f>'Main numbers'!$A$135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numbers'!$B$133:$X$133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numbers'!$B$135:$X$135</c:f>
              <c:numCache>
                <c:formatCode>0</c:formatCode>
                <c:ptCount val="23"/>
                <c:pt idx="0">
                  <c:v>7097.333333333333</c:v>
                </c:pt>
                <c:pt idx="1">
                  <c:v>8752.3333333333339</c:v>
                </c:pt>
                <c:pt idx="2">
                  <c:v>10524.333333333334</c:v>
                </c:pt>
                <c:pt idx="3">
                  <c:v>10774.666666666666</c:v>
                </c:pt>
                <c:pt idx="4">
                  <c:v>10422.333333333334</c:v>
                </c:pt>
                <c:pt idx="5">
                  <c:v>10374</c:v>
                </c:pt>
                <c:pt idx="6">
                  <c:v>10305.666666666666</c:v>
                </c:pt>
                <c:pt idx="7">
                  <c:v>10811.666666666666</c:v>
                </c:pt>
                <c:pt idx="8">
                  <c:v>10816.333333333334</c:v>
                </c:pt>
                <c:pt idx="9">
                  <c:v>10256.333333333334</c:v>
                </c:pt>
                <c:pt idx="10">
                  <c:v>9375.6666666666661</c:v>
                </c:pt>
                <c:pt idx="11">
                  <c:v>8168</c:v>
                </c:pt>
                <c:pt idx="12">
                  <c:v>7414</c:v>
                </c:pt>
                <c:pt idx="13">
                  <c:v>6822.666666666667</c:v>
                </c:pt>
                <c:pt idx="14">
                  <c:v>7760</c:v>
                </c:pt>
                <c:pt idx="15">
                  <c:v>8414.3333333333339</c:v>
                </c:pt>
                <c:pt idx="16">
                  <c:v>9524.6666666666661</c:v>
                </c:pt>
                <c:pt idx="17">
                  <c:v>9461</c:v>
                </c:pt>
                <c:pt idx="18">
                  <c:v>9943.6666666666661</c:v>
                </c:pt>
                <c:pt idx="19">
                  <c:v>9783.6666666666661</c:v>
                </c:pt>
                <c:pt idx="20">
                  <c:v>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4-4951-818F-FD43702C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185648"/>
        <c:axId val="418173168"/>
      </c:lineChart>
      <c:dateAx>
        <c:axId val="418185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18173168"/>
        <c:crosses val="autoZero"/>
        <c:auto val="1"/>
        <c:lblOffset val="100"/>
        <c:baseTimeUnit val="months"/>
      </c:dateAx>
      <c:valAx>
        <c:axId val="4181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1818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after marketing expenditure, actual, montly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numbers'!$A$2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numbers'!$B$1:$X$1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numbers'!$B$2:$X$2</c:f>
              <c:numCache>
                <c:formatCode>0</c:formatCode>
                <c:ptCount val="23"/>
                <c:pt idx="0">
                  <c:v>64146.75</c:v>
                </c:pt>
                <c:pt idx="1">
                  <c:v>48192.89</c:v>
                </c:pt>
                <c:pt idx="2">
                  <c:v>28361.75</c:v>
                </c:pt>
                <c:pt idx="3">
                  <c:v>31849.97</c:v>
                </c:pt>
                <c:pt idx="4">
                  <c:v>52342.559999999998</c:v>
                </c:pt>
                <c:pt idx="5">
                  <c:v>47679.199999999997</c:v>
                </c:pt>
                <c:pt idx="6">
                  <c:v>34974</c:v>
                </c:pt>
                <c:pt idx="7">
                  <c:v>35109.82</c:v>
                </c:pt>
                <c:pt idx="8">
                  <c:v>30578</c:v>
                </c:pt>
                <c:pt idx="9">
                  <c:v>25655.24</c:v>
                </c:pt>
                <c:pt idx="10">
                  <c:v>58549.47</c:v>
                </c:pt>
                <c:pt idx="11">
                  <c:v>41655.96</c:v>
                </c:pt>
                <c:pt idx="12">
                  <c:v>69418.399999999994</c:v>
                </c:pt>
                <c:pt idx="13">
                  <c:v>56175.63</c:v>
                </c:pt>
                <c:pt idx="14">
                  <c:v>50521.86</c:v>
                </c:pt>
                <c:pt idx="15">
                  <c:v>66444.17</c:v>
                </c:pt>
                <c:pt idx="16">
                  <c:v>54294.15</c:v>
                </c:pt>
                <c:pt idx="17">
                  <c:v>33313.18</c:v>
                </c:pt>
                <c:pt idx="18">
                  <c:v>57415.15</c:v>
                </c:pt>
                <c:pt idx="19">
                  <c:v>42929.46</c:v>
                </c:pt>
                <c:pt idx="20">
                  <c:v>24112.03</c:v>
                </c:pt>
                <c:pt idx="21">
                  <c:v>15511.38</c:v>
                </c:pt>
                <c:pt idx="22">
                  <c:v>39897.269999999997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30-4A02-889D-3A9067A0E22C}"/>
            </c:ext>
          </c:extLst>
        </c:ser>
        <c:ser>
          <c:idx val="1"/>
          <c:order val="1"/>
          <c:tx>
            <c:strRef>
              <c:f>'Main numbers'!$A$3</c:f>
              <c:strCache>
                <c:ptCount val="1"/>
                <c:pt idx="0">
                  <c:v>Plan 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numbers'!$B$1:$X$1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numbers'!$B$3:$X$3</c:f>
              <c:numCache>
                <c:formatCode>General</c:formatCode>
                <c:ptCount val="23"/>
                <c:pt idx="0">
                  <c:v>74394</c:v>
                </c:pt>
                <c:pt idx="1">
                  <c:v>71503</c:v>
                </c:pt>
                <c:pt idx="2">
                  <c:v>68612</c:v>
                </c:pt>
                <c:pt idx="3">
                  <c:v>65721</c:v>
                </c:pt>
                <c:pt idx="4">
                  <c:v>62830</c:v>
                </c:pt>
                <c:pt idx="5">
                  <c:v>59939</c:v>
                </c:pt>
                <c:pt idx="6">
                  <c:v>57048</c:v>
                </c:pt>
                <c:pt idx="7">
                  <c:v>55305</c:v>
                </c:pt>
                <c:pt idx="8">
                  <c:v>51840</c:v>
                </c:pt>
                <c:pt idx="9">
                  <c:v>66243</c:v>
                </c:pt>
                <c:pt idx="10">
                  <c:v>63628</c:v>
                </c:pt>
                <c:pt idx="11">
                  <c:v>60293</c:v>
                </c:pt>
                <c:pt idx="12">
                  <c:v>57318</c:v>
                </c:pt>
                <c:pt idx="13">
                  <c:v>54343</c:v>
                </c:pt>
                <c:pt idx="14">
                  <c:v>51368</c:v>
                </c:pt>
                <c:pt idx="15">
                  <c:v>48393</c:v>
                </c:pt>
                <c:pt idx="16">
                  <c:v>45418</c:v>
                </c:pt>
                <c:pt idx="17">
                  <c:v>42443</c:v>
                </c:pt>
                <c:pt idx="18">
                  <c:v>39468</c:v>
                </c:pt>
                <c:pt idx="19">
                  <c:v>36493</c:v>
                </c:pt>
                <c:pt idx="20">
                  <c:v>33518</c:v>
                </c:pt>
                <c:pt idx="21">
                  <c:v>30543</c:v>
                </c:pt>
                <c:pt idx="22">
                  <c:v>67146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0-4A02-889D-3A9067A0E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18832"/>
        <c:axId val="164908432"/>
      </c:lineChart>
      <c:dateAx>
        <c:axId val="164918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64908432"/>
        <c:crosses val="autoZero"/>
        <c:auto val="1"/>
        <c:lblOffset val="100"/>
        <c:baseTimeUnit val="months"/>
      </c:dateAx>
      <c:valAx>
        <c:axId val="1649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6491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Profit after marketing expenditure, plan, 3 months average</a:t>
            </a:r>
            <a:endParaRPr lang="ru-U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numbers'!$A$4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numbers'!$B$1:$V$1</c:f>
              <c:numCache>
                <c:formatCode>mmm\-yy</c:formatCode>
                <c:ptCount val="21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</c:numCache>
            </c:numRef>
          </c:cat>
          <c:val>
            <c:numRef>
              <c:f>'Main numbers'!$B$4:$V$4</c:f>
              <c:numCache>
                <c:formatCode>0</c:formatCode>
                <c:ptCount val="21"/>
                <c:pt idx="0">
                  <c:v>46900.46333333334</c:v>
                </c:pt>
                <c:pt idx="1">
                  <c:v>36134.870000000003</c:v>
                </c:pt>
                <c:pt idx="2">
                  <c:v>37518.093333333331</c:v>
                </c:pt>
                <c:pt idx="3">
                  <c:v>43957.243333333325</c:v>
                </c:pt>
                <c:pt idx="4">
                  <c:v>44998.58666666667</c:v>
                </c:pt>
                <c:pt idx="5">
                  <c:v>39254.339999999997</c:v>
                </c:pt>
                <c:pt idx="6">
                  <c:v>33553.94</c:v>
                </c:pt>
                <c:pt idx="7">
                  <c:v>30447.686666666672</c:v>
                </c:pt>
                <c:pt idx="8">
                  <c:v>38260.903333333335</c:v>
                </c:pt>
                <c:pt idx="9">
                  <c:v>41953.556666666671</c:v>
                </c:pt>
                <c:pt idx="10">
                  <c:v>56541.276666666665</c:v>
                </c:pt>
                <c:pt idx="11">
                  <c:v>55749.996666666666</c:v>
                </c:pt>
                <c:pt idx="12">
                  <c:v>58705.296666666669</c:v>
                </c:pt>
                <c:pt idx="13">
                  <c:v>57713.886666666658</c:v>
                </c:pt>
                <c:pt idx="14">
                  <c:v>57086.726666666662</c:v>
                </c:pt>
                <c:pt idx="15">
                  <c:v>51350.5</c:v>
                </c:pt>
                <c:pt idx="16">
                  <c:v>48340.826666666668</c:v>
                </c:pt>
                <c:pt idx="17">
                  <c:v>44552.596666666672</c:v>
                </c:pt>
                <c:pt idx="18">
                  <c:v>41485.546666666669</c:v>
                </c:pt>
                <c:pt idx="19">
                  <c:v>27517.623333333333</c:v>
                </c:pt>
                <c:pt idx="20">
                  <c:v>26506.89333333333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1-4D8A-877F-F3A69258FF29}"/>
            </c:ext>
          </c:extLst>
        </c:ser>
        <c:ser>
          <c:idx val="1"/>
          <c:order val="1"/>
          <c:tx>
            <c:strRef>
              <c:f>'Main numbers'!$A$5</c:f>
              <c:strCache>
                <c:ptCount val="1"/>
                <c:pt idx="0">
                  <c:v>Plan 3 months av.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numbers'!$B$1:$V$1</c:f>
              <c:numCache>
                <c:formatCode>mmm\-yy</c:formatCode>
                <c:ptCount val="21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</c:numCache>
            </c:numRef>
          </c:cat>
          <c:val>
            <c:numRef>
              <c:f>'Main numbers'!$B$5:$V$5</c:f>
              <c:numCache>
                <c:formatCode>0</c:formatCode>
                <c:ptCount val="21"/>
                <c:pt idx="0">
                  <c:v>71503</c:v>
                </c:pt>
                <c:pt idx="1">
                  <c:v>68612</c:v>
                </c:pt>
                <c:pt idx="2">
                  <c:v>65721</c:v>
                </c:pt>
                <c:pt idx="3">
                  <c:v>62830</c:v>
                </c:pt>
                <c:pt idx="4">
                  <c:v>59939</c:v>
                </c:pt>
                <c:pt idx="5">
                  <c:v>57430.666666666664</c:v>
                </c:pt>
                <c:pt idx="6">
                  <c:v>54731</c:v>
                </c:pt>
                <c:pt idx="7">
                  <c:v>57796</c:v>
                </c:pt>
                <c:pt idx="8">
                  <c:v>60570.333333333336</c:v>
                </c:pt>
                <c:pt idx="9">
                  <c:v>63388</c:v>
                </c:pt>
                <c:pt idx="10">
                  <c:v>60413</c:v>
                </c:pt>
                <c:pt idx="11">
                  <c:v>57318</c:v>
                </c:pt>
                <c:pt idx="12">
                  <c:v>54343</c:v>
                </c:pt>
                <c:pt idx="13">
                  <c:v>51368</c:v>
                </c:pt>
                <c:pt idx="14">
                  <c:v>48393</c:v>
                </c:pt>
                <c:pt idx="15">
                  <c:v>45418</c:v>
                </c:pt>
                <c:pt idx="16">
                  <c:v>42443</c:v>
                </c:pt>
                <c:pt idx="17">
                  <c:v>39468</c:v>
                </c:pt>
                <c:pt idx="18">
                  <c:v>36493</c:v>
                </c:pt>
                <c:pt idx="19">
                  <c:v>33518</c:v>
                </c:pt>
                <c:pt idx="20">
                  <c:v>43735.666666666664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91-4D8A-877F-F3A69258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401712"/>
        <c:axId val="1973388400"/>
      </c:lineChart>
      <c:dateAx>
        <c:axId val="1973401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3388400"/>
        <c:crosses val="autoZero"/>
        <c:auto val="1"/>
        <c:lblOffset val="100"/>
        <c:baseTimeUnit val="months"/>
      </c:dateAx>
      <c:valAx>
        <c:axId val="19733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97340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&amp; LV leads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numbers'!$A$156</c:f>
              <c:strCache>
                <c:ptCount val="1"/>
                <c:pt idx="0">
                  <c:v>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numbers'!$B$154:$X$154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numbers'!$B$156:$X$156</c:f>
              <c:numCache>
                <c:formatCode>General</c:formatCode>
                <c:ptCount val="23"/>
                <c:pt idx="0">
                  <c:v>254</c:v>
                </c:pt>
                <c:pt idx="1">
                  <c:v>255</c:v>
                </c:pt>
                <c:pt idx="2">
                  <c:v>380</c:v>
                </c:pt>
                <c:pt idx="3">
                  <c:v>265</c:v>
                </c:pt>
                <c:pt idx="4">
                  <c:v>279</c:v>
                </c:pt>
                <c:pt idx="5">
                  <c:v>211</c:v>
                </c:pt>
                <c:pt idx="6">
                  <c:v>342</c:v>
                </c:pt>
                <c:pt idx="7">
                  <c:v>370</c:v>
                </c:pt>
                <c:pt idx="8">
                  <c:v>382</c:v>
                </c:pt>
                <c:pt idx="9">
                  <c:v>329</c:v>
                </c:pt>
                <c:pt idx="10">
                  <c:v>341</c:v>
                </c:pt>
                <c:pt idx="11">
                  <c:v>380</c:v>
                </c:pt>
                <c:pt idx="12">
                  <c:v>358</c:v>
                </c:pt>
                <c:pt idx="13">
                  <c:v>351</c:v>
                </c:pt>
                <c:pt idx="14">
                  <c:v>369</c:v>
                </c:pt>
                <c:pt idx="15">
                  <c:v>298</c:v>
                </c:pt>
                <c:pt idx="16">
                  <c:v>604</c:v>
                </c:pt>
                <c:pt idx="17">
                  <c:v>446</c:v>
                </c:pt>
                <c:pt idx="18">
                  <c:v>380</c:v>
                </c:pt>
                <c:pt idx="19">
                  <c:v>443</c:v>
                </c:pt>
                <c:pt idx="20">
                  <c:v>560</c:v>
                </c:pt>
                <c:pt idx="21">
                  <c:v>409</c:v>
                </c:pt>
                <c:pt idx="22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8-4F89-AF27-53BCCE6119E0}"/>
            </c:ext>
          </c:extLst>
        </c:ser>
        <c:ser>
          <c:idx val="1"/>
          <c:order val="1"/>
          <c:tx>
            <c:strRef>
              <c:f>'Main numbers'!$A$160</c:f>
              <c:strCache>
                <c:ptCount val="1"/>
                <c:pt idx="0">
                  <c:v>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numbers'!$B$154:$X$154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numbers'!$B$160:$X$160</c:f>
              <c:numCache>
                <c:formatCode>General</c:formatCode>
                <c:ptCount val="23"/>
                <c:pt idx="0">
                  <c:v>19</c:v>
                </c:pt>
                <c:pt idx="1">
                  <c:v>31</c:v>
                </c:pt>
                <c:pt idx="2">
                  <c:v>78</c:v>
                </c:pt>
                <c:pt idx="3">
                  <c:v>44</c:v>
                </c:pt>
                <c:pt idx="4">
                  <c:v>12</c:v>
                </c:pt>
                <c:pt idx="5">
                  <c:v>35</c:v>
                </c:pt>
                <c:pt idx="6">
                  <c:v>63</c:v>
                </c:pt>
                <c:pt idx="7">
                  <c:v>61</c:v>
                </c:pt>
                <c:pt idx="8">
                  <c:v>71</c:v>
                </c:pt>
                <c:pt idx="9">
                  <c:v>56</c:v>
                </c:pt>
                <c:pt idx="10">
                  <c:v>80</c:v>
                </c:pt>
                <c:pt idx="11">
                  <c:v>66</c:v>
                </c:pt>
                <c:pt idx="12">
                  <c:v>89</c:v>
                </c:pt>
                <c:pt idx="13">
                  <c:v>73</c:v>
                </c:pt>
                <c:pt idx="14">
                  <c:v>80</c:v>
                </c:pt>
                <c:pt idx="15">
                  <c:v>38</c:v>
                </c:pt>
                <c:pt idx="16">
                  <c:v>74</c:v>
                </c:pt>
                <c:pt idx="17">
                  <c:v>54</c:v>
                </c:pt>
                <c:pt idx="18">
                  <c:v>73</c:v>
                </c:pt>
                <c:pt idx="19">
                  <c:v>88</c:v>
                </c:pt>
                <c:pt idx="20">
                  <c:v>104</c:v>
                </c:pt>
                <c:pt idx="21">
                  <c:v>85</c:v>
                </c:pt>
                <c:pt idx="2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3F-48AE-8FD1-D73D6259C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79216"/>
        <c:axId val="185976304"/>
      </c:lineChart>
      <c:dateAx>
        <c:axId val="185979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5976304"/>
        <c:crosses val="autoZero"/>
        <c:auto val="1"/>
        <c:lblOffset val="100"/>
        <c:baseTimeUnit val="months"/>
      </c:dateAx>
      <c:valAx>
        <c:axId val="1859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1859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cost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numbers'!$A$68</c:f>
              <c:strCache>
                <c:ptCount val="1"/>
                <c:pt idx="0">
                  <c:v>Act. result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'Main numbers'!$B$67:$X$67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numbers'!$B$68:$X$68</c:f>
              <c:numCache>
                <c:formatCode>0</c:formatCode>
                <c:ptCount val="23"/>
                <c:pt idx="0">
                  <c:v>8783.25</c:v>
                </c:pt>
                <c:pt idx="1">
                  <c:v>8477.11</c:v>
                </c:pt>
                <c:pt idx="2">
                  <c:v>11305.25</c:v>
                </c:pt>
                <c:pt idx="3">
                  <c:v>11280.03</c:v>
                </c:pt>
                <c:pt idx="4">
                  <c:v>12780.44</c:v>
                </c:pt>
                <c:pt idx="5">
                  <c:v>12569.8</c:v>
                </c:pt>
                <c:pt idx="6">
                  <c:v>12849.01</c:v>
                </c:pt>
                <c:pt idx="7">
                  <c:v>12833.18</c:v>
                </c:pt>
                <c:pt idx="8">
                  <c:v>13206.93</c:v>
                </c:pt>
                <c:pt idx="9">
                  <c:v>12894.76</c:v>
                </c:pt>
                <c:pt idx="10">
                  <c:v>11436.53</c:v>
                </c:pt>
                <c:pt idx="11">
                  <c:v>8443.0400000000009</c:v>
                </c:pt>
                <c:pt idx="12">
                  <c:v>5635.6</c:v>
                </c:pt>
                <c:pt idx="13">
                  <c:v>6450.37</c:v>
                </c:pt>
                <c:pt idx="14">
                  <c:v>7221.14</c:v>
                </c:pt>
                <c:pt idx="15">
                  <c:v>6849.83</c:v>
                </c:pt>
                <c:pt idx="16">
                  <c:v>7463.85</c:v>
                </c:pt>
                <c:pt idx="17">
                  <c:v>8196.82</c:v>
                </c:pt>
                <c:pt idx="18">
                  <c:v>8031.85</c:v>
                </c:pt>
                <c:pt idx="19">
                  <c:v>7010.54</c:v>
                </c:pt>
                <c:pt idx="20">
                  <c:v>8540.9699999999993</c:v>
                </c:pt>
                <c:pt idx="21">
                  <c:v>8268.6200000000008</c:v>
                </c:pt>
                <c:pt idx="22">
                  <c:v>7111.73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E-4BF7-89C8-F6AD3B0033DA}"/>
            </c:ext>
          </c:extLst>
        </c:ser>
        <c:ser>
          <c:idx val="1"/>
          <c:order val="1"/>
          <c:tx>
            <c:strRef>
              <c:f>'Main numbers'!$A$69</c:f>
              <c:strCache>
                <c:ptCount val="1"/>
                <c:pt idx="0">
                  <c:v>Act. result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'Main numbers'!$B$67:$X$67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numbers'!$B$69:$X$69</c:f>
              <c:numCache>
                <c:formatCode>0</c:formatCode>
                <c:ptCount val="23"/>
                <c:pt idx="0">
                  <c:v>9521.8700000000008</c:v>
                </c:pt>
                <c:pt idx="1">
                  <c:v>10354.129999999999</c:v>
                </c:pt>
                <c:pt idx="2">
                  <c:v>11788.573333333334</c:v>
                </c:pt>
                <c:pt idx="3">
                  <c:v>12210.090000000002</c:v>
                </c:pt>
                <c:pt idx="4">
                  <c:v>12733.083333333334</c:v>
                </c:pt>
                <c:pt idx="5">
                  <c:v>12750.663333333332</c:v>
                </c:pt>
                <c:pt idx="6">
                  <c:v>12963.04</c:v>
                </c:pt>
                <c:pt idx="7">
                  <c:v>12978.29</c:v>
                </c:pt>
                <c:pt idx="8">
                  <c:v>12512.74</c:v>
                </c:pt>
                <c:pt idx="9">
                  <c:v>10924.776666666667</c:v>
                </c:pt>
                <c:pt idx="10">
                  <c:v>8505.0566666666655</c:v>
                </c:pt>
                <c:pt idx="11">
                  <c:v>6843.003333333334</c:v>
                </c:pt>
                <c:pt idx="12">
                  <c:v>6435.7033333333338</c:v>
                </c:pt>
                <c:pt idx="13">
                  <c:v>6840.4466666666667</c:v>
                </c:pt>
                <c:pt idx="14">
                  <c:v>7178.2733333333335</c:v>
                </c:pt>
                <c:pt idx="15">
                  <c:v>7503.5</c:v>
                </c:pt>
                <c:pt idx="16">
                  <c:v>7897.5066666666671</c:v>
                </c:pt>
                <c:pt idx="17">
                  <c:v>7746.4033333333327</c:v>
                </c:pt>
                <c:pt idx="18">
                  <c:v>7861.12</c:v>
                </c:pt>
                <c:pt idx="19">
                  <c:v>7940.0433333333322</c:v>
                </c:pt>
                <c:pt idx="20">
                  <c:v>7973.7733333333335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E-4BF7-89C8-F6AD3B003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768928"/>
        <c:axId val="790748960"/>
      </c:lineChart>
      <c:dateAx>
        <c:axId val="790768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90748960"/>
        <c:crosses val="autoZero"/>
        <c:auto val="1"/>
        <c:lblOffset val="100"/>
        <c:baseTimeUnit val="months"/>
      </c:dateAx>
      <c:valAx>
        <c:axId val="7907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9076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Paid traffic cost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numbers'!$A$70</c:f>
              <c:strCache>
                <c:ptCount val="1"/>
                <c:pt idx="0">
                  <c:v>Paid traffic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'Main numbers'!$B$67:$X$67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numbers'!$B$70:$X$70</c:f>
              <c:numCache>
                <c:formatCode>0</c:formatCode>
                <c:ptCount val="23"/>
                <c:pt idx="0">
                  <c:v>6024</c:v>
                </c:pt>
                <c:pt idx="1">
                  <c:v>5255.21</c:v>
                </c:pt>
                <c:pt idx="2">
                  <c:v>7474</c:v>
                </c:pt>
                <c:pt idx="3">
                  <c:v>7304</c:v>
                </c:pt>
                <c:pt idx="4">
                  <c:v>8234</c:v>
                </c:pt>
                <c:pt idx="5">
                  <c:v>8412</c:v>
                </c:pt>
                <c:pt idx="6">
                  <c:v>8673</c:v>
                </c:pt>
                <c:pt idx="7">
                  <c:v>9231</c:v>
                </c:pt>
                <c:pt idx="8">
                  <c:v>9557</c:v>
                </c:pt>
                <c:pt idx="9">
                  <c:v>9385</c:v>
                </c:pt>
                <c:pt idx="10">
                  <c:v>8185</c:v>
                </c:pt>
                <c:pt idx="11">
                  <c:v>5235</c:v>
                </c:pt>
                <c:pt idx="12">
                  <c:v>3285</c:v>
                </c:pt>
                <c:pt idx="13">
                  <c:v>2876</c:v>
                </c:pt>
                <c:pt idx="14">
                  <c:v>4501</c:v>
                </c:pt>
                <c:pt idx="15">
                  <c:v>4830.83</c:v>
                </c:pt>
                <c:pt idx="16">
                  <c:v>6021.85</c:v>
                </c:pt>
                <c:pt idx="17">
                  <c:v>5323.38</c:v>
                </c:pt>
                <c:pt idx="18">
                  <c:v>5529.4</c:v>
                </c:pt>
                <c:pt idx="19">
                  <c:v>5789.54</c:v>
                </c:pt>
                <c:pt idx="20">
                  <c:v>7164.97</c:v>
                </c:pt>
                <c:pt idx="21">
                  <c:v>6500.62</c:v>
                </c:pt>
                <c:pt idx="22">
                  <c:v>5929.73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4-4F15-9BDF-7CDC19CAD423}"/>
            </c:ext>
          </c:extLst>
        </c:ser>
        <c:ser>
          <c:idx val="1"/>
          <c:order val="1"/>
          <c:tx>
            <c:strRef>
              <c:f>'Main numbers'!$A$71</c:f>
              <c:strCache>
                <c:ptCount val="1"/>
                <c:pt idx="0">
                  <c:v>Paid traffic 3 months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'Main numbers'!$B$67:$X$67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numbers'!$B$71:$X$71</c:f>
              <c:numCache>
                <c:formatCode>0</c:formatCode>
                <c:ptCount val="23"/>
                <c:pt idx="0">
                  <c:v>6251.07</c:v>
                </c:pt>
                <c:pt idx="1">
                  <c:v>6677.7366666666667</c:v>
                </c:pt>
                <c:pt idx="2">
                  <c:v>7670.666666666667</c:v>
                </c:pt>
                <c:pt idx="3">
                  <c:v>7983.333333333333</c:v>
                </c:pt>
                <c:pt idx="4">
                  <c:v>8439.6666666666661</c:v>
                </c:pt>
                <c:pt idx="5">
                  <c:v>8772</c:v>
                </c:pt>
                <c:pt idx="6">
                  <c:v>9153.6666666666661</c:v>
                </c:pt>
                <c:pt idx="7">
                  <c:v>9391</c:v>
                </c:pt>
                <c:pt idx="8">
                  <c:v>9042.3333333333339</c:v>
                </c:pt>
                <c:pt idx="9">
                  <c:v>7601.666666666667</c:v>
                </c:pt>
                <c:pt idx="10">
                  <c:v>5568.333333333333</c:v>
                </c:pt>
                <c:pt idx="11">
                  <c:v>3798.6666666666665</c:v>
                </c:pt>
                <c:pt idx="12">
                  <c:v>3554</c:v>
                </c:pt>
                <c:pt idx="13">
                  <c:v>4069.2766666666666</c:v>
                </c:pt>
                <c:pt idx="14">
                  <c:v>5117.8933333333334</c:v>
                </c:pt>
                <c:pt idx="15">
                  <c:v>5392.02</c:v>
                </c:pt>
                <c:pt idx="16">
                  <c:v>5624.8766666666661</c:v>
                </c:pt>
                <c:pt idx="17">
                  <c:v>5547.44</c:v>
                </c:pt>
                <c:pt idx="18">
                  <c:v>6161.3033333333333</c:v>
                </c:pt>
                <c:pt idx="19">
                  <c:v>6485.043333333334</c:v>
                </c:pt>
                <c:pt idx="20">
                  <c:v>6531.7733333333335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D4-4F15-9BDF-7CDC19CA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628608"/>
        <c:axId val="873629440"/>
      </c:lineChart>
      <c:dateAx>
        <c:axId val="873628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73629440"/>
        <c:crosses val="autoZero"/>
        <c:auto val="1"/>
        <c:lblOffset val="100"/>
        <c:baseTimeUnit val="months"/>
      </c:dateAx>
      <c:valAx>
        <c:axId val="87362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87362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Paid and other LT&amp;LV lead sources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numbers'!$A$168</c:f>
              <c:strCache>
                <c:ptCount val="1"/>
                <c:pt idx="0">
                  <c:v>Total LT&amp;LV leads from paid traffic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numbers'!$B$154:$X$154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numbers'!$B$168:$X$168</c:f>
              <c:numCache>
                <c:formatCode>General</c:formatCode>
                <c:ptCount val="23"/>
                <c:pt idx="0">
                  <c:v>196</c:v>
                </c:pt>
                <c:pt idx="1">
                  <c:v>170</c:v>
                </c:pt>
                <c:pt idx="2">
                  <c:v>303</c:v>
                </c:pt>
                <c:pt idx="3">
                  <c:v>205</c:v>
                </c:pt>
                <c:pt idx="4">
                  <c:v>166</c:v>
                </c:pt>
                <c:pt idx="5">
                  <c:v>122</c:v>
                </c:pt>
                <c:pt idx="6">
                  <c:v>194</c:v>
                </c:pt>
                <c:pt idx="7">
                  <c:v>255</c:v>
                </c:pt>
                <c:pt idx="8">
                  <c:v>275</c:v>
                </c:pt>
                <c:pt idx="9">
                  <c:v>243</c:v>
                </c:pt>
                <c:pt idx="10">
                  <c:v>244</c:v>
                </c:pt>
                <c:pt idx="11">
                  <c:v>265</c:v>
                </c:pt>
                <c:pt idx="12">
                  <c:v>242</c:v>
                </c:pt>
                <c:pt idx="13">
                  <c:v>193</c:v>
                </c:pt>
                <c:pt idx="14">
                  <c:v>243</c:v>
                </c:pt>
                <c:pt idx="15">
                  <c:v>189</c:v>
                </c:pt>
                <c:pt idx="16">
                  <c:v>351</c:v>
                </c:pt>
                <c:pt idx="17">
                  <c:v>299</c:v>
                </c:pt>
                <c:pt idx="18">
                  <c:v>291</c:v>
                </c:pt>
                <c:pt idx="19">
                  <c:v>273</c:v>
                </c:pt>
                <c:pt idx="20">
                  <c:v>278</c:v>
                </c:pt>
                <c:pt idx="21">
                  <c:v>293</c:v>
                </c:pt>
                <c:pt idx="22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D-4E6E-8CF5-4C244C421F62}"/>
            </c:ext>
          </c:extLst>
        </c:ser>
        <c:ser>
          <c:idx val="1"/>
          <c:order val="1"/>
          <c:tx>
            <c:strRef>
              <c:f>'Main numbers'!$A$169</c:f>
              <c:strCache>
                <c:ptCount val="1"/>
                <c:pt idx="0">
                  <c:v>Total LT&amp;LV leads from other sources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numbers'!$B$154:$X$154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numbers'!$B$169:$X$169</c:f>
              <c:numCache>
                <c:formatCode>General</c:formatCode>
                <c:ptCount val="23"/>
                <c:pt idx="0">
                  <c:v>77</c:v>
                </c:pt>
                <c:pt idx="1">
                  <c:v>116</c:v>
                </c:pt>
                <c:pt idx="2">
                  <c:v>155</c:v>
                </c:pt>
                <c:pt idx="3">
                  <c:v>104</c:v>
                </c:pt>
                <c:pt idx="4">
                  <c:v>125</c:v>
                </c:pt>
                <c:pt idx="5">
                  <c:v>124</c:v>
                </c:pt>
                <c:pt idx="6">
                  <c:v>211</c:v>
                </c:pt>
                <c:pt idx="7">
                  <c:v>176</c:v>
                </c:pt>
                <c:pt idx="8">
                  <c:v>178</c:v>
                </c:pt>
                <c:pt idx="9">
                  <c:v>142</c:v>
                </c:pt>
                <c:pt idx="10">
                  <c:v>177</c:v>
                </c:pt>
                <c:pt idx="11">
                  <c:v>181</c:v>
                </c:pt>
                <c:pt idx="12">
                  <c:v>205</c:v>
                </c:pt>
                <c:pt idx="13">
                  <c:v>231</c:v>
                </c:pt>
                <c:pt idx="14">
                  <c:v>206</c:v>
                </c:pt>
                <c:pt idx="15">
                  <c:v>147</c:v>
                </c:pt>
                <c:pt idx="16">
                  <c:v>327</c:v>
                </c:pt>
                <c:pt idx="17">
                  <c:v>201</c:v>
                </c:pt>
                <c:pt idx="18">
                  <c:v>162</c:v>
                </c:pt>
                <c:pt idx="19">
                  <c:v>258</c:v>
                </c:pt>
                <c:pt idx="20">
                  <c:v>386</c:v>
                </c:pt>
                <c:pt idx="21">
                  <c:v>201</c:v>
                </c:pt>
                <c:pt idx="22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9-4460-A164-6F84C1A9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367824"/>
        <c:axId val="407369904"/>
      </c:lineChart>
      <c:dateAx>
        <c:axId val="407367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7369904"/>
        <c:crosses val="autoZero"/>
        <c:auto val="1"/>
        <c:lblOffset val="100"/>
        <c:baseTimeUnit val="months"/>
      </c:dateAx>
      <c:valAx>
        <c:axId val="4073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40736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&amp; LV contracts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numbers'!$A$93</c:f>
              <c:strCache>
                <c:ptCount val="1"/>
                <c:pt idx="0">
                  <c:v>LT contracts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numbers'!$B$90:$X$90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numbers'!$B$93:$X$93</c:f>
              <c:numCache>
                <c:formatCode>0</c:formatCode>
                <c:ptCount val="23"/>
                <c:pt idx="0">
                  <c:v>18</c:v>
                </c:pt>
                <c:pt idx="1">
                  <c:v>11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19</c:v>
                </c:pt>
                <c:pt idx="6">
                  <c:v>21</c:v>
                </c:pt>
                <c:pt idx="7">
                  <c:v>20</c:v>
                </c:pt>
                <c:pt idx="8">
                  <c:v>33</c:v>
                </c:pt>
                <c:pt idx="9">
                  <c:v>20</c:v>
                </c:pt>
                <c:pt idx="10">
                  <c:v>27</c:v>
                </c:pt>
                <c:pt idx="11">
                  <c:v>22</c:v>
                </c:pt>
                <c:pt idx="12">
                  <c:v>17</c:v>
                </c:pt>
                <c:pt idx="13">
                  <c:v>28</c:v>
                </c:pt>
                <c:pt idx="14">
                  <c:v>22</c:v>
                </c:pt>
                <c:pt idx="15">
                  <c:v>14</c:v>
                </c:pt>
                <c:pt idx="16">
                  <c:v>26</c:v>
                </c:pt>
                <c:pt idx="17">
                  <c:v>24</c:v>
                </c:pt>
                <c:pt idx="18">
                  <c:v>24</c:v>
                </c:pt>
                <c:pt idx="19">
                  <c:v>32</c:v>
                </c:pt>
                <c:pt idx="20">
                  <c:v>30</c:v>
                </c:pt>
                <c:pt idx="21">
                  <c:v>16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D-46DB-B502-B46FC496C134}"/>
            </c:ext>
          </c:extLst>
        </c:ser>
        <c:ser>
          <c:idx val="1"/>
          <c:order val="1"/>
          <c:tx>
            <c:strRef>
              <c:f>'Main numbers'!$A$94</c:f>
              <c:strCache>
                <c:ptCount val="1"/>
                <c:pt idx="0">
                  <c:v>LV contracts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numbers'!$B$90:$X$90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numbers'!$B$94:$X$94</c:f>
              <c:numCache>
                <c:formatCode>0</c:formatCode>
                <c:ptCount val="23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8</c:v>
                </c:pt>
                <c:pt idx="9">
                  <c:v>5</c:v>
                </c:pt>
                <c:pt idx="10">
                  <c:v>8</c:v>
                </c:pt>
                <c:pt idx="11">
                  <c:v>5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CD-46DB-B502-B46FC496C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581968"/>
        <c:axId val="730604848"/>
      </c:lineChart>
      <c:dateAx>
        <c:axId val="7305819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30604848"/>
        <c:crosses val="autoZero"/>
        <c:auto val="1"/>
        <c:lblOffset val="100"/>
        <c:baseTimeUnit val="months"/>
      </c:dateAx>
      <c:valAx>
        <c:axId val="7306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305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Lead / Contract</a:t>
            </a:r>
            <a:endParaRPr lang="ru-RU"/>
          </a:p>
        </c:rich>
      </c:tx>
      <c:layout>
        <c:manualLayout>
          <c:xMode val="edge"/>
          <c:yMode val="edge"/>
          <c:x val="0.3039026684164479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numbers'!$A$190</c:f>
              <c:strCache>
                <c:ptCount val="1"/>
                <c:pt idx="0">
                  <c:v>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numbers'!$B$189:$X$189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numbers'!$B$190:$X$190</c:f>
              <c:numCache>
                <c:formatCode>0.0%</c:formatCode>
                <c:ptCount val="23"/>
                <c:pt idx="0">
                  <c:v>7.0866141732283464E-2</c:v>
                </c:pt>
                <c:pt idx="1">
                  <c:v>4.3137254901960784E-2</c:v>
                </c:pt>
                <c:pt idx="2">
                  <c:v>4.4736842105263158E-2</c:v>
                </c:pt>
                <c:pt idx="3">
                  <c:v>3.7735849056603772E-2</c:v>
                </c:pt>
                <c:pt idx="4">
                  <c:v>5.0179211469534052E-2</c:v>
                </c:pt>
                <c:pt idx="5">
                  <c:v>9.004739336492891E-2</c:v>
                </c:pt>
                <c:pt idx="6">
                  <c:v>6.1403508771929821E-2</c:v>
                </c:pt>
                <c:pt idx="7">
                  <c:v>5.4054054054054057E-2</c:v>
                </c:pt>
                <c:pt idx="8">
                  <c:v>8.6387434554973816E-2</c:v>
                </c:pt>
                <c:pt idx="9">
                  <c:v>6.0790273556231005E-2</c:v>
                </c:pt>
                <c:pt idx="10">
                  <c:v>7.9178885630498533E-2</c:v>
                </c:pt>
                <c:pt idx="11">
                  <c:v>5.7894736842105263E-2</c:v>
                </c:pt>
                <c:pt idx="12">
                  <c:v>4.7486033519553071E-2</c:v>
                </c:pt>
                <c:pt idx="13">
                  <c:v>7.9772079772079771E-2</c:v>
                </c:pt>
                <c:pt idx="14">
                  <c:v>5.9620596205962058E-2</c:v>
                </c:pt>
                <c:pt idx="15">
                  <c:v>4.6979865771812082E-2</c:v>
                </c:pt>
                <c:pt idx="16">
                  <c:v>4.3046357615894038E-2</c:v>
                </c:pt>
                <c:pt idx="17">
                  <c:v>5.3811659192825115E-2</c:v>
                </c:pt>
                <c:pt idx="18">
                  <c:v>6.3157894736842107E-2</c:v>
                </c:pt>
                <c:pt idx="19">
                  <c:v>7.2234762979683967E-2</c:v>
                </c:pt>
                <c:pt idx="20">
                  <c:v>5.3571428571428568E-2</c:v>
                </c:pt>
                <c:pt idx="21">
                  <c:v>3.9119804400977995E-2</c:v>
                </c:pt>
                <c:pt idx="22">
                  <c:v>4.878048780487805E-2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1-4F83-9D1E-4B4CB165D0A7}"/>
            </c:ext>
          </c:extLst>
        </c:ser>
        <c:ser>
          <c:idx val="1"/>
          <c:order val="1"/>
          <c:tx>
            <c:strRef>
              <c:f>'Main numbers'!$A$191</c:f>
              <c:strCache>
                <c:ptCount val="1"/>
                <c:pt idx="0">
                  <c:v>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numbers'!$B$189:$X$189</c:f>
              <c:numCache>
                <c:formatCode>mmm\-yy</c:formatCode>
                <c:ptCount val="23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  <c:pt idx="21">
                  <c:v>45444</c:v>
                </c:pt>
                <c:pt idx="22">
                  <c:v>45413</c:v>
                </c:pt>
              </c:numCache>
            </c:numRef>
          </c:cat>
          <c:val>
            <c:numRef>
              <c:f>'Main numbers'!$B$191:$X$191</c:f>
              <c:numCache>
                <c:formatCode>0.0%</c:formatCode>
                <c:ptCount val="23"/>
                <c:pt idx="0">
                  <c:v>0.15789473684210525</c:v>
                </c:pt>
                <c:pt idx="1">
                  <c:v>9.6774193548387094E-2</c:v>
                </c:pt>
                <c:pt idx="2">
                  <c:v>5.128205128205128E-2</c:v>
                </c:pt>
                <c:pt idx="3">
                  <c:v>0</c:v>
                </c:pt>
                <c:pt idx="4">
                  <c:v>0.25</c:v>
                </c:pt>
                <c:pt idx="5">
                  <c:v>2.8571428571428571E-2</c:v>
                </c:pt>
                <c:pt idx="6">
                  <c:v>4.7619047619047616E-2</c:v>
                </c:pt>
                <c:pt idx="7">
                  <c:v>4.9180327868852458E-2</c:v>
                </c:pt>
                <c:pt idx="8">
                  <c:v>0.11267605633802817</c:v>
                </c:pt>
                <c:pt idx="9">
                  <c:v>8.9285714285714288E-2</c:v>
                </c:pt>
                <c:pt idx="10">
                  <c:v>0.1</c:v>
                </c:pt>
                <c:pt idx="11">
                  <c:v>7.575757575757576E-2</c:v>
                </c:pt>
                <c:pt idx="12">
                  <c:v>3.3707865168539325E-2</c:v>
                </c:pt>
                <c:pt idx="13">
                  <c:v>2.7397260273972601E-2</c:v>
                </c:pt>
                <c:pt idx="14">
                  <c:v>0</c:v>
                </c:pt>
                <c:pt idx="15">
                  <c:v>0</c:v>
                </c:pt>
                <c:pt idx="16">
                  <c:v>0.10810810810810811</c:v>
                </c:pt>
                <c:pt idx="17">
                  <c:v>7.407407407407407E-2</c:v>
                </c:pt>
                <c:pt idx="18">
                  <c:v>5.4794520547945202E-2</c:v>
                </c:pt>
                <c:pt idx="19">
                  <c:v>5.6818181818181816E-2</c:v>
                </c:pt>
                <c:pt idx="20">
                  <c:v>3.8461538461538464E-2</c:v>
                </c:pt>
                <c:pt idx="21">
                  <c:v>2.3529411764705882E-2</c:v>
                </c:pt>
                <c:pt idx="22">
                  <c:v>2.6315789473684209E-2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1-4F83-9D1E-4B4CB165D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817168"/>
        <c:axId val="337818000"/>
      </c:lineChart>
      <c:dateAx>
        <c:axId val="337817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337818000"/>
        <c:crosses val="autoZero"/>
        <c:auto val="1"/>
        <c:lblOffset val="100"/>
        <c:baseTimeUnit val="months"/>
      </c:dateAx>
      <c:valAx>
        <c:axId val="3378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33781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Lead / Contract</a:t>
            </a:r>
            <a:br>
              <a:rPr lang="en-US"/>
            </a:br>
            <a:r>
              <a:rPr lang="en-US"/>
              <a:t>3 months average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numbers'!$A$192</c:f>
              <c:strCache>
                <c:ptCount val="1"/>
                <c:pt idx="0">
                  <c:v>LT 3 months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numbers'!$B$189:$V$189</c:f>
              <c:numCache>
                <c:formatCode>mmm\-yy</c:formatCode>
                <c:ptCount val="21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</c:numCache>
            </c:numRef>
          </c:cat>
          <c:val>
            <c:numRef>
              <c:f>'Main numbers'!$B$192:$V$192</c:f>
              <c:numCache>
                <c:formatCode>0.0%</c:formatCode>
                <c:ptCount val="21"/>
                <c:pt idx="0">
                  <c:v>5.1743532058492692E-2</c:v>
                </c:pt>
                <c:pt idx="1">
                  <c:v>4.2222222222222223E-2</c:v>
                </c:pt>
                <c:pt idx="2">
                  <c:v>4.4372294372294369E-2</c:v>
                </c:pt>
                <c:pt idx="3">
                  <c:v>5.6953642384105968E-2</c:v>
                </c:pt>
                <c:pt idx="4">
                  <c:v>6.4903846153846159E-2</c:v>
                </c:pt>
                <c:pt idx="5">
                  <c:v>6.500541711809317E-2</c:v>
                </c:pt>
                <c:pt idx="6">
                  <c:v>6.7641681901279713E-2</c:v>
                </c:pt>
                <c:pt idx="7">
                  <c:v>6.7530064754856609E-2</c:v>
                </c:pt>
                <c:pt idx="8">
                  <c:v>7.6045627376425853E-2</c:v>
                </c:pt>
                <c:pt idx="9">
                  <c:v>6.5714285714285711E-2</c:v>
                </c:pt>
                <c:pt idx="10">
                  <c:v>6.1167747914735865E-2</c:v>
                </c:pt>
                <c:pt idx="11">
                  <c:v>6.1524334251606978E-2</c:v>
                </c:pt>
                <c:pt idx="12">
                  <c:v>6.215213358070501E-2</c:v>
                </c:pt>
                <c:pt idx="13">
                  <c:v>6.2868369351669937E-2</c:v>
                </c:pt>
                <c:pt idx="14">
                  <c:v>4.878048780487805E-2</c:v>
                </c:pt>
                <c:pt idx="15">
                  <c:v>4.7477744807121663E-2</c:v>
                </c:pt>
                <c:pt idx="16">
                  <c:v>5.1748251748251747E-2</c:v>
                </c:pt>
                <c:pt idx="17">
                  <c:v>6.3041765169424752E-2</c:v>
                </c:pt>
                <c:pt idx="18">
                  <c:v>6.2183658712942881E-2</c:v>
                </c:pt>
                <c:pt idx="19">
                  <c:v>5.5240793201133141E-2</c:v>
                </c:pt>
                <c:pt idx="20">
                  <c:v>4.7860768672951415E-2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3-4C45-94FC-1D8A1B1F1802}"/>
            </c:ext>
          </c:extLst>
        </c:ser>
        <c:ser>
          <c:idx val="1"/>
          <c:order val="1"/>
          <c:tx>
            <c:strRef>
              <c:f>'Main numbers'!$A$193</c:f>
              <c:strCache>
                <c:ptCount val="1"/>
                <c:pt idx="0">
                  <c:v>LV 3 months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'Main numbers'!$B$189:$V$189</c:f>
              <c:numCache>
                <c:formatCode>mmm\-yy</c:formatCode>
                <c:ptCount val="21"/>
                <c:pt idx="0">
                  <c:v>46082</c:v>
                </c:pt>
                <c:pt idx="1">
                  <c:v>46054</c:v>
                </c:pt>
                <c:pt idx="2">
                  <c:v>46023</c:v>
                </c:pt>
                <c:pt idx="3">
                  <c:v>45992</c:v>
                </c:pt>
                <c:pt idx="4">
                  <c:v>45962</c:v>
                </c:pt>
                <c:pt idx="5">
                  <c:v>45931</c:v>
                </c:pt>
                <c:pt idx="6">
                  <c:v>45901</c:v>
                </c:pt>
                <c:pt idx="7">
                  <c:v>45870</c:v>
                </c:pt>
                <c:pt idx="8">
                  <c:v>45839</c:v>
                </c:pt>
                <c:pt idx="9">
                  <c:v>45809</c:v>
                </c:pt>
                <c:pt idx="10">
                  <c:v>45778</c:v>
                </c:pt>
                <c:pt idx="11">
                  <c:v>45748</c:v>
                </c:pt>
                <c:pt idx="12">
                  <c:v>45717</c:v>
                </c:pt>
                <c:pt idx="13">
                  <c:v>45689</c:v>
                </c:pt>
                <c:pt idx="14">
                  <c:v>45658</c:v>
                </c:pt>
                <c:pt idx="15">
                  <c:v>45627</c:v>
                </c:pt>
                <c:pt idx="16">
                  <c:v>45597</c:v>
                </c:pt>
                <c:pt idx="17">
                  <c:v>45566</c:v>
                </c:pt>
                <c:pt idx="18">
                  <c:v>45536</c:v>
                </c:pt>
                <c:pt idx="19">
                  <c:v>45505</c:v>
                </c:pt>
                <c:pt idx="20">
                  <c:v>45474</c:v>
                </c:pt>
              </c:numCache>
            </c:numRef>
          </c:cat>
          <c:val>
            <c:numRef>
              <c:f>'Main numbers'!$B$193:$V$193</c:f>
              <c:numCache>
                <c:formatCode>0.0%</c:formatCode>
                <c:ptCount val="21"/>
                <c:pt idx="0">
                  <c:v>7.8125000000000014E-2</c:v>
                </c:pt>
                <c:pt idx="1">
                  <c:v>4.5751633986928109E-2</c:v>
                </c:pt>
                <c:pt idx="2">
                  <c:v>5.2238805970149259E-2</c:v>
                </c:pt>
                <c:pt idx="3">
                  <c:v>4.3956043956043953E-2</c:v>
                </c:pt>
                <c:pt idx="4">
                  <c:v>6.3636363636363644E-2</c:v>
                </c:pt>
                <c:pt idx="5">
                  <c:v>4.4025157232704407E-2</c:v>
                </c:pt>
                <c:pt idx="6">
                  <c:v>7.1794871794871803E-2</c:v>
                </c:pt>
                <c:pt idx="7">
                  <c:v>8.5106382978723402E-2</c:v>
                </c:pt>
                <c:pt idx="8">
                  <c:v>0.10144927536231885</c:v>
                </c:pt>
                <c:pt idx="9">
                  <c:v>8.9108910891089119E-2</c:v>
                </c:pt>
                <c:pt idx="10">
                  <c:v>6.8085106382978725E-2</c:v>
                </c:pt>
                <c:pt idx="11">
                  <c:v>4.3859649122807022E-2</c:v>
                </c:pt>
                <c:pt idx="12">
                  <c:v>2.0661157024793389E-2</c:v>
                </c:pt>
                <c:pt idx="13">
                  <c:v>1.0471204188481676E-2</c:v>
                </c:pt>
                <c:pt idx="14">
                  <c:v>4.1666666666666664E-2</c:v>
                </c:pt>
                <c:pt idx="15">
                  <c:v>7.2289156626506021E-2</c:v>
                </c:pt>
                <c:pt idx="16">
                  <c:v>7.9601990049751242E-2</c:v>
                </c:pt>
                <c:pt idx="17">
                  <c:v>6.046511627906976E-2</c:v>
                </c:pt>
                <c:pt idx="18">
                  <c:v>4.9056603773584902E-2</c:v>
                </c:pt>
                <c:pt idx="19">
                  <c:v>3.9711191335740074E-2</c:v>
                </c:pt>
                <c:pt idx="20">
                  <c:v>3.0188679245283019E-2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D-4878-AA0C-7A2372A44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840176"/>
        <c:axId val="713839344"/>
      </c:lineChart>
      <c:dateAx>
        <c:axId val="7138401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3839344"/>
        <c:crosses val="autoZero"/>
        <c:auto val="1"/>
        <c:lblOffset val="100"/>
        <c:baseTimeUnit val="months"/>
      </c:dateAx>
      <c:valAx>
        <c:axId val="7138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71384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26</xdr:row>
      <xdr:rowOff>156210</xdr:rowOff>
    </xdr:from>
    <xdr:to>
      <xdr:col>5</xdr:col>
      <xdr:colOff>594360</xdr:colOff>
      <xdr:row>41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F78E0D-964E-4207-985C-359493744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48</xdr:row>
      <xdr:rowOff>34290</xdr:rowOff>
    </xdr:from>
    <xdr:to>
      <xdr:col>5</xdr:col>
      <xdr:colOff>601980</xdr:colOff>
      <xdr:row>63</xdr:row>
      <xdr:rowOff>34290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4F5788-739B-41BE-B955-26545B840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94</xdr:row>
      <xdr:rowOff>171450</xdr:rowOff>
    </xdr:from>
    <xdr:to>
      <xdr:col>6</xdr:col>
      <xdr:colOff>7620</xdr:colOff>
      <xdr:row>109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9739D04-4CC1-4FAB-9FDC-399B05E25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115</xdr:row>
      <xdr:rowOff>179070</xdr:rowOff>
    </xdr:from>
    <xdr:to>
      <xdr:col>6</xdr:col>
      <xdr:colOff>7620</xdr:colOff>
      <xdr:row>130</xdr:row>
      <xdr:rowOff>179070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ABE34FD-0ECF-41D5-B686-8AC1E2B4A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136</xdr:row>
      <xdr:rowOff>11430</xdr:rowOff>
    </xdr:from>
    <xdr:to>
      <xdr:col>6</xdr:col>
      <xdr:colOff>0</xdr:colOff>
      <xdr:row>151</xdr:row>
      <xdr:rowOff>11430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7A5B96B-2BF0-42C0-A239-DB6B12763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</xdr:colOff>
      <xdr:row>6</xdr:row>
      <xdr:rowOff>3810</xdr:rowOff>
    </xdr:from>
    <xdr:to>
      <xdr:col>5</xdr:col>
      <xdr:colOff>358140</xdr:colOff>
      <xdr:row>21</xdr:row>
      <xdr:rowOff>3810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8E5719C-6590-45A2-AF3D-9264F2CB5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312420</xdr:colOff>
      <xdr:row>5</xdr:row>
      <xdr:rowOff>179070</xdr:rowOff>
    </xdr:from>
    <xdr:to>
      <xdr:col>14</xdr:col>
      <xdr:colOff>7620</xdr:colOff>
      <xdr:row>20</xdr:row>
      <xdr:rowOff>179070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99AD931-A86F-4C3E-9D88-EA2207ADD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170</xdr:row>
      <xdr:rowOff>133350</xdr:rowOff>
    </xdr:from>
    <xdr:to>
      <xdr:col>5</xdr:col>
      <xdr:colOff>259080</xdr:colOff>
      <xdr:row>185</xdr:row>
      <xdr:rowOff>133350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E337816-CFFA-4A9B-9E92-5747BDD2D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72</xdr:row>
      <xdr:rowOff>171450</xdr:rowOff>
    </xdr:from>
    <xdr:to>
      <xdr:col>6</xdr:col>
      <xdr:colOff>15240</xdr:colOff>
      <xdr:row>87</xdr:row>
      <xdr:rowOff>171450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EE90855-80DC-4AE3-AD11-59E5F5F55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106680</xdr:colOff>
      <xdr:row>73</xdr:row>
      <xdr:rowOff>19050</xdr:rowOff>
    </xdr:from>
    <xdr:to>
      <xdr:col>15</xdr:col>
      <xdr:colOff>403860</xdr:colOff>
      <xdr:row>88</xdr:row>
      <xdr:rowOff>19050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8C50875-5E8D-4691-9A7B-6DCB8CEB4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601980</xdr:colOff>
      <xdr:row>170</xdr:row>
      <xdr:rowOff>148590</xdr:rowOff>
    </xdr:from>
    <xdr:to>
      <xdr:col>13</xdr:col>
      <xdr:colOff>541020</xdr:colOff>
      <xdr:row>185</xdr:row>
      <xdr:rowOff>167640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2EEF019D-61D2-4CE2-9C6E-51DE7E39F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541020</xdr:colOff>
      <xdr:row>94</xdr:row>
      <xdr:rowOff>171450</xdr:rowOff>
    </xdr:from>
    <xdr:to>
      <xdr:col>14</xdr:col>
      <xdr:colOff>236220</xdr:colOff>
      <xdr:row>109</xdr:row>
      <xdr:rowOff>171450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3261BE86-7B5D-4E89-910C-733FAAEF3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195</xdr:row>
      <xdr:rowOff>41910</xdr:rowOff>
    </xdr:from>
    <xdr:to>
      <xdr:col>5</xdr:col>
      <xdr:colOff>556260</xdr:colOff>
      <xdr:row>210</xdr:row>
      <xdr:rowOff>41910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68D526DC-36C6-4B1C-BD48-A372D6B14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289560</xdr:colOff>
      <xdr:row>195</xdr:row>
      <xdr:rowOff>26670</xdr:rowOff>
    </xdr:from>
    <xdr:to>
      <xdr:col>14</xdr:col>
      <xdr:colOff>594360</xdr:colOff>
      <xdr:row>210</xdr:row>
      <xdr:rowOff>26670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01B64F5-5822-4F96-992F-9908BDF49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76;&#1086;&#1082;&#1091;&#1084;&#1077;&#1085;&#1090;&#1099;/&#1052;&#1086;&#1080;%20&#1082;&#1083;&#1080;&#1077;&#1085;&#1090;&#1099;/&#1043;&#1088;&#1072;&#1078;&#1076;&#1072;&#1085;&#1089;&#1090;&#1074;&#1086;%20&#1051;&#1080;&#1090;&#1074;&#1099;/Analysis/Facebook/2025/July/July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numbers"/>
      <sheetName val="CRM"/>
      <sheetName val="LV"/>
      <sheetName val="LV RBI"/>
      <sheetName val="Agreements"/>
      <sheetName val="Search Console"/>
      <sheetName val="Google"/>
      <sheetName val="Bing"/>
      <sheetName val="Ist Analysis"/>
      <sheetName val="Count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B12">
            <v>7030</v>
          </cell>
          <cell r="C12">
            <v>4162</v>
          </cell>
        </row>
      </sheetData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35CF35-92A7-44DE-94DA-84AA7AAFA173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9B561-9A71-48AD-BD19-B11EDE8DEBFF}" name="Google" displayName="Google" ref="A2:O465" tableType="queryTable" totalsRowShown="0" headerRowDxfId="207" dataDxfId="206">
  <autoFilter ref="A2:O465" xr:uid="{B0F9B561-9A71-48AD-BD19-B11EDE8DEBFF}">
    <filterColumn colId="0">
      <filters>
        <filter val="LV-Leads-Search-RBI"/>
        <filter val="LV-Leads-Search-RBI TOP countries"/>
      </filters>
    </filterColumn>
  </autoFilter>
  <tableColumns count="15">
    <tableColumn id="1" xr3:uid="{FB5186B0-CC9B-4A7B-92DD-BE0DAAFB6120}" uniqueName="1" name="Кампания" queryTableFieldId="1" dataDxfId="205"/>
    <tableColumn id="2" xr3:uid="{F2490BC8-EDD4-4BB0-BDF1-906E91521A1B}" uniqueName="2" name="Статус кампании" queryTableFieldId="2" dataDxfId="204"/>
    <tableColumn id="3" xr3:uid="{590EF610-DDA8-4BDA-A27D-AB597F1771CC}" uniqueName="3" name="Тип кампании" queryTableFieldId="3" dataDxfId="203"/>
    <tableColumn id="4" xr3:uid="{E0903F96-3207-497C-80B6-A5234102A08E}" uniqueName="4" name="Страна/территория (сопоставлено)" queryTableFieldId="4" dataDxfId="202"/>
    <tableColumn id="5" xr3:uid="{D2248661-627B-470A-8D0F-3D5A20D74F96}" uniqueName="5" name="Группа объявлений" queryTableFieldId="5" dataDxfId="201"/>
    <tableColumn id="6" xr3:uid="{939888CB-EEC4-47BF-B86B-F9E7875D892B}" uniqueName="6" name="Kлики" queryTableFieldId="6" dataDxfId="200"/>
    <tableColumn id="7" xr3:uid="{D0F792F1-F610-4A18-BF52-86823BDF8E92}" uniqueName="7" name="Показы" queryTableFieldId="7" dataDxfId="199"/>
    <tableColumn id="8" xr3:uid="{EDE37E2B-B779-44A6-A33C-E23C6BA1E73E}" uniqueName="8" name="CTR" queryTableFieldId="8" dataDxfId="198"/>
    <tableColumn id="9" xr3:uid="{2F33BAF8-9D96-43FE-A8EE-D135FE2DBCAC}" uniqueName="9" name="Код валюты" queryTableFieldId="9" dataDxfId="197"/>
    <tableColumn id="10" xr3:uid="{67265B7C-8AE4-4F45-811E-72A7CFC6E45F}" uniqueName="10" name="Ср. цена за клик" queryTableFieldId="10" dataDxfId="196"/>
    <tableColumn id="11" xr3:uid="{4A22980A-408C-4F16-8153-6E0BACE3F61B}" uniqueName="11" name="Расходы" queryTableFieldId="11" dataDxfId="195"/>
    <tableColumn id="12" xr3:uid="{3AEC27C0-FFF7-4EEE-B9E5-32C03032DCD7}" uniqueName="12" name="Конверсии" queryTableFieldId="12" dataDxfId="194"/>
    <tableColumn id="13" xr3:uid="{11C1760F-041D-44D5-8D33-A6D6F25C5CED}" uniqueName="13" name="Конверсии по показам" queryTableFieldId="13" dataDxfId="193"/>
    <tableColumn id="14" xr3:uid="{A6807236-2196-489A-9BC2-EE58B627C9F1}" uniqueName="14" name="Стоимость/конв." queryTableFieldId="14" dataDxfId="192"/>
    <tableColumn id="15" xr3:uid="{F291BB54-8612-4150-BC5E-F103F93BD9B3}" uniqueName="15" name="Коэфф. конверсии" queryTableFieldId="15" dataDxfId="19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B3BB-7C0B-42CD-A986-BC4BDD1E11D9}">
  <sheetPr>
    <tabColor rgb="FFFF0000"/>
  </sheetPr>
  <dimension ref="A1:X193"/>
  <sheetViews>
    <sheetView topLeftCell="A145" workbookViewId="0">
      <selection activeCell="B134" sqref="B134"/>
    </sheetView>
  </sheetViews>
  <sheetFormatPr defaultRowHeight="14.4"/>
  <cols>
    <col min="1" max="1" width="30.88671875" style="6" customWidth="1"/>
    <col min="2" max="16384" width="8.88671875" style="6"/>
  </cols>
  <sheetData>
    <row r="1" spans="1:24">
      <c r="A1" s="1" t="s">
        <v>1491</v>
      </c>
      <c r="B1" s="5">
        <v>46082</v>
      </c>
      <c r="C1" s="5">
        <v>46054</v>
      </c>
      <c r="D1" s="5">
        <v>46023</v>
      </c>
      <c r="E1" s="5">
        <v>45992</v>
      </c>
      <c r="F1" s="5">
        <v>45962</v>
      </c>
      <c r="G1" s="5">
        <v>45931</v>
      </c>
      <c r="H1" s="5">
        <v>45901</v>
      </c>
      <c r="I1" s="5">
        <v>45870</v>
      </c>
      <c r="J1" s="5">
        <v>45839</v>
      </c>
      <c r="K1" s="5">
        <v>45809</v>
      </c>
      <c r="L1" s="5">
        <v>45778</v>
      </c>
      <c r="M1" s="5">
        <v>45748</v>
      </c>
      <c r="N1" s="5">
        <v>45717</v>
      </c>
      <c r="O1" s="5">
        <v>45689</v>
      </c>
      <c r="P1" s="5">
        <v>45658</v>
      </c>
      <c r="Q1" s="5">
        <v>45627</v>
      </c>
      <c r="R1" s="5">
        <v>45597</v>
      </c>
      <c r="S1" s="5">
        <v>45566</v>
      </c>
      <c r="T1" s="5">
        <v>45536</v>
      </c>
      <c r="U1" s="5">
        <v>45505</v>
      </c>
      <c r="V1" s="5">
        <v>45474</v>
      </c>
      <c r="W1" s="5">
        <v>45444</v>
      </c>
      <c r="X1" s="5">
        <v>45413</v>
      </c>
    </row>
    <row r="2" spans="1:24">
      <c r="A2" s="6" t="s">
        <v>1492</v>
      </c>
      <c r="B2" s="7">
        <v>64146.75</v>
      </c>
      <c r="C2" s="7">
        <v>48192.89</v>
      </c>
      <c r="D2" s="7">
        <v>28361.75</v>
      </c>
      <c r="E2" s="7">
        <v>31849.97</v>
      </c>
      <c r="F2" s="7">
        <v>52342.559999999998</v>
      </c>
      <c r="G2" s="7">
        <v>47679.199999999997</v>
      </c>
      <c r="H2" s="7">
        <v>34974</v>
      </c>
      <c r="I2" s="7">
        <v>35109.82</v>
      </c>
      <c r="J2" s="7">
        <v>30578</v>
      </c>
      <c r="K2" s="7">
        <v>25655.24</v>
      </c>
      <c r="L2" s="7">
        <v>58549.47</v>
      </c>
      <c r="M2" s="7">
        <v>41655.96</v>
      </c>
      <c r="N2" s="7">
        <v>69418.399999999994</v>
      </c>
      <c r="O2" s="7">
        <v>56175.63</v>
      </c>
      <c r="P2" s="7">
        <v>50521.86</v>
      </c>
      <c r="Q2" s="7">
        <v>66444.17</v>
      </c>
      <c r="R2" s="7">
        <v>54294.15</v>
      </c>
      <c r="S2" s="7">
        <v>33313.18</v>
      </c>
      <c r="T2" s="7">
        <v>57415.15</v>
      </c>
      <c r="U2" s="7">
        <v>42929.46</v>
      </c>
      <c r="V2" s="7">
        <v>24112.03</v>
      </c>
      <c r="W2" s="7">
        <v>15511.38</v>
      </c>
      <c r="X2" s="7">
        <v>39897.269999999997</v>
      </c>
    </row>
    <row r="3" spans="1:24">
      <c r="A3" s="6" t="s">
        <v>1493</v>
      </c>
      <c r="B3" s="6">
        <v>74394</v>
      </c>
      <c r="C3" s="6">
        <v>71503</v>
      </c>
      <c r="D3" s="6">
        <v>68612</v>
      </c>
      <c r="E3" s="6">
        <v>65721</v>
      </c>
      <c r="F3" s="6">
        <v>62830</v>
      </c>
      <c r="G3" s="6">
        <v>59939</v>
      </c>
      <c r="H3" s="6">
        <v>57048</v>
      </c>
      <c r="I3" s="6">
        <v>55305</v>
      </c>
      <c r="J3" s="6">
        <v>51840</v>
      </c>
      <c r="K3" s="6">
        <v>66243</v>
      </c>
      <c r="L3" s="6">
        <v>63628</v>
      </c>
      <c r="M3" s="6">
        <v>60293</v>
      </c>
      <c r="N3" s="6">
        <v>57318</v>
      </c>
      <c r="O3" s="6">
        <v>54343</v>
      </c>
      <c r="P3" s="6">
        <v>51368</v>
      </c>
      <c r="Q3" s="6">
        <v>48393</v>
      </c>
      <c r="R3" s="6">
        <v>45418</v>
      </c>
      <c r="S3" s="6">
        <v>42443</v>
      </c>
      <c r="T3" s="6">
        <v>39468</v>
      </c>
      <c r="U3" s="6">
        <v>36493</v>
      </c>
      <c r="V3" s="6">
        <v>33518</v>
      </c>
      <c r="W3" s="6">
        <v>30543</v>
      </c>
      <c r="X3" s="6">
        <v>67146</v>
      </c>
    </row>
    <row r="4" spans="1:24">
      <c r="A4" s="6" t="s">
        <v>1494</v>
      </c>
      <c r="B4" s="7">
        <f t="shared" ref="B4:F5" si="0">SUM(B2:D2)/3</f>
        <v>46900.46333333334</v>
      </c>
      <c r="C4" s="7">
        <f t="shared" si="0"/>
        <v>36134.870000000003</v>
      </c>
      <c r="D4" s="7">
        <f t="shared" si="0"/>
        <v>37518.093333333331</v>
      </c>
      <c r="E4" s="7">
        <f t="shared" si="0"/>
        <v>43957.243333333325</v>
      </c>
      <c r="F4" s="7">
        <f t="shared" si="0"/>
        <v>44998.58666666667</v>
      </c>
      <c r="G4" s="7">
        <f t="shared" ref="G4:G5" si="1">SUM(G2:I2)/3</f>
        <v>39254.339999999997</v>
      </c>
      <c r="H4" s="7">
        <f t="shared" ref="H4:V5" si="2">SUM(H2:J2)/3</f>
        <v>33553.94</v>
      </c>
      <c r="I4" s="7">
        <f t="shared" si="2"/>
        <v>30447.686666666672</v>
      </c>
      <c r="J4" s="7">
        <f t="shared" si="2"/>
        <v>38260.903333333335</v>
      </c>
      <c r="K4" s="7">
        <f t="shared" si="2"/>
        <v>41953.556666666671</v>
      </c>
      <c r="L4" s="7">
        <f t="shared" si="2"/>
        <v>56541.276666666665</v>
      </c>
      <c r="M4" s="7">
        <f t="shared" si="2"/>
        <v>55749.996666666666</v>
      </c>
      <c r="N4" s="7">
        <f t="shared" si="2"/>
        <v>58705.296666666669</v>
      </c>
      <c r="O4" s="7">
        <f t="shared" si="2"/>
        <v>57713.886666666658</v>
      </c>
      <c r="P4" s="7">
        <f t="shared" si="2"/>
        <v>57086.726666666662</v>
      </c>
      <c r="Q4" s="7">
        <f t="shared" si="2"/>
        <v>51350.5</v>
      </c>
      <c r="R4" s="7">
        <f t="shared" si="2"/>
        <v>48340.826666666668</v>
      </c>
      <c r="S4" s="7">
        <f t="shared" si="2"/>
        <v>44552.596666666672</v>
      </c>
      <c r="T4" s="7">
        <f t="shared" si="2"/>
        <v>41485.546666666669</v>
      </c>
      <c r="U4" s="7">
        <f t="shared" si="2"/>
        <v>27517.623333333333</v>
      </c>
      <c r="V4" s="7">
        <f t="shared" si="2"/>
        <v>26506.89333333333</v>
      </c>
      <c r="W4" s="7"/>
    </row>
    <row r="5" spans="1:24">
      <c r="A5" s="6" t="s">
        <v>1495</v>
      </c>
      <c r="B5" s="7">
        <f t="shared" si="0"/>
        <v>71503</v>
      </c>
      <c r="C5" s="7">
        <f t="shared" si="0"/>
        <v>68612</v>
      </c>
      <c r="D5" s="7">
        <f t="shared" si="0"/>
        <v>65721</v>
      </c>
      <c r="E5" s="7">
        <f t="shared" si="0"/>
        <v>62830</v>
      </c>
      <c r="F5" s="7">
        <f t="shared" si="0"/>
        <v>59939</v>
      </c>
      <c r="G5" s="7">
        <f t="shared" si="1"/>
        <v>57430.666666666664</v>
      </c>
      <c r="H5" s="7">
        <f t="shared" si="2"/>
        <v>54731</v>
      </c>
      <c r="I5" s="7">
        <f t="shared" si="2"/>
        <v>57796</v>
      </c>
      <c r="J5" s="7">
        <f t="shared" si="2"/>
        <v>60570.333333333336</v>
      </c>
      <c r="K5" s="7">
        <f t="shared" si="2"/>
        <v>63388</v>
      </c>
      <c r="L5" s="7">
        <f t="shared" si="2"/>
        <v>60413</v>
      </c>
      <c r="M5" s="7">
        <f t="shared" si="2"/>
        <v>57318</v>
      </c>
      <c r="N5" s="7">
        <f t="shared" si="2"/>
        <v>54343</v>
      </c>
      <c r="O5" s="7">
        <f t="shared" si="2"/>
        <v>51368</v>
      </c>
      <c r="P5" s="7">
        <f t="shared" si="2"/>
        <v>48393</v>
      </c>
      <c r="Q5" s="7">
        <f t="shared" si="2"/>
        <v>45418</v>
      </c>
      <c r="R5" s="7">
        <f t="shared" si="2"/>
        <v>42443</v>
      </c>
      <c r="S5" s="7">
        <f t="shared" si="2"/>
        <v>39468</v>
      </c>
      <c r="T5" s="7">
        <f t="shared" si="2"/>
        <v>36493</v>
      </c>
      <c r="U5" s="7">
        <f t="shared" si="2"/>
        <v>33518</v>
      </c>
      <c r="V5" s="7">
        <f t="shared" si="2"/>
        <v>43735.666666666664</v>
      </c>
    </row>
    <row r="24" spans="1:24">
      <c r="A24" s="1" t="s">
        <v>1496</v>
      </c>
      <c r="B24" s="5">
        <v>46082</v>
      </c>
      <c r="C24" s="5">
        <v>46054</v>
      </c>
      <c r="D24" s="5">
        <v>46023</v>
      </c>
      <c r="E24" s="5">
        <v>45992</v>
      </c>
      <c r="F24" s="5">
        <v>45962</v>
      </c>
      <c r="G24" s="5">
        <v>45931</v>
      </c>
      <c r="H24" s="5">
        <v>45901</v>
      </c>
      <c r="I24" s="5">
        <v>45870</v>
      </c>
      <c r="J24" s="5">
        <v>45839</v>
      </c>
      <c r="K24" s="5">
        <v>45809</v>
      </c>
      <c r="L24" s="5">
        <v>45778</v>
      </c>
      <c r="M24" s="5">
        <v>45748</v>
      </c>
      <c r="N24" s="5">
        <v>45717</v>
      </c>
      <c r="O24" s="5">
        <v>45689</v>
      </c>
      <c r="P24" s="5">
        <v>45658</v>
      </c>
      <c r="Q24" s="5">
        <v>45627</v>
      </c>
      <c r="R24" s="5">
        <v>45597</v>
      </c>
      <c r="S24" s="5">
        <v>45566</v>
      </c>
      <c r="T24" s="5">
        <v>45536</v>
      </c>
      <c r="U24" s="5">
        <v>45505</v>
      </c>
      <c r="V24" s="5">
        <v>45474</v>
      </c>
      <c r="W24" s="5">
        <v>45444</v>
      </c>
      <c r="X24" s="5">
        <v>45413</v>
      </c>
    </row>
    <row r="25" spans="1:24">
      <c r="A25" s="6" t="s">
        <v>1492</v>
      </c>
      <c r="B25" s="6">
        <v>72930</v>
      </c>
      <c r="C25" s="6">
        <v>56670</v>
      </c>
      <c r="D25" s="6">
        <v>39667</v>
      </c>
      <c r="E25" s="6">
        <v>43130</v>
      </c>
      <c r="F25" s="6">
        <v>65123</v>
      </c>
      <c r="G25" s="6">
        <v>60249</v>
      </c>
      <c r="H25" s="6">
        <v>47823</v>
      </c>
      <c r="I25" s="6">
        <v>47943</v>
      </c>
      <c r="J25" s="6">
        <v>43785</v>
      </c>
      <c r="K25" s="6">
        <v>38550</v>
      </c>
      <c r="L25" s="6">
        <v>69986</v>
      </c>
      <c r="M25" s="6">
        <v>50099</v>
      </c>
      <c r="N25" s="6">
        <v>75054</v>
      </c>
      <c r="O25" s="6">
        <v>62626</v>
      </c>
      <c r="P25" s="6">
        <v>57743</v>
      </c>
      <c r="Q25" s="6">
        <v>73294</v>
      </c>
      <c r="R25" s="6">
        <v>61758</v>
      </c>
      <c r="S25" s="6">
        <v>41510</v>
      </c>
      <c r="T25" s="6">
        <v>65447</v>
      </c>
      <c r="U25" s="6">
        <v>49940</v>
      </c>
      <c r="V25" s="6">
        <v>32653</v>
      </c>
      <c r="W25" s="6">
        <v>23780</v>
      </c>
      <c r="X25" s="6">
        <v>47009</v>
      </c>
    </row>
    <row r="26" spans="1:24">
      <c r="A26" s="6" t="s">
        <v>1494</v>
      </c>
      <c r="B26" s="7">
        <f t="shared" ref="B26:H26" si="3">SUM(B25:D25)/3</f>
        <v>56422.333333333336</v>
      </c>
      <c r="C26" s="7">
        <f t="shared" si="3"/>
        <v>46489</v>
      </c>
      <c r="D26" s="7">
        <f t="shared" si="3"/>
        <v>49306.666666666664</v>
      </c>
      <c r="E26" s="7">
        <f t="shared" si="3"/>
        <v>56167.333333333336</v>
      </c>
      <c r="F26" s="7">
        <f t="shared" si="3"/>
        <v>57731.666666666664</v>
      </c>
      <c r="G26" s="7">
        <f t="shared" si="3"/>
        <v>52005</v>
      </c>
      <c r="H26" s="7">
        <f t="shared" si="3"/>
        <v>46517</v>
      </c>
      <c r="I26" s="7">
        <f>SUM(I25:K25)/3</f>
        <v>43426</v>
      </c>
      <c r="J26" s="7">
        <f>SUM(J25:L25)/3</f>
        <v>50773.666666666664</v>
      </c>
      <c r="K26" s="7">
        <f>SUM(K25:M25)/3</f>
        <v>52878.333333333336</v>
      </c>
      <c r="L26" s="7">
        <f>SUM(L25:N25)/3</f>
        <v>65046.333333333336</v>
      </c>
      <c r="M26" s="6">
        <f>SUM(M25:O25)/3</f>
        <v>62593</v>
      </c>
      <c r="N26" s="6">
        <f t="shared" ref="N26:V26" si="4">SUM(N25:P25)/3</f>
        <v>65141</v>
      </c>
      <c r="O26" s="6">
        <f t="shared" si="4"/>
        <v>64554.333333333336</v>
      </c>
      <c r="P26" s="6">
        <f t="shared" si="4"/>
        <v>64265</v>
      </c>
      <c r="Q26" s="6">
        <f t="shared" si="4"/>
        <v>58854</v>
      </c>
      <c r="R26" s="6">
        <f t="shared" si="4"/>
        <v>56238.333333333336</v>
      </c>
      <c r="S26" s="6">
        <f t="shared" si="4"/>
        <v>52299</v>
      </c>
      <c r="T26" s="6">
        <f t="shared" si="4"/>
        <v>49346.666666666664</v>
      </c>
      <c r="U26" s="6">
        <f t="shared" si="4"/>
        <v>35457.666666666664</v>
      </c>
      <c r="V26" s="6">
        <f t="shared" si="4"/>
        <v>34480.666666666664</v>
      </c>
    </row>
    <row r="45" spans="1:24">
      <c r="A45" s="1" t="s">
        <v>1497</v>
      </c>
      <c r="B45" s="5">
        <v>46082</v>
      </c>
      <c r="C45" s="5">
        <v>46054</v>
      </c>
      <c r="D45" s="5">
        <v>46023</v>
      </c>
      <c r="E45" s="5">
        <v>45992</v>
      </c>
      <c r="F45" s="5">
        <v>45962</v>
      </c>
      <c r="G45" s="5">
        <v>45931</v>
      </c>
      <c r="H45" s="5">
        <v>45901</v>
      </c>
      <c r="I45" s="5">
        <v>45870</v>
      </c>
      <c r="J45" s="5">
        <v>45839</v>
      </c>
      <c r="K45" s="5">
        <v>45809</v>
      </c>
      <c r="L45" s="5">
        <v>45778</v>
      </c>
      <c r="M45" s="5">
        <v>45748</v>
      </c>
      <c r="N45" s="5">
        <v>45717</v>
      </c>
      <c r="O45" s="5">
        <v>45689</v>
      </c>
      <c r="P45" s="5">
        <v>45658</v>
      </c>
      <c r="Q45" s="5">
        <v>45627</v>
      </c>
      <c r="R45" s="5">
        <v>45597</v>
      </c>
      <c r="S45" s="5">
        <v>45566</v>
      </c>
      <c r="T45" s="5">
        <v>45536</v>
      </c>
      <c r="U45" s="5">
        <v>45505</v>
      </c>
      <c r="V45" s="5">
        <v>45474</v>
      </c>
      <c r="W45" s="5">
        <v>45444</v>
      </c>
      <c r="X45" s="5">
        <v>45413</v>
      </c>
    </row>
    <row r="46" spans="1:24">
      <c r="A46" s="6" t="s">
        <v>1492</v>
      </c>
      <c r="B46" s="6">
        <v>73410</v>
      </c>
      <c r="C46" s="6">
        <v>97400</v>
      </c>
      <c r="D46" s="6">
        <v>76850</v>
      </c>
      <c r="E46" s="6">
        <v>42850</v>
      </c>
      <c r="F46" s="6">
        <v>58500</v>
      </c>
      <c r="G46" s="6">
        <v>88650</v>
      </c>
      <c r="H46" s="6">
        <v>95050</v>
      </c>
      <c r="I46" s="6">
        <v>68300</v>
      </c>
      <c r="J46" s="6">
        <v>120450</v>
      </c>
      <c r="K46" s="6">
        <v>85850</v>
      </c>
      <c r="L46" s="6">
        <v>107750</v>
      </c>
      <c r="M46" s="6">
        <v>63200</v>
      </c>
      <c r="N46" s="6">
        <v>46570</v>
      </c>
      <c r="O46" s="6">
        <v>124700</v>
      </c>
      <c r="P46" s="6">
        <v>56150</v>
      </c>
      <c r="Q46" s="6">
        <v>54270</v>
      </c>
      <c r="R46" s="6">
        <v>60790</v>
      </c>
      <c r="S46" s="6">
        <v>60200</v>
      </c>
      <c r="T46" s="6">
        <v>63850</v>
      </c>
      <c r="U46" s="6">
        <v>112310</v>
      </c>
      <c r="V46" s="6">
        <v>64050</v>
      </c>
      <c r="W46" s="6">
        <v>71972</v>
      </c>
      <c r="X46" s="6">
        <v>40250</v>
      </c>
    </row>
    <row r="47" spans="1:24">
      <c r="A47" s="6" t="s">
        <v>1494</v>
      </c>
      <c r="B47" s="7">
        <f t="shared" ref="B47:V47" si="5">SUM(B46:D46)/3</f>
        <v>82553.333333333328</v>
      </c>
      <c r="C47" s="7">
        <f t="shared" si="5"/>
        <v>72366.666666666672</v>
      </c>
      <c r="D47" s="7">
        <f t="shared" si="5"/>
        <v>59400</v>
      </c>
      <c r="E47" s="7">
        <f t="shared" si="5"/>
        <v>63333.333333333336</v>
      </c>
      <c r="F47" s="7">
        <f t="shared" si="5"/>
        <v>80733.333333333328</v>
      </c>
      <c r="G47" s="7">
        <f t="shared" si="5"/>
        <v>84000</v>
      </c>
      <c r="H47" s="7">
        <f t="shared" si="5"/>
        <v>94600</v>
      </c>
      <c r="I47" s="7">
        <f t="shared" si="5"/>
        <v>91533.333333333328</v>
      </c>
      <c r="J47" s="7">
        <f t="shared" si="5"/>
        <v>104683.33333333333</v>
      </c>
      <c r="K47" s="7">
        <f t="shared" si="5"/>
        <v>85600</v>
      </c>
      <c r="L47" s="7">
        <f t="shared" si="5"/>
        <v>72506.666666666672</v>
      </c>
      <c r="M47" s="7">
        <f t="shared" si="5"/>
        <v>78156.666666666672</v>
      </c>
      <c r="N47" s="7">
        <f t="shared" si="5"/>
        <v>75806.666666666672</v>
      </c>
      <c r="O47" s="7">
        <f t="shared" si="5"/>
        <v>78373.333333333328</v>
      </c>
      <c r="P47" s="7">
        <f t="shared" si="5"/>
        <v>57070</v>
      </c>
      <c r="Q47" s="7">
        <f t="shared" si="5"/>
        <v>58420</v>
      </c>
      <c r="R47" s="7">
        <f t="shared" si="5"/>
        <v>61613.333333333336</v>
      </c>
      <c r="S47" s="7">
        <f t="shared" si="5"/>
        <v>78786.666666666672</v>
      </c>
      <c r="T47" s="7">
        <f t="shared" si="5"/>
        <v>80070</v>
      </c>
      <c r="U47" s="7">
        <f t="shared" si="5"/>
        <v>82777.333333333328</v>
      </c>
      <c r="V47" s="7">
        <f t="shared" si="5"/>
        <v>58757.333333333336</v>
      </c>
    </row>
    <row r="67" spans="1:24">
      <c r="A67" s="1" t="s">
        <v>1498</v>
      </c>
      <c r="B67" s="5">
        <v>46082</v>
      </c>
      <c r="C67" s="5">
        <v>46054</v>
      </c>
      <c r="D67" s="5">
        <v>46023</v>
      </c>
      <c r="E67" s="5">
        <v>45992</v>
      </c>
      <c r="F67" s="5">
        <v>45962</v>
      </c>
      <c r="G67" s="5">
        <v>45931</v>
      </c>
      <c r="H67" s="5">
        <v>45901</v>
      </c>
      <c r="I67" s="5">
        <v>45870</v>
      </c>
      <c r="J67" s="5">
        <v>45839</v>
      </c>
      <c r="K67" s="5">
        <v>45809</v>
      </c>
      <c r="L67" s="5">
        <v>45778</v>
      </c>
      <c r="M67" s="5">
        <v>45748</v>
      </c>
      <c r="N67" s="5">
        <v>45717</v>
      </c>
      <c r="O67" s="5">
        <v>45689</v>
      </c>
      <c r="P67" s="5">
        <v>45658</v>
      </c>
      <c r="Q67" s="5">
        <v>45627</v>
      </c>
      <c r="R67" s="5">
        <v>45597</v>
      </c>
      <c r="S67" s="5">
        <v>45566</v>
      </c>
      <c r="T67" s="5">
        <v>45536</v>
      </c>
      <c r="U67" s="5">
        <v>45505</v>
      </c>
      <c r="V67" s="5">
        <v>45474</v>
      </c>
      <c r="W67" s="5">
        <v>45444</v>
      </c>
      <c r="X67" s="5">
        <v>45413</v>
      </c>
    </row>
    <row r="68" spans="1:24">
      <c r="A68" s="6" t="s">
        <v>1492</v>
      </c>
      <c r="B68" s="7">
        <v>8783.25</v>
      </c>
      <c r="C68" s="7">
        <v>8477.11</v>
      </c>
      <c r="D68" s="7">
        <v>11305.25</v>
      </c>
      <c r="E68" s="7">
        <v>11280.03</v>
      </c>
      <c r="F68" s="7">
        <v>12780.44</v>
      </c>
      <c r="G68" s="7">
        <v>12569.8</v>
      </c>
      <c r="H68" s="7">
        <v>12849.01</v>
      </c>
      <c r="I68" s="7">
        <v>12833.18</v>
      </c>
      <c r="J68" s="7">
        <v>13206.93</v>
      </c>
      <c r="K68" s="7">
        <v>12894.76</v>
      </c>
      <c r="L68" s="7">
        <v>11436.53</v>
      </c>
      <c r="M68" s="7">
        <v>8443.0400000000009</v>
      </c>
      <c r="N68" s="7">
        <v>5635.6</v>
      </c>
      <c r="O68" s="7">
        <v>6450.37</v>
      </c>
      <c r="P68" s="7">
        <v>7221.14</v>
      </c>
      <c r="Q68" s="7">
        <v>6849.83</v>
      </c>
      <c r="R68" s="7">
        <v>7463.85</v>
      </c>
      <c r="S68" s="7">
        <v>8196.82</v>
      </c>
      <c r="T68" s="7">
        <v>8031.85</v>
      </c>
      <c r="U68" s="7">
        <v>7010.54</v>
      </c>
      <c r="V68" s="7">
        <v>8540.9699999999993</v>
      </c>
      <c r="W68" s="7">
        <v>8268.6200000000008</v>
      </c>
      <c r="X68" s="7">
        <v>7111.73</v>
      </c>
    </row>
    <row r="69" spans="1:24">
      <c r="A69" s="6" t="s">
        <v>1494</v>
      </c>
      <c r="B69" s="7">
        <f t="shared" ref="B69:V69" si="6">SUM(B68:D68)/3</f>
        <v>9521.8700000000008</v>
      </c>
      <c r="C69" s="7">
        <f t="shared" si="6"/>
        <v>10354.129999999999</v>
      </c>
      <c r="D69" s="7">
        <f t="shared" si="6"/>
        <v>11788.573333333334</v>
      </c>
      <c r="E69" s="7">
        <f t="shared" si="6"/>
        <v>12210.090000000002</v>
      </c>
      <c r="F69" s="7">
        <f t="shared" si="6"/>
        <v>12733.083333333334</v>
      </c>
      <c r="G69" s="7">
        <f t="shared" si="6"/>
        <v>12750.663333333332</v>
      </c>
      <c r="H69" s="7">
        <f t="shared" si="6"/>
        <v>12963.04</v>
      </c>
      <c r="I69" s="7">
        <f t="shared" si="6"/>
        <v>12978.29</v>
      </c>
      <c r="J69" s="7">
        <f t="shared" si="6"/>
        <v>12512.74</v>
      </c>
      <c r="K69" s="7">
        <f t="shared" si="6"/>
        <v>10924.776666666667</v>
      </c>
      <c r="L69" s="7">
        <f t="shared" si="6"/>
        <v>8505.0566666666655</v>
      </c>
      <c r="M69" s="7">
        <f t="shared" si="6"/>
        <v>6843.003333333334</v>
      </c>
      <c r="N69" s="7">
        <f t="shared" si="6"/>
        <v>6435.7033333333338</v>
      </c>
      <c r="O69" s="7">
        <f t="shared" si="6"/>
        <v>6840.4466666666667</v>
      </c>
      <c r="P69" s="7">
        <f t="shared" si="6"/>
        <v>7178.2733333333335</v>
      </c>
      <c r="Q69" s="7">
        <f t="shared" si="6"/>
        <v>7503.5</v>
      </c>
      <c r="R69" s="7">
        <f t="shared" si="6"/>
        <v>7897.5066666666671</v>
      </c>
      <c r="S69" s="7">
        <f t="shared" si="6"/>
        <v>7746.4033333333327</v>
      </c>
      <c r="T69" s="7">
        <f t="shared" si="6"/>
        <v>7861.12</v>
      </c>
      <c r="U69" s="7">
        <f t="shared" si="6"/>
        <v>7940.0433333333322</v>
      </c>
      <c r="V69" s="7">
        <f t="shared" si="6"/>
        <v>7973.7733333333335</v>
      </c>
    </row>
    <row r="70" spans="1:24">
      <c r="A70" s="6" t="s">
        <v>1499</v>
      </c>
      <c r="B70" s="7">
        <v>6024</v>
      </c>
      <c r="C70" s="7">
        <v>5255.21</v>
      </c>
      <c r="D70" s="7">
        <v>7474</v>
      </c>
      <c r="E70" s="7">
        <v>7304</v>
      </c>
      <c r="F70" s="7">
        <v>8234</v>
      </c>
      <c r="G70" s="7">
        <v>8412</v>
      </c>
      <c r="H70" s="7">
        <v>8673</v>
      </c>
      <c r="I70" s="7">
        <v>9231</v>
      </c>
      <c r="J70" s="7">
        <v>9557</v>
      </c>
      <c r="K70" s="7">
        <v>9385</v>
      </c>
      <c r="L70" s="7">
        <v>8185</v>
      </c>
      <c r="M70" s="7">
        <v>5235</v>
      </c>
      <c r="N70" s="7">
        <v>3285</v>
      </c>
      <c r="O70" s="7">
        <v>2876</v>
      </c>
      <c r="P70" s="7">
        <v>4501</v>
      </c>
      <c r="Q70" s="7">
        <v>4830.83</v>
      </c>
      <c r="R70" s="7">
        <v>6021.85</v>
      </c>
      <c r="S70" s="7">
        <v>5323.38</v>
      </c>
      <c r="T70" s="7">
        <v>5529.4</v>
      </c>
      <c r="U70" s="7">
        <v>5789.54</v>
      </c>
      <c r="V70" s="7">
        <v>7164.97</v>
      </c>
      <c r="W70" s="7">
        <v>6500.62</v>
      </c>
      <c r="X70" s="7">
        <v>5929.73</v>
      </c>
    </row>
    <row r="71" spans="1:24">
      <c r="A71" s="6" t="s">
        <v>1500</v>
      </c>
      <c r="B71" s="7">
        <f t="shared" ref="B71:V71" si="7">SUM(B70:D70)/3</f>
        <v>6251.07</v>
      </c>
      <c r="C71" s="7">
        <f t="shared" si="7"/>
        <v>6677.7366666666667</v>
      </c>
      <c r="D71" s="7">
        <f t="shared" si="7"/>
        <v>7670.666666666667</v>
      </c>
      <c r="E71" s="7">
        <f t="shared" si="7"/>
        <v>7983.333333333333</v>
      </c>
      <c r="F71" s="7">
        <f t="shared" si="7"/>
        <v>8439.6666666666661</v>
      </c>
      <c r="G71" s="7">
        <f t="shared" si="7"/>
        <v>8772</v>
      </c>
      <c r="H71" s="7">
        <f t="shared" si="7"/>
        <v>9153.6666666666661</v>
      </c>
      <c r="I71" s="7">
        <f t="shared" si="7"/>
        <v>9391</v>
      </c>
      <c r="J71" s="7">
        <f t="shared" si="7"/>
        <v>9042.3333333333339</v>
      </c>
      <c r="K71" s="7">
        <f t="shared" si="7"/>
        <v>7601.666666666667</v>
      </c>
      <c r="L71" s="7">
        <f t="shared" si="7"/>
        <v>5568.333333333333</v>
      </c>
      <c r="M71" s="7">
        <f t="shared" si="7"/>
        <v>3798.6666666666665</v>
      </c>
      <c r="N71" s="7">
        <f t="shared" si="7"/>
        <v>3554</v>
      </c>
      <c r="O71" s="7">
        <f t="shared" si="7"/>
        <v>4069.2766666666666</v>
      </c>
      <c r="P71" s="7">
        <f t="shared" si="7"/>
        <v>5117.8933333333334</v>
      </c>
      <c r="Q71" s="7">
        <f t="shared" si="7"/>
        <v>5392.02</v>
      </c>
      <c r="R71" s="7">
        <f t="shared" si="7"/>
        <v>5624.8766666666661</v>
      </c>
      <c r="S71" s="7">
        <f t="shared" si="7"/>
        <v>5547.44</v>
      </c>
      <c r="T71" s="7">
        <f t="shared" si="7"/>
        <v>6161.3033333333333</v>
      </c>
      <c r="U71" s="7">
        <f t="shared" si="7"/>
        <v>6485.043333333334</v>
      </c>
      <c r="V71" s="7">
        <f t="shared" si="7"/>
        <v>6531.7733333333335</v>
      </c>
    </row>
    <row r="72" spans="1:24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90" spans="1:24">
      <c r="A90" s="1" t="s">
        <v>1501</v>
      </c>
      <c r="B90" s="5">
        <v>46082</v>
      </c>
      <c r="C90" s="5">
        <v>46054</v>
      </c>
      <c r="D90" s="5">
        <v>46023</v>
      </c>
      <c r="E90" s="5">
        <v>45992</v>
      </c>
      <c r="F90" s="5">
        <v>45962</v>
      </c>
      <c r="G90" s="5">
        <v>45931</v>
      </c>
      <c r="H90" s="5">
        <v>45901</v>
      </c>
      <c r="I90" s="5">
        <v>45870</v>
      </c>
      <c r="J90" s="5">
        <v>45839</v>
      </c>
      <c r="K90" s="5">
        <v>45809</v>
      </c>
      <c r="L90" s="5">
        <v>45778</v>
      </c>
      <c r="M90" s="5">
        <v>45748</v>
      </c>
      <c r="N90" s="5">
        <v>45717</v>
      </c>
      <c r="O90" s="5">
        <v>45689</v>
      </c>
      <c r="P90" s="5">
        <v>45658</v>
      </c>
      <c r="Q90" s="5">
        <v>45627</v>
      </c>
      <c r="R90" s="5">
        <v>45597</v>
      </c>
      <c r="S90" s="5">
        <v>45566</v>
      </c>
      <c r="T90" s="5">
        <v>45536</v>
      </c>
      <c r="U90" s="5">
        <v>45505</v>
      </c>
      <c r="V90" s="5">
        <v>45474</v>
      </c>
      <c r="W90" s="5">
        <v>45444</v>
      </c>
      <c r="X90" s="5">
        <v>45413</v>
      </c>
    </row>
    <row r="91" spans="1:24">
      <c r="A91" s="6" t="s">
        <v>1492</v>
      </c>
      <c r="B91" s="6">
        <v>23</v>
      </c>
      <c r="C91" s="6">
        <v>17</v>
      </c>
      <c r="D91" s="6">
        <v>26</v>
      </c>
      <c r="E91" s="6">
        <v>13</v>
      </c>
      <c r="F91" s="6">
        <v>18</v>
      </c>
      <c r="G91" s="6">
        <v>22</v>
      </c>
      <c r="H91" s="6">
        <v>30</v>
      </c>
      <c r="I91" s="6">
        <v>25</v>
      </c>
      <c r="J91" s="6">
        <v>42</v>
      </c>
      <c r="K91" s="6">
        <v>30</v>
      </c>
      <c r="L91" s="6">
        <v>42</v>
      </c>
      <c r="M91" s="6">
        <v>29</v>
      </c>
      <c r="N91" s="6">
        <v>22</v>
      </c>
      <c r="O91" s="6">
        <v>33</v>
      </c>
      <c r="P91" s="6">
        <v>23</v>
      </c>
      <c r="Q91" s="6">
        <v>16</v>
      </c>
      <c r="R91" s="6">
        <v>34</v>
      </c>
      <c r="S91" s="6">
        <v>28</v>
      </c>
      <c r="T91" s="6">
        <v>29</v>
      </c>
      <c r="U91" s="6">
        <v>39</v>
      </c>
      <c r="V91" s="6">
        <v>34</v>
      </c>
      <c r="W91" s="6">
        <v>18</v>
      </c>
      <c r="X91" s="6">
        <v>24</v>
      </c>
    </row>
    <row r="92" spans="1:24">
      <c r="A92" s="6" t="s">
        <v>1494</v>
      </c>
      <c r="B92" s="7">
        <f t="shared" ref="B92:V92" si="8">SUM(B91:D91)/3</f>
        <v>22</v>
      </c>
      <c r="C92" s="7">
        <f t="shared" si="8"/>
        <v>18.666666666666668</v>
      </c>
      <c r="D92" s="7">
        <f t="shared" si="8"/>
        <v>19</v>
      </c>
      <c r="E92" s="7">
        <f t="shared" si="8"/>
        <v>17.666666666666668</v>
      </c>
      <c r="F92" s="7">
        <f t="shared" si="8"/>
        <v>23.333333333333332</v>
      </c>
      <c r="G92" s="7">
        <f t="shared" si="8"/>
        <v>25.666666666666668</v>
      </c>
      <c r="H92" s="7">
        <f t="shared" si="8"/>
        <v>32.333333333333336</v>
      </c>
      <c r="I92" s="7">
        <f t="shared" si="8"/>
        <v>32.333333333333336</v>
      </c>
      <c r="J92" s="7">
        <f t="shared" si="8"/>
        <v>38</v>
      </c>
      <c r="K92" s="7">
        <f t="shared" si="8"/>
        <v>33.666666666666664</v>
      </c>
      <c r="L92" s="7">
        <f t="shared" si="8"/>
        <v>31</v>
      </c>
      <c r="M92" s="7">
        <f t="shared" si="8"/>
        <v>28</v>
      </c>
      <c r="N92" s="7">
        <f t="shared" si="8"/>
        <v>26</v>
      </c>
      <c r="O92" s="7">
        <f t="shared" si="8"/>
        <v>24</v>
      </c>
      <c r="P92" s="7">
        <f t="shared" si="8"/>
        <v>24.333333333333332</v>
      </c>
      <c r="Q92" s="7">
        <f t="shared" si="8"/>
        <v>26</v>
      </c>
      <c r="R92" s="7">
        <f t="shared" si="8"/>
        <v>30.333333333333332</v>
      </c>
      <c r="S92" s="7">
        <f t="shared" si="8"/>
        <v>32</v>
      </c>
      <c r="T92" s="7">
        <f t="shared" si="8"/>
        <v>34</v>
      </c>
      <c r="U92" s="7">
        <f t="shared" si="8"/>
        <v>30.333333333333332</v>
      </c>
      <c r="V92" s="7">
        <f t="shared" si="8"/>
        <v>25.333333333333332</v>
      </c>
    </row>
    <row r="93" spans="1:24">
      <c r="A93" s="6" t="s">
        <v>1502</v>
      </c>
      <c r="B93" s="7">
        <v>18</v>
      </c>
      <c r="C93" s="7">
        <v>11</v>
      </c>
      <c r="D93" s="7">
        <v>17</v>
      </c>
      <c r="E93" s="7">
        <v>10</v>
      </c>
      <c r="F93" s="7">
        <v>14</v>
      </c>
      <c r="G93" s="7">
        <v>19</v>
      </c>
      <c r="H93" s="7">
        <v>21</v>
      </c>
      <c r="I93" s="7">
        <v>20</v>
      </c>
      <c r="J93" s="7">
        <v>33</v>
      </c>
      <c r="K93" s="7">
        <v>20</v>
      </c>
      <c r="L93" s="7">
        <v>27</v>
      </c>
      <c r="M93" s="7">
        <v>22</v>
      </c>
      <c r="N93" s="7">
        <v>17</v>
      </c>
      <c r="O93" s="7">
        <v>28</v>
      </c>
      <c r="P93" s="7">
        <v>22</v>
      </c>
      <c r="Q93" s="7">
        <v>14</v>
      </c>
      <c r="R93" s="7">
        <v>26</v>
      </c>
      <c r="S93" s="7">
        <v>24</v>
      </c>
      <c r="T93" s="7">
        <v>24</v>
      </c>
      <c r="U93" s="7">
        <v>32</v>
      </c>
      <c r="V93" s="7">
        <v>30</v>
      </c>
      <c r="W93" s="7">
        <v>16</v>
      </c>
      <c r="X93" s="7">
        <v>20</v>
      </c>
    </row>
    <row r="94" spans="1:24">
      <c r="A94" s="6" t="s">
        <v>1503</v>
      </c>
      <c r="B94" s="7">
        <v>3</v>
      </c>
      <c r="C94" s="7">
        <v>3</v>
      </c>
      <c r="D94" s="7">
        <v>4</v>
      </c>
      <c r="E94" s="7">
        <v>0</v>
      </c>
      <c r="F94" s="7">
        <v>3</v>
      </c>
      <c r="G94" s="7">
        <v>1</v>
      </c>
      <c r="H94" s="7">
        <v>3</v>
      </c>
      <c r="I94" s="7">
        <v>3</v>
      </c>
      <c r="J94" s="7">
        <v>8</v>
      </c>
      <c r="K94" s="7">
        <v>5</v>
      </c>
      <c r="L94" s="7">
        <v>8</v>
      </c>
      <c r="M94" s="7">
        <v>5</v>
      </c>
      <c r="N94" s="7">
        <v>3</v>
      </c>
      <c r="O94" s="7">
        <v>2</v>
      </c>
      <c r="P94" s="7">
        <v>0</v>
      </c>
      <c r="Q94" s="7">
        <v>0</v>
      </c>
      <c r="R94" s="7">
        <v>8</v>
      </c>
      <c r="S94" s="7">
        <v>4</v>
      </c>
      <c r="T94" s="7">
        <v>4</v>
      </c>
      <c r="U94" s="7">
        <v>5</v>
      </c>
      <c r="V94" s="7">
        <v>4</v>
      </c>
      <c r="W94" s="7">
        <v>2</v>
      </c>
      <c r="X94" s="7">
        <v>2</v>
      </c>
    </row>
    <row r="113" spans="1:24">
      <c r="A113" s="1" t="s">
        <v>1504</v>
      </c>
      <c r="B113" s="5">
        <v>46082</v>
      </c>
      <c r="C113" s="5">
        <v>46054</v>
      </c>
      <c r="D113" s="5">
        <v>46023</v>
      </c>
      <c r="E113" s="5">
        <v>45992</v>
      </c>
      <c r="F113" s="5">
        <v>45962</v>
      </c>
      <c r="G113" s="5">
        <v>45931</v>
      </c>
      <c r="H113" s="5">
        <v>45901</v>
      </c>
      <c r="I113" s="5">
        <v>45870</v>
      </c>
      <c r="J113" s="5">
        <v>45839</v>
      </c>
      <c r="K113" s="5">
        <v>45809</v>
      </c>
      <c r="L113" s="5">
        <v>45778</v>
      </c>
      <c r="M113" s="5">
        <v>45748</v>
      </c>
      <c r="N113" s="5">
        <v>45717</v>
      </c>
      <c r="O113" s="5">
        <v>45689</v>
      </c>
      <c r="P113" s="5">
        <v>45658</v>
      </c>
      <c r="Q113" s="5">
        <v>45627</v>
      </c>
      <c r="R113" s="5">
        <v>45597</v>
      </c>
      <c r="S113" s="5">
        <v>45566</v>
      </c>
      <c r="T113" s="5">
        <v>45536</v>
      </c>
      <c r="U113" s="5">
        <v>45505</v>
      </c>
      <c r="V113" s="5">
        <v>45474</v>
      </c>
      <c r="W113" s="5">
        <v>45444</v>
      </c>
      <c r="X113" s="5">
        <v>45413</v>
      </c>
    </row>
    <row r="114" spans="1:24">
      <c r="A114" s="6" t="s">
        <v>1492</v>
      </c>
      <c r="B114" s="6">
        <v>461</v>
      </c>
      <c r="C114" s="6">
        <v>461</v>
      </c>
      <c r="D114" s="6">
        <v>807</v>
      </c>
      <c r="E114" s="6">
        <f>775-29</f>
        <v>746</v>
      </c>
      <c r="F114" s="6">
        <v>666</v>
      </c>
      <c r="G114" s="6">
        <v>678</v>
      </c>
      <c r="H114" s="6">
        <v>758</v>
      </c>
      <c r="I114" s="6">
        <v>775</v>
      </c>
      <c r="J114" s="6">
        <v>762</v>
      </c>
      <c r="K114" s="6">
        <v>755</v>
      </c>
      <c r="L114" s="6">
        <v>670</v>
      </c>
      <c r="M114" s="6">
        <v>669</v>
      </c>
      <c r="N114" s="6">
        <v>683</v>
      </c>
      <c r="O114" s="6">
        <v>599</v>
      </c>
      <c r="P114" s="6">
        <v>546</v>
      </c>
      <c r="Q114" s="6">
        <v>451</v>
      </c>
      <c r="R114" s="6">
        <v>825</v>
      </c>
      <c r="S114" s="6">
        <v>640</v>
      </c>
      <c r="T114" s="6">
        <v>579</v>
      </c>
      <c r="U114" s="6">
        <v>562</v>
      </c>
      <c r="V114" s="6">
        <v>707</v>
      </c>
      <c r="W114" s="6">
        <v>530</v>
      </c>
      <c r="X114" s="6">
        <v>514</v>
      </c>
    </row>
    <row r="115" spans="1:24">
      <c r="A115" s="6" t="s">
        <v>1494</v>
      </c>
      <c r="B115" s="7">
        <f t="shared" ref="B115:V115" si="9">SUM(B114:D114)/3</f>
        <v>576.33333333333337</v>
      </c>
      <c r="C115" s="7">
        <f t="shared" si="9"/>
        <v>671.33333333333337</v>
      </c>
      <c r="D115" s="7">
        <f t="shared" si="9"/>
        <v>739.66666666666663</v>
      </c>
      <c r="E115" s="7">
        <f t="shared" si="9"/>
        <v>696.66666666666663</v>
      </c>
      <c r="F115" s="7">
        <f t="shared" si="9"/>
        <v>700.66666666666663</v>
      </c>
      <c r="G115" s="7">
        <f t="shared" si="9"/>
        <v>737</v>
      </c>
      <c r="H115" s="7">
        <f t="shared" si="9"/>
        <v>765</v>
      </c>
      <c r="I115" s="7">
        <f t="shared" si="9"/>
        <v>764</v>
      </c>
      <c r="J115" s="7">
        <f t="shared" si="9"/>
        <v>729</v>
      </c>
      <c r="K115" s="7">
        <f t="shared" si="9"/>
        <v>698</v>
      </c>
      <c r="L115" s="7">
        <f t="shared" si="9"/>
        <v>674</v>
      </c>
      <c r="M115" s="7">
        <f t="shared" si="9"/>
        <v>650.33333333333337</v>
      </c>
      <c r="N115" s="7">
        <f t="shared" si="9"/>
        <v>609.33333333333337</v>
      </c>
      <c r="O115" s="7">
        <f t="shared" si="9"/>
        <v>532</v>
      </c>
      <c r="P115" s="7">
        <f t="shared" si="9"/>
        <v>607.33333333333337</v>
      </c>
      <c r="Q115" s="7">
        <f t="shared" si="9"/>
        <v>638.66666666666663</v>
      </c>
      <c r="R115" s="7">
        <f t="shared" si="9"/>
        <v>681.33333333333337</v>
      </c>
      <c r="S115" s="7">
        <f t="shared" si="9"/>
        <v>593.66666666666663</v>
      </c>
      <c r="T115" s="7">
        <f t="shared" si="9"/>
        <v>616</v>
      </c>
      <c r="U115" s="7">
        <f t="shared" si="9"/>
        <v>599.66666666666663</v>
      </c>
      <c r="V115" s="7">
        <f t="shared" si="9"/>
        <v>583.66666666666663</v>
      </c>
    </row>
    <row r="133" spans="1:24">
      <c r="A133" s="1" t="s">
        <v>1505</v>
      </c>
      <c r="B133" s="5">
        <v>46082</v>
      </c>
      <c r="C133" s="5">
        <v>46054</v>
      </c>
      <c r="D133" s="5">
        <v>46023</v>
      </c>
      <c r="E133" s="5">
        <v>45992</v>
      </c>
      <c r="F133" s="5">
        <v>45962</v>
      </c>
      <c r="G133" s="5">
        <v>45931</v>
      </c>
      <c r="H133" s="5">
        <v>45901</v>
      </c>
      <c r="I133" s="5">
        <v>45870</v>
      </c>
      <c r="J133" s="5">
        <v>45839</v>
      </c>
      <c r="K133" s="5">
        <v>45809</v>
      </c>
      <c r="L133" s="5">
        <v>45778</v>
      </c>
      <c r="M133" s="5">
        <v>45748</v>
      </c>
      <c r="N133" s="5">
        <v>45717</v>
      </c>
      <c r="O133" s="5">
        <v>45689</v>
      </c>
      <c r="P133" s="5">
        <v>45658</v>
      </c>
      <c r="Q133" s="5">
        <v>45627</v>
      </c>
      <c r="R133" s="5">
        <v>45597</v>
      </c>
      <c r="S133" s="5">
        <v>45566</v>
      </c>
      <c r="T133" s="5">
        <v>45536</v>
      </c>
      <c r="U133" s="5">
        <v>45505</v>
      </c>
      <c r="V133" s="5">
        <v>45474</v>
      </c>
      <c r="W133" s="5">
        <v>45444</v>
      </c>
      <c r="X133" s="5">
        <v>45413</v>
      </c>
    </row>
    <row r="134" spans="1:24">
      <c r="A134" s="6" t="s">
        <v>1492</v>
      </c>
      <c r="B134" s="7">
        <f>3459+1885</f>
        <v>5344</v>
      </c>
      <c r="C134" s="7">
        <f>3474+1828</f>
        <v>5302</v>
      </c>
      <c r="D134" s="7">
        <f>7563+3083</f>
        <v>10646</v>
      </c>
      <c r="E134" s="7">
        <f>6214+4095</f>
        <v>10309</v>
      </c>
      <c r="F134" s="7">
        <f>5325+5293</f>
        <v>10618</v>
      </c>
      <c r="G134" s="7">
        <f>6363+5034</f>
        <v>11397</v>
      </c>
      <c r="H134" s="7">
        <f>5841+3411</f>
        <v>9252</v>
      </c>
      <c r="I134" s="7">
        <f>6933+3540</f>
        <v>10473</v>
      </c>
      <c r="J134" s="7">
        <f>'[1]Ist Analysis'!B12+'[1]Ist Analysis'!C12</f>
        <v>11192</v>
      </c>
      <c r="K134" s="6">
        <f>6946+3824</f>
        <v>10770</v>
      </c>
      <c r="L134" s="6">
        <f>7501+2986</f>
        <v>10487</v>
      </c>
      <c r="M134" s="6">
        <f>7371+2141</f>
        <v>9512</v>
      </c>
      <c r="N134" s="6">
        <f>6151+1977</f>
        <v>8128</v>
      </c>
      <c r="O134" s="6">
        <f>5145+1719</f>
        <v>6864</v>
      </c>
      <c r="P134" s="6">
        <f>5627+1623</f>
        <v>7250</v>
      </c>
      <c r="Q134" s="6">
        <f>4989+1365</f>
        <v>6354</v>
      </c>
      <c r="R134" s="6">
        <f>7744+1932</f>
        <v>9676</v>
      </c>
      <c r="S134" s="6">
        <f>7289+1924</f>
        <v>9213</v>
      </c>
      <c r="T134" s="6">
        <f>7931+1754</f>
        <v>9685</v>
      </c>
      <c r="U134" s="6">
        <f>7249+2236</f>
        <v>9485</v>
      </c>
      <c r="V134" s="6">
        <f>7627+3034</f>
        <v>10661</v>
      </c>
      <c r="W134" s="6">
        <f>6472+2733</f>
        <v>9205</v>
      </c>
      <c r="X134" s="6">
        <f>7133+2539</f>
        <v>9672</v>
      </c>
    </row>
    <row r="135" spans="1:24">
      <c r="A135" s="6" t="s">
        <v>1494</v>
      </c>
      <c r="B135" s="7">
        <f t="shared" ref="B135:F135" si="10">SUM(B134:D134)/3</f>
        <v>7097.333333333333</v>
      </c>
      <c r="C135" s="7">
        <f t="shared" si="10"/>
        <v>8752.3333333333339</v>
      </c>
      <c r="D135" s="7">
        <f t="shared" si="10"/>
        <v>10524.333333333334</v>
      </c>
      <c r="E135" s="7">
        <f t="shared" si="10"/>
        <v>10774.666666666666</v>
      </c>
      <c r="F135" s="7">
        <f t="shared" si="10"/>
        <v>10422.333333333334</v>
      </c>
      <c r="G135" s="7">
        <f t="shared" ref="G135" si="11">SUM(G134:I134)/3</f>
        <v>10374</v>
      </c>
      <c r="H135" s="7">
        <f t="shared" ref="H135:V135" si="12">SUM(H134:J134)/3</f>
        <v>10305.666666666666</v>
      </c>
      <c r="I135" s="7">
        <f t="shared" si="12"/>
        <v>10811.666666666666</v>
      </c>
      <c r="J135" s="7">
        <f t="shared" si="12"/>
        <v>10816.333333333334</v>
      </c>
      <c r="K135" s="7">
        <f t="shared" si="12"/>
        <v>10256.333333333334</v>
      </c>
      <c r="L135" s="7">
        <f t="shared" si="12"/>
        <v>9375.6666666666661</v>
      </c>
      <c r="M135" s="7">
        <f t="shared" si="12"/>
        <v>8168</v>
      </c>
      <c r="N135" s="7">
        <f t="shared" si="12"/>
        <v>7414</v>
      </c>
      <c r="O135" s="7">
        <f t="shared" si="12"/>
        <v>6822.666666666667</v>
      </c>
      <c r="P135" s="7">
        <f t="shared" si="12"/>
        <v>7760</v>
      </c>
      <c r="Q135" s="7">
        <f t="shared" si="12"/>
        <v>8414.3333333333339</v>
      </c>
      <c r="R135" s="7">
        <f t="shared" si="12"/>
        <v>9524.6666666666661</v>
      </c>
      <c r="S135" s="7">
        <f t="shared" si="12"/>
        <v>9461</v>
      </c>
      <c r="T135" s="7">
        <f t="shared" si="12"/>
        <v>9943.6666666666661</v>
      </c>
      <c r="U135" s="7">
        <f t="shared" si="12"/>
        <v>9783.6666666666661</v>
      </c>
      <c r="V135" s="7">
        <f t="shared" si="12"/>
        <v>9846</v>
      </c>
    </row>
    <row r="154" spans="1:24">
      <c r="A154" s="1" t="s">
        <v>1504</v>
      </c>
      <c r="B154" s="5">
        <v>46082</v>
      </c>
      <c r="C154" s="5">
        <v>46054</v>
      </c>
      <c r="D154" s="5">
        <v>46023</v>
      </c>
      <c r="E154" s="5">
        <v>45992</v>
      </c>
      <c r="F154" s="5">
        <v>45962</v>
      </c>
      <c r="G154" s="5">
        <v>45931</v>
      </c>
      <c r="H154" s="5">
        <v>45901</v>
      </c>
      <c r="I154" s="5">
        <v>45870</v>
      </c>
      <c r="J154" s="5">
        <v>45839</v>
      </c>
      <c r="K154" s="5">
        <v>45809</v>
      </c>
      <c r="L154" s="5">
        <v>45778</v>
      </c>
      <c r="M154" s="5">
        <v>45748</v>
      </c>
      <c r="N154" s="5">
        <v>45717</v>
      </c>
      <c r="O154" s="5">
        <v>45689</v>
      </c>
      <c r="P154" s="5">
        <v>45658</v>
      </c>
      <c r="Q154" s="5">
        <v>45627</v>
      </c>
      <c r="R154" s="5">
        <v>45597</v>
      </c>
      <c r="S154" s="5">
        <v>45566</v>
      </c>
      <c r="T154" s="5">
        <v>45536</v>
      </c>
      <c r="U154" s="5">
        <v>45505</v>
      </c>
      <c r="V154" s="5">
        <v>45474</v>
      </c>
      <c r="W154" s="5">
        <v>45444</v>
      </c>
      <c r="X154" s="5">
        <v>45413</v>
      </c>
    </row>
    <row r="155" spans="1:24">
      <c r="A155" s="6" t="s">
        <v>1563</v>
      </c>
      <c r="B155" s="6">
        <f>461+19</f>
        <v>480</v>
      </c>
      <c r="C155" s="6">
        <f>461+21</f>
        <v>482</v>
      </c>
      <c r="D155" s="6">
        <v>807</v>
      </c>
      <c r="E155" s="6">
        <v>829</v>
      </c>
      <c r="F155" s="8">
        <v>666</v>
      </c>
      <c r="G155" s="8">
        <v>678</v>
      </c>
      <c r="H155" s="8">
        <v>758</v>
      </c>
      <c r="I155" s="6">
        <v>775</v>
      </c>
      <c r="J155" s="6">
        <v>762</v>
      </c>
      <c r="K155" s="6">
        <v>755</v>
      </c>
      <c r="L155" s="6">
        <v>670</v>
      </c>
      <c r="M155" s="6">
        <v>669</v>
      </c>
      <c r="N155" s="6">
        <v>683</v>
      </c>
      <c r="O155" s="6">
        <v>599</v>
      </c>
      <c r="P155" s="6">
        <v>546</v>
      </c>
      <c r="Q155" s="6">
        <v>451</v>
      </c>
      <c r="R155" s="6">
        <v>825</v>
      </c>
      <c r="S155" s="6">
        <v>640</v>
      </c>
      <c r="T155" s="6">
        <v>579</v>
      </c>
      <c r="U155" s="6">
        <v>562</v>
      </c>
      <c r="V155" s="6">
        <v>707</v>
      </c>
      <c r="W155" s="6">
        <v>530</v>
      </c>
      <c r="X155" s="6">
        <v>514</v>
      </c>
    </row>
    <row r="156" spans="1:24" s="9" customFormat="1">
      <c r="A156" s="9" t="s">
        <v>1506</v>
      </c>
      <c r="B156" s="9">
        <v>254</v>
      </c>
      <c r="C156" s="9">
        <f>241+14</f>
        <v>255</v>
      </c>
      <c r="D156" s="9">
        <v>380</v>
      </c>
      <c r="E156" s="9">
        <v>265</v>
      </c>
      <c r="F156" s="9">
        <v>279</v>
      </c>
      <c r="G156" s="9">
        <v>211</v>
      </c>
      <c r="H156" s="9">
        <v>342</v>
      </c>
      <c r="I156" s="9">
        <v>370</v>
      </c>
      <c r="J156" s="9">
        <v>382</v>
      </c>
      <c r="K156" s="9">
        <v>329</v>
      </c>
      <c r="L156" s="9">
        <v>341</v>
      </c>
      <c r="M156" s="9">
        <v>380</v>
      </c>
      <c r="N156" s="9">
        <v>358</v>
      </c>
      <c r="O156" s="9">
        <v>351</v>
      </c>
      <c r="P156" s="9">
        <v>369</v>
      </c>
      <c r="Q156" s="9">
        <v>298</v>
      </c>
      <c r="R156" s="9">
        <v>604</v>
      </c>
      <c r="S156" s="9">
        <v>446</v>
      </c>
      <c r="T156" s="9">
        <v>380</v>
      </c>
      <c r="U156" s="9">
        <v>443</v>
      </c>
      <c r="V156" s="9">
        <v>560</v>
      </c>
      <c r="W156" s="9">
        <v>409</v>
      </c>
      <c r="X156" s="9">
        <v>410</v>
      </c>
    </row>
    <row r="157" spans="1:24">
      <c r="A157" s="6" t="s">
        <v>25</v>
      </c>
      <c r="B157" s="6">
        <v>176</v>
      </c>
      <c r="C157" s="6">
        <v>146</v>
      </c>
      <c r="D157" s="6">
        <v>242</v>
      </c>
      <c r="E157" s="6">
        <v>167</v>
      </c>
      <c r="F157" s="6">
        <v>157</v>
      </c>
      <c r="G157" s="6">
        <v>90</v>
      </c>
      <c r="H157" s="6">
        <v>147</v>
      </c>
      <c r="I157" s="6">
        <v>214</v>
      </c>
      <c r="J157" s="6">
        <v>238</v>
      </c>
      <c r="K157" s="6">
        <v>185</v>
      </c>
      <c r="L157" s="6">
        <v>160</v>
      </c>
      <c r="M157" s="6">
        <v>199</v>
      </c>
      <c r="N157" s="6">
        <v>145</v>
      </c>
      <c r="O157" s="6">
        <v>110</v>
      </c>
      <c r="P157" s="6">
        <v>150</v>
      </c>
      <c r="Q157" s="6">
        <v>151</v>
      </c>
      <c r="R157" s="6">
        <v>269</v>
      </c>
      <c r="S157" s="6">
        <v>245</v>
      </c>
      <c r="T157" s="6">
        <v>216</v>
      </c>
      <c r="U157" s="6">
        <v>195</v>
      </c>
      <c r="V157" s="6">
        <v>208</v>
      </c>
      <c r="W157" s="6">
        <v>213</v>
      </c>
      <c r="X157" s="6">
        <v>208</v>
      </c>
    </row>
    <row r="158" spans="1:24">
      <c r="A158" s="6" t="s">
        <v>175</v>
      </c>
      <c r="B158" s="6">
        <v>10</v>
      </c>
      <c r="C158" s="6">
        <v>10</v>
      </c>
      <c r="D158" s="6">
        <v>14</v>
      </c>
      <c r="E158" s="6">
        <v>3</v>
      </c>
      <c r="F158" s="6">
        <v>4</v>
      </c>
      <c r="G158" s="6">
        <v>7</v>
      </c>
      <c r="H158" s="6">
        <v>8</v>
      </c>
      <c r="I158" s="6">
        <v>20</v>
      </c>
      <c r="J158" s="6">
        <v>12</v>
      </c>
      <c r="K158" s="6">
        <v>12</v>
      </c>
      <c r="L158" s="6">
        <v>20</v>
      </c>
      <c r="M158" s="6">
        <v>21</v>
      </c>
      <c r="N158" s="6">
        <v>30</v>
      </c>
      <c r="O158" s="6">
        <v>28</v>
      </c>
      <c r="P158" s="6">
        <v>25</v>
      </c>
      <c r="Q158" s="6">
        <v>7</v>
      </c>
      <c r="R158" s="6">
        <v>21</v>
      </c>
      <c r="S158" s="6">
        <v>11</v>
      </c>
      <c r="T158" s="6">
        <v>15</v>
      </c>
      <c r="U158" s="6">
        <v>14</v>
      </c>
      <c r="V158" s="6">
        <v>8</v>
      </c>
      <c r="W158" s="6">
        <v>12</v>
      </c>
      <c r="X158" s="6">
        <v>8</v>
      </c>
    </row>
    <row r="159" spans="1:24">
      <c r="A159" s="6" t="s">
        <v>1507</v>
      </c>
      <c r="B159" s="6">
        <f t="shared" ref="B159:X159" si="13">B156-B157-B158</f>
        <v>68</v>
      </c>
      <c r="C159" s="6">
        <f t="shared" si="13"/>
        <v>99</v>
      </c>
      <c r="D159" s="6">
        <f t="shared" si="13"/>
        <v>124</v>
      </c>
      <c r="E159" s="6">
        <f t="shared" si="13"/>
        <v>95</v>
      </c>
      <c r="F159" s="6">
        <f t="shared" si="13"/>
        <v>118</v>
      </c>
      <c r="G159" s="6">
        <f t="shared" si="13"/>
        <v>114</v>
      </c>
      <c r="H159" s="6">
        <f t="shared" si="13"/>
        <v>187</v>
      </c>
      <c r="I159" s="6">
        <f t="shared" si="13"/>
        <v>136</v>
      </c>
      <c r="J159" s="6">
        <f t="shared" si="13"/>
        <v>132</v>
      </c>
      <c r="K159" s="6">
        <f t="shared" si="13"/>
        <v>132</v>
      </c>
      <c r="L159" s="6">
        <f t="shared" si="13"/>
        <v>161</v>
      </c>
      <c r="M159" s="6">
        <f t="shared" si="13"/>
        <v>160</v>
      </c>
      <c r="N159" s="6">
        <f t="shared" si="13"/>
        <v>183</v>
      </c>
      <c r="O159" s="6">
        <f t="shared" si="13"/>
        <v>213</v>
      </c>
      <c r="P159" s="6">
        <f t="shared" si="13"/>
        <v>194</v>
      </c>
      <c r="Q159" s="6">
        <f t="shared" si="13"/>
        <v>140</v>
      </c>
      <c r="R159" s="6">
        <f t="shared" si="13"/>
        <v>314</v>
      </c>
      <c r="S159" s="6">
        <f t="shared" si="13"/>
        <v>190</v>
      </c>
      <c r="T159" s="6">
        <f t="shared" si="13"/>
        <v>149</v>
      </c>
      <c r="U159" s="6">
        <f t="shared" si="13"/>
        <v>234</v>
      </c>
      <c r="V159" s="6">
        <f t="shared" si="13"/>
        <v>344</v>
      </c>
      <c r="W159" s="6">
        <f t="shared" si="13"/>
        <v>184</v>
      </c>
      <c r="X159" s="6">
        <f t="shared" si="13"/>
        <v>194</v>
      </c>
    </row>
    <row r="160" spans="1:24" s="10" customFormat="1">
      <c r="A160" s="10" t="s">
        <v>1508</v>
      </c>
      <c r="B160" s="10">
        <v>19</v>
      </c>
      <c r="C160" s="10">
        <v>31</v>
      </c>
      <c r="D160" s="10">
        <v>78</v>
      </c>
      <c r="E160" s="10">
        <v>44</v>
      </c>
      <c r="F160" s="10">
        <v>12</v>
      </c>
      <c r="G160" s="10">
        <v>35</v>
      </c>
      <c r="H160" s="10">
        <v>63</v>
      </c>
      <c r="I160" s="10">
        <v>61</v>
      </c>
      <c r="J160" s="10">
        <v>71</v>
      </c>
      <c r="K160" s="10">
        <v>56</v>
      </c>
      <c r="L160" s="10">
        <v>80</v>
      </c>
      <c r="M160" s="10">
        <v>66</v>
      </c>
      <c r="N160" s="10">
        <v>89</v>
      </c>
      <c r="O160" s="10">
        <v>73</v>
      </c>
      <c r="P160" s="10">
        <v>80</v>
      </c>
      <c r="Q160" s="10">
        <v>38</v>
      </c>
      <c r="R160" s="10">
        <v>74</v>
      </c>
      <c r="S160" s="10">
        <v>54</v>
      </c>
      <c r="T160" s="10">
        <v>73</v>
      </c>
      <c r="U160" s="10">
        <v>88</v>
      </c>
      <c r="V160" s="10">
        <v>104</v>
      </c>
      <c r="W160" s="10">
        <v>85</v>
      </c>
      <c r="X160" s="10">
        <v>76</v>
      </c>
    </row>
    <row r="161" spans="1:24">
      <c r="A161" s="6" t="s">
        <v>25</v>
      </c>
      <c r="B161" s="6">
        <v>5</v>
      </c>
      <c r="C161" s="6">
        <v>12</v>
      </c>
      <c r="D161" s="6">
        <v>45</v>
      </c>
      <c r="E161" s="6">
        <v>30</v>
      </c>
      <c r="F161" s="6">
        <v>5</v>
      </c>
      <c r="G161" s="6">
        <v>23</v>
      </c>
      <c r="H161" s="6">
        <v>31</v>
      </c>
      <c r="I161" s="6">
        <v>17</v>
      </c>
      <c r="J161" s="6">
        <v>20</v>
      </c>
      <c r="K161" s="6">
        <v>41</v>
      </c>
      <c r="L161" s="6">
        <v>58</v>
      </c>
      <c r="M161" s="6">
        <v>38</v>
      </c>
      <c r="N161" s="6">
        <v>53</v>
      </c>
      <c r="O161" s="6">
        <v>46</v>
      </c>
      <c r="P161" s="6">
        <v>61</v>
      </c>
      <c r="Q161" s="6">
        <v>27</v>
      </c>
      <c r="R161" s="6">
        <v>54</v>
      </c>
      <c r="S161" s="6">
        <v>38</v>
      </c>
      <c r="T161" s="6">
        <v>54</v>
      </c>
      <c r="U161" s="6">
        <v>59</v>
      </c>
      <c r="V161" s="6">
        <v>58</v>
      </c>
      <c r="W161" s="6">
        <v>62</v>
      </c>
      <c r="X161" s="6">
        <v>58</v>
      </c>
    </row>
    <row r="162" spans="1:24">
      <c r="A162" s="6" t="s">
        <v>175</v>
      </c>
      <c r="B162" s="6">
        <v>5</v>
      </c>
      <c r="C162" s="6">
        <v>2</v>
      </c>
      <c r="D162" s="6">
        <v>2</v>
      </c>
      <c r="E162" s="6">
        <v>5</v>
      </c>
      <c r="F162" s="6">
        <v>0</v>
      </c>
      <c r="G162" s="6">
        <v>2</v>
      </c>
      <c r="H162" s="6">
        <v>8</v>
      </c>
      <c r="I162" s="6">
        <v>4</v>
      </c>
      <c r="J162" s="6">
        <v>5</v>
      </c>
      <c r="K162" s="6">
        <v>5</v>
      </c>
      <c r="L162" s="6">
        <v>6</v>
      </c>
      <c r="M162" s="6">
        <v>7</v>
      </c>
      <c r="N162" s="6">
        <v>14</v>
      </c>
      <c r="O162" s="6">
        <v>9</v>
      </c>
      <c r="P162" s="6">
        <v>7</v>
      </c>
      <c r="Q162" s="6">
        <v>4</v>
      </c>
      <c r="R162" s="6">
        <v>7</v>
      </c>
      <c r="S162" s="6">
        <v>5</v>
      </c>
      <c r="T162" s="6">
        <v>6</v>
      </c>
      <c r="U162" s="6">
        <v>5</v>
      </c>
      <c r="V162" s="6">
        <v>4</v>
      </c>
      <c r="W162" s="6">
        <v>6</v>
      </c>
      <c r="X162" s="6">
        <v>4</v>
      </c>
    </row>
    <row r="163" spans="1:24">
      <c r="A163" s="6" t="s">
        <v>1507</v>
      </c>
      <c r="B163" s="6">
        <f t="shared" ref="B163:X163" si="14">B160-B161-B162</f>
        <v>9</v>
      </c>
      <c r="C163" s="6">
        <f t="shared" si="14"/>
        <v>17</v>
      </c>
      <c r="D163" s="6">
        <f t="shared" si="14"/>
        <v>31</v>
      </c>
      <c r="E163" s="6">
        <f t="shared" si="14"/>
        <v>9</v>
      </c>
      <c r="F163" s="6">
        <f t="shared" si="14"/>
        <v>7</v>
      </c>
      <c r="G163" s="6">
        <f t="shared" si="14"/>
        <v>10</v>
      </c>
      <c r="H163" s="6">
        <f t="shared" si="14"/>
        <v>24</v>
      </c>
      <c r="I163" s="6">
        <f t="shared" si="14"/>
        <v>40</v>
      </c>
      <c r="J163" s="6">
        <f t="shared" si="14"/>
        <v>46</v>
      </c>
      <c r="K163" s="6">
        <f t="shared" si="14"/>
        <v>10</v>
      </c>
      <c r="L163" s="6">
        <f t="shared" si="14"/>
        <v>16</v>
      </c>
      <c r="M163" s="6">
        <f t="shared" si="14"/>
        <v>21</v>
      </c>
      <c r="N163" s="6">
        <f t="shared" si="14"/>
        <v>22</v>
      </c>
      <c r="O163" s="6">
        <f t="shared" si="14"/>
        <v>18</v>
      </c>
      <c r="P163" s="6">
        <f t="shared" si="14"/>
        <v>12</v>
      </c>
      <c r="Q163" s="6">
        <f t="shared" si="14"/>
        <v>7</v>
      </c>
      <c r="R163" s="6">
        <f t="shared" si="14"/>
        <v>13</v>
      </c>
      <c r="S163" s="6">
        <f t="shared" si="14"/>
        <v>11</v>
      </c>
      <c r="T163" s="6">
        <f t="shared" si="14"/>
        <v>13</v>
      </c>
      <c r="U163" s="6">
        <f t="shared" si="14"/>
        <v>24</v>
      </c>
      <c r="V163" s="6">
        <f t="shared" si="14"/>
        <v>42</v>
      </c>
      <c r="W163" s="6">
        <f t="shared" si="14"/>
        <v>17</v>
      </c>
      <c r="X163" s="6">
        <f t="shared" si="14"/>
        <v>14</v>
      </c>
    </row>
    <row r="164" spans="1:24">
      <c r="A164" s="6" t="s">
        <v>182</v>
      </c>
      <c r="B164" s="6">
        <v>10</v>
      </c>
      <c r="C164" s="6">
        <f>33+7</f>
        <v>40</v>
      </c>
      <c r="D164" s="6">
        <v>101</v>
      </c>
      <c r="E164" s="6">
        <v>113</v>
      </c>
      <c r="F164" s="6">
        <v>47</v>
      </c>
      <c r="G164" s="6">
        <v>62</v>
      </c>
      <c r="H164" s="6">
        <v>72</v>
      </c>
      <c r="I164" s="6">
        <v>93</v>
      </c>
      <c r="J164" s="6">
        <v>105</v>
      </c>
      <c r="K164" s="6">
        <v>85</v>
      </c>
      <c r="L164" s="6">
        <v>85</v>
      </c>
      <c r="M164" s="6">
        <v>80</v>
      </c>
      <c r="N164" s="6">
        <v>91</v>
      </c>
      <c r="O164" s="6">
        <v>89</v>
      </c>
      <c r="P164" s="6">
        <v>29</v>
      </c>
      <c r="Q164" s="6">
        <v>30</v>
      </c>
      <c r="R164" s="6">
        <v>32</v>
      </c>
      <c r="S164" s="6">
        <v>23</v>
      </c>
      <c r="T164" s="6">
        <v>29</v>
      </c>
      <c r="U164" s="6">
        <v>24</v>
      </c>
      <c r="V164" s="6">
        <v>37</v>
      </c>
      <c r="W164" s="6">
        <v>35</v>
      </c>
      <c r="X164" s="6">
        <v>29</v>
      </c>
    </row>
    <row r="165" spans="1:24">
      <c r="A165" s="6" t="s">
        <v>1509</v>
      </c>
      <c r="B165" s="6">
        <v>94</v>
      </c>
      <c r="C165" s="6">
        <v>77</v>
      </c>
      <c r="D165" s="6">
        <v>112</v>
      </c>
      <c r="E165" s="6">
        <v>175</v>
      </c>
      <c r="F165" s="6">
        <v>183</v>
      </c>
      <c r="G165" s="6">
        <f>206+21</f>
        <v>227</v>
      </c>
      <c r="H165" s="6">
        <f>175+7</f>
        <v>182</v>
      </c>
      <c r="I165" s="6">
        <v>152</v>
      </c>
      <c r="J165" s="6">
        <v>130</v>
      </c>
      <c r="K165" s="6">
        <v>172</v>
      </c>
      <c r="L165" s="6">
        <v>89</v>
      </c>
      <c r="M165" s="6">
        <v>31</v>
      </c>
      <c r="N165" s="6">
        <v>33</v>
      </c>
      <c r="O165" s="6">
        <v>7</v>
      </c>
      <c r="P165" s="6">
        <v>3</v>
      </c>
      <c r="Q165" s="6">
        <v>6</v>
      </c>
      <c r="R165" s="6">
        <v>2</v>
      </c>
      <c r="S165" s="6">
        <v>6</v>
      </c>
      <c r="T165" s="6">
        <v>3</v>
      </c>
      <c r="U165" s="6">
        <v>8</v>
      </c>
      <c r="V165" s="6">
        <v>6</v>
      </c>
      <c r="W165" s="6">
        <v>1</v>
      </c>
      <c r="X165" s="6">
        <v>6</v>
      </c>
    </row>
    <row r="166" spans="1:24">
      <c r="A166" s="6" t="s">
        <v>1510</v>
      </c>
      <c r="B166" s="6">
        <v>30</v>
      </c>
      <c r="C166" s="6">
        <v>20</v>
      </c>
      <c r="D166" s="6">
        <v>80</v>
      </c>
      <c r="E166" s="6">
        <v>69</v>
      </c>
      <c r="F166" s="6">
        <v>26</v>
      </c>
      <c r="G166" s="6">
        <v>31</v>
      </c>
      <c r="H166" s="6">
        <v>49</v>
      </c>
      <c r="I166" s="6">
        <v>12</v>
      </c>
      <c r="J166" s="6">
        <v>26</v>
      </c>
      <c r="K166" s="6">
        <v>18</v>
      </c>
      <c r="L166" s="6">
        <v>6</v>
      </c>
      <c r="M166" s="6">
        <v>28</v>
      </c>
      <c r="N166" s="6">
        <v>25</v>
      </c>
      <c r="O166" s="6">
        <v>7</v>
      </c>
    </row>
    <row r="168" spans="1:24">
      <c r="A168" s="6" t="s">
        <v>1511</v>
      </c>
      <c r="B168" s="6">
        <f>B157+B158+B161+B162</f>
        <v>196</v>
      </c>
      <c r="C168" s="6">
        <f>C157+C158+C161+C162</f>
        <v>170</v>
      </c>
      <c r="D168" s="6">
        <f>D157+D158+D161+D162</f>
        <v>303</v>
      </c>
      <c r="E168" s="6">
        <f t="shared" ref="E168:X168" si="15">E157+E158+E161+E162</f>
        <v>205</v>
      </c>
      <c r="F168" s="6">
        <f t="shared" si="15"/>
        <v>166</v>
      </c>
      <c r="G168" s="6">
        <f t="shared" si="15"/>
        <v>122</v>
      </c>
      <c r="H168" s="6">
        <f t="shared" si="15"/>
        <v>194</v>
      </c>
      <c r="I168" s="6">
        <f t="shared" si="15"/>
        <v>255</v>
      </c>
      <c r="J168" s="6">
        <f t="shared" si="15"/>
        <v>275</v>
      </c>
      <c r="K168" s="6">
        <f t="shared" si="15"/>
        <v>243</v>
      </c>
      <c r="L168" s="6">
        <f t="shared" si="15"/>
        <v>244</v>
      </c>
      <c r="M168" s="6">
        <f t="shared" si="15"/>
        <v>265</v>
      </c>
      <c r="N168" s="6">
        <f t="shared" si="15"/>
        <v>242</v>
      </c>
      <c r="O168" s="6">
        <f t="shared" si="15"/>
        <v>193</v>
      </c>
      <c r="P168" s="6">
        <f t="shared" si="15"/>
        <v>243</v>
      </c>
      <c r="Q168" s="6">
        <f t="shared" si="15"/>
        <v>189</v>
      </c>
      <c r="R168" s="6">
        <f t="shared" si="15"/>
        <v>351</v>
      </c>
      <c r="S168" s="6">
        <f t="shared" si="15"/>
        <v>299</v>
      </c>
      <c r="T168" s="6">
        <f t="shared" si="15"/>
        <v>291</v>
      </c>
      <c r="U168" s="6">
        <f t="shared" si="15"/>
        <v>273</v>
      </c>
      <c r="V168" s="6">
        <f t="shared" si="15"/>
        <v>278</v>
      </c>
      <c r="W168" s="6">
        <f t="shared" si="15"/>
        <v>293</v>
      </c>
      <c r="X168" s="6">
        <f t="shared" si="15"/>
        <v>278</v>
      </c>
    </row>
    <row r="169" spans="1:24">
      <c r="A169" s="6" t="s">
        <v>1512</v>
      </c>
      <c r="B169" s="6">
        <f>B159+B163</f>
        <v>77</v>
      </c>
      <c r="C169" s="6">
        <f>C159+C163</f>
        <v>116</v>
      </c>
      <c r="D169" s="6">
        <f>D159+D163</f>
        <v>155</v>
      </c>
      <c r="E169" s="6">
        <f t="shared" ref="E169:X169" si="16">E159+E163</f>
        <v>104</v>
      </c>
      <c r="F169" s="6">
        <f t="shared" si="16"/>
        <v>125</v>
      </c>
      <c r="G169" s="6">
        <f t="shared" si="16"/>
        <v>124</v>
      </c>
      <c r="H169" s="6">
        <f t="shared" si="16"/>
        <v>211</v>
      </c>
      <c r="I169" s="6">
        <f t="shared" si="16"/>
        <v>176</v>
      </c>
      <c r="J169" s="6">
        <f t="shared" si="16"/>
        <v>178</v>
      </c>
      <c r="K169" s="6">
        <f t="shared" si="16"/>
        <v>142</v>
      </c>
      <c r="L169" s="6">
        <f t="shared" si="16"/>
        <v>177</v>
      </c>
      <c r="M169" s="6">
        <f t="shared" si="16"/>
        <v>181</v>
      </c>
      <c r="N169" s="6">
        <f t="shared" si="16"/>
        <v>205</v>
      </c>
      <c r="O169" s="6">
        <f t="shared" si="16"/>
        <v>231</v>
      </c>
      <c r="P169" s="6">
        <f t="shared" si="16"/>
        <v>206</v>
      </c>
      <c r="Q169" s="6">
        <f t="shared" si="16"/>
        <v>147</v>
      </c>
      <c r="R169" s="6">
        <f t="shared" si="16"/>
        <v>327</v>
      </c>
      <c r="S169" s="6">
        <f t="shared" si="16"/>
        <v>201</v>
      </c>
      <c r="T169" s="6">
        <f t="shared" si="16"/>
        <v>162</v>
      </c>
      <c r="U169" s="6">
        <f t="shared" si="16"/>
        <v>258</v>
      </c>
      <c r="V169" s="6">
        <f t="shared" si="16"/>
        <v>386</v>
      </c>
      <c r="W169" s="6">
        <f t="shared" si="16"/>
        <v>201</v>
      </c>
      <c r="X169" s="6">
        <f t="shared" si="16"/>
        <v>208</v>
      </c>
    </row>
    <row r="189" spans="1:24">
      <c r="A189" s="6" t="s">
        <v>1513</v>
      </c>
      <c r="B189" s="5">
        <v>46082</v>
      </c>
      <c r="C189" s="5">
        <v>46054</v>
      </c>
      <c r="D189" s="5">
        <v>46023</v>
      </c>
      <c r="E189" s="5">
        <v>45992</v>
      </c>
      <c r="F189" s="5">
        <v>45962</v>
      </c>
      <c r="G189" s="5">
        <v>45931</v>
      </c>
      <c r="H189" s="5">
        <v>45901</v>
      </c>
      <c r="I189" s="5">
        <v>45870</v>
      </c>
      <c r="J189" s="5">
        <v>45839</v>
      </c>
      <c r="K189" s="5">
        <v>45809</v>
      </c>
      <c r="L189" s="5">
        <v>45778</v>
      </c>
      <c r="M189" s="5">
        <v>45748</v>
      </c>
      <c r="N189" s="5">
        <v>45717</v>
      </c>
      <c r="O189" s="5">
        <v>45689</v>
      </c>
      <c r="P189" s="5">
        <v>45658</v>
      </c>
      <c r="Q189" s="5">
        <v>45627</v>
      </c>
      <c r="R189" s="5">
        <v>45597</v>
      </c>
      <c r="S189" s="5">
        <v>45566</v>
      </c>
      <c r="T189" s="5">
        <v>45536</v>
      </c>
      <c r="U189" s="5">
        <v>45505</v>
      </c>
      <c r="V189" s="5">
        <v>45474</v>
      </c>
      <c r="W189" s="5">
        <v>45444</v>
      </c>
      <c r="X189" s="5">
        <v>45413</v>
      </c>
    </row>
    <row r="190" spans="1:24">
      <c r="A190" s="9" t="s">
        <v>1506</v>
      </c>
      <c r="B190" s="11">
        <f>B93/B156</f>
        <v>7.0866141732283464E-2</v>
      </c>
      <c r="C190" s="11">
        <f>C93/C156</f>
        <v>4.3137254901960784E-2</v>
      </c>
      <c r="D190" s="11">
        <f>D93/D156</f>
        <v>4.4736842105263158E-2</v>
      </c>
      <c r="E190" s="11">
        <f t="shared" ref="E190:X190" si="17">E93/E156</f>
        <v>3.7735849056603772E-2</v>
      </c>
      <c r="F190" s="11">
        <f t="shared" si="17"/>
        <v>5.0179211469534052E-2</v>
      </c>
      <c r="G190" s="11">
        <f t="shared" si="17"/>
        <v>9.004739336492891E-2</v>
      </c>
      <c r="H190" s="11">
        <f t="shared" si="17"/>
        <v>6.1403508771929821E-2</v>
      </c>
      <c r="I190" s="11">
        <f t="shared" si="17"/>
        <v>5.4054054054054057E-2</v>
      </c>
      <c r="J190" s="11">
        <f t="shared" si="17"/>
        <v>8.6387434554973816E-2</v>
      </c>
      <c r="K190" s="11">
        <f t="shared" si="17"/>
        <v>6.0790273556231005E-2</v>
      </c>
      <c r="L190" s="11">
        <f t="shared" si="17"/>
        <v>7.9178885630498533E-2</v>
      </c>
      <c r="M190" s="11">
        <f t="shared" si="17"/>
        <v>5.7894736842105263E-2</v>
      </c>
      <c r="N190" s="11">
        <f t="shared" si="17"/>
        <v>4.7486033519553071E-2</v>
      </c>
      <c r="O190" s="11">
        <f t="shared" si="17"/>
        <v>7.9772079772079771E-2</v>
      </c>
      <c r="P190" s="11">
        <f t="shared" si="17"/>
        <v>5.9620596205962058E-2</v>
      </c>
      <c r="Q190" s="11">
        <f t="shared" si="17"/>
        <v>4.6979865771812082E-2</v>
      </c>
      <c r="R190" s="11">
        <f t="shared" si="17"/>
        <v>4.3046357615894038E-2</v>
      </c>
      <c r="S190" s="11">
        <f t="shared" si="17"/>
        <v>5.3811659192825115E-2</v>
      </c>
      <c r="T190" s="11">
        <f t="shared" si="17"/>
        <v>6.3157894736842107E-2</v>
      </c>
      <c r="U190" s="11">
        <f t="shared" si="17"/>
        <v>7.2234762979683967E-2</v>
      </c>
      <c r="V190" s="11">
        <f t="shared" si="17"/>
        <v>5.3571428571428568E-2</v>
      </c>
      <c r="W190" s="11">
        <f t="shared" si="17"/>
        <v>3.9119804400977995E-2</v>
      </c>
      <c r="X190" s="11">
        <f t="shared" si="17"/>
        <v>4.878048780487805E-2</v>
      </c>
    </row>
    <row r="191" spans="1:24">
      <c r="A191" s="10" t="s">
        <v>1508</v>
      </c>
      <c r="B191" s="11">
        <f>B94/B160</f>
        <v>0.15789473684210525</v>
      </c>
      <c r="C191" s="11">
        <f>C94/C160</f>
        <v>9.6774193548387094E-2</v>
      </c>
      <c r="D191" s="11">
        <f>D94/D160</f>
        <v>5.128205128205128E-2</v>
      </c>
      <c r="E191" s="11">
        <f t="shared" ref="E191:X191" si="18">E94/E160</f>
        <v>0</v>
      </c>
      <c r="F191" s="11">
        <f t="shared" si="18"/>
        <v>0.25</v>
      </c>
      <c r="G191" s="11">
        <f t="shared" si="18"/>
        <v>2.8571428571428571E-2</v>
      </c>
      <c r="H191" s="11">
        <f t="shared" si="18"/>
        <v>4.7619047619047616E-2</v>
      </c>
      <c r="I191" s="11">
        <f t="shared" si="18"/>
        <v>4.9180327868852458E-2</v>
      </c>
      <c r="J191" s="11">
        <f t="shared" si="18"/>
        <v>0.11267605633802817</v>
      </c>
      <c r="K191" s="11">
        <f t="shared" si="18"/>
        <v>8.9285714285714288E-2</v>
      </c>
      <c r="L191" s="11">
        <f t="shared" si="18"/>
        <v>0.1</v>
      </c>
      <c r="M191" s="11">
        <f t="shared" si="18"/>
        <v>7.575757575757576E-2</v>
      </c>
      <c r="N191" s="11">
        <f t="shared" si="18"/>
        <v>3.3707865168539325E-2</v>
      </c>
      <c r="O191" s="11">
        <f t="shared" si="18"/>
        <v>2.7397260273972601E-2</v>
      </c>
      <c r="P191" s="11">
        <f t="shared" si="18"/>
        <v>0</v>
      </c>
      <c r="Q191" s="11">
        <f t="shared" si="18"/>
        <v>0</v>
      </c>
      <c r="R191" s="11">
        <f t="shared" si="18"/>
        <v>0.10810810810810811</v>
      </c>
      <c r="S191" s="11">
        <f t="shared" si="18"/>
        <v>7.407407407407407E-2</v>
      </c>
      <c r="T191" s="11">
        <f t="shared" si="18"/>
        <v>5.4794520547945202E-2</v>
      </c>
      <c r="U191" s="11">
        <f t="shared" si="18"/>
        <v>5.6818181818181816E-2</v>
      </c>
      <c r="V191" s="11">
        <f t="shared" si="18"/>
        <v>3.8461538461538464E-2</v>
      </c>
      <c r="W191" s="11">
        <f t="shared" si="18"/>
        <v>2.3529411764705882E-2</v>
      </c>
      <c r="X191" s="11">
        <f t="shared" si="18"/>
        <v>2.6315789473684209E-2</v>
      </c>
    </row>
    <row r="192" spans="1:24">
      <c r="A192" s="9" t="s">
        <v>1514</v>
      </c>
      <c r="B192" s="11">
        <f>((B93+C93+D93)/3)/((B156+C156+D156)/3)</f>
        <v>5.1743532058492692E-2</v>
      </c>
      <c r="C192" s="11">
        <f>((C93+D93+E93)/3)/((C156+D156+E156)/3)</f>
        <v>4.2222222222222223E-2</v>
      </c>
      <c r="D192" s="11">
        <f>((D93+E93+F93)/3)/((D156+E156+F156)/3)</f>
        <v>4.4372294372294369E-2</v>
      </c>
      <c r="E192" s="11">
        <f>((E93+F93+G93)/3)/((E156+F156+G156)/3)</f>
        <v>5.6953642384105968E-2</v>
      </c>
      <c r="F192" s="11">
        <f t="shared" ref="F192:V192" si="19">((F93+G93+H93)/3)/((F156+G156+H156)/3)</f>
        <v>6.4903846153846159E-2</v>
      </c>
      <c r="G192" s="11">
        <f t="shared" si="19"/>
        <v>6.500541711809317E-2</v>
      </c>
      <c r="H192" s="11">
        <f t="shared" si="19"/>
        <v>6.7641681901279713E-2</v>
      </c>
      <c r="I192" s="11">
        <f t="shared" si="19"/>
        <v>6.7530064754856609E-2</v>
      </c>
      <c r="J192" s="11">
        <f t="shared" si="19"/>
        <v>7.6045627376425853E-2</v>
      </c>
      <c r="K192" s="11">
        <f t="shared" si="19"/>
        <v>6.5714285714285711E-2</v>
      </c>
      <c r="L192" s="11">
        <f t="shared" si="19"/>
        <v>6.1167747914735865E-2</v>
      </c>
      <c r="M192" s="11">
        <f t="shared" si="19"/>
        <v>6.1524334251606978E-2</v>
      </c>
      <c r="N192" s="11">
        <f t="shared" si="19"/>
        <v>6.215213358070501E-2</v>
      </c>
      <c r="O192" s="11">
        <f t="shared" si="19"/>
        <v>6.2868369351669937E-2</v>
      </c>
      <c r="P192" s="11">
        <f t="shared" si="19"/>
        <v>4.878048780487805E-2</v>
      </c>
      <c r="Q192" s="11">
        <f t="shared" si="19"/>
        <v>4.7477744807121663E-2</v>
      </c>
      <c r="R192" s="11">
        <f t="shared" si="19"/>
        <v>5.1748251748251747E-2</v>
      </c>
      <c r="S192" s="11">
        <f t="shared" si="19"/>
        <v>6.3041765169424752E-2</v>
      </c>
      <c r="T192" s="11">
        <f t="shared" si="19"/>
        <v>6.2183658712942881E-2</v>
      </c>
      <c r="U192" s="11">
        <f t="shared" si="19"/>
        <v>5.5240793201133141E-2</v>
      </c>
      <c r="V192" s="11">
        <f t="shared" si="19"/>
        <v>4.7860768672951415E-2</v>
      </c>
      <c r="W192" s="11"/>
      <c r="X192" s="11"/>
    </row>
    <row r="193" spans="1:22">
      <c r="A193" s="10" t="s">
        <v>1515</v>
      </c>
      <c r="B193" s="11">
        <f>((B94+C94+D94)/3)/((B160+C160+D160)/3)</f>
        <v>7.8125000000000014E-2</v>
      </c>
      <c r="C193" s="11">
        <f>((C94+D94+E94)/3)/((C160+D160+E160)/3)</f>
        <v>4.5751633986928109E-2</v>
      </c>
      <c r="D193" s="11">
        <f>((D94+E94+F94)/3)/((D160+E160+F160)/3)</f>
        <v>5.2238805970149259E-2</v>
      </c>
      <c r="E193" s="11">
        <f t="shared" ref="E193:V193" si="20">((E94+F94+G94)/3)/((E160+F160+G160)/3)</f>
        <v>4.3956043956043953E-2</v>
      </c>
      <c r="F193" s="11">
        <f t="shared" si="20"/>
        <v>6.3636363636363644E-2</v>
      </c>
      <c r="G193" s="11">
        <f t="shared" si="20"/>
        <v>4.4025157232704407E-2</v>
      </c>
      <c r="H193" s="11">
        <f t="shared" si="20"/>
        <v>7.1794871794871803E-2</v>
      </c>
      <c r="I193" s="11">
        <f t="shared" si="20"/>
        <v>8.5106382978723402E-2</v>
      </c>
      <c r="J193" s="11">
        <f t="shared" si="20"/>
        <v>0.10144927536231885</v>
      </c>
      <c r="K193" s="11">
        <f t="shared" si="20"/>
        <v>8.9108910891089119E-2</v>
      </c>
      <c r="L193" s="11">
        <f t="shared" si="20"/>
        <v>6.8085106382978725E-2</v>
      </c>
      <c r="M193" s="11">
        <f t="shared" si="20"/>
        <v>4.3859649122807022E-2</v>
      </c>
      <c r="N193" s="11">
        <f t="shared" si="20"/>
        <v>2.0661157024793389E-2</v>
      </c>
      <c r="O193" s="11">
        <f t="shared" si="20"/>
        <v>1.0471204188481676E-2</v>
      </c>
      <c r="P193" s="11">
        <f t="shared" si="20"/>
        <v>4.1666666666666664E-2</v>
      </c>
      <c r="Q193" s="11">
        <f t="shared" si="20"/>
        <v>7.2289156626506021E-2</v>
      </c>
      <c r="R193" s="11">
        <f t="shared" si="20"/>
        <v>7.9601990049751242E-2</v>
      </c>
      <c r="S193" s="11">
        <f t="shared" si="20"/>
        <v>6.046511627906976E-2</v>
      </c>
      <c r="T193" s="11">
        <f t="shared" si="20"/>
        <v>4.9056603773584902E-2</v>
      </c>
      <c r="U193" s="11">
        <f t="shared" si="20"/>
        <v>3.9711191335740074E-2</v>
      </c>
      <c r="V193" s="11">
        <f t="shared" si="20"/>
        <v>3.0188679245283019E-2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P462"/>
  <sheetViews>
    <sheetView workbookViewId="0">
      <selection activeCell="F13" sqref="F13:F384"/>
    </sheetView>
  </sheetViews>
  <sheetFormatPr defaultRowHeight="14.4"/>
  <cols>
    <col min="1" max="1" width="12" style="2" customWidth="1"/>
    <col min="2" max="3" width="26.109375" style="2" customWidth="1"/>
    <col min="4" max="4" width="19.44140625" style="2" customWidth="1"/>
    <col min="5" max="5" width="17.21875" style="2" customWidth="1"/>
    <col min="6" max="6" width="16.44140625" style="2" customWidth="1"/>
    <col min="7" max="7" width="19.109375" style="2" customWidth="1"/>
    <col min="8" max="8" width="15.5546875" style="2" customWidth="1"/>
    <col min="9" max="9" width="14.33203125" style="2" customWidth="1"/>
    <col min="10" max="10" width="32.33203125" style="2" customWidth="1"/>
    <col min="11" max="11" width="16.44140625" style="2" customWidth="1"/>
    <col min="12" max="12" width="12" style="2" customWidth="1"/>
    <col min="13" max="13" width="16.6640625" style="2" customWidth="1"/>
    <col min="14" max="14" width="28.44140625" style="2" customWidth="1"/>
    <col min="15" max="15" width="13" style="2" customWidth="1"/>
    <col min="16" max="16" width="14.6640625" style="2" customWidth="1"/>
    <col min="17" max="16384" width="8.88671875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</v>
      </c>
    </row>
    <row r="2" spans="1:16" hidden="1">
      <c r="A2" s="2">
        <v>11075</v>
      </c>
      <c r="B2" s="2" t="s">
        <v>251</v>
      </c>
      <c r="C2" s="2" t="s">
        <v>251</v>
      </c>
      <c r="D2" s="3">
        <v>46085.6875</v>
      </c>
      <c r="E2" s="2" t="s">
        <v>16</v>
      </c>
      <c r="F2" s="2" t="s">
        <v>181</v>
      </c>
      <c r="G2" s="2" t="s">
        <v>34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22</v>
      </c>
      <c r="N2" s="2" t="s">
        <v>41</v>
      </c>
      <c r="O2" s="2" t="s">
        <v>252</v>
      </c>
      <c r="P2" s="2" t="s">
        <v>99</v>
      </c>
    </row>
    <row r="3" spans="1:16" hidden="1">
      <c r="A3" s="2">
        <v>11474</v>
      </c>
      <c r="B3" s="2" t="s">
        <v>824</v>
      </c>
      <c r="C3" s="2" t="s">
        <v>824</v>
      </c>
      <c r="D3" s="3">
        <v>46097.625</v>
      </c>
      <c r="E3" s="2" t="s">
        <v>40</v>
      </c>
      <c r="F3" s="2" t="s">
        <v>5</v>
      </c>
      <c r="G3" s="2" t="s">
        <v>17</v>
      </c>
      <c r="H3" s="2" t="s">
        <v>96</v>
      </c>
      <c r="I3" s="2" t="s">
        <v>183</v>
      </c>
      <c r="J3" s="2" t="s">
        <v>41</v>
      </c>
      <c r="K3" s="2" t="s">
        <v>41</v>
      </c>
      <c r="L3" s="2" t="s">
        <v>21</v>
      </c>
      <c r="M3" s="2" t="s">
        <v>22</v>
      </c>
      <c r="N3" s="2" t="s">
        <v>41</v>
      </c>
      <c r="O3" s="2" t="s">
        <v>41</v>
      </c>
      <c r="P3" s="2" t="s">
        <v>99</v>
      </c>
    </row>
    <row r="4" spans="1:16" hidden="1">
      <c r="A4" s="2">
        <v>11533</v>
      </c>
      <c r="B4" s="2" t="s">
        <v>895</v>
      </c>
      <c r="C4" s="2" t="s">
        <v>895</v>
      </c>
      <c r="D4" s="3">
        <v>46098.5625</v>
      </c>
      <c r="E4" s="2" t="s">
        <v>121</v>
      </c>
      <c r="F4" s="2" t="s">
        <v>5</v>
      </c>
      <c r="G4" s="2" t="s">
        <v>17</v>
      </c>
      <c r="H4" s="2" t="s">
        <v>96</v>
      </c>
      <c r="I4" s="2" t="s">
        <v>183</v>
      </c>
      <c r="J4" s="2" t="s">
        <v>41</v>
      </c>
      <c r="K4" s="2" t="s">
        <v>41</v>
      </c>
      <c r="L4" s="2" t="s">
        <v>21</v>
      </c>
      <c r="M4" s="2" t="s">
        <v>22</v>
      </c>
      <c r="N4" s="2" t="s">
        <v>41</v>
      </c>
      <c r="O4" s="2" t="s">
        <v>41</v>
      </c>
      <c r="P4" s="2" t="s">
        <v>99</v>
      </c>
    </row>
    <row r="5" spans="1:16" hidden="1">
      <c r="A5" s="2">
        <v>12030</v>
      </c>
      <c r="B5" s="2" t="s">
        <v>1354</v>
      </c>
      <c r="C5" s="2" t="s">
        <v>41</v>
      </c>
      <c r="D5" s="3">
        <v>46108.5625</v>
      </c>
      <c r="E5" s="2" t="s">
        <v>40</v>
      </c>
      <c r="F5" s="2" t="s">
        <v>5</v>
      </c>
      <c r="G5" s="2" t="s">
        <v>17</v>
      </c>
      <c r="H5" s="2" t="s">
        <v>96</v>
      </c>
      <c r="I5" s="2" t="s">
        <v>41</v>
      </c>
      <c r="J5" s="2" t="s">
        <v>41</v>
      </c>
      <c r="K5" s="2" t="s">
        <v>41</v>
      </c>
      <c r="L5" s="2" t="s">
        <v>21</v>
      </c>
      <c r="M5" s="2" t="s">
        <v>22</v>
      </c>
      <c r="N5" s="2" t="s">
        <v>41</v>
      </c>
      <c r="O5" s="2" t="s">
        <v>41</v>
      </c>
      <c r="P5" s="2" t="s">
        <v>99</v>
      </c>
    </row>
    <row r="6" spans="1:16" hidden="1">
      <c r="A6" s="2">
        <v>12144</v>
      </c>
      <c r="B6" s="2" t="s">
        <v>1477</v>
      </c>
      <c r="C6" s="2" t="s">
        <v>1477</v>
      </c>
      <c r="D6" s="3">
        <v>46112.438888888893</v>
      </c>
      <c r="E6" s="2" t="s">
        <v>52</v>
      </c>
      <c r="F6" s="2" t="s">
        <v>181</v>
      </c>
      <c r="G6" s="2" t="s">
        <v>53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22</v>
      </c>
      <c r="N6" s="2" t="s">
        <v>1478</v>
      </c>
      <c r="O6" s="2" t="s">
        <v>41</v>
      </c>
      <c r="P6" s="2" t="s">
        <v>41</v>
      </c>
    </row>
    <row r="7" spans="1:16" hidden="1">
      <c r="A7" s="2">
        <v>11868</v>
      </c>
      <c r="B7" s="2" t="s">
        <v>1219</v>
      </c>
      <c r="C7" s="2" t="s">
        <v>1220</v>
      </c>
      <c r="D7" s="3">
        <v>46105.854166666672</v>
      </c>
      <c r="E7" s="2" t="s">
        <v>801</v>
      </c>
      <c r="F7" s="2" t="s">
        <v>5</v>
      </c>
      <c r="G7" s="2" t="s">
        <v>17</v>
      </c>
      <c r="H7" s="2" t="s">
        <v>96</v>
      </c>
      <c r="I7" s="2" t="s">
        <v>1221</v>
      </c>
      <c r="J7" s="2" t="s">
        <v>41</v>
      </c>
      <c r="K7" s="2" t="s">
        <v>41</v>
      </c>
      <c r="L7" s="2" t="s">
        <v>21</v>
      </c>
      <c r="M7" s="2" t="s">
        <v>22</v>
      </c>
      <c r="N7" s="2" t="s">
        <v>1222</v>
      </c>
      <c r="O7" s="2" t="s">
        <v>41</v>
      </c>
      <c r="P7" s="2" t="s">
        <v>99</v>
      </c>
    </row>
    <row r="8" spans="1:16" hidden="1">
      <c r="A8" s="2">
        <v>12028</v>
      </c>
      <c r="B8" s="2" t="s">
        <v>1348</v>
      </c>
      <c r="C8" s="2" t="s">
        <v>1348</v>
      </c>
      <c r="D8" s="3">
        <v>46108.556944444441</v>
      </c>
      <c r="E8" s="2" t="s">
        <v>52</v>
      </c>
      <c r="F8" s="2" t="s">
        <v>41</v>
      </c>
      <c r="G8" s="2" t="s">
        <v>34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22</v>
      </c>
      <c r="N8" s="2" t="s">
        <v>1349</v>
      </c>
      <c r="O8" s="2" t="s">
        <v>41</v>
      </c>
      <c r="P8" s="2" t="s">
        <v>41</v>
      </c>
    </row>
    <row r="9" spans="1:16" hidden="1">
      <c r="A9" s="2">
        <v>11284</v>
      </c>
      <c r="B9" s="2" t="s">
        <v>581</v>
      </c>
      <c r="C9" s="2" t="s">
        <v>581</v>
      </c>
      <c r="D9" s="3">
        <v>46092.440972222219</v>
      </c>
      <c r="E9" s="2" t="s">
        <v>16</v>
      </c>
      <c r="F9" s="2" t="s">
        <v>41</v>
      </c>
      <c r="G9" s="2" t="s">
        <v>17</v>
      </c>
      <c r="H9" s="2" t="s">
        <v>46</v>
      </c>
      <c r="I9" s="2" t="s">
        <v>374</v>
      </c>
      <c r="J9" s="2" t="s">
        <v>582</v>
      </c>
      <c r="K9" s="2">
        <v>506344621.17732179</v>
      </c>
      <c r="L9" s="2" t="s">
        <v>21</v>
      </c>
      <c r="M9" s="2" t="s">
        <v>49</v>
      </c>
      <c r="N9" s="2" t="s">
        <v>583</v>
      </c>
      <c r="O9" s="2" t="s">
        <v>252</v>
      </c>
      <c r="P9" s="2" t="s">
        <v>25</v>
      </c>
    </row>
    <row r="10" spans="1:16" hidden="1">
      <c r="A10" s="2">
        <v>11722</v>
      </c>
      <c r="B10" s="2" t="s">
        <v>1077</v>
      </c>
      <c r="C10" s="2" t="s">
        <v>1078</v>
      </c>
      <c r="D10" s="3">
        <v>46102.713888888888</v>
      </c>
      <c r="E10" s="2" t="s">
        <v>1012</v>
      </c>
      <c r="F10" s="2" t="s">
        <v>41</v>
      </c>
      <c r="G10" s="2" t="s">
        <v>17</v>
      </c>
      <c r="H10" s="2" t="s">
        <v>46</v>
      </c>
      <c r="I10" s="2" t="s">
        <v>140</v>
      </c>
      <c r="J10" s="2" t="s">
        <v>312</v>
      </c>
      <c r="K10" s="2">
        <v>330930903.17741054</v>
      </c>
      <c r="L10" s="2" t="s">
        <v>21</v>
      </c>
      <c r="M10" s="2" t="s">
        <v>49</v>
      </c>
      <c r="N10" s="2" t="s">
        <v>1079</v>
      </c>
      <c r="O10" s="2" t="s">
        <v>41</v>
      </c>
      <c r="P10" s="2" t="s">
        <v>25</v>
      </c>
    </row>
    <row r="11" spans="1:16" hidden="1">
      <c r="A11" s="2">
        <v>10988</v>
      </c>
      <c r="B11" s="2" t="s">
        <v>143</v>
      </c>
      <c r="C11" s="2" t="s">
        <v>143</v>
      </c>
      <c r="D11" s="3">
        <v>46084.075694444444</v>
      </c>
      <c r="E11" s="2" t="s">
        <v>16</v>
      </c>
      <c r="F11" s="2" t="s">
        <v>5</v>
      </c>
      <c r="G11" s="2" t="s">
        <v>17</v>
      </c>
      <c r="H11" s="2" t="s">
        <v>46</v>
      </c>
      <c r="I11" s="2" t="s">
        <v>144</v>
      </c>
      <c r="J11" s="2" t="s">
        <v>145</v>
      </c>
      <c r="K11" s="2">
        <v>1756531390.1772494</v>
      </c>
      <c r="L11" s="2" t="s">
        <v>21</v>
      </c>
      <c r="M11" s="2" t="s">
        <v>49</v>
      </c>
      <c r="N11" s="2" t="s">
        <v>146</v>
      </c>
      <c r="O11" s="2" t="s">
        <v>24</v>
      </c>
      <c r="P11" s="2" t="s">
        <v>25</v>
      </c>
    </row>
    <row r="12" spans="1:16" hidden="1">
      <c r="A12" s="2">
        <v>11470</v>
      </c>
      <c r="B12" s="2" t="s">
        <v>818</v>
      </c>
      <c r="C12" s="2" t="s">
        <v>818</v>
      </c>
      <c r="D12" s="3">
        <v>46097.592361111107</v>
      </c>
      <c r="E12" s="2" t="s">
        <v>688</v>
      </c>
      <c r="F12" s="2" t="s">
        <v>5</v>
      </c>
      <c r="G12" s="2" t="s">
        <v>17</v>
      </c>
      <c r="H12" s="2" t="s">
        <v>46</v>
      </c>
      <c r="I12" s="2" t="s">
        <v>144</v>
      </c>
      <c r="J12" s="2" t="s">
        <v>819</v>
      </c>
      <c r="K12" s="2">
        <v>633344578.17736626</v>
      </c>
      <c r="L12" s="2" t="s">
        <v>21</v>
      </c>
      <c r="M12" s="2" t="s">
        <v>49</v>
      </c>
      <c r="N12" s="2" t="s">
        <v>820</v>
      </c>
      <c r="O12" s="2" t="s">
        <v>41</v>
      </c>
      <c r="P12" s="2" t="s">
        <v>25</v>
      </c>
    </row>
    <row r="13" spans="1:16">
      <c r="A13" s="2">
        <v>11250</v>
      </c>
      <c r="B13" s="2" t="s">
        <v>543</v>
      </c>
      <c r="C13" s="2" t="s">
        <v>543</v>
      </c>
      <c r="D13" s="3">
        <v>46091.548611111109</v>
      </c>
      <c r="E13" s="2" t="s">
        <v>16</v>
      </c>
      <c r="F13" s="2" t="s">
        <v>181</v>
      </c>
      <c r="G13" s="2" t="s">
        <v>17</v>
      </c>
      <c r="H13" s="2" t="s">
        <v>46</v>
      </c>
      <c r="I13" s="2" t="s">
        <v>140</v>
      </c>
      <c r="J13" s="2" t="s">
        <v>544</v>
      </c>
      <c r="K13" s="2">
        <v>2029210354.177314</v>
      </c>
      <c r="L13" s="2" t="s">
        <v>21</v>
      </c>
      <c r="M13" s="2" t="s">
        <v>49</v>
      </c>
      <c r="N13" s="2" t="s">
        <v>545</v>
      </c>
      <c r="O13" s="2" t="s">
        <v>24</v>
      </c>
      <c r="P13" s="2" t="s">
        <v>25</v>
      </c>
    </row>
    <row r="14" spans="1:16" hidden="1">
      <c r="A14" s="2">
        <v>11656</v>
      </c>
      <c r="B14" s="2" t="s">
        <v>999</v>
      </c>
      <c r="C14" s="2" t="s">
        <v>999</v>
      </c>
      <c r="D14" s="3">
        <v>46100.8125</v>
      </c>
      <c r="E14" s="2" t="s">
        <v>16</v>
      </c>
      <c r="F14" s="2" t="s">
        <v>181</v>
      </c>
      <c r="G14" s="2" t="s">
        <v>17</v>
      </c>
      <c r="H14" s="2" t="s">
        <v>54</v>
      </c>
      <c r="I14" s="2" t="s">
        <v>41</v>
      </c>
      <c r="J14" s="2" t="s">
        <v>41</v>
      </c>
      <c r="K14" s="2" t="s">
        <v>41</v>
      </c>
      <c r="L14" s="2" t="s">
        <v>21</v>
      </c>
      <c r="M14" s="2" t="s">
        <v>22</v>
      </c>
      <c r="N14" s="2" t="s">
        <v>1000</v>
      </c>
      <c r="O14" s="2" t="s">
        <v>252</v>
      </c>
      <c r="P14" s="2" t="s">
        <v>99</v>
      </c>
    </row>
    <row r="15" spans="1:16" hidden="1">
      <c r="A15" s="2">
        <v>11697</v>
      </c>
      <c r="B15" s="2" t="s">
        <v>1050</v>
      </c>
      <c r="C15" s="2" t="s">
        <v>1050</v>
      </c>
      <c r="D15" s="3">
        <v>46101.773611111115</v>
      </c>
      <c r="E15" s="2" t="s">
        <v>801</v>
      </c>
      <c r="F15" s="2" t="s">
        <v>41</v>
      </c>
      <c r="G15" s="2" t="s">
        <v>27</v>
      </c>
      <c r="H15" s="2" t="s">
        <v>18</v>
      </c>
      <c r="I15" s="2" t="s">
        <v>19</v>
      </c>
      <c r="J15" s="2" t="s">
        <v>1033</v>
      </c>
      <c r="K15" s="2">
        <v>1705299344.1774025</v>
      </c>
      <c r="L15" s="2" t="s">
        <v>21</v>
      </c>
      <c r="M15" s="2" t="s">
        <v>22</v>
      </c>
      <c r="N15" s="2" t="s">
        <v>1051</v>
      </c>
      <c r="O15" s="2" t="s">
        <v>41</v>
      </c>
      <c r="P15" s="6" t="s">
        <v>25</v>
      </c>
    </row>
    <row r="16" spans="1:16" hidden="1">
      <c r="A16" s="2">
        <v>10986</v>
      </c>
      <c r="B16" s="2" t="s">
        <v>136</v>
      </c>
      <c r="C16" s="2" t="s">
        <v>136</v>
      </c>
      <c r="D16" s="3">
        <v>46084.039583333331</v>
      </c>
      <c r="E16" s="2" t="s">
        <v>16</v>
      </c>
      <c r="F16" s="2" t="s">
        <v>5</v>
      </c>
      <c r="G16" s="2" t="s">
        <v>34</v>
      </c>
      <c r="H16" s="2" t="s">
        <v>18</v>
      </c>
      <c r="I16" s="2" t="s">
        <v>19</v>
      </c>
      <c r="J16" s="2" t="s">
        <v>137</v>
      </c>
      <c r="K16" s="2">
        <v>1149153037.1772492</v>
      </c>
      <c r="L16" s="2" t="s">
        <v>21</v>
      </c>
      <c r="M16" s="2" t="s">
        <v>22</v>
      </c>
      <c r="N16" s="2" t="s">
        <v>138</v>
      </c>
      <c r="O16" s="2" t="s">
        <v>24</v>
      </c>
      <c r="P16" s="2" t="s">
        <v>25</v>
      </c>
    </row>
    <row r="17" spans="1:16" hidden="1">
      <c r="A17" s="2">
        <v>11178</v>
      </c>
      <c r="B17" s="2" t="s">
        <v>422</v>
      </c>
      <c r="C17" s="2" t="s">
        <v>423</v>
      </c>
      <c r="D17" s="3">
        <v>46087.902083333334</v>
      </c>
      <c r="E17" s="2" t="s">
        <v>121</v>
      </c>
      <c r="F17" s="2" t="s">
        <v>5</v>
      </c>
      <c r="G17" s="2" t="s">
        <v>34</v>
      </c>
      <c r="H17" s="2" t="s">
        <v>18</v>
      </c>
      <c r="I17" s="2" t="s">
        <v>305</v>
      </c>
      <c r="J17" s="2" t="s">
        <v>424</v>
      </c>
      <c r="K17" s="2">
        <v>1720722408.1772826</v>
      </c>
      <c r="L17" s="2" t="s">
        <v>21</v>
      </c>
      <c r="M17" s="2" t="s">
        <v>22</v>
      </c>
      <c r="N17" s="2" t="s">
        <v>425</v>
      </c>
      <c r="O17" s="2" t="s">
        <v>41</v>
      </c>
      <c r="P17" s="2" t="s">
        <v>25</v>
      </c>
    </row>
    <row r="18" spans="1:16" hidden="1">
      <c r="A18" s="2">
        <v>10967</v>
      </c>
      <c r="B18" s="2" t="s">
        <v>95</v>
      </c>
      <c r="C18" s="2" t="s">
        <v>95</v>
      </c>
      <c r="D18" s="3">
        <v>46083.5625</v>
      </c>
      <c r="E18" s="2" t="s">
        <v>40</v>
      </c>
      <c r="F18" s="2" t="s">
        <v>5</v>
      </c>
      <c r="G18" s="2" t="s">
        <v>17</v>
      </c>
      <c r="H18" s="2" t="s">
        <v>96</v>
      </c>
      <c r="I18" s="2" t="s">
        <v>97</v>
      </c>
      <c r="J18" s="2" t="s">
        <v>41</v>
      </c>
      <c r="K18" s="2" t="s">
        <v>41</v>
      </c>
      <c r="L18" s="2" t="s">
        <v>21</v>
      </c>
      <c r="M18" s="2" t="s">
        <v>22</v>
      </c>
      <c r="N18" s="2" t="s">
        <v>98</v>
      </c>
      <c r="O18" s="2" t="s">
        <v>41</v>
      </c>
      <c r="P18" s="2" t="s">
        <v>99</v>
      </c>
    </row>
    <row r="19" spans="1:16" hidden="1">
      <c r="A19" s="2">
        <v>11870</v>
      </c>
      <c r="B19" s="2" t="s">
        <v>1226</v>
      </c>
      <c r="C19" s="2" t="s">
        <v>1226</v>
      </c>
      <c r="D19" s="3">
        <v>46105.895138888889</v>
      </c>
      <c r="E19" s="2" t="s">
        <v>40</v>
      </c>
      <c r="F19" s="2" t="s">
        <v>5</v>
      </c>
      <c r="G19" s="2" t="s">
        <v>17</v>
      </c>
      <c r="H19" s="2" t="s">
        <v>96</v>
      </c>
      <c r="I19" s="2" t="s">
        <v>97</v>
      </c>
      <c r="J19" s="2" t="s">
        <v>42</v>
      </c>
      <c r="K19" s="2">
        <v>886824347.17743802</v>
      </c>
      <c r="L19" s="2" t="s">
        <v>21</v>
      </c>
      <c r="M19" s="2" t="s">
        <v>22</v>
      </c>
      <c r="N19" s="2" t="s">
        <v>1227</v>
      </c>
      <c r="O19" s="2" t="s">
        <v>41</v>
      </c>
      <c r="P19" s="2" t="s">
        <v>44</v>
      </c>
    </row>
    <row r="20" spans="1:16" hidden="1">
      <c r="A20" s="2">
        <v>11760</v>
      </c>
      <c r="B20" s="2" t="s">
        <v>1133</v>
      </c>
      <c r="C20" s="2" t="s">
        <v>1133</v>
      </c>
      <c r="D20" s="3">
        <v>46103.929861111115</v>
      </c>
      <c r="E20" s="2" t="s">
        <v>1012</v>
      </c>
      <c r="F20" s="2" t="s">
        <v>5</v>
      </c>
      <c r="G20" s="2" t="s">
        <v>17</v>
      </c>
      <c r="H20" s="2" t="s">
        <v>46</v>
      </c>
      <c r="I20" s="2" t="s">
        <v>140</v>
      </c>
      <c r="J20" s="2" t="s">
        <v>1134</v>
      </c>
      <c r="K20" s="2">
        <v>1768435137.1774211</v>
      </c>
      <c r="L20" s="2" t="s">
        <v>21</v>
      </c>
      <c r="M20" s="2" t="s">
        <v>49</v>
      </c>
      <c r="N20" s="2" t="s">
        <v>1135</v>
      </c>
      <c r="O20" s="2" t="s">
        <v>41</v>
      </c>
      <c r="P20" s="2" t="s">
        <v>25</v>
      </c>
    </row>
    <row r="21" spans="1:16" hidden="1">
      <c r="A21" s="2">
        <v>11458</v>
      </c>
      <c r="B21" s="2" t="s">
        <v>809</v>
      </c>
      <c r="C21" s="2" t="s">
        <v>809</v>
      </c>
      <c r="D21" s="3">
        <v>46097.447222222225</v>
      </c>
      <c r="E21" s="2" t="s">
        <v>90</v>
      </c>
      <c r="F21" s="2" t="s">
        <v>5</v>
      </c>
      <c r="G21" s="2" t="s">
        <v>34</v>
      </c>
      <c r="H21" s="2" t="s">
        <v>91</v>
      </c>
      <c r="I21" s="2" t="s">
        <v>810</v>
      </c>
      <c r="J21" s="2" t="s">
        <v>811</v>
      </c>
      <c r="K21" s="2">
        <v>83061525.17736505</v>
      </c>
      <c r="L21" s="2" t="s">
        <v>21</v>
      </c>
      <c r="M21" s="2" t="s">
        <v>49</v>
      </c>
      <c r="N21" s="2" t="s">
        <v>812</v>
      </c>
      <c r="O21" s="2" t="s">
        <v>41</v>
      </c>
      <c r="P21" s="2" t="s">
        <v>44</v>
      </c>
    </row>
    <row r="22" spans="1:16" hidden="1">
      <c r="A22" s="2">
        <v>11731</v>
      </c>
      <c r="B22" s="2" t="s">
        <v>1091</v>
      </c>
      <c r="C22" s="2" t="s">
        <v>1091</v>
      </c>
      <c r="D22" s="3">
        <v>46102.939583333333</v>
      </c>
      <c r="E22" s="2" t="s">
        <v>801</v>
      </c>
      <c r="F22" s="2" t="s">
        <v>5</v>
      </c>
      <c r="G22" s="2" t="s">
        <v>27</v>
      </c>
      <c r="H22" s="2" t="s">
        <v>18</v>
      </c>
      <c r="I22" s="2" t="s">
        <v>19</v>
      </c>
      <c r="J22" s="2" t="s">
        <v>1092</v>
      </c>
      <c r="K22" s="2">
        <v>1299793003.1774125</v>
      </c>
      <c r="L22" s="2" t="s">
        <v>30</v>
      </c>
      <c r="M22" s="2" t="s">
        <v>22</v>
      </c>
      <c r="N22" s="2" t="s">
        <v>1093</v>
      </c>
      <c r="O22" s="2" t="s">
        <v>41</v>
      </c>
      <c r="P22" s="2" t="s">
        <v>81</v>
      </c>
    </row>
    <row r="23" spans="1:16" hidden="1">
      <c r="A23" s="2">
        <v>11063</v>
      </c>
      <c r="B23" s="2" t="s">
        <v>228</v>
      </c>
      <c r="C23" s="2" t="s">
        <v>229</v>
      </c>
      <c r="D23" s="3">
        <v>46085.441666666666</v>
      </c>
      <c r="E23" s="2" t="s">
        <v>16</v>
      </c>
      <c r="F23" s="2" t="s">
        <v>5</v>
      </c>
      <c r="G23" s="2" t="s">
        <v>17</v>
      </c>
      <c r="H23" s="2" t="s">
        <v>46</v>
      </c>
      <c r="I23" s="2" t="s">
        <v>140</v>
      </c>
      <c r="J23" s="2" t="s">
        <v>230</v>
      </c>
      <c r="K23" s="2">
        <v>1353178230.1772614</v>
      </c>
      <c r="L23" s="2" t="s">
        <v>21</v>
      </c>
      <c r="M23" s="2" t="s">
        <v>49</v>
      </c>
      <c r="N23" s="2" t="s">
        <v>231</v>
      </c>
      <c r="O23" s="2" t="s">
        <v>24</v>
      </c>
      <c r="P23" s="2" t="s">
        <v>25</v>
      </c>
    </row>
    <row r="24" spans="1:16" hidden="1">
      <c r="A24" s="2">
        <v>11204</v>
      </c>
      <c r="B24" s="2" t="s">
        <v>470</v>
      </c>
      <c r="C24" s="2" t="s">
        <v>471</v>
      </c>
      <c r="D24" s="3">
        <v>46089.781944444447</v>
      </c>
      <c r="E24" s="2" t="s">
        <v>16</v>
      </c>
      <c r="F24" s="2" t="s">
        <v>5</v>
      </c>
      <c r="G24" s="2" t="s">
        <v>34</v>
      </c>
      <c r="H24" s="2" t="s">
        <v>18</v>
      </c>
      <c r="I24" s="2" t="s">
        <v>19</v>
      </c>
      <c r="J24" s="2" t="s">
        <v>472</v>
      </c>
      <c r="K24" s="2">
        <v>859422278.17729878</v>
      </c>
      <c r="L24" s="2" t="s">
        <v>21</v>
      </c>
      <c r="M24" s="2" t="s">
        <v>22</v>
      </c>
      <c r="N24" s="2" t="s">
        <v>473</v>
      </c>
      <c r="O24" s="2" t="s">
        <v>24</v>
      </c>
      <c r="P24" s="2" t="s">
        <v>25</v>
      </c>
    </row>
    <row r="25" spans="1:16" hidden="1">
      <c r="A25" s="2">
        <v>11770</v>
      </c>
      <c r="B25" s="2" t="s">
        <v>1145</v>
      </c>
      <c r="C25" s="2" t="s">
        <v>1145</v>
      </c>
      <c r="D25" s="3">
        <v>46104.306250000001</v>
      </c>
      <c r="E25" s="2" t="s">
        <v>40</v>
      </c>
      <c r="F25" s="2" t="s">
        <v>5</v>
      </c>
      <c r="G25" s="2" t="s">
        <v>17</v>
      </c>
      <c r="H25" s="2" t="s">
        <v>46</v>
      </c>
      <c r="I25" s="2" t="s">
        <v>1146</v>
      </c>
      <c r="J25" s="2" t="s">
        <v>1147</v>
      </c>
      <c r="K25" s="2" t="s">
        <v>41</v>
      </c>
      <c r="L25" s="2" t="s">
        <v>21</v>
      </c>
      <c r="M25" s="2" t="s">
        <v>49</v>
      </c>
      <c r="N25" s="2" t="s">
        <v>1148</v>
      </c>
      <c r="O25" s="2" t="s">
        <v>41</v>
      </c>
      <c r="P25" s="2" t="s">
        <v>25</v>
      </c>
    </row>
    <row r="26" spans="1:16" hidden="1">
      <c r="A26" s="2">
        <v>12091</v>
      </c>
      <c r="B26" s="2" t="s">
        <v>1431</v>
      </c>
      <c r="C26" s="2" t="s">
        <v>1432</v>
      </c>
      <c r="D26" s="3">
        <v>46111.186111111107</v>
      </c>
      <c r="E26" s="2" t="s">
        <v>1322</v>
      </c>
      <c r="F26" s="2" t="s">
        <v>5</v>
      </c>
      <c r="G26" s="2" t="s">
        <v>27</v>
      </c>
      <c r="H26" s="2" t="s">
        <v>18</v>
      </c>
      <c r="I26" s="2" t="s">
        <v>28</v>
      </c>
      <c r="J26" s="2" t="s">
        <v>1433</v>
      </c>
      <c r="K26" s="2">
        <v>547674198.17748344</v>
      </c>
      <c r="L26" s="2" t="s">
        <v>30</v>
      </c>
      <c r="M26" s="2" t="s">
        <v>22</v>
      </c>
      <c r="N26" s="2" t="s">
        <v>1434</v>
      </c>
      <c r="O26" s="2" t="s">
        <v>41</v>
      </c>
      <c r="P26" s="2" t="s">
        <v>25</v>
      </c>
    </row>
    <row r="27" spans="1:16" hidden="1">
      <c r="A27" s="2">
        <v>11270</v>
      </c>
      <c r="B27" s="2" t="s">
        <v>567</v>
      </c>
      <c r="C27" s="2" t="s">
        <v>568</v>
      </c>
      <c r="D27" s="3">
        <v>46091.875</v>
      </c>
      <c r="E27" s="2" t="s">
        <v>180</v>
      </c>
      <c r="F27" s="2" t="s">
        <v>5</v>
      </c>
      <c r="G27" s="2" t="s">
        <v>17</v>
      </c>
      <c r="H27" s="2" t="s">
        <v>46</v>
      </c>
      <c r="I27" s="2" t="s">
        <v>140</v>
      </c>
      <c r="J27" s="2" t="s">
        <v>569</v>
      </c>
      <c r="K27" s="2">
        <v>856746906.1773169</v>
      </c>
      <c r="L27" s="2" t="s">
        <v>21</v>
      </c>
      <c r="M27" s="2" t="s">
        <v>49</v>
      </c>
      <c r="N27" s="2" t="s">
        <v>570</v>
      </c>
      <c r="O27" s="2" t="s">
        <v>41</v>
      </c>
      <c r="P27" s="2" t="s">
        <v>25</v>
      </c>
    </row>
    <row r="28" spans="1:16" hidden="1">
      <c r="A28" s="2">
        <v>11968</v>
      </c>
      <c r="B28" s="2" t="s">
        <v>1291</v>
      </c>
      <c r="C28" s="2" t="s">
        <v>1291</v>
      </c>
      <c r="D28" s="3">
        <v>46107.330555555556</v>
      </c>
      <c r="E28" s="2" t="s">
        <v>121</v>
      </c>
      <c r="F28" s="2" t="s">
        <v>5</v>
      </c>
      <c r="G28" s="2" t="s">
        <v>17</v>
      </c>
      <c r="H28" s="2" t="s">
        <v>46</v>
      </c>
      <c r="I28" s="2" t="s">
        <v>140</v>
      </c>
      <c r="J28" s="2" t="s">
        <v>1292</v>
      </c>
      <c r="K28" s="2">
        <v>364684461.17743611</v>
      </c>
      <c r="L28" s="2" t="s">
        <v>21</v>
      </c>
      <c r="M28" s="2" t="s">
        <v>49</v>
      </c>
      <c r="N28" s="2" t="s">
        <v>1293</v>
      </c>
      <c r="O28" s="2" t="s">
        <v>41</v>
      </c>
      <c r="P28" s="2" t="s">
        <v>25</v>
      </c>
    </row>
    <row r="29" spans="1:16" hidden="1">
      <c r="A29" s="2">
        <v>11341</v>
      </c>
      <c r="B29" s="2" t="s">
        <v>648</v>
      </c>
      <c r="C29" s="2" t="s">
        <v>648</v>
      </c>
      <c r="D29" s="3">
        <v>46093.826388888891</v>
      </c>
      <c r="E29" s="2" t="s">
        <v>16</v>
      </c>
      <c r="F29" s="2" t="s">
        <v>5</v>
      </c>
      <c r="G29" s="2" t="s">
        <v>17</v>
      </c>
      <c r="H29" s="2" t="s">
        <v>46</v>
      </c>
      <c r="I29" s="2" t="s">
        <v>195</v>
      </c>
      <c r="J29" s="2" t="s">
        <v>417</v>
      </c>
      <c r="K29" s="2" t="s">
        <v>41</v>
      </c>
      <c r="L29" s="2" t="s">
        <v>21</v>
      </c>
      <c r="M29" s="2" t="s">
        <v>49</v>
      </c>
      <c r="N29" s="2" t="s">
        <v>649</v>
      </c>
      <c r="O29" s="2" t="s">
        <v>24</v>
      </c>
      <c r="P29" s="2" t="s">
        <v>81</v>
      </c>
    </row>
    <row r="30" spans="1:16" hidden="1">
      <c r="A30" s="2">
        <v>11455</v>
      </c>
      <c r="B30" s="2" t="s">
        <v>805</v>
      </c>
      <c r="C30" s="2" t="s">
        <v>805</v>
      </c>
      <c r="D30" s="3">
        <v>46097.41805555555</v>
      </c>
      <c r="E30" s="2" t="s">
        <v>40</v>
      </c>
      <c r="F30" s="2" t="s">
        <v>5</v>
      </c>
      <c r="G30" s="2" t="s">
        <v>27</v>
      </c>
      <c r="H30" s="2" t="s">
        <v>18</v>
      </c>
      <c r="I30" s="2" t="s">
        <v>806</v>
      </c>
      <c r="J30" s="2" t="s">
        <v>807</v>
      </c>
      <c r="K30" s="2">
        <v>1606808793.1773648</v>
      </c>
      <c r="L30" s="2" t="s">
        <v>21</v>
      </c>
      <c r="M30" s="2" t="s">
        <v>22</v>
      </c>
      <c r="N30" s="2" t="s">
        <v>808</v>
      </c>
      <c r="O30" s="2" t="s">
        <v>41</v>
      </c>
      <c r="P30" s="2" t="s">
        <v>25</v>
      </c>
    </row>
    <row r="31" spans="1:16" hidden="1">
      <c r="A31" s="2">
        <v>11156</v>
      </c>
      <c r="B31" s="2" t="s">
        <v>380</v>
      </c>
      <c r="C31" s="2" t="s">
        <v>381</v>
      </c>
      <c r="D31" s="3">
        <v>46087.416666666672</v>
      </c>
      <c r="E31" s="2" t="s">
        <v>52</v>
      </c>
      <c r="F31" s="2" t="s">
        <v>181</v>
      </c>
      <c r="G31" s="2" t="s">
        <v>53</v>
      </c>
      <c r="H31" s="2" t="s">
        <v>41</v>
      </c>
      <c r="I31" s="2" t="s">
        <v>41</v>
      </c>
      <c r="J31" s="2" t="s">
        <v>41</v>
      </c>
      <c r="K31" s="2" t="s">
        <v>41</v>
      </c>
      <c r="L31" s="2" t="s">
        <v>41</v>
      </c>
      <c r="M31" s="2" t="s">
        <v>22</v>
      </c>
      <c r="N31" s="2" t="s">
        <v>382</v>
      </c>
      <c r="O31" s="2" t="s">
        <v>41</v>
      </c>
      <c r="P31" s="2" t="s">
        <v>99</v>
      </c>
    </row>
    <row r="32" spans="1:16" hidden="1">
      <c r="A32" s="2">
        <v>11732</v>
      </c>
      <c r="B32" s="2" t="s">
        <v>1094</v>
      </c>
      <c r="C32" s="2" t="s">
        <v>1094</v>
      </c>
      <c r="D32" s="3">
        <v>46102.981249999997</v>
      </c>
      <c r="E32" s="2" t="s">
        <v>40</v>
      </c>
      <c r="F32" s="2" t="s">
        <v>41</v>
      </c>
      <c r="G32" s="2" t="s">
        <v>27</v>
      </c>
      <c r="H32" s="2" t="s">
        <v>18</v>
      </c>
      <c r="I32" s="2" t="s">
        <v>364</v>
      </c>
      <c r="J32" s="2" t="s">
        <v>1095</v>
      </c>
      <c r="K32" s="2">
        <v>425646719.17741287</v>
      </c>
      <c r="L32" s="2" t="s">
        <v>60</v>
      </c>
      <c r="M32" s="2" t="s">
        <v>22</v>
      </c>
      <c r="N32" s="2" t="s">
        <v>1096</v>
      </c>
      <c r="O32" s="2" t="s">
        <v>41</v>
      </c>
      <c r="P32" s="2" t="s">
        <v>25</v>
      </c>
    </row>
    <row r="33" spans="1:16" hidden="1">
      <c r="A33" s="2">
        <v>11327</v>
      </c>
      <c r="B33" s="2" t="s">
        <v>625</v>
      </c>
      <c r="C33" s="2" t="s">
        <v>625</v>
      </c>
      <c r="D33" s="3">
        <v>46093.585416666669</v>
      </c>
      <c r="E33" s="2" t="s">
        <v>16</v>
      </c>
      <c r="F33" s="2" t="s">
        <v>5</v>
      </c>
      <c r="G33" s="2" t="s">
        <v>27</v>
      </c>
      <c r="H33" s="2" t="s">
        <v>18</v>
      </c>
      <c r="I33" s="2" t="s">
        <v>28</v>
      </c>
      <c r="J33" s="2" t="s">
        <v>626</v>
      </c>
      <c r="K33" s="2">
        <v>82837854.177331686</v>
      </c>
      <c r="L33" s="2" t="s">
        <v>30</v>
      </c>
      <c r="M33" s="2" t="s">
        <v>22</v>
      </c>
      <c r="N33" s="2" t="s">
        <v>627</v>
      </c>
      <c r="O33" s="2" t="s">
        <v>24</v>
      </c>
      <c r="P33" s="2" t="s">
        <v>25</v>
      </c>
    </row>
    <row r="34" spans="1:16" hidden="1">
      <c r="A34" s="2">
        <v>10973</v>
      </c>
      <c r="B34" s="2" t="s">
        <v>109</v>
      </c>
      <c r="C34" s="2" t="s">
        <v>109</v>
      </c>
      <c r="D34" s="3">
        <v>46083.7</v>
      </c>
      <c r="E34" s="2" t="s">
        <v>40</v>
      </c>
      <c r="F34" s="2" t="s">
        <v>5</v>
      </c>
      <c r="G34" s="2" t="s">
        <v>27</v>
      </c>
      <c r="H34" s="2" t="s">
        <v>18</v>
      </c>
      <c r="I34" s="2" t="s">
        <v>28</v>
      </c>
      <c r="J34" s="2" t="s">
        <v>110</v>
      </c>
      <c r="K34" s="2">
        <v>78741215.177246273</v>
      </c>
      <c r="L34" s="2" t="s">
        <v>30</v>
      </c>
      <c r="M34" s="2" t="s">
        <v>22</v>
      </c>
      <c r="N34" s="2" t="s">
        <v>111</v>
      </c>
      <c r="O34" s="2" t="s">
        <v>41</v>
      </c>
      <c r="P34" s="2" t="s">
        <v>25</v>
      </c>
    </row>
    <row r="35" spans="1:16" hidden="1">
      <c r="A35" s="2">
        <v>11819</v>
      </c>
      <c r="B35" s="2" t="s">
        <v>1204</v>
      </c>
      <c r="C35" s="2" t="s">
        <v>1204</v>
      </c>
      <c r="D35" s="3">
        <v>46105.141666666663</v>
      </c>
      <c r="E35" s="2" t="s">
        <v>1012</v>
      </c>
      <c r="F35" s="2" t="s">
        <v>5</v>
      </c>
      <c r="G35" s="2" t="s">
        <v>17</v>
      </c>
      <c r="H35" s="2" t="s">
        <v>286</v>
      </c>
      <c r="I35" s="2" t="s">
        <v>195</v>
      </c>
      <c r="J35" s="2" t="s">
        <v>1205</v>
      </c>
      <c r="K35" s="2" t="s">
        <v>41</v>
      </c>
      <c r="L35" s="2" t="s">
        <v>21</v>
      </c>
      <c r="M35" s="2" t="s">
        <v>49</v>
      </c>
      <c r="N35" s="2" t="s">
        <v>1206</v>
      </c>
      <c r="O35" s="2" t="s">
        <v>41</v>
      </c>
      <c r="P35" s="2" t="s">
        <v>25</v>
      </c>
    </row>
    <row r="36" spans="1:16" hidden="1">
      <c r="A36" s="2">
        <v>11612</v>
      </c>
      <c r="B36" s="2" t="s">
        <v>951</v>
      </c>
      <c r="C36" s="2" t="s">
        <v>952</v>
      </c>
      <c r="D36" s="3">
        <v>46099.752083333333</v>
      </c>
      <c r="E36" s="2" t="s">
        <v>40</v>
      </c>
      <c r="F36" s="2" t="s">
        <v>5</v>
      </c>
      <c r="G36" s="2" t="s">
        <v>34</v>
      </c>
      <c r="H36" s="2" t="s">
        <v>18</v>
      </c>
      <c r="I36" s="2" t="s">
        <v>35</v>
      </c>
      <c r="J36" s="2" t="s">
        <v>953</v>
      </c>
      <c r="K36" s="2">
        <v>1101256111.1773849</v>
      </c>
      <c r="L36" s="2" t="s">
        <v>21</v>
      </c>
      <c r="M36" s="2" t="s">
        <v>22</v>
      </c>
      <c r="N36" s="2" t="s">
        <v>954</v>
      </c>
      <c r="O36" s="2" t="s">
        <v>41</v>
      </c>
      <c r="P36" s="2" t="s">
        <v>25</v>
      </c>
    </row>
    <row r="37" spans="1:16" hidden="1">
      <c r="A37" s="2">
        <v>11620</v>
      </c>
      <c r="B37" s="2" t="s">
        <v>969</v>
      </c>
      <c r="C37" s="2" t="s">
        <v>969</v>
      </c>
      <c r="D37" s="3">
        <v>46099.916666666672</v>
      </c>
      <c r="E37" s="2" t="s">
        <v>16</v>
      </c>
      <c r="F37" s="2" t="s">
        <v>5</v>
      </c>
      <c r="G37" s="2" t="s">
        <v>34</v>
      </c>
      <c r="H37" s="2" t="s">
        <v>18</v>
      </c>
      <c r="I37" s="2" t="s">
        <v>19</v>
      </c>
      <c r="J37" s="2" t="s">
        <v>970</v>
      </c>
      <c r="K37" s="2">
        <v>1019764395.1773858</v>
      </c>
      <c r="L37" s="2" t="s">
        <v>21</v>
      </c>
      <c r="M37" s="2" t="s">
        <v>22</v>
      </c>
      <c r="N37" s="2" t="s">
        <v>971</v>
      </c>
      <c r="O37" s="2" t="s">
        <v>80</v>
      </c>
      <c r="P37" s="2" t="s">
        <v>175</v>
      </c>
    </row>
    <row r="38" spans="1:16" hidden="1">
      <c r="A38" s="2">
        <v>11133</v>
      </c>
      <c r="B38" s="2" t="s">
        <v>342</v>
      </c>
      <c r="C38" s="2" t="s">
        <v>342</v>
      </c>
      <c r="D38" s="3">
        <v>46086.819444444445</v>
      </c>
      <c r="E38" s="2" t="s">
        <v>90</v>
      </c>
      <c r="F38" s="2" t="s">
        <v>5</v>
      </c>
      <c r="G38" s="2" t="s">
        <v>34</v>
      </c>
      <c r="H38" s="2" t="s">
        <v>91</v>
      </c>
      <c r="I38" s="2" t="s">
        <v>343</v>
      </c>
      <c r="J38" s="2" t="s">
        <v>344</v>
      </c>
      <c r="K38" s="2">
        <v>586605142.17727315</v>
      </c>
      <c r="L38" s="2" t="s">
        <v>21</v>
      </c>
      <c r="M38" s="2" t="s">
        <v>49</v>
      </c>
      <c r="N38" s="2" t="s">
        <v>345</v>
      </c>
      <c r="O38" s="2" t="s">
        <v>41</v>
      </c>
      <c r="P38" s="2" t="s">
        <v>44</v>
      </c>
    </row>
    <row r="39" spans="1:16" hidden="1">
      <c r="A39" s="2">
        <v>11336</v>
      </c>
      <c r="B39" s="2" t="s">
        <v>638</v>
      </c>
      <c r="C39" s="2" t="s">
        <v>638</v>
      </c>
      <c r="D39" s="3">
        <v>46093.720138888893</v>
      </c>
      <c r="E39" s="2" t="s">
        <v>40</v>
      </c>
      <c r="F39" s="2" t="s">
        <v>5</v>
      </c>
      <c r="G39" s="2" t="s">
        <v>17</v>
      </c>
      <c r="H39" s="2" t="s">
        <v>18</v>
      </c>
      <c r="I39" s="2" t="s">
        <v>639</v>
      </c>
      <c r="J39" s="2" t="s">
        <v>640</v>
      </c>
      <c r="K39" s="2">
        <v>529564070.17731416</v>
      </c>
      <c r="L39" s="2" t="s">
        <v>118</v>
      </c>
      <c r="M39" s="2" t="s">
        <v>22</v>
      </c>
      <c r="N39" s="2" t="s">
        <v>641</v>
      </c>
      <c r="O39" s="2" t="s">
        <v>41</v>
      </c>
      <c r="P39" s="2" t="s">
        <v>44</v>
      </c>
    </row>
    <row r="40" spans="1:16" hidden="1">
      <c r="A40" s="2">
        <v>11159</v>
      </c>
      <c r="B40" s="2" t="s">
        <v>383</v>
      </c>
      <c r="C40" s="2" t="s">
        <v>384</v>
      </c>
      <c r="D40" s="3">
        <v>46087.457638888889</v>
      </c>
      <c r="E40" s="2" t="s">
        <v>40</v>
      </c>
      <c r="F40" s="2" t="s">
        <v>5</v>
      </c>
      <c r="G40" s="2" t="s">
        <v>34</v>
      </c>
      <c r="H40" s="2" t="s">
        <v>18</v>
      </c>
      <c r="I40" s="2" t="s">
        <v>19</v>
      </c>
      <c r="J40" s="2" t="s">
        <v>385</v>
      </c>
      <c r="K40" s="2" t="s">
        <v>64</v>
      </c>
      <c r="L40" s="2" t="s">
        <v>21</v>
      </c>
      <c r="M40" s="2" t="s">
        <v>22</v>
      </c>
      <c r="N40" s="2" t="s">
        <v>386</v>
      </c>
      <c r="O40" s="2" t="s">
        <v>41</v>
      </c>
      <c r="P40" s="2" t="s">
        <v>175</v>
      </c>
    </row>
    <row r="41" spans="1:16" hidden="1">
      <c r="A41" s="2">
        <v>11982</v>
      </c>
      <c r="B41" s="2" t="s">
        <v>1300</v>
      </c>
      <c r="C41" s="2" t="s">
        <v>1300</v>
      </c>
      <c r="D41" s="3">
        <v>46107.5625</v>
      </c>
      <c r="E41" s="2" t="s">
        <v>16</v>
      </c>
      <c r="F41" s="2" t="s">
        <v>181</v>
      </c>
      <c r="G41" s="2" t="s">
        <v>17</v>
      </c>
      <c r="H41" s="2" t="s">
        <v>54</v>
      </c>
      <c r="I41" s="2" t="s">
        <v>41</v>
      </c>
      <c r="J41" s="2" t="s">
        <v>41</v>
      </c>
      <c r="K41" s="2" t="s">
        <v>41</v>
      </c>
      <c r="L41" s="2" t="s">
        <v>21</v>
      </c>
      <c r="M41" s="2" t="s">
        <v>22</v>
      </c>
      <c r="N41" s="2" t="s">
        <v>1301</v>
      </c>
      <c r="O41" s="2" t="s">
        <v>252</v>
      </c>
      <c r="P41" s="2" t="s">
        <v>99</v>
      </c>
    </row>
    <row r="42" spans="1:16" hidden="1">
      <c r="A42" s="2">
        <v>11371</v>
      </c>
      <c r="B42" s="2" t="s">
        <v>672</v>
      </c>
      <c r="C42" s="2" t="s">
        <v>672</v>
      </c>
      <c r="D42" s="3">
        <v>46094.583333333328</v>
      </c>
      <c r="E42" s="2" t="s">
        <v>16</v>
      </c>
      <c r="F42" s="2" t="s">
        <v>41</v>
      </c>
      <c r="G42" s="2" t="s">
        <v>17</v>
      </c>
      <c r="H42" s="2" t="s">
        <v>46</v>
      </c>
      <c r="I42" s="2" t="s">
        <v>140</v>
      </c>
      <c r="J42" s="2" t="s">
        <v>673</v>
      </c>
      <c r="K42" s="2">
        <v>1079943335.1773403</v>
      </c>
      <c r="L42" s="2" t="s">
        <v>21</v>
      </c>
      <c r="M42" s="2" t="s">
        <v>49</v>
      </c>
      <c r="N42" s="2" t="s">
        <v>674</v>
      </c>
      <c r="O42" s="2" t="s">
        <v>24</v>
      </c>
      <c r="P42" s="2" t="s">
        <v>25</v>
      </c>
    </row>
    <row r="43" spans="1:16" hidden="1">
      <c r="A43" s="2">
        <v>12046</v>
      </c>
      <c r="B43" s="2" t="s">
        <v>1368</v>
      </c>
      <c r="C43" s="2" t="s">
        <v>1368</v>
      </c>
      <c r="D43" s="3">
        <v>46108.872916666667</v>
      </c>
      <c r="E43" s="2" t="s">
        <v>40</v>
      </c>
      <c r="F43" s="2" t="s">
        <v>5</v>
      </c>
      <c r="G43" s="2" t="s">
        <v>17</v>
      </c>
      <c r="H43" s="2" t="s">
        <v>18</v>
      </c>
      <c r="I43" s="2" t="s">
        <v>1278</v>
      </c>
      <c r="J43" s="2" t="s">
        <v>1369</v>
      </c>
      <c r="K43" s="2">
        <v>357958137.17746377</v>
      </c>
      <c r="L43" s="2" t="s">
        <v>118</v>
      </c>
      <c r="M43" s="2" t="s">
        <v>22</v>
      </c>
      <c r="N43" s="2" t="s">
        <v>1370</v>
      </c>
      <c r="O43" s="2" t="s">
        <v>41</v>
      </c>
      <c r="P43" s="2" t="s">
        <v>81</v>
      </c>
    </row>
    <row r="44" spans="1:16" hidden="1">
      <c r="A44" s="2">
        <v>12064</v>
      </c>
      <c r="B44" s="2" t="s">
        <v>1387</v>
      </c>
      <c r="C44" s="2" t="s">
        <v>1387</v>
      </c>
      <c r="D44" s="3">
        <v>46109.606944444444</v>
      </c>
      <c r="E44" s="2" t="s">
        <v>1351</v>
      </c>
      <c r="F44" s="2" t="s">
        <v>5</v>
      </c>
      <c r="G44" s="2" t="s">
        <v>17</v>
      </c>
      <c r="H44" s="2" t="s">
        <v>46</v>
      </c>
      <c r="I44" s="2" t="s">
        <v>140</v>
      </c>
      <c r="J44" s="2" t="s">
        <v>1388</v>
      </c>
      <c r="K44" s="2">
        <v>1732147180.17747</v>
      </c>
      <c r="L44" s="2" t="s">
        <v>21</v>
      </c>
      <c r="M44" s="2" t="s">
        <v>49</v>
      </c>
      <c r="N44" s="2" t="s">
        <v>1389</v>
      </c>
      <c r="O44" s="2" t="s">
        <v>41</v>
      </c>
      <c r="P44" s="2" t="s">
        <v>25</v>
      </c>
    </row>
    <row r="45" spans="1:16" hidden="1">
      <c r="A45" s="2">
        <v>10987</v>
      </c>
      <c r="B45" s="2" t="s">
        <v>139</v>
      </c>
      <c r="C45" s="2" t="s">
        <v>139</v>
      </c>
      <c r="D45" s="3">
        <v>46084.067361111112</v>
      </c>
      <c r="E45" s="2" t="s">
        <v>16</v>
      </c>
      <c r="F45" s="2" t="s">
        <v>5</v>
      </c>
      <c r="G45" s="2" t="s">
        <v>17</v>
      </c>
      <c r="H45" s="2" t="s">
        <v>46</v>
      </c>
      <c r="I45" s="2" t="s">
        <v>140</v>
      </c>
      <c r="J45" s="2" t="s">
        <v>141</v>
      </c>
      <c r="K45" s="2">
        <v>1314488888.1772494</v>
      </c>
      <c r="L45" s="2" t="s">
        <v>21</v>
      </c>
      <c r="M45" s="2" t="s">
        <v>49</v>
      </c>
      <c r="N45" s="2" t="s">
        <v>142</v>
      </c>
      <c r="O45" s="2" t="s">
        <v>66</v>
      </c>
      <c r="P45" s="2" t="s">
        <v>25</v>
      </c>
    </row>
    <row r="46" spans="1:16" hidden="1">
      <c r="A46" s="2">
        <v>11429</v>
      </c>
      <c r="B46" s="2" t="s">
        <v>755</v>
      </c>
      <c r="C46" s="2" t="s">
        <v>755</v>
      </c>
      <c r="D46" s="3">
        <v>46096.625</v>
      </c>
      <c r="E46" s="2" t="s">
        <v>40</v>
      </c>
      <c r="F46" s="2" t="s">
        <v>5</v>
      </c>
      <c r="G46" s="2" t="s">
        <v>17</v>
      </c>
      <c r="H46" s="2" t="s">
        <v>96</v>
      </c>
      <c r="I46" s="2" t="s">
        <v>97</v>
      </c>
      <c r="J46" s="2" t="s">
        <v>41</v>
      </c>
      <c r="K46" s="2" t="s">
        <v>41</v>
      </c>
      <c r="L46" s="2" t="s">
        <v>21</v>
      </c>
      <c r="M46" s="2" t="s">
        <v>22</v>
      </c>
      <c r="N46" s="2" t="s">
        <v>756</v>
      </c>
      <c r="O46" s="2" t="s">
        <v>41</v>
      </c>
      <c r="P46" s="2" t="s">
        <v>99</v>
      </c>
    </row>
    <row r="47" spans="1:16" hidden="1">
      <c r="A47" s="2">
        <v>10990</v>
      </c>
      <c r="B47" s="2" t="s">
        <v>147</v>
      </c>
      <c r="C47" s="2" t="s">
        <v>147</v>
      </c>
      <c r="D47" s="3">
        <v>46084.078472222223</v>
      </c>
      <c r="E47" s="2" t="s">
        <v>16</v>
      </c>
      <c r="F47" s="2" t="s">
        <v>5</v>
      </c>
      <c r="G47" s="2" t="s">
        <v>34</v>
      </c>
      <c r="H47" s="2" t="s">
        <v>18</v>
      </c>
      <c r="I47" s="2" t="s">
        <v>19</v>
      </c>
      <c r="J47" s="2" t="s">
        <v>148</v>
      </c>
      <c r="K47" s="2">
        <v>1416486673.1772494</v>
      </c>
      <c r="L47" s="2" t="s">
        <v>21</v>
      </c>
      <c r="M47" s="2" t="s">
        <v>22</v>
      </c>
      <c r="N47" s="2" t="s">
        <v>149</v>
      </c>
      <c r="O47" s="2" t="s">
        <v>24</v>
      </c>
      <c r="P47" s="2" t="s">
        <v>25</v>
      </c>
    </row>
    <row r="48" spans="1:16" hidden="1">
      <c r="A48" s="2">
        <v>12062</v>
      </c>
      <c r="B48" s="2" t="s">
        <v>1385</v>
      </c>
      <c r="C48" s="2" t="s">
        <v>1385</v>
      </c>
      <c r="D48" s="3">
        <v>46109.513888888891</v>
      </c>
      <c r="E48" s="2" t="s">
        <v>90</v>
      </c>
      <c r="F48" s="2" t="s">
        <v>5</v>
      </c>
      <c r="G48" s="2" t="s">
        <v>17</v>
      </c>
      <c r="H48" s="2" t="s">
        <v>443</v>
      </c>
      <c r="I48" s="2" t="s">
        <v>41</v>
      </c>
      <c r="J48" s="2" t="s">
        <v>41</v>
      </c>
      <c r="K48" s="2" t="s">
        <v>41</v>
      </c>
      <c r="L48" s="2" t="s">
        <v>21</v>
      </c>
      <c r="M48" s="2" t="s">
        <v>49</v>
      </c>
      <c r="N48" s="2" t="s">
        <v>1386</v>
      </c>
      <c r="O48" s="2" t="s">
        <v>41</v>
      </c>
      <c r="P48" s="2" t="s">
        <v>56</v>
      </c>
    </row>
    <row r="49" spans="1:16" hidden="1">
      <c r="A49" s="2">
        <v>11361</v>
      </c>
      <c r="B49" s="2" t="s">
        <v>666</v>
      </c>
      <c r="C49" s="2" t="s">
        <v>666</v>
      </c>
      <c r="D49" s="3">
        <v>46094.422222222223</v>
      </c>
      <c r="E49" s="2" t="s">
        <v>40</v>
      </c>
      <c r="F49" s="2" t="s">
        <v>5</v>
      </c>
      <c r="G49" s="2" t="s">
        <v>17</v>
      </c>
      <c r="H49" s="2" t="s">
        <v>46</v>
      </c>
      <c r="I49" s="2" t="s">
        <v>667</v>
      </c>
      <c r="J49" s="2" t="s">
        <v>668</v>
      </c>
      <c r="K49" s="2">
        <v>390576303.17733884</v>
      </c>
      <c r="L49" s="2" t="s">
        <v>21</v>
      </c>
      <c r="M49" s="2" t="s">
        <v>49</v>
      </c>
      <c r="N49" s="2" t="s">
        <v>669</v>
      </c>
      <c r="O49" s="2" t="s">
        <v>41</v>
      </c>
      <c r="P49" s="2" t="s">
        <v>25</v>
      </c>
    </row>
    <row r="50" spans="1:16" hidden="1">
      <c r="A50" s="2">
        <v>11631</v>
      </c>
      <c r="B50" s="2" t="s">
        <v>990</v>
      </c>
      <c r="C50" s="2" t="s">
        <v>991</v>
      </c>
      <c r="D50" s="3">
        <v>46100.3125</v>
      </c>
      <c r="E50" s="2" t="s">
        <v>40</v>
      </c>
      <c r="F50" s="2" t="s">
        <v>41</v>
      </c>
      <c r="G50" s="2" t="s">
        <v>34</v>
      </c>
      <c r="H50" s="2" t="s">
        <v>18</v>
      </c>
      <c r="I50" s="2" t="s">
        <v>35</v>
      </c>
      <c r="J50" s="2" t="s">
        <v>992</v>
      </c>
      <c r="K50" s="2">
        <v>260403075.1773898</v>
      </c>
      <c r="L50" s="2" t="s">
        <v>21</v>
      </c>
      <c r="M50" s="2" t="s">
        <v>22</v>
      </c>
      <c r="N50" s="2" t="s">
        <v>993</v>
      </c>
      <c r="O50" s="2" t="s">
        <v>41</v>
      </c>
      <c r="P50" s="2" t="s">
        <v>25</v>
      </c>
    </row>
    <row r="51" spans="1:16" hidden="1">
      <c r="A51" s="2">
        <v>11028</v>
      </c>
      <c r="B51" s="2" t="s">
        <v>187</v>
      </c>
      <c r="C51" s="2" t="s">
        <v>187</v>
      </c>
      <c r="D51" s="3">
        <v>46084.76180555555</v>
      </c>
      <c r="E51" s="2" t="s">
        <v>16</v>
      </c>
      <c r="F51" s="2" t="s">
        <v>5</v>
      </c>
      <c r="G51" s="2" t="s">
        <v>27</v>
      </c>
      <c r="H51" s="2" t="s">
        <v>18</v>
      </c>
      <c r="I51" s="2" t="s">
        <v>28</v>
      </c>
      <c r="J51" s="2" t="s">
        <v>188</v>
      </c>
      <c r="K51" s="2">
        <v>2093570419.1772554</v>
      </c>
      <c r="L51" s="2" t="s">
        <v>30</v>
      </c>
      <c r="M51" s="2" t="s">
        <v>22</v>
      </c>
      <c r="N51" s="2" t="s">
        <v>189</v>
      </c>
      <c r="O51" s="2" t="s">
        <v>24</v>
      </c>
      <c r="P51" s="2" t="s">
        <v>25</v>
      </c>
    </row>
    <row r="52" spans="1:16" hidden="1">
      <c r="A52" s="2">
        <v>11776</v>
      </c>
      <c r="B52" s="2" t="s">
        <v>1149</v>
      </c>
      <c r="C52" s="2" t="s">
        <v>1149</v>
      </c>
      <c r="D52" s="3">
        <v>46104.508333333331</v>
      </c>
      <c r="E52" s="2" t="s">
        <v>16</v>
      </c>
      <c r="F52" s="2" t="s">
        <v>181</v>
      </c>
      <c r="G52" s="2" t="s">
        <v>34</v>
      </c>
      <c r="H52" s="2" t="s">
        <v>18</v>
      </c>
      <c r="I52" s="2" t="s">
        <v>19</v>
      </c>
      <c r="J52" s="2" t="s">
        <v>1150</v>
      </c>
      <c r="K52" s="2">
        <v>614535047.17742598</v>
      </c>
      <c r="L52" s="2" t="s">
        <v>21</v>
      </c>
      <c r="M52" s="2" t="s">
        <v>22</v>
      </c>
      <c r="N52" s="2" t="s">
        <v>1151</v>
      </c>
      <c r="O52" s="2" t="s">
        <v>1152</v>
      </c>
      <c r="P52" s="2" t="s">
        <v>25</v>
      </c>
    </row>
    <row r="53" spans="1:16" hidden="1">
      <c r="A53" s="2">
        <v>12112</v>
      </c>
      <c r="B53" s="2" t="s">
        <v>1443</v>
      </c>
      <c r="C53" s="2" t="s">
        <v>1443</v>
      </c>
      <c r="D53" s="3">
        <v>46111.606944444444</v>
      </c>
      <c r="E53" s="2" t="s">
        <v>1322</v>
      </c>
      <c r="F53" s="2" t="s">
        <v>5</v>
      </c>
      <c r="G53" s="2" t="s">
        <v>27</v>
      </c>
      <c r="H53" s="2" t="s">
        <v>18</v>
      </c>
      <c r="I53" s="2" t="s">
        <v>397</v>
      </c>
      <c r="J53" s="2" t="s">
        <v>1444</v>
      </c>
      <c r="K53" s="2">
        <v>1221552579.1774871</v>
      </c>
      <c r="L53" s="2" t="s">
        <v>21</v>
      </c>
      <c r="M53" s="2" t="s">
        <v>22</v>
      </c>
      <c r="N53" s="2" t="s">
        <v>1445</v>
      </c>
      <c r="O53" s="2" t="s">
        <v>41</v>
      </c>
      <c r="P53" s="2" t="s">
        <v>25</v>
      </c>
    </row>
    <row r="54" spans="1:16" hidden="1">
      <c r="A54" s="2">
        <v>11505</v>
      </c>
      <c r="B54" s="2" t="s">
        <v>863</v>
      </c>
      <c r="C54" s="2" t="s">
        <v>864</v>
      </c>
      <c r="D54" s="3">
        <v>46097.902777777781</v>
      </c>
      <c r="E54" s="2" t="s">
        <v>121</v>
      </c>
      <c r="F54" s="2" t="s">
        <v>5</v>
      </c>
      <c r="G54" s="2" t="s">
        <v>17</v>
      </c>
      <c r="H54" s="2" t="s">
        <v>286</v>
      </c>
      <c r="I54" s="2" t="s">
        <v>68</v>
      </c>
      <c r="J54" s="2" t="s">
        <v>865</v>
      </c>
      <c r="K54" s="2">
        <v>1659761408.1773682</v>
      </c>
      <c r="L54" s="2" t="s">
        <v>21</v>
      </c>
      <c r="M54" s="2" t="s">
        <v>49</v>
      </c>
      <c r="N54" s="2" t="s">
        <v>866</v>
      </c>
      <c r="O54" s="2" t="s">
        <v>41</v>
      </c>
      <c r="P54" s="2" t="s">
        <v>25</v>
      </c>
    </row>
    <row r="55" spans="1:16" hidden="1">
      <c r="A55" s="2">
        <v>11249</v>
      </c>
      <c r="B55" s="2" t="s">
        <v>539</v>
      </c>
      <c r="C55" s="2" t="s">
        <v>540</v>
      </c>
      <c r="D55" s="3">
        <v>46091.541666666672</v>
      </c>
      <c r="E55" s="2" t="s">
        <v>40</v>
      </c>
      <c r="F55" s="2" t="s">
        <v>5</v>
      </c>
      <c r="G55" s="2" t="s">
        <v>34</v>
      </c>
      <c r="H55" s="2" t="s">
        <v>18</v>
      </c>
      <c r="I55" s="2" t="s">
        <v>279</v>
      </c>
      <c r="J55" s="2" t="s">
        <v>541</v>
      </c>
      <c r="K55" s="2" t="s">
        <v>41</v>
      </c>
      <c r="L55" s="2" t="s">
        <v>21</v>
      </c>
      <c r="M55" s="2" t="s">
        <v>22</v>
      </c>
      <c r="N55" s="2" t="s">
        <v>542</v>
      </c>
      <c r="O55" s="2" t="s">
        <v>41</v>
      </c>
      <c r="P55" s="2" t="s">
        <v>25</v>
      </c>
    </row>
    <row r="56" spans="1:16" hidden="1">
      <c r="A56" s="2">
        <v>10924</v>
      </c>
      <c r="B56" s="2" t="s">
        <v>26</v>
      </c>
      <c r="C56" s="2" t="s">
        <v>26</v>
      </c>
      <c r="D56" s="3">
        <v>46082.131249999999</v>
      </c>
      <c r="E56" s="2" t="s">
        <v>16</v>
      </c>
      <c r="F56" s="2" t="s">
        <v>5</v>
      </c>
      <c r="G56" s="2" t="s">
        <v>27</v>
      </c>
      <c r="H56" s="2" t="s">
        <v>18</v>
      </c>
      <c r="I56" s="2" t="s">
        <v>28</v>
      </c>
      <c r="J56" s="2" t="s">
        <v>29</v>
      </c>
      <c r="K56" s="2">
        <v>914465172.17723274</v>
      </c>
      <c r="L56" s="2" t="s">
        <v>30</v>
      </c>
      <c r="M56" s="2" t="s">
        <v>22</v>
      </c>
      <c r="N56" s="2" t="s">
        <v>31</v>
      </c>
      <c r="O56" s="2" t="s">
        <v>24</v>
      </c>
      <c r="P56" s="2" t="s">
        <v>25</v>
      </c>
    </row>
    <row r="57" spans="1:16" hidden="1">
      <c r="A57" s="2">
        <v>11319</v>
      </c>
      <c r="B57" s="2" t="s">
        <v>618</v>
      </c>
      <c r="C57" s="2" t="s">
        <v>618</v>
      </c>
      <c r="D57" s="3">
        <v>46093.443055555559</v>
      </c>
      <c r="E57" s="2" t="s">
        <v>16</v>
      </c>
      <c r="F57" s="2" t="s">
        <v>5</v>
      </c>
      <c r="G57" s="2" t="s">
        <v>34</v>
      </c>
      <c r="H57" s="2" t="s">
        <v>18</v>
      </c>
      <c r="I57" s="2" t="s">
        <v>19</v>
      </c>
      <c r="J57" s="2" t="s">
        <v>619</v>
      </c>
      <c r="K57" s="2">
        <v>355430711.17733049</v>
      </c>
      <c r="L57" s="2" t="s">
        <v>21</v>
      </c>
      <c r="M57" s="2" t="s">
        <v>22</v>
      </c>
      <c r="N57" s="2" t="s">
        <v>620</v>
      </c>
      <c r="O57" s="2" t="s">
        <v>66</v>
      </c>
      <c r="P57" s="2" t="s">
        <v>25</v>
      </c>
    </row>
    <row r="58" spans="1:16" hidden="1">
      <c r="A58" s="2">
        <v>12076</v>
      </c>
      <c r="B58" s="2" t="s">
        <v>1407</v>
      </c>
      <c r="C58" s="2" t="s">
        <v>1407</v>
      </c>
      <c r="D58" s="3">
        <v>46110.270833333328</v>
      </c>
      <c r="E58" s="2" t="s">
        <v>90</v>
      </c>
      <c r="F58" s="2" t="s">
        <v>5</v>
      </c>
      <c r="G58" s="2" t="s">
        <v>34</v>
      </c>
      <c r="H58" s="2" t="s">
        <v>91</v>
      </c>
      <c r="I58" s="2" t="s">
        <v>68</v>
      </c>
      <c r="J58" s="2" t="s">
        <v>1408</v>
      </c>
      <c r="K58" s="2">
        <v>948204360.17747545</v>
      </c>
      <c r="L58" s="2" t="s">
        <v>21</v>
      </c>
      <c r="M58" s="2" t="s">
        <v>49</v>
      </c>
      <c r="N58" s="2" t="s">
        <v>1409</v>
      </c>
      <c r="O58" s="2" t="s">
        <v>41</v>
      </c>
      <c r="P58" s="2" t="s">
        <v>175</v>
      </c>
    </row>
    <row r="59" spans="1:16" hidden="1">
      <c r="A59" s="2">
        <v>12117</v>
      </c>
      <c r="B59" s="2" t="s">
        <v>1452</v>
      </c>
      <c r="C59" s="2" t="s">
        <v>1452</v>
      </c>
      <c r="D59" s="3">
        <v>46111.66805555555</v>
      </c>
      <c r="E59" s="2" t="s">
        <v>90</v>
      </c>
      <c r="F59" s="2" t="s">
        <v>5</v>
      </c>
      <c r="G59" s="2" t="s">
        <v>34</v>
      </c>
      <c r="H59" s="2" t="s">
        <v>91</v>
      </c>
      <c r="I59" s="2" t="s">
        <v>68</v>
      </c>
      <c r="J59" s="2" t="s">
        <v>371</v>
      </c>
      <c r="K59" s="2">
        <v>753665491.17748749</v>
      </c>
      <c r="L59" s="2" t="s">
        <v>21</v>
      </c>
      <c r="M59" s="2" t="s">
        <v>49</v>
      </c>
      <c r="N59" s="2" t="s">
        <v>1453</v>
      </c>
      <c r="O59" s="2" t="s">
        <v>41</v>
      </c>
      <c r="P59" s="2" t="s">
        <v>25</v>
      </c>
    </row>
    <row r="60" spans="1:16" hidden="1">
      <c r="A60" s="2">
        <v>11668</v>
      </c>
      <c r="B60" s="2" t="s">
        <v>1018</v>
      </c>
      <c r="C60" s="2" t="s">
        <v>1019</v>
      </c>
      <c r="D60" s="3">
        <v>46101.070833333331</v>
      </c>
      <c r="E60" s="2" t="s">
        <v>40</v>
      </c>
      <c r="F60" s="2" t="s">
        <v>5</v>
      </c>
      <c r="G60" s="2" t="s">
        <v>17</v>
      </c>
      <c r="H60" s="2" t="s">
        <v>96</v>
      </c>
      <c r="I60" s="2" t="s">
        <v>19</v>
      </c>
      <c r="J60" s="2" t="s">
        <v>1020</v>
      </c>
      <c r="K60" s="2">
        <v>1491849164.1773963</v>
      </c>
      <c r="L60" s="2" t="s">
        <v>21</v>
      </c>
      <c r="M60" s="2" t="s">
        <v>22</v>
      </c>
      <c r="N60" s="2" t="s">
        <v>1021</v>
      </c>
      <c r="O60" s="2" t="s">
        <v>41</v>
      </c>
      <c r="P60" s="2" t="s">
        <v>44</v>
      </c>
    </row>
    <row r="61" spans="1:16" hidden="1">
      <c r="A61" s="2">
        <v>11312</v>
      </c>
      <c r="B61" s="2" t="s">
        <v>610</v>
      </c>
      <c r="C61" s="2" t="s">
        <v>610</v>
      </c>
      <c r="D61" s="3">
        <v>46093.14444444445</v>
      </c>
      <c r="E61" s="2" t="s">
        <v>16</v>
      </c>
      <c r="F61" s="2" t="s">
        <v>41</v>
      </c>
      <c r="G61" s="2" t="s">
        <v>34</v>
      </c>
      <c r="H61" s="2" t="s">
        <v>18</v>
      </c>
      <c r="I61" s="2" t="s">
        <v>35</v>
      </c>
      <c r="J61" s="2" t="s">
        <v>611</v>
      </c>
      <c r="K61" s="2">
        <v>2115217167.1773279</v>
      </c>
      <c r="L61" s="2" t="s">
        <v>21</v>
      </c>
      <c r="M61" s="2" t="s">
        <v>22</v>
      </c>
      <c r="N61" s="2" t="s">
        <v>612</v>
      </c>
      <c r="O61" s="2" t="s">
        <v>24</v>
      </c>
      <c r="P61" s="2" t="s">
        <v>25</v>
      </c>
    </row>
    <row r="62" spans="1:16" hidden="1">
      <c r="A62" s="2">
        <v>11392</v>
      </c>
      <c r="B62" s="2" t="s">
        <v>691</v>
      </c>
      <c r="C62" s="2" t="s">
        <v>691</v>
      </c>
      <c r="D62" s="3">
        <v>46094.924305555556</v>
      </c>
      <c r="E62" s="2" t="s">
        <v>180</v>
      </c>
      <c r="F62" s="2" t="s">
        <v>5</v>
      </c>
      <c r="G62" s="2" t="s">
        <v>17</v>
      </c>
      <c r="H62" s="2" t="s">
        <v>46</v>
      </c>
      <c r="I62" s="2" t="s">
        <v>630</v>
      </c>
      <c r="J62" s="2" t="s">
        <v>692</v>
      </c>
      <c r="K62" s="2">
        <v>1187221158.1773434</v>
      </c>
      <c r="L62" s="2" t="s">
        <v>21</v>
      </c>
      <c r="M62" s="2" t="s">
        <v>49</v>
      </c>
      <c r="N62" s="2" t="s">
        <v>693</v>
      </c>
      <c r="O62" s="2" t="s">
        <v>41</v>
      </c>
      <c r="P62" s="2" t="s">
        <v>25</v>
      </c>
    </row>
    <row r="63" spans="1:16" hidden="1">
      <c r="A63" s="2">
        <v>12141</v>
      </c>
      <c r="B63" s="2" t="s">
        <v>1472</v>
      </c>
      <c r="C63" s="2" t="s">
        <v>1472</v>
      </c>
      <c r="D63" s="3">
        <v>46112.39444444445</v>
      </c>
      <c r="E63" s="2" t="s">
        <v>1322</v>
      </c>
      <c r="F63" s="2" t="s">
        <v>5</v>
      </c>
      <c r="G63" s="2" t="s">
        <v>17</v>
      </c>
      <c r="H63" s="2" t="s">
        <v>46</v>
      </c>
      <c r="I63" s="2" t="s">
        <v>374</v>
      </c>
      <c r="J63" s="2" t="s">
        <v>1473</v>
      </c>
      <c r="K63" s="2">
        <v>2131267936.1774938</v>
      </c>
      <c r="L63" s="2" t="s">
        <v>21</v>
      </c>
      <c r="M63" s="2" t="s">
        <v>49</v>
      </c>
      <c r="N63" s="2" t="s">
        <v>1474</v>
      </c>
      <c r="O63" s="2" t="s">
        <v>41</v>
      </c>
      <c r="P63" s="2" t="s">
        <v>25</v>
      </c>
    </row>
    <row r="64" spans="1:16" hidden="1">
      <c r="A64" s="2">
        <v>11443</v>
      </c>
      <c r="B64" s="2" t="s">
        <v>783</v>
      </c>
      <c r="C64" s="2" t="s">
        <v>783</v>
      </c>
      <c r="D64" s="3">
        <v>46097.03125</v>
      </c>
      <c r="E64" s="2" t="s">
        <v>121</v>
      </c>
      <c r="F64" s="2" t="s">
        <v>5</v>
      </c>
      <c r="G64" s="2" t="s">
        <v>17</v>
      </c>
      <c r="H64" s="2" t="s">
        <v>46</v>
      </c>
      <c r="I64" s="2" t="s">
        <v>68</v>
      </c>
      <c r="J64" s="2" t="s">
        <v>784</v>
      </c>
      <c r="K64" s="2">
        <v>1368010631.1773615</v>
      </c>
      <c r="L64" s="2" t="s">
        <v>21</v>
      </c>
      <c r="M64" s="2" t="s">
        <v>49</v>
      </c>
      <c r="N64" s="2" t="s">
        <v>785</v>
      </c>
      <c r="O64" s="2" t="s">
        <v>66</v>
      </c>
      <c r="P64" s="2" t="s">
        <v>25</v>
      </c>
    </row>
    <row r="65" spans="1:16" hidden="1">
      <c r="A65" s="2">
        <v>11881</v>
      </c>
      <c r="B65" s="2" t="s">
        <v>1233</v>
      </c>
      <c r="C65" s="2" t="s">
        <v>1233</v>
      </c>
      <c r="D65" s="3">
        <v>46106.206250000003</v>
      </c>
      <c r="E65" s="2" t="s">
        <v>40</v>
      </c>
      <c r="F65" s="2" t="s">
        <v>5</v>
      </c>
      <c r="G65" s="2" t="s">
        <v>27</v>
      </c>
      <c r="H65" s="2" t="s">
        <v>18</v>
      </c>
      <c r="I65" s="2" t="s">
        <v>35</v>
      </c>
      <c r="J65" s="2" t="s">
        <v>1234</v>
      </c>
      <c r="K65" s="2">
        <v>1998445793.1774406</v>
      </c>
      <c r="L65" s="2" t="s">
        <v>21</v>
      </c>
      <c r="M65" s="2" t="s">
        <v>22</v>
      </c>
      <c r="N65" s="2" t="s">
        <v>1235</v>
      </c>
      <c r="O65" s="2" t="s">
        <v>41</v>
      </c>
      <c r="P65" s="2" t="s">
        <v>25</v>
      </c>
    </row>
    <row r="66" spans="1:16" hidden="1">
      <c r="A66" s="2">
        <v>11079</v>
      </c>
      <c r="B66" s="2" t="s">
        <v>258</v>
      </c>
      <c r="C66" s="2" t="s">
        <v>258</v>
      </c>
      <c r="D66" s="3">
        <v>46085.709027777775</v>
      </c>
      <c r="E66" s="2" t="s">
        <v>16</v>
      </c>
      <c r="F66" s="2" t="s">
        <v>5</v>
      </c>
      <c r="G66" s="2" t="s">
        <v>17</v>
      </c>
      <c r="H66" s="2" t="s">
        <v>96</v>
      </c>
      <c r="I66" s="2" t="s">
        <v>233</v>
      </c>
      <c r="J66" s="2" t="s">
        <v>41</v>
      </c>
      <c r="K66" s="2" t="s">
        <v>41</v>
      </c>
      <c r="L66" s="2" t="s">
        <v>21</v>
      </c>
      <c r="M66" s="2" t="s">
        <v>22</v>
      </c>
      <c r="N66" s="2" t="s">
        <v>259</v>
      </c>
      <c r="O66" s="2" t="s">
        <v>24</v>
      </c>
      <c r="P66" s="2" t="s">
        <v>99</v>
      </c>
    </row>
    <row r="67" spans="1:16" hidden="1">
      <c r="A67" s="2">
        <v>11420</v>
      </c>
      <c r="B67" s="2" t="s">
        <v>744</v>
      </c>
      <c r="C67" s="2" t="s">
        <v>745</v>
      </c>
      <c r="D67" s="3">
        <v>46096.376388888893</v>
      </c>
      <c r="E67" s="2" t="s">
        <v>16</v>
      </c>
      <c r="F67" s="2" t="s">
        <v>5</v>
      </c>
      <c r="G67" s="2" t="s">
        <v>34</v>
      </c>
      <c r="H67" s="2" t="s">
        <v>18</v>
      </c>
      <c r="I67" s="2" t="s">
        <v>19</v>
      </c>
      <c r="J67" s="2" t="s">
        <v>746</v>
      </c>
      <c r="K67" s="2" t="s">
        <v>41</v>
      </c>
      <c r="L67" s="2" t="s">
        <v>21</v>
      </c>
      <c r="M67" s="2" t="s">
        <v>22</v>
      </c>
      <c r="N67" s="2" t="s">
        <v>747</v>
      </c>
      <c r="O67" s="2" t="s">
        <v>24</v>
      </c>
      <c r="P67" s="2" t="s">
        <v>25</v>
      </c>
    </row>
    <row r="68" spans="1:16" hidden="1">
      <c r="A68" s="2">
        <v>11562</v>
      </c>
      <c r="B68" s="2" t="s">
        <v>911</v>
      </c>
      <c r="C68" s="2" t="s">
        <v>911</v>
      </c>
      <c r="D68" s="3">
        <v>46098.889583333337</v>
      </c>
      <c r="E68" s="2" t="s">
        <v>16</v>
      </c>
      <c r="F68" s="2" t="s">
        <v>5</v>
      </c>
      <c r="G68" s="2" t="s">
        <v>34</v>
      </c>
      <c r="H68" s="2" t="s">
        <v>18</v>
      </c>
      <c r="I68" s="2" t="s">
        <v>19</v>
      </c>
      <c r="J68" s="2" t="s">
        <v>912</v>
      </c>
      <c r="K68" s="2">
        <v>308900779.17737746</v>
      </c>
      <c r="L68" s="2" t="s">
        <v>21</v>
      </c>
      <c r="M68" s="2" t="s">
        <v>22</v>
      </c>
      <c r="N68" s="2" t="s">
        <v>913</v>
      </c>
      <c r="O68" s="2" t="s">
        <v>80</v>
      </c>
      <c r="P68" s="2" t="s">
        <v>25</v>
      </c>
    </row>
    <row r="69" spans="1:16" hidden="1">
      <c r="A69" s="2">
        <v>11830</v>
      </c>
      <c r="B69" s="2" t="s">
        <v>1211</v>
      </c>
      <c r="C69" s="2" t="s">
        <v>1211</v>
      </c>
      <c r="D69" s="3">
        <v>46105.507638888885</v>
      </c>
      <c r="E69" s="2" t="s">
        <v>40</v>
      </c>
      <c r="F69" s="2" t="s">
        <v>5</v>
      </c>
      <c r="G69" s="2" t="s">
        <v>27</v>
      </c>
      <c r="H69" s="2" t="s">
        <v>18</v>
      </c>
      <c r="I69" s="2" t="s">
        <v>162</v>
      </c>
      <c r="J69" s="2" t="s">
        <v>78</v>
      </c>
      <c r="K69" s="2">
        <v>1983481580.1774347</v>
      </c>
      <c r="L69" s="2" t="s">
        <v>21</v>
      </c>
      <c r="M69" s="2" t="s">
        <v>22</v>
      </c>
      <c r="N69" s="2" t="s">
        <v>1212</v>
      </c>
      <c r="O69" s="2" t="s">
        <v>41</v>
      </c>
      <c r="P69" s="2" t="s">
        <v>81</v>
      </c>
    </row>
    <row r="70" spans="1:16" hidden="1">
      <c r="A70" s="2">
        <v>11894</v>
      </c>
      <c r="B70" s="2" t="s">
        <v>1246</v>
      </c>
      <c r="C70" s="2" t="s">
        <v>1246</v>
      </c>
      <c r="D70" s="3">
        <v>46106.39444444445</v>
      </c>
      <c r="E70" s="2" t="s">
        <v>180</v>
      </c>
      <c r="F70" s="2" t="s">
        <v>5</v>
      </c>
      <c r="G70" s="2" t="s">
        <v>17</v>
      </c>
      <c r="H70" s="2" t="s">
        <v>443</v>
      </c>
      <c r="I70" s="2" t="s">
        <v>41</v>
      </c>
      <c r="J70" s="2" t="s">
        <v>41</v>
      </c>
      <c r="K70" s="2" t="s">
        <v>41</v>
      </c>
      <c r="L70" s="2" t="s">
        <v>21</v>
      </c>
      <c r="M70" s="2" t="s">
        <v>49</v>
      </c>
      <c r="N70" s="2" t="s">
        <v>1247</v>
      </c>
      <c r="O70" s="2" t="s">
        <v>41</v>
      </c>
      <c r="P70" s="2" t="s">
        <v>56</v>
      </c>
    </row>
    <row r="71" spans="1:16" hidden="1">
      <c r="A71" s="2">
        <v>11024</v>
      </c>
      <c r="B71" s="2" t="s">
        <v>179</v>
      </c>
      <c r="C71" s="2" t="s">
        <v>179</v>
      </c>
      <c r="D71" s="3">
        <v>46084.708333333328</v>
      </c>
      <c r="E71" s="2" t="s">
        <v>180</v>
      </c>
      <c r="F71" s="2" t="s">
        <v>181</v>
      </c>
      <c r="G71" s="2" t="s">
        <v>17</v>
      </c>
      <c r="H71" s="2" t="s">
        <v>182</v>
      </c>
      <c r="I71" s="2" t="s">
        <v>183</v>
      </c>
      <c r="J71" s="2" t="s">
        <v>41</v>
      </c>
      <c r="K71" s="2" t="s">
        <v>41</v>
      </c>
      <c r="L71" s="2" t="s">
        <v>21</v>
      </c>
      <c r="M71" s="2" t="s">
        <v>22</v>
      </c>
      <c r="N71" s="2" t="s">
        <v>184</v>
      </c>
      <c r="O71" s="2" t="s">
        <v>41</v>
      </c>
      <c r="P71" s="2" t="s">
        <v>99</v>
      </c>
    </row>
    <row r="72" spans="1:16" hidden="1">
      <c r="A72" s="2">
        <v>10926</v>
      </c>
      <c r="B72" s="2" t="s">
        <v>38</v>
      </c>
      <c r="C72" s="2" t="s">
        <v>39</v>
      </c>
      <c r="D72" s="3">
        <v>46082.328472222223</v>
      </c>
      <c r="E72" s="2" t="s">
        <v>40</v>
      </c>
      <c r="F72" s="2" t="s">
        <v>41</v>
      </c>
      <c r="G72" s="2" t="s">
        <v>34</v>
      </c>
      <c r="H72" s="2" t="s">
        <v>18</v>
      </c>
      <c r="I72" s="2" t="s">
        <v>19</v>
      </c>
      <c r="J72" s="2" t="s">
        <v>42</v>
      </c>
      <c r="K72" s="2">
        <v>377737977.17723441</v>
      </c>
      <c r="L72" s="2" t="s">
        <v>21</v>
      </c>
      <c r="M72" s="2" t="s">
        <v>22</v>
      </c>
      <c r="N72" s="2" t="s">
        <v>43</v>
      </c>
      <c r="O72" s="2" t="s">
        <v>41</v>
      </c>
      <c r="P72" s="2" t="s">
        <v>44</v>
      </c>
    </row>
    <row r="73" spans="1:16" hidden="1">
      <c r="A73" s="2">
        <v>12138</v>
      </c>
      <c r="B73" s="2" t="s">
        <v>1468</v>
      </c>
      <c r="C73" s="2" t="s">
        <v>1469</v>
      </c>
      <c r="D73" s="3">
        <v>46112.354861111111</v>
      </c>
      <c r="E73" s="2" t="s">
        <v>40</v>
      </c>
      <c r="F73" s="2" t="s">
        <v>5</v>
      </c>
      <c r="G73" s="2" t="s">
        <v>34</v>
      </c>
      <c r="H73" s="2" t="s">
        <v>18</v>
      </c>
      <c r="I73" s="2" t="s">
        <v>41</v>
      </c>
      <c r="J73" s="2" t="s">
        <v>41</v>
      </c>
      <c r="K73" s="2" t="s">
        <v>41</v>
      </c>
      <c r="L73" s="2" t="s">
        <v>21</v>
      </c>
      <c r="M73" s="2" t="s">
        <v>22</v>
      </c>
      <c r="N73" s="2" t="s">
        <v>1470</v>
      </c>
      <c r="O73" s="2" t="s">
        <v>41</v>
      </c>
      <c r="P73" s="2" t="s">
        <v>1471</v>
      </c>
    </row>
    <row r="74" spans="1:16" hidden="1">
      <c r="A74" s="2">
        <v>10945</v>
      </c>
      <c r="B74" s="2" t="s">
        <v>77</v>
      </c>
      <c r="C74" s="2" t="s">
        <v>77</v>
      </c>
      <c r="D74" s="3">
        <v>46083.179861111115</v>
      </c>
      <c r="E74" s="2" t="s">
        <v>16</v>
      </c>
      <c r="F74" s="2" t="s">
        <v>5</v>
      </c>
      <c r="G74" s="2" t="s">
        <v>34</v>
      </c>
      <c r="H74" s="2" t="s">
        <v>18</v>
      </c>
      <c r="I74" s="2" t="s">
        <v>19</v>
      </c>
      <c r="J74" s="2" t="s">
        <v>78</v>
      </c>
      <c r="K74" s="2">
        <v>404900492.17724174</v>
      </c>
      <c r="L74" s="2" t="s">
        <v>21</v>
      </c>
      <c r="M74" s="2" t="s">
        <v>22</v>
      </c>
      <c r="N74" s="2" t="s">
        <v>79</v>
      </c>
      <c r="O74" s="2" t="s">
        <v>80</v>
      </c>
      <c r="P74" s="2" t="s">
        <v>81</v>
      </c>
    </row>
    <row r="75" spans="1:16" hidden="1">
      <c r="A75" s="2">
        <v>11245</v>
      </c>
      <c r="B75" s="2" t="s">
        <v>532</v>
      </c>
      <c r="C75" s="2" t="s">
        <v>532</v>
      </c>
      <c r="D75" s="3">
        <v>46091.395833333328</v>
      </c>
      <c r="E75" s="2" t="s">
        <v>16</v>
      </c>
      <c r="F75" s="2" t="s">
        <v>41</v>
      </c>
      <c r="G75" s="2" t="s">
        <v>17</v>
      </c>
      <c r="H75" s="2" t="s">
        <v>54</v>
      </c>
      <c r="I75" s="2" t="s">
        <v>530</v>
      </c>
      <c r="J75" s="2" t="s">
        <v>41</v>
      </c>
      <c r="K75" s="2" t="s">
        <v>41</v>
      </c>
      <c r="L75" s="2" t="s">
        <v>21</v>
      </c>
      <c r="M75" s="2" t="s">
        <v>22</v>
      </c>
      <c r="N75" s="2" t="s">
        <v>533</v>
      </c>
      <c r="O75" s="2" t="s">
        <v>252</v>
      </c>
      <c r="P75" s="2" t="s">
        <v>99</v>
      </c>
    </row>
    <row r="76" spans="1:16" hidden="1">
      <c r="A76" s="2">
        <v>11433</v>
      </c>
      <c r="B76" s="2" t="s">
        <v>763</v>
      </c>
      <c r="C76" s="2" t="s">
        <v>763</v>
      </c>
      <c r="D76" s="3">
        <v>46096.677083333328</v>
      </c>
      <c r="E76" s="2" t="s">
        <v>40</v>
      </c>
      <c r="F76" s="2" t="s">
        <v>5</v>
      </c>
      <c r="G76" s="2" t="s">
        <v>27</v>
      </c>
      <c r="H76" s="2" t="s">
        <v>18</v>
      </c>
      <c r="I76" s="2" t="s">
        <v>764</v>
      </c>
      <c r="J76" s="2" t="s">
        <v>765</v>
      </c>
      <c r="K76" s="2">
        <v>1812747703.1773584</v>
      </c>
      <c r="L76" s="2" t="s">
        <v>21</v>
      </c>
      <c r="M76" s="2" t="s">
        <v>22</v>
      </c>
      <c r="N76" s="2" t="s">
        <v>766</v>
      </c>
      <c r="O76" s="2" t="s">
        <v>41</v>
      </c>
      <c r="P76" s="2" t="s">
        <v>25</v>
      </c>
    </row>
    <row r="77" spans="1:16" hidden="1">
      <c r="A77" s="2">
        <v>11766</v>
      </c>
      <c r="B77" s="2" t="s">
        <v>1139</v>
      </c>
      <c r="C77" s="2" t="s">
        <v>1139</v>
      </c>
      <c r="D77" s="3">
        <v>46104.166666666672</v>
      </c>
      <c r="E77" s="2" t="s">
        <v>16</v>
      </c>
      <c r="F77" s="2" t="s">
        <v>5</v>
      </c>
      <c r="G77" s="2" t="s">
        <v>17</v>
      </c>
      <c r="H77" s="2" t="s">
        <v>182</v>
      </c>
      <c r="I77" s="2" t="s">
        <v>41</v>
      </c>
      <c r="J77" s="2" t="s">
        <v>41</v>
      </c>
      <c r="K77" s="2" t="s">
        <v>41</v>
      </c>
      <c r="L77" s="2" t="s">
        <v>21</v>
      </c>
      <c r="M77" s="2" t="s">
        <v>22</v>
      </c>
      <c r="N77" s="2" t="s">
        <v>1140</v>
      </c>
      <c r="O77" s="2" t="s">
        <v>66</v>
      </c>
      <c r="P77" s="2" t="s">
        <v>99</v>
      </c>
    </row>
    <row r="78" spans="1:16" hidden="1">
      <c r="A78" s="2">
        <v>11310</v>
      </c>
      <c r="B78" s="2" t="s">
        <v>607</v>
      </c>
      <c r="C78" s="2" t="s">
        <v>607</v>
      </c>
      <c r="D78" s="3">
        <v>46093.097916666666</v>
      </c>
      <c r="E78" s="2" t="s">
        <v>16</v>
      </c>
      <c r="F78" s="2" t="s">
        <v>5</v>
      </c>
      <c r="G78" s="2" t="s">
        <v>34</v>
      </c>
      <c r="H78" s="2" t="s">
        <v>18</v>
      </c>
      <c r="I78" s="2" t="s">
        <v>19</v>
      </c>
      <c r="J78" s="2" t="s">
        <v>608</v>
      </c>
      <c r="K78" s="2">
        <v>1882240730.1773205</v>
      </c>
      <c r="L78" s="2" t="s">
        <v>21</v>
      </c>
      <c r="M78" s="2" t="s">
        <v>22</v>
      </c>
      <c r="N78" s="2" t="s">
        <v>609</v>
      </c>
      <c r="O78" s="2" t="s">
        <v>80</v>
      </c>
      <c r="P78" s="2" t="s">
        <v>25</v>
      </c>
    </row>
    <row r="79" spans="1:16" hidden="1">
      <c r="A79" s="2">
        <v>12177</v>
      </c>
      <c r="B79" s="2" t="s">
        <v>1488</v>
      </c>
      <c r="C79" s="2" t="s">
        <v>1488</v>
      </c>
      <c r="D79" s="3">
        <v>46112.865277777775</v>
      </c>
      <c r="E79" s="2" t="s">
        <v>1322</v>
      </c>
      <c r="F79" s="2" t="s">
        <v>41</v>
      </c>
      <c r="G79" s="2" t="s">
        <v>17</v>
      </c>
      <c r="H79" s="2" t="s">
        <v>18</v>
      </c>
      <c r="I79" s="2" t="s">
        <v>19</v>
      </c>
      <c r="J79" s="2" t="s">
        <v>1489</v>
      </c>
      <c r="K79" s="2">
        <v>1207301913.1774979</v>
      </c>
      <c r="L79" s="2" t="s">
        <v>21</v>
      </c>
      <c r="M79" s="2" t="s">
        <v>22</v>
      </c>
      <c r="N79" s="2" t="s">
        <v>1490</v>
      </c>
      <c r="O79" s="2" t="s">
        <v>41</v>
      </c>
      <c r="P79" s="2" t="s">
        <v>25</v>
      </c>
    </row>
    <row r="80" spans="1:16" hidden="1">
      <c r="A80" s="2">
        <v>11882</v>
      </c>
      <c r="B80" s="2" t="s">
        <v>1236</v>
      </c>
      <c r="C80" s="2" t="s">
        <v>1237</v>
      </c>
      <c r="D80" s="3">
        <v>46106.236111111109</v>
      </c>
      <c r="E80" s="2" t="s">
        <v>801</v>
      </c>
      <c r="F80" s="2" t="s">
        <v>5</v>
      </c>
      <c r="G80" s="2" t="s">
        <v>17</v>
      </c>
      <c r="H80" s="2" t="s">
        <v>46</v>
      </c>
      <c r="I80" s="2" t="s">
        <v>1238</v>
      </c>
      <c r="J80" s="2" t="s">
        <v>1239</v>
      </c>
      <c r="K80" s="2">
        <v>1154436740.1774409</v>
      </c>
      <c r="L80" s="2" t="s">
        <v>21</v>
      </c>
      <c r="M80" s="2" t="s">
        <v>49</v>
      </c>
      <c r="N80" s="2" t="s">
        <v>1240</v>
      </c>
      <c r="O80" s="2" t="s">
        <v>41</v>
      </c>
      <c r="P80" s="2" t="s">
        <v>25</v>
      </c>
    </row>
    <row r="81" spans="1:16" hidden="1">
      <c r="A81" s="2">
        <v>10982</v>
      </c>
      <c r="B81" s="2" t="s">
        <v>123</v>
      </c>
      <c r="C81" s="2" t="s">
        <v>124</v>
      </c>
      <c r="D81" s="3">
        <v>46083.920833333337</v>
      </c>
      <c r="E81" s="2" t="s">
        <v>16</v>
      </c>
      <c r="F81" s="2" t="s">
        <v>5</v>
      </c>
      <c r="G81" s="2" t="s">
        <v>27</v>
      </c>
      <c r="H81" s="2" t="s">
        <v>18</v>
      </c>
      <c r="I81" s="2" t="s">
        <v>28</v>
      </c>
      <c r="J81" s="2" t="s">
        <v>125</v>
      </c>
      <c r="K81" s="2">
        <v>1590088515.1772482</v>
      </c>
      <c r="L81" s="2" t="s">
        <v>30</v>
      </c>
      <c r="M81" s="2" t="s">
        <v>22</v>
      </c>
      <c r="N81" s="2" t="s">
        <v>126</v>
      </c>
      <c r="O81" s="2" t="s">
        <v>24</v>
      </c>
      <c r="P81" s="2" t="s">
        <v>25</v>
      </c>
    </row>
    <row r="82" spans="1:16" hidden="1">
      <c r="A82" s="2">
        <v>11702</v>
      </c>
      <c r="B82" s="2" t="s">
        <v>1057</v>
      </c>
      <c r="C82" s="2" t="s">
        <v>1057</v>
      </c>
      <c r="D82" s="3">
        <v>46101.954861111109</v>
      </c>
      <c r="E82" s="2" t="s">
        <v>16</v>
      </c>
      <c r="F82" s="2" t="s">
        <v>5</v>
      </c>
      <c r="G82" s="2" t="s">
        <v>17</v>
      </c>
      <c r="H82" s="2" t="s">
        <v>46</v>
      </c>
      <c r="I82" s="2" t="s">
        <v>68</v>
      </c>
      <c r="J82" s="2" t="s">
        <v>1058</v>
      </c>
      <c r="K82" s="2">
        <v>555370864.17740405</v>
      </c>
      <c r="L82" s="2" t="s">
        <v>21</v>
      </c>
      <c r="M82" s="2" t="s">
        <v>49</v>
      </c>
      <c r="N82" s="2" t="s">
        <v>1059</v>
      </c>
      <c r="O82" s="2" t="s">
        <v>66</v>
      </c>
      <c r="P82" s="2" t="s">
        <v>25</v>
      </c>
    </row>
    <row r="83" spans="1:16" hidden="1">
      <c r="A83" s="2">
        <v>11101</v>
      </c>
      <c r="B83" s="2" t="s">
        <v>308</v>
      </c>
      <c r="C83" s="2" t="s">
        <v>308</v>
      </c>
      <c r="D83" s="3">
        <v>46086.192361111112</v>
      </c>
      <c r="E83" s="2" t="s">
        <v>40</v>
      </c>
      <c r="F83" s="2" t="s">
        <v>5</v>
      </c>
      <c r="G83" s="2" t="s">
        <v>27</v>
      </c>
      <c r="H83" s="2" t="s">
        <v>18</v>
      </c>
      <c r="I83" s="2" t="s">
        <v>58</v>
      </c>
      <c r="J83" s="2" t="s">
        <v>309</v>
      </c>
      <c r="K83" s="2" t="s">
        <v>41</v>
      </c>
      <c r="L83" s="2" t="s">
        <v>60</v>
      </c>
      <c r="M83" s="2" t="s">
        <v>22</v>
      </c>
      <c r="N83" s="2" t="s">
        <v>310</v>
      </c>
      <c r="O83" s="2" t="s">
        <v>41</v>
      </c>
      <c r="P83" s="2" t="s">
        <v>25</v>
      </c>
    </row>
    <row r="84" spans="1:16" hidden="1">
      <c r="A84" s="2">
        <v>11072</v>
      </c>
      <c r="B84" s="2" t="s">
        <v>238</v>
      </c>
      <c r="C84" s="2" t="s">
        <v>239</v>
      </c>
      <c r="D84" s="3">
        <v>46085.682638888888</v>
      </c>
      <c r="E84" s="2" t="s">
        <v>16</v>
      </c>
      <c r="F84" s="2" t="s">
        <v>5</v>
      </c>
      <c r="G84" s="2" t="s">
        <v>34</v>
      </c>
      <c r="H84" s="2" t="s">
        <v>18</v>
      </c>
      <c r="I84" s="2" t="s">
        <v>19</v>
      </c>
      <c r="J84" s="2" t="s">
        <v>240</v>
      </c>
      <c r="K84" s="2">
        <v>1550770569.1772635</v>
      </c>
      <c r="L84" s="2" t="s">
        <v>21</v>
      </c>
      <c r="M84" s="2" t="s">
        <v>22</v>
      </c>
      <c r="N84" s="2" t="s">
        <v>241</v>
      </c>
      <c r="O84" s="2" t="s">
        <v>66</v>
      </c>
      <c r="P84" s="2" t="s">
        <v>25</v>
      </c>
    </row>
    <row r="85" spans="1:16" hidden="1">
      <c r="A85" s="2">
        <v>11200</v>
      </c>
      <c r="B85" s="2" t="s">
        <v>459</v>
      </c>
      <c r="C85" s="2" t="s">
        <v>460</v>
      </c>
      <c r="D85" s="3">
        <v>46089.395833333328</v>
      </c>
      <c r="E85" s="2" t="s">
        <v>16</v>
      </c>
      <c r="F85" s="2" t="s">
        <v>5</v>
      </c>
      <c r="G85" s="2" t="s">
        <v>34</v>
      </c>
      <c r="H85" s="2" t="s">
        <v>18</v>
      </c>
      <c r="I85" s="2" t="s">
        <v>19</v>
      </c>
      <c r="J85" s="2" t="s">
        <v>461</v>
      </c>
      <c r="K85" s="2">
        <v>349515792.17729551</v>
      </c>
      <c r="L85" s="2" t="s">
        <v>21</v>
      </c>
      <c r="M85" s="2" t="s">
        <v>22</v>
      </c>
      <c r="N85" s="2" t="s">
        <v>462</v>
      </c>
      <c r="O85" s="2" t="s">
        <v>66</v>
      </c>
      <c r="P85" s="2" t="s">
        <v>25</v>
      </c>
    </row>
    <row r="86" spans="1:16" hidden="1">
      <c r="A86" s="2">
        <v>11344</v>
      </c>
      <c r="B86" s="2" t="s">
        <v>656</v>
      </c>
      <c r="C86" s="2" t="s">
        <v>656</v>
      </c>
      <c r="D86" s="3">
        <v>46093.958333333328</v>
      </c>
      <c r="E86" s="2" t="s">
        <v>40</v>
      </c>
      <c r="F86" s="2" t="s">
        <v>181</v>
      </c>
      <c r="G86" s="2" t="s">
        <v>17</v>
      </c>
      <c r="H86" s="2" t="s">
        <v>54</v>
      </c>
      <c r="I86" s="2" t="s">
        <v>535</v>
      </c>
      <c r="J86" s="2" t="s">
        <v>41</v>
      </c>
      <c r="K86" s="2" t="s">
        <v>41</v>
      </c>
      <c r="L86" s="2" t="s">
        <v>21</v>
      </c>
      <c r="M86" s="2" t="s">
        <v>22</v>
      </c>
      <c r="N86" s="2" t="s">
        <v>657</v>
      </c>
      <c r="O86" s="2" t="s">
        <v>41</v>
      </c>
      <c r="P86" s="2" t="s">
        <v>99</v>
      </c>
    </row>
    <row r="87" spans="1:16" hidden="1">
      <c r="A87" s="2">
        <v>11551</v>
      </c>
      <c r="B87" s="2" t="s">
        <v>903</v>
      </c>
      <c r="C87" s="2" t="s">
        <v>904</v>
      </c>
      <c r="D87" s="3">
        <v>46098.781944444447</v>
      </c>
      <c r="E87" s="2" t="s">
        <v>688</v>
      </c>
      <c r="F87" s="2" t="s">
        <v>5</v>
      </c>
      <c r="G87" s="2" t="s">
        <v>27</v>
      </c>
      <c r="H87" s="2" t="s">
        <v>18</v>
      </c>
      <c r="I87" s="2" t="s">
        <v>28</v>
      </c>
      <c r="J87" s="2" t="s">
        <v>905</v>
      </c>
      <c r="K87" s="2">
        <v>1650691170.1773765</v>
      </c>
      <c r="L87" s="2" t="s">
        <v>21</v>
      </c>
      <c r="M87" s="2" t="s">
        <v>22</v>
      </c>
      <c r="N87" s="2" t="s">
        <v>906</v>
      </c>
      <c r="O87" s="2" t="s">
        <v>41</v>
      </c>
      <c r="P87" s="2" t="s">
        <v>25</v>
      </c>
    </row>
    <row r="88" spans="1:16" hidden="1">
      <c r="A88" s="2">
        <v>10995</v>
      </c>
      <c r="B88" s="2" t="s">
        <v>153</v>
      </c>
      <c r="C88" s="2" t="s">
        <v>154</v>
      </c>
      <c r="D88" s="3">
        <v>46084.263194444444</v>
      </c>
      <c r="E88" s="2" t="s">
        <v>121</v>
      </c>
      <c r="F88" s="2" t="s">
        <v>5</v>
      </c>
      <c r="G88" s="2" t="s">
        <v>34</v>
      </c>
      <c r="H88" s="2" t="s">
        <v>18</v>
      </c>
      <c r="I88" s="2" t="s">
        <v>19</v>
      </c>
      <c r="J88" s="2" t="s">
        <v>155</v>
      </c>
      <c r="K88" s="2">
        <v>424405625.17725116</v>
      </c>
      <c r="L88" s="2" t="s">
        <v>21</v>
      </c>
      <c r="M88" s="2" t="s">
        <v>22</v>
      </c>
      <c r="N88" s="2" t="s">
        <v>156</v>
      </c>
      <c r="O88" s="2" t="s">
        <v>41</v>
      </c>
      <c r="P88" s="2" t="s">
        <v>81</v>
      </c>
    </row>
    <row r="89" spans="1:16" hidden="1">
      <c r="A89" s="2">
        <v>11068</v>
      </c>
      <c r="B89" s="2" t="s">
        <v>100</v>
      </c>
      <c r="C89" s="2" t="s">
        <v>236</v>
      </c>
      <c r="D89" s="3">
        <v>46085.625694444447</v>
      </c>
      <c r="E89" s="2" t="s">
        <v>40</v>
      </c>
      <c r="F89" s="2" t="s">
        <v>5</v>
      </c>
      <c r="G89" s="2" t="s">
        <v>17</v>
      </c>
      <c r="H89" s="2" t="s">
        <v>96</v>
      </c>
      <c r="I89" s="2" t="s">
        <v>237</v>
      </c>
      <c r="J89" s="2" t="s">
        <v>41</v>
      </c>
      <c r="K89" s="2" t="s">
        <v>41</v>
      </c>
      <c r="L89" s="2" t="s">
        <v>21</v>
      </c>
      <c r="M89" s="2" t="s">
        <v>22</v>
      </c>
      <c r="N89" s="2" t="s">
        <v>101</v>
      </c>
      <c r="O89" s="2" t="s">
        <v>41</v>
      </c>
      <c r="P89" s="2" t="s">
        <v>99</v>
      </c>
    </row>
    <row r="90" spans="1:16" hidden="1">
      <c r="A90" s="2">
        <v>11809</v>
      </c>
      <c r="B90" s="2" t="s">
        <v>1189</v>
      </c>
      <c r="C90" s="2" t="s">
        <v>1189</v>
      </c>
      <c r="D90" s="3">
        <v>46104.830555555556</v>
      </c>
      <c r="E90" s="2" t="s">
        <v>40</v>
      </c>
      <c r="F90" s="2" t="s">
        <v>5</v>
      </c>
      <c r="G90" s="2" t="s">
        <v>27</v>
      </c>
      <c r="H90" s="2" t="s">
        <v>18</v>
      </c>
      <c r="I90" s="2" t="s">
        <v>19</v>
      </c>
      <c r="J90" s="2" t="s">
        <v>1190</v>
      </c>
      <c r="K90" s="2">
        <v>336691154.17742878</v>
      </c>
      <c r="L90" s="2" t="s">
        <v>21</v>
      </c>
      <c r="M90" s="2" t="s">
        <v>22</v>
      </c>
      <c r="N90" s="2" t="s">
        <v>1191</v>
      </c>
      <c r="O90" s="2" t="s">
        <v>41</v>
      </c>
      <c r="P90" s="2" t="s">
        <v>81</v>
      </c>
    </row>
    <row r="91" spans="1:16" hidden="1">
      <c r="A91" s="2">
        <v>11348</v>
      </c>
      <c r="B91" s="2" t="s">
        <v>658</v>
      </c>
      <c r="C91" s="2" t="s">
        <v>658</v>
      </c>
      <c r="D91" s="3">
        <v>46094.119444444441</v>
      </c>
      <c r="E91" s="2" t="s">
        <v>16</v>
      </c>
      <c r="F91" s="2" t="s">
        <v>5</v>
      </c>
      <c r="G91" s="2" t="s">
        <v>34</v>
      </c>
      <c r="H91" s="2" t="s">
        <v>18</v>
      </c>
      <c r="I91" s="2" t="s">
        <v>35</v>
      </c>
      <c r="J91" s="2" t="s">
        <v>192</v>
      </c>
      <c r="K91" s="2" t="s">
        <v>64</v>
      </c>
      <c r="L91" s="2" t="s">
        <v>21</v>
      </c>
      <c r="M91" s="2" t="s">
        <v>22</v>
      </c>
      <c r="N91" s="2" t="s">
        <v>659</v>
      </c>
      <c r="O91" s="2" t="s">
        <v>24</v>
      </c>
      <c r="P91" s="2" t="s">
        <v>81</v>
      </c>
    </row>
    <row r="92" spans="1:16" hidden="1">
      <c r="A92" s="2">
        <v>12120</v>
      </c>
      <c r="B92" s="2" t="s">
        <v>1454</v>
      </c>
      <c r="C92" s="2" t="s">
        <v>1454</v>
      </c>
      <c r="D92" s="3">
        <v>46111.754166666666</v>
      </c>
      <c r="E92" s="2" t="s">
        <v>1322</v>
      </c>
      <c r="F92" s="2" t="s">
        <v>5</v>
      </c>
      <c r="G92" s="2" t="s">
        <v>27</v>
      </c>
      <c r="H92" s="2" t="s">
        <v>18</v>
      </c>
      <c r="I92" s="2" t="s">
        <v>28</v>
      </c>
      <c r="J92" s="2" t="s">
        <v>822</v>
      </c>
      <c r="K92" s="2">
        <v>1959588113.1774883</v>
      </c>
      <c r="L92" s="2" t="s">
        <v>30</v>
      </c>
      <c r="M92" s="2" t="s">
        <v>22</v>
      </c>
      <c r="N92" s="2" t="s">
        <v>1455</v>
      </c>
      <c r="O92" s="2" t="s">
        <v>41</v>
      </c>
      <c r="P92" s="2" t="s">
        <v>25</v>
      </c>
    </row>
    <row r="93" spans="1:16" hidden="1">
      <c r="A93" s="2">
        <v>11969</v>
      </c>
      <c r="B93" s="2" t="s">
        <v>1294</v>
      </c>
      <c r="C93" s="2" t="s">
        <v>1294</v>
      </c>
      <c r="D93" s="3">
        <v>46107.336805555555</v>
      </c>
      <c r="E93" s="2" t="s">
        <v>40</v>
      </c>
      <c r="F93" s="2" t="s">
        <v>5</v>
      </c>
      <c r="G93" s="2" t="s">
        <v>27</v>
      </c>
      <c r="H93" s="2" t="s">
        <v>18</v>
      </c>
      <c r="I93" s="2" t="s">
        <v>28</v>
      </c>
      <c r="J93" s="2" t="s">
        <v>1295</v>
      </c>
      <c r="K93" s="2">
        <v>1379875081.1774504</v>
      </c>
      <c r="L93" s="2" t="s">
        <v>30</v>
      </c>
      <c r="M93" s="2" t="s">
        <v>22</v>
      </c>
      <c r="N93" s="2" t="s">
        <v>1296</v>
      </c>
      <c r="O93" s="2" t="s">
        <v>41</v>
      </c>
      <c r="P93" s="2" t="s">
        <v>25</v>
      </c>
    </row>
    <row r="94" spans="1:16" hidden="1">
      <c r="A94" s="2">
        <v>12110</v>
      </c>
      <c r="B94" s="2" t="s">
        <v>1439</v>
      </c>
      <c r="C94" s="2" t="s">
        <v>1439</v>
      </c>
      <c r="D94" s="3">
        <v>46111.604166666672</v>
      </c>
      <c r="E94" s="2" t="s">
        <v>16</v>
      </c>
      <c r="F94" s="2" t="s">
        <v>41</v>
      </c>
      <c r="G94" s="2" t="s">
        <v>34</v>
      </c>
      <c r="H94" s="2" t="s">
        <v>41</v>
      </c>
      <c r="I94" s="2" t="s">
        <v>41</v>
      </c>
      <c r="J94" s="2" t="s">
        <v>41</v>
      </c>
      <c r="K94" s="2" t="s">
        <v>41</v>
      </c>
      <c r="L94" s="2" t="s">
        <v>41</v>
      </c>
      <c r="M94" s="2" t="s">
        <v>22</v>
      </c>
      <c r="N94" s="2" t="s">
        <v>1440</v>
      </c>
      <c r="O94" s="2" t="s">
        <v>252</v>
      </c>
      <c r="P94" s="2" t="s">
        <v>99</v>
      </c>
    </row>
    <row r="95" spans="1:16" hidden="1">
      <c r="A95" s="2">
        <v>11615</v>
      </c>
      <c r="B95" s="2" t="s">
        <v>960</v>
      </c>
      <c r="C95" s="2" t="s">
        <v>960</v>
      </c>
      <c r="D95" s="3">
        <v>46099.797916666663</v>
      </c>
      <c r="E95" s="2" t="s">
        <v>40</v>
      </c>
      <c r="F95" s="2" t="s">
        <v>5</v>
      </c>
      <c r="G95" s="2" t="s">
        <v>27</v>
      </c>
      <c r="H95" s="2" t="s">
        <v>18</v>
      </c>
      <c r="I95" s="2" t="s">
        <v>19</v>
      </c>
      <c r="J95" s="2" t="s">
        <v>961</v>
      </c>
      <c r="K95" s="2">
        <v>263537014.17738536</v>
      </c>
      <c r="L95" s="2" t="s">
        <v>21</v>
      </c>
      <c r="M95" s="2" t="s">
        <v>22</v>
      </c>
      <c r="N95" s="2" t="s">
        <v>962</v>
      </c>
      <c r="O95" s="2" t="s">
        <v>41</v>
      </c>
      <c r="P95" s="2" t="s">
        <v>25</v>
      </c>
    </row>
    <row r="96" spans="1:16" hidden="1">
      <c r="A96" s="2">
        <v>12014</v>
      </c>
      <c r="B96" s="2" t="s">
        <v>1330</v>
      </c>
      <c r="C96" s="2" t="s">
        <v>1330</v>
      </c>
      <c r="D96" s="3">
        <v>46108.189583333333</v>
      </c>
      <c r="E96" s="2" t="s">
        <v>1322</v>
      </c>
      <c r="F96" s="2" t="s">
        <v>41</v>
      </c>
      <c r="G96" s="2" t="s">
        <v>27</v>
      </c>
      <c r="H96" s="2" t="s">
        <v>18</v>
      </c>
      <c r="I96" s="2" t="s">
        <v>19</v>
      </c>
      <c r="J96" s="2" t="s">
        <v>858</v>
      </c>
      <c r="K96" s="2">
        <v>1584252047.1774578</v>
      </c>
      <c r="L96" s="2" t="s">
        <v>21</v>
      </c>
      <c r="M96" s="2" t="s">
        <v>22</v>
      </c>
      <c r="N96" s="2" t="s">
        <v>1331</v>
      </c>
      <c r="O96" s="2" t="s">
        <v>41</v>
      </c>
      <c r="P96" s="2" t="s">
        <v>25</v>
      </c>
    </row>
    <row r="97" spans="1:16" hidden="1">
      <c r="A97" s="2">
        <v>11817</v>
      </c>
      <c r="B97" s="2" t="s">
        <v>1198</v>
      </c>
      <c r="C97" s="2" t="s">
        <v>1198</v>
      </c>
      <c r="D97" s="3">
        <v>46104.938194444447</v>
      </c>
      <c r="E97" s="2" t="s">
        <v>40</v>
      </c>
      <c r="F97" s="2" t="s">
        <v>5</v>
      </c>
      <c r="G97" s="2" t="s">
        <v>27</v>
      </c>
      <c r="H97" s="2" t="s">
        <v>18</v>
      </c>
      <c r="I97" s="2" t="s">
        <v>35</v>
      </c>
      <c r="J97" s="2" t="s">
        <v>1199</v>
      </c>
      <c r="K97" s="2">
        <v>748675294.1774298</v>
      </c>
      <c r="L97" s="2" t="s">
        <v>21</v>
      </c>
      <c r="M97" s="2" t="s">
        <v>22</v>
      </c>
      <c r="N97" s="2" t="s">
        <v>1200</v>
      </c>
      <c r="O97" s="2" t="s">
        <v>41</v>
      </c>
      <c r="P97" s="2" t="s">
        <v>25</v>
      </c>
    </row>
    <row r="98" spans="1:16" hidden="1">
      <c r="A98" s="2">
        <v>11886</v>
      </c>
      <c r="B98" s="2" t="s">
        <v>1243</v>
      </c>
      <c r="C98" s="2" t="s">
        <v>1243</v>
      </c>
      <c r="D98" s="3">
        <v>46106.305555555555</v>
      </c>
      <c r="E98" s="2" t="s">
        <v>40</v>
      </c>
      <c r="F98" s="2" t="s">
        <v>5</v>
      </c>
      <c r="G98" s="2" t="s">
        <v>27</v>
      </c>
      <c r="H98" s="2" t="s">
        <v>18</v>
      </c>
      <c r="I98" s="2" t="s">
        <v>19</v>
      </c>
      <c r="J98" s="2" t="s">
        <v>1244</v>
      </c>
      <c r="K98" s="2">
        <v>299856290.1774416</v>
      </c>
      <c r="L98" s="2" t="s">
        <v>21</v>
      </c>
      <c r="M98" s="2" t="s">
        <v>22</v>
      </c>
      <c r="N98" s="2" t="s">
        <v>1245</v>
      </c>
      <c r="O98" s="2" t="s">
        <v>41</v>
      </c>
      <c r="P98" s="2" t="s">
        <v>25</v>
      </c>
    </row>
    <row r="99" spans="1:16" hidden="1">
      <c r="A99" s="2">
        <v>12034</v>
      </c>
      <c r="B99" s="2" t="s">
        <v>1355</v>
      </c>
      <c r="C99" s="2" t="s">
        <v>1356</v>
      </c>
      <c r="D99" s="3">
        <v>46108.645833333328</v>
      </c>
      <c r="E99" s="2" t="s">
        <v>52</v>
      </c>
      <c r="F99" s="2" t="s">
        <v>181</v>
      </c>
      <c r="G99" s="2" t="s">
        <v>53</v>
      </c>
      <c r="H99" s="2" t="s">
        <v>41</v>
      </c>
      <c r="I99" s="2" t="s">
        <v>28</v>
      </c>
      <c r="J99" s="2" t="s">
        <v>41</v>
      </c>
      <c r="K99" s="2" t="s">
        <v>41</v>
      </c>
      <c r="L99" s="2" t="s">
        <v>41</v>
      </c>
      <c r="M99" s="2" t="s">
        <v>22</v>
      </c>
      <c r="N99" s="2" t="s">
        <v>1357</v>
      </c>
      <c r="O99" s="2" t="s">
        <v>41</v>
      </c>
      <c r="P99" s="2" t="s">
        <v>99</v>
      </c>
    </row>
    <row r="100" spans="1:16" hidden="1">
      <c r="A100" s="2">
        <v>10985</v>
      </c>
      <c r="B100" s="2" t="s">
        <v>133</v>
      </c>
      <c r="C100" s="2" t="s">
        <v>133</v>
      </c>
      <c r="D100" s="3">
        <v>46084.016666666663</v>
      </c>
      <c r="E100" s="2" t="s">
        <v>40</v>
      </c>
      <c r="F100" s="2" t="s">
        <v>5</v>
      </c>
      <c r="G100" s="2" t="s">
        <v>27</v>
      </c>
      <c r="H100" s="2" t="s">
        <v>18</v>
      </c>
      <c r="I100" s="2" t="s">
        <v>58</v>
      </c>
      <c r="J100" s="2" t="s">
        <v>134</v>
      </c>
      <c r="K100" s="2">
        <v>780940881.17724895</v>
      </c>
      <c r="L100" s="2" t="s">
        <v>21</v>
      </c>
      <c r="M100" s="2" t="s">
        <v>22</v>
      </c>
      <c r="N100" s="2" t="s">
        <v>135</v>
      </c>
      <c r="O100" s="2" t="s">
        <v>41</v>
      </c>
      <c r="P100" s="2" t="s">
        <v>25</v>
      </c>
    </row>
    <row r="101" spans="1:16" hidden="1">
      <c r="A101" s="2">
        <v>11100</v>
      </c>
      <c r="B101" s="2" t="s">
        <v>304</v>
      </c>
      <c r="C101" s="2" t="s">
        <v>304</v>
      </c>
      <c r="D101" s="3">
        <v>46086.097222222219</v>
      </c>
      <c r="E101" s="2" t="s">
        <v>16</v>
      </c>
      <c r="F101" s="2" t="s">
        <v>5</v>
      </c>
      <c r="G101" s="2" t="s">
        <v>34</v>
      </c>
      <c r="H101" s="2" t="s">
        <v>18</v>
      </c>
      <c r="I101" s="2" t="s">
        <v>305</v>
      </c>
      <c r="J101" s="2" t="s">
        <v>306</v>
      </c>
      <c r="K101" s="2">
        <v>1849790094.1772671</v>
      </c>
      <c r="L101" s="2" t="s">
        <v>21</v>
      </c>
      <c r="M101" s="2" t="s">
        <v>22</v>
      </c>
      <c r="N101" s="2" t="s">
        <v>307</v>
      </c>
      <c r="O101" s="2" t="s">
        <v>80</v>
      </c>
      <c r="P101" s="2" t="s">
        <v>25</v>
      </c>
    </row>
    <row r="102" spans="1:16" hidden="1">
      <c r="A102" s="2">
        <v>12083</v>
      </c>
      <c r="B102" s="2" t="s">
        <v>1419</v>
      </c>
      <c r="C102" s="2" t="s">
        <v>1419</v>
      </c>
      <c r="D102" s="3">
        <v>46110.710416666669</v>
      </c>
      <c r="E102" s="2" t="s">
        <v>16</v>
      </c>
      <c r="F102" s="2" t="s">
        <v>5</v>
      </c>
      <c r="G102" s="2" t="s">
        <v>34</v>
      </c>
      <c r="H102" s="2" t="s">
        <v>91</v>
      </c>
      <c r="I102" s="2" t="s">
        <v>1420</v>
      </c>
      <c r="J102" s="2" t="s">
        <v>1421</v>
      </c>
      <c r="K102" s="2" t="s">
        <v>41</v>
      </c>
      <c r="L102" s="2" t="s">
        <v>21</v>
      </c>
      <c r="M102" s="2" t="s">
        <v>49</v>
      </c>
      <c r="N102" s="2" t="s">
        <v>1422</v>
      </c>
      <c r="O102" s="2" t="s">
        <v>80</v>
      </c>
      <c r="P102" s="2" t="s">
        <v>44</v>
      </c>
    </row>
    <row r="103" spans="1:16" hidden="1">
      <c r="A103" s="2">
        <v>11179</v>
      </c>
      <c r="B103" s="2" t="s">
        <v>426</v>
      </c>
      <c r="C103" s="2" t="s">
        <v>427</v>
      </c>
      <c r="D103" s="3">
        <v>46087.913194444445</v>
      </c>
      <c r="E103" s="2" t="s">
        <v>16</v>
      </c>
      <c r="F103" s="2" t="s">
        <v>5</v>
      </c>
      <c r="G103" s="2" t="s">
        <v>34</v>
      </c>
      <c r="H103" s="2" t="s">
        <v>18</v>
      </c>
      <c r="I103" s="2" t="s">
        <v>19</v>
      </c>
      <c r="J103" s="2" t="s">
        <v>155</v>
      </c>
      <c r="K103" s="2">
        <v>1278887621.1772549</v>
      </c>
      <c r="L103" s="2" t="s">
        <v>21</v>
      </c>
      <c r="M103" s="2" t="s">
        <v>22</v>
      </c>
      <c r="N103" s="2" t="s">
        <v>428</v>
      </c>
      <c r="O103" s="2" t="s">
        <v>80</v>
      </c>
      <c r="P103" s="2" t="s">
        <v>81</v>
      </c>
    </row>
    <row r="104" spans="1:16" hidden="1">
      <c r="A104" s="2">
        <v>11476</v>
      </c>
      <c r="B104" s="2" t="s">
        <v>828</v>
      </c>
      <c r="C104" s="2" t="s">
        <v>828</v>
      </c>
      <c r="D104" s="3">
        <v>46097.625</v>
      </c>
      <c r="E104" s="2" t="s">
        <v>265</v>
      </c>
      <c r="F104" s="2" t="s">
        <v>5</v>
      </c>
      <c r="G104" s="2" t="s">
        <v>17</v>
      </c>
      <c r="H104" s="2" t="s">
        <v>96</v>
      </c>
      <c r="I104" s="2" t="s">
        <v>183</v>
      </c>
      <c r="J104" s="2" t="s">
        <v>41</v>
      </c>
      <c r="K104" s="2" t="s">
        <v>41</v>
      </c>
      <c r="L104" s="2" t="s">
        <v>21</v>
      </c>
      <c r="M104" s="2" t="s">
        <v>22</v>
      </c>
      <c r="N104" s="2" t="s">
        <v>829</v>
      </c>
      <c r="O104" s="2" t="s">
        <v>41</v>
      </c>
      <c r="P104" s="2" t="s">
        <v>99</v>
      </c>
    </row>
    <row r="105" spans="1:16" hidden="1">
      <c r="A105" s="2">
        <v>11757</v>
      </c>
      <c r="B105" s="2" t="s">
        <v>1123</v>
      </c>
      <c r="C105" s="2" t="s">
        <v>1123</v>
      </c>
      <c r="D105" s="3">
        <v>46103.770833333328</v>
      </c>
      <c r="E105" s="2" t="s">
        <v>801</v>
      </c>
      <c r="F105" s="2" t="s">
        <v>5</v>
      </c>
      <c r="G105" s="2" t="s">
        <v>27</v>
      </c>
      <c r="H105" s="2" t="s">
        <v>18</v>
      </c>
      <c r="I105" s="2" t="s">
        <v>28</v>
      </c>
      <c r="J105" s="2" t="s">
        <v>1124</v>
      </c>
      <c r="K105" s="2">
        <v>135067145.17741969</v>
      </c>
      <c r="L105" s="2" t="s">
        <v>30</v>
      </c>
      <c r="M105" s="2" t="s">
        <v>22</v>
      </c>
      <c r="N105" s="2" t="s">
        <v>1125</v>
      </c>
      <c r="O105" s="2" t="s">
        <v>41</v>
      </c>
      <c r="P105" s="2" t="s">
        <v>25</v>
      </c>
    </row>
    <row r="106" spans="1:16" hidden="1">
      <c r="A106" s="2">
        <v>11651</v>
      </c>
      <c r="B106" s="2" t="s">
        <v>997</v>
      </c>
      <c r="C106" s="2" t="s">
        <v>997</v>
      </c>
      <c r="D106" s="3">
        <v>46100.736111111109</v>
      </c>
      <c r="E106" s="2" t="s">
        <v>40</v>
      </c>
      <c r="F106" s="2" t="s">
        <v>41</v>
      </c>
      <c r="G106" s="2" t="s">
        <v>27</v>
      </c>
      <c r="H106" s="2" t="s">
        <v>18</v>
      </c>
      <c r="I106" s="2" t="s">
        <v>19</v>
      </c>
      <c r="J106" s="2" t="s">
        <v>270</v>
      </c>
      <c r="K106" s="2">
        <v>1453829654.1773934</v>
      </c>
      <c r="L106" s="2" t="s">
        <v>21</v>
      </c>
      <c r="M106" s="2" t="s">
        <v>22</v>
      </c>
      <c r="N106" s="2" t="s">
        <v>998</v>
      </c>
      <c r="O106" s="2" t="s">
        <v>41</v>
      </c>
      <c r="P106" s="2" t="s">
        <v>25</v>
      </c>
    </row>
    <row r="107" spans="1:16" hidden="1">
      <c r="A107" s="2">
        <v>10974</v>
      </c>
      <c r="B107" s="2" t="s">
        <v>112</v>
      </c>
      <c r="C107" s="2" t="s">
        <v>112</v>
      </c>
      <c r="D107" s="3">
        <v>46083.72152777778</v>
      </c>
      <c r="E107" s="2" t="s">
        <v>40</v>
      </c>
      <c r="F107" s="2" t="s">
        <v>5</v>
      </c>
      <c r="G107" s="2" t="s">
        <v>27</v>
      </c>
      <c r="H107" s="2" t="s">
        <v>18</v>
      </c>
      <c r="I107" s="2" t="s">
        <v>58</v>
      </c>
      <c r="J107" s="2" t="s">
        <v>113</v>
      </c>
      <c r="K107" s="2">
        <v>1878387263.1772463</v>
      </c>
      <c r="L107" s="2" t="s">
        <v>60</v>
      </c>
      <c r="M107" s="2" t="s">
        <v>22</v>
      </c>
      <c r="N107" s="2" t="s">
        <v>114</v>
      </c>
      <c r="O107" s="2" t="s">
        <v>41</v>
      </c>
      <c r="P107" s="2" t="s">
        <v>25</v>
      </c>
    </row>
    <row r="108" spans="1:16" hidden="1">
      <c r="A108" s="2">
        <v>11955</v>
      </c>
      <c r="B108" s="2" t="s">
        <v>1273</v>
      </c>
      <c r="C108" s="2" t="s">
        <v>1273</v>
      </c>
      <c r="D108" s="3">
        <v>46106.854166666672</v>
      </c>
      <c r="E108" s="2" t="s">
        <v>52</v>
      </c>
      <c r="F108" s="2" t="s">
        <v>181</v>
      </c>
      <c r="G108" s="2" t="s">
        <v>53</v>
      </c>
      <c r="H108" s="2" t="s">
        <v>41</v>
      </c>
      <c r="I108" s="2" t="s">
        <v>41</v>
      </c>
      <c r="J108" s="2" t="s">
        <v>41</v>
      </c>
      <c r="K108" s="2" t="s">
        <v>41</v>
      </c>
      <c r="L108" s="2" t="s">
        <v>41</v>
      </c>
      <c r="M108" s="2" t="s">
        <v>22</v>
      </c>
      <c r="N108" s="2" t="s">
        <v>1274</v>
      </c>
      <c r="O108" s="2" t="s">
        <v>41</v>
      </c>
      <c r="P108" s="2" t="s">
        <v>99</v>
      </c>
    </row>
    <row r="109" spans="1:16" hidden="1">
      <c r="A109" s="2">
        <v>11999</v>
      </c>
      <c r="B109" s="2" t="s">
        <v>1315</v>
      </c>
      <c r="C109" s="2" t="s">
        <v>1315</v>
      </c>
      <c r="D109" s="3">
        <v>46107.756944444445</v>
      </c>
      <c r="E109" s="2" t="s">
        <v>16</v>
      </c>
      <c r="F109" s="2" t="s">
        <v>5</v>
      </c>
      <c r="G109" s="2" t="s">
        <v>17</v>
      </c>
      <c r="H109" s="2" t="s">
        <v>18</v>
      </c>
      <c r="I109" s="2" t="s">
        <v>116</v>
      </c>
      <c r="J109" s="2" t="s">
        <v>1316</v>
      </c>
      <c r="K109" s="2">
        <v>678775289.1774528</v>
      </c>
      <c r="L109" s="2" t="s">
        <v>118</v>
      </c>
      <c r="M109" s="2" t="s">
        <v>22</v>
      </c>
      <c r="N109" s="2" t="s">
        <v>1317</v>
      </c>
      <c r="O109" s="2" t="s">
        <v>80</v>
      </c>
      <c r="P109" s="2" t="s">
        <v>44</v>
      </c>
    </row>
    <row r="110" spans="1:16" hidden="1">
      <c r="A110" s="2">
        <v>11558</v>
      </c>
      <c r="B110" s="2" t="s">
        <v>907</v>
      </c>
      <c r="C110" s="2" t="s">
        <v>908</v>
      </c>
      <c r="D110" s="3">
        <v>46098.856249999997</v>
      </c>
      <c r="E110" s="2" t="s">
        <v>16</v>
      </c>
      <c r="F110" s="2" t="s">
        <v>5</v>
      </c>
      <c r="G110" s="2" t="s">
        <v>34</v>
      </c>
      <c r="H110" s="2" t="s">
        <v>18</v>
      </c>
      <c r="I110" s="2" t="s">
        <v>19</v>
      </c>
      <c r="J110" s="2" t="s">
        <v>909</v>
      </c>
      <c r="K110" s="2">
        <v>1014406306.1773772</v>
      </c>
      <c r="L110" s="2" t="s">
        <v>21</v>
      </c>
      <c r="M110" s="2" t="s">
        <v>22</v>
      </c>
      <c r="N110" s="2" t="s">
        <v>910</v>
      </c>
      <c r="O110" s="2" t="s">
        <v>80</v>
      </c>
      <c r="P110" s="2" t="s">
        <v>25</v>
      </c>
    </row>
    <row r="111" spans="1:16" hidden="1">
      <c r="A111" s="2">
        <v>11576</v>
      </c>
      <c r="B111" s="2" t="s">
        <v>930</v>
      </c>
      <c r="C111" s="2" t="s">
        <v>930</v>
      </c>
      <c r="D111" s="3">
        <v>46099.021527777775</v>
      </c>
      <c r="E111" s="2" t="s">
        <v>688</v>
      </c>
      <c r="F111" s="2" t="s">
        <v>41</v>
      </c>
      <c r="G111" s="2" t="s">
        <v>27</v>
      </c>
      <c r="H111" s="2" t="s">
        <v>18</v>
      </c>
      <c r="I111" s="2" t="s">
        <v>19</v>
      </c>
      <c r="J111" s="2" t="s">
        <v>270</v>
      </c>
      <c r="K111" s="2">
        <v>1397779498.1773787</v>
      </c>
      <c r="L111" s="2" t="s">
        <v>21</v>
      </c>
      <c r="M111" s="2" t="s">
        <v>22</v>
      </c>
      <c r="N111" s="2" t="s">
        <v>931</v>
      </c>
      <c r="O111" s="2" t="s">
        <v>41</v>
      </c>
      <c r="P111" s="2" t="s">
        <v>25</v>
      </c>
    </row>
    <row r="112" spans="1:16" hidden="1">
      <c r="A112" s="2">
        <v>12071</v>
      </c>
      <c r="B112" s="2" t="s">
        <v>1401</v>
      </c>
      <c r="C112" s="2" t="s">
        <v>1401</v>
      </c>
      <c r="D112" s="3">
        <v>46110.00277777778</v>
      </c>
      <c r="E112" s="2" t="s">
        <v>1322</v>
      </c>
      <c r="F112" s="2" t="s">
        <v>5</v>
      </c>
      <c r="G112" s="2" t="s">
        <v>27</v>
      </c>
      <c r="H112" s="2" t="s">
        <v>18</v>
      </c>
      <c r="I112" s="2" t="s">
        <v>35</v>
      </c>
      <c r="J112" s="2" t="s">
        <v>1402</v>
      </c>
      <c r="K112" s="2">
        <v>572227740.1774739</v>
      </c>
      <c r="L112" s="2" t="s">
        <v>21</v>
      </c>
      <c r="M112" s="2" t="s">
        <v>22</v>
      </c>
      <c r="N112" s="2" t="s">
        <v>1403</v>
      </c>
      <c r="O112" s="2" t="s">
        <v>41</v>
      </c>
      <c r="P112" s="2" t="s">
        <v>25</v>
      </c>
    </row>
    <row r="113" spans="1:16" hidden="1">
      <c r="A113" s="2">
        <v>11186</v>
      </c>
      <c r="B113" s="2" t="s">
        <v>434</v>
      </c>
      <c r="C113" s="2" t="s">
        <v>434</v>
      </c>
      <c r="D113" s="3">
        <v>46088.645833333328</v>
      </c>
      <c r="E113" s="2" t="s">
        <v>40</v>
      </c>
      <c r="F113" s="2" t="s">
        <v>5</v>
      </c>
      <c r="G113" s="2" t="s">
        <v>17</v>
      </c>
      <c r="H113" s="2" t="s">
        <v>18</v>
      </c>
      <c r="I113" s="2" t="s">
        <v>116</v>
      </c>
      <c r="J113" s="2" t="s">
        <v>41</v>
      </c>
      <c r="K113" s="2" t="s">
        <v>41</v>
      </c>
      <c r="L113" s="2" t="s">
        <v>118</v>
      </c>
      <c r="M113" s="2" t="s">
        <v>22</v>
      </c>
      <c r="N113" s="2" t="s">
        <v>435</v>
      </c>
      <c r="O113" s="2" t="s">
        <v>41</v>
      </c>
      <c r="P113" s="2" t="s">
        <v>99</v>
      </c>
    </row>
    <row r="114" spans="1:16" hidden="1">
      <c r="A114" s="2">
        <v>11486</v>
      </c>
      <c r="B114" s="2" t="s">
        <v>840</v>
      </c>
      <c r="C114" s="2" t="s">
        <v>840</v>
      </c>
      <c r="D114" s="3">
        <v>46097.736805555556</v>
      </c>
      <c r="E114" s="2" t="s">
        <v>688</v>
      </c>
      <c r="F114" s="2" t="s">
        <v>5</v>
      </c>
      <c r="G114" s="2" t="s">
        <v>27</v>
      </c>
      <c r="H114" s="2" t="s">
        <v>18</v>
      </c>
      <c r="I114" s="2" t="s">
        <v>28</v>
      </c>
      <c r="J114" s="2" t="s">
        <v>841</v>
      </c>
      <c r="K114" s="2">
        <v>1094778208.1773674</v>
      </c>
      <c r="L114" s="2" t="s">
        <v>30</v>
      </c>
      <c r="M114" s="2" t="s">
        <v>22</v>
      </c>
      <c r="N114" s="2" t="s">
        <v>842</v>
      </c>
      <c r="O114" s="2" t="s">
        <v>41</v>
      </c>
      <c r="P114" s="2" t="s">
        <v>25</v>
      </c>
    </row>
    <row r="115" spans="1:16" hidden="1">
      <c r="A115" s="2">
        <v>11088</v>
      </c>
      <c r="B115" s="2" t="s">
        <v>272</v>
      </c>
      <c r="C115" s="2" t="s">
        <v>272</v>
      </c>
      <c r="D115" s="3">
        <v>46085.818749999999</v>
      </c>
      <c r="E115" s="2" t="s">
        <v>16</v>
      </c>
      <c r="F115" s="2" t="s">
        <v>41</v>
      </c>
      <c r="G115" s="2" t="s">
        <v>17</v>
      </c>
      <c r="H115" s="2" t="s">
        <v>54</v>
      </c>
      <c r="I115" s="2" t="s">
        <v>19</v>
      </c>
      <c r="J115" s="2" t="s">
        <v>273</v>
      </c>
      <c r="K115" s="2">
        <v>1357173501.1772647</v>
      </c>
      <c r="L115" s="2" t="s">
        <v>21</v>
      </c>
      <c r="M115" s="2" t="s">
        <v>22</v>
      </c>
      <c r="N115" s="2" t="s">
        <v>274</v>
      </c>
      <c r="O115" s="2" t="s">
        <v>24</v>
      </c>
      <c r="P115" s="2" t="s">
        <v>25</v>
      </c>
    </row>
    <row r="116" spans="1:16" hidden="1">
      <c r="A116" s="2">
        <v>11163</v>
      </c>
      <c r="B116" s="2" t="s">
        <v>395</v>
      </c>
      <c r="C116" s="2" t="s">
        <v>395</v>
      </c>
      <c r="D116" s="3">
        <v>46087.595833333333</v>
      </c>
      <c r="E116" s="2" t="s">
        <v>396</v>
      </c>
      <c r="F116" s="2" t="s">
        <v>5</v>
      </c>
      <c r="G116" s="2" t="s">
        <v>34</v>
      </c>
      <c r="H116" s="2" t="s">
        <v>18</v>
      </c>
      <c r="I116" s="2" t="s">
        <v>397</v>
      </c>
      <c r="J116" s="2" t="s">
        <v>192</v>
      </c>
      <c r="K116" s="2" t="s">
        <v>41</v>
      </c>
      <c r="L116" s="2" t="s">
        <v>21</v>
      </c>
      <c r="M116" s="2" t="s">
        <v>22</v>
      </c>
      <c r="N116" s="2" t="s">
        <v>398</v>
      </c>
      <c r="O116" s="2" t="s">
        <v>41</v>
      </c>
      <c r="P116" s="2" t="s">
        <v>81</v>
      </c>
    </row>
    <row r="117" spans="1:16" hidden="1">
      <c r="A117" s="2">
        <v>11584</v>
      </c>
      <c r="B117" s="2" t="s">
        <v>935</v>
      </c>
      <c r="C117" s="2" t="s">
        <v>936</v>
      </c>
      <c r="D117" s="3">
        <v>46099.086805555555</v>
      </c>
      <c r="E117" s="2" t="s">
        <v>688</v>
      </c>
      <c r="F117" s="2" t="s">
        <v>41</v>
      </c>
      <c r="G117" s="2" t="s">
        <v>34</v>
      </c>
      <c r="H117" s="2" t="s">
        <v>18</v>
      </c>
      <c r="I117" s="2" t="s">
        <v>19</v>
      </c>
      <c r="J117" s="2" t="s">
        <v>937</v>
      </c>
      <c r="K117" s="2">
        <v>2137921310.1773791</v>
      </c>
      <c r="L117" s="2" t="s">
        <v>21</v>
      </c>
      <c r="M117" s="2" t="s">
        <v>22</v>
      </c>
      <c r="N117" s="2" t="s">
        <v>938</v>
      </c>
      <c r="O117" s="2" t="s">
        <v>41</v>
      </c>
      <c r="P117" s="2" t="s">
        <v>25</v>
      </c>
    </row>
    <row r="118" spans="1:16" hidden="1">
      <c r="A118" s="2">
        <v>11490</v>
      </c>
      <c r="B118" s="2" t="s">
        <v>843</v>
      </c>
      <c r="C118" s="2" t="s">
        <v>843</v>
      </c>
      <c r="D118" s="3">
        <v>46097.759722222225</v>
      </c>
      <c r="E118" s="2" t="s">
        <v>40</v>
      </c>
      <c r="F118" s="2" t="s">
        <v>5</v>
      </c>
      <c r="G118" s="2" t="s">
        <v>17</v>
      </c>
      <c r="H118" s="2" t="s">
        <v>18</v>
      </c>
      <c r="I118" s="2" t="s">
        <v>844</v>
      </c>
      <c r="J118" s="2" t="s">
        <v>845</v>
      </c>
      <c r="K118" s="2">
        <v>1580450967.1773677</v>
      </c>
      <c r="L118" s="2" t="s">
        <v>118</v>
      </c>
      <c r="M118" s="2" t="s">
        <v>22</v>
      </c>
      <c r="N118" s="2" t="s">
        <v>846</v>
      </c>
      <c r="O118" s="2" t="s">
        <v>41</v>
      </c>
      <c r="P118" s="2" t="s">
        <v>44</v>
      </c>
    </row>
    <row r="119" spans="1:16" hidden="1">
      <c r="A119" s="2">
        <v>12068</v>
      </c>
      <c r="B119" s="2" t="s">
        <v>1397</v>
      </c>
      <c r="C119" s="2" t="s">
        <v>1398</v>
      </c>
      <c r="D119" s="3">
        <v>46109.80069444445</v>
      </c>
      <c r="E119" s="2" t="s">
        <v>1322</v>
      </c>
      <c r="F119" s="2" t="s">
        <v>5</v>
      </c>
      <c r="G119" s="2" t="s">
        <v>27</v>
      </c>
      <c r="H119" s="2" t="s">
        <v>18</v>
      </c>
      <c r="I119" s="2" t="s">
        <v>28</v>
      </c>
      <c r="J119" s="2" t="s">
        <v>1399</v>
      </c>
      <c r="K119" s="2">
        <v>940373398.17747176</v>
      </c>
      <c r="L119" s="2" t="s">
        <v>30</v>
      </c>
      <c r="M119" s="2" t="s">
        <v>22</v>
      </c>
      <c r="N119" s="2" t="s">
        <v>1400</v>
      </c>
      <c r="O119" s="2" t="s">
        <v>41</v>
      </c>
      <c r="P119" s="2" t="s">
        <v>25</v>
      </c>
    </row>
    <row r="120" spans="1:16" hidden="1">
      <c r="A120" s="2">
        <v>11220</v>
      </c>
      <c r="B120" s="2" t="s">
        <v>493</v>
      </c>
      <c r="C120" s="2" t="s">
        <v>493</v>
      </c>
      <c r="D120" s="3">
        <v>46090.63680555555</v>
      </c>
      <c r="E120" s="2" t="s">
        <v>16</v>
      </c>
      <c r="F120" s="2" t="s">
        <v>41</v>
      </c>
      <c r="G120" s="2" t="s">
        <v>17</v>
      </c>
      <c r="H120" s="2" t="s">
        <v>41</v>
      </c>
      <c r="I120" s="2" t="s">
        <v>41</v>
      </c>
      <c r="J120" s="2" t="s">
        <v>41</v>
      </c>
      <c r="K120" s="2" t="s">
        <v>41</v>
      </c>
      <c r="L120" s="2" t="s">
        <v>41</v>
      </c>
      <c r="M120" s="2" t="s">
        <v>88</v>
      </c>
      <c r="N120" s="2" t="s">
        <v>494</v>
      </c>
      <c r="O120" s="2" t="s">
        <v>252</v>
      </c>
      <c r="P120" s="2" t="s">
        <v>41</v>
      </c>
    </row>
    <row r="121" spans="1:16" hidden="1">
      <c r="A121" s="2">
        <v>11768</v>
      </c>
      <c r="B121" s="2" t="s">
        <v>1141</v>
      </c>
      <c r="C121" s="2" t="s">
        <v>1142</v>
      </c>
      <c r="D121" s="3">
        <v>46104.263888888891</v>
      </c>
      <c r="E121" s="2" t="s">
        <v>40</v>
      </c>
      <c r="F121" s="2" t="s">
        <v>5</v>
      </c>
      <c r="G121" s="2" t="s">
        <v>34</v>
      </c>
      <c r="H121" s="2" t="s">
        <v>18</v>
      </c>
      <c r="I121" s="2" t="s">
        <v>19</v>
      </c>
      <c r="J121" s="2" t="s">
        <v>1143</v>
      </c>
      <c r="K121" s="2">
        <v>727161031.17742395</v>
      </c>
      <c r="L121" s="2" t="s">
        <v>21</v>
      </c>
      <c r="M121" s="2" t="s">
        <v>22</v>
      </c>
      <c r="N121" s="2" t="s">
        <v>1144</v>
      </c>
      <c r="O121" s="2" t="s">
        <v>41</v>
      </c>
      <c r="P121" s="2" t="s">
        <v>25</v>
      </c>
    </row>
    <row r="122" spans="1:16" hidden="1">
      <c r="A122" s="2">
        <v>10925</v>
      </c>
      <c r="B122" s="2" t="s">
        <v>32</v>
      </c>
      <c r="C122" s="2" t="s">
        <v>33</v>
      </c>
      <c r="D122" s="3">
        <v>46082.288888888885</v>
      </c>
      <c r="E122" s="2" t="s">
        <v>16</v>
      </c>
      <c r="F122" s="2" t="s">
        <v>5</v>
      </c>
      <c r="G122" s="2" t="s">
        <v>34</v>
      </c>
      <c r="H122" s="2" t="s">
        <v>18</v>
      </c>
      <c r="I122" s="2" t="s">
        <v>35</v>
      </c>
      <c r="J122" s="2" t="s">
        <v>36</v>
      </c>
      <c r="K122" s="2">
        <v>730232122.17723405</v>
      </c>
      <c r="L122" s="2" t="s">
        <v>21</v>
      </c>
      <c r="M122" s="2" t="s">
        <v>22</v>
      </c>
      <c r="N122" s="2" t="s">
        <v>37</v>
      </c>
      <c r="O122" s="2" t="s">
        <v>24</v>
      </c>
      <c r="P122" s="2" t="s">
        <v>25</v>
      </c>
    </row>
    <row r="123" spans="1:16" hidden="1">
      <c r="A123" s="2">
        <v>12065</v>
      </c>
      <c r="B123" s="2" t="s">
        <v>1390</v>
      </c>
      <c r="C123" s="2" t="s">
        <v>1390</v>
      </c>
      <c r="D123" s="3">
        <v>46109.647916666669</v>
      </c>
      <c r="E123" s="2" t="s">
        <v>16</v>
      </c>
      <c r="F123" s="2" t="s">
        <v>181</v>
      </c>
      <c r="G123" s="2" t="s">
        <v>34</v>
      </c>
      <c r="H123" s="2" t="s">
        <v>18</v>
      </c>
      <c r="I123" s="2" t="s">
        <v>1391</v>
      </c>
      <c r="J123" s="2" t="s">
        <v>1392</v>
      </c>
      <c r="K123" s="2">
        <v>1343032104.1774704</v>
      </c>
      <c r="L123" s="2" t="s">
        <v>118</v>
      </c>
      <c r="M123" s="2" t="s">
        <v>22</v>
      </c>
      <c r="N123" s="2" t="s">
        <v>1393</v>
      </c>
      <c r="O123" s="2" t="s">
        <v>252</v>
      </c>
      <c r="P123" s="2" t="s">
        <v>25</v>
      </c>
    </row>
    <row r="124" spans="1:16" hidden="1">
      <c r="A124" s="2">
        <v>11781</v>
      </c>
      <c r="B124" s="2" t="s">
        <v>1156</v>
      </c>
      <c r="C124" s="2" t="s">
        <v>1156</v>
      </c>
      <c r="D124" s="3">
        <v>46104.604166666672</v>
      </c>
      <c r="E124" s="2" t="s">
        <v>1012</v>
      </c>
      <c r="F124" s="2" t="s">
        <v>5</v>
      </c>
      <c r="G124" s="2" t="s">
        <v>17</v>
      </c>
      <c r="H124" s="2" t="s">
        <v>96</v>
      </c>
      <c r="I124" s="2" t="s">
        <v>41</v>
      </c>
      <c r="J124" s="2" t="s">
        <v>41</v>
      </c>
      <c r="K124" s="2" t="s">
        <v>41</v>
      </c>
      <c r="L124" s="2" t="s">
        <v>21</v>
      </c>
      <c r="M124" s="2" t="s">
        <v>22</v>
      </c>
      <c r="N124" s="2" t="s">
        <v>1157</v>
      </c>
      <c r="O124" s="2" t="s">
        <v>41</v>
      </c>
      <c r="P124" s="2" t="s">
        <v>99</v>
      </c>
    </row>
    <row r="125" spans="1:16" hidden="1">
      <c r="A125" s="2">
        <v>11704</v>
      </c>
      <c r="B125" s="2" t="s">
        <v>1062</v>
      </c>
      <c r="C125" s="2" t="s">
        <v>1063</v>
      </c>
      <c r="D125" s="3">
        <v>46102.080555555556</v>
      </c>
      <c r="E125" s="2" t="s">
        <v>121</v>
      </c>
      <c r="F125" s="2" t="s">
        <v>5</v>
      </c>
      <c r="G125" s="2" t="s">
        <v>17</v>
      </c>
      <c r="H125" s="2" t="s">
        <v>54</v>
      </c>
      <c r="I125" s="2" t="s">
        <v>19</v>
      </c>
      <c r="J125" s="2" t="s">
        <v>1064</v>
      </c>
      <c r="K125" s="2">
        <v>1266079461.177093</v>
      </c>
      <c r="L125" s="2" t="s">
        <v>21</v>
      </c>
      <c r="M125" s="2" t="s">
        <v>22</v>
      </c>
      <c r="N125" s="2" t="s">
        <v>1065</v>
      </c>
      <c r="O125" s="2" t="s">
        <v>41</v>
      </c>
      <c r="P125" s="2" t="s">
        <v>25</v>
      </c>
    </row>
    <row r="126" spans="1:16" hidden="1">
      <c r="A126" s="2">
        <v>11182</v>
      </c>
      <c r="B126" s="2" t="s">
        <v>431</v>
      </c>
      <c r="C126" s="2" t="s">
        <v>431</v>
      </c>
      <c r="D126" s="3">
        <v>46088.099305555559</v>
      </c>
      <c r="E126" s="2" t="s">
        <v>16</v>
      </c>
      <c r="F126" s="2" t="s">
        <v>5</v>
      </c>
      <c r="G126" s="2" t="s">
        <v>17</v>
      </c>
      <c r="H126" s="2" t="s">
        <v>46</v>
      </c>
      <c r="I126" s="2" t="s">
        <v>140</v>
      </c>
      <c r="J126" s="2" t="s">
        <v>432</v>
      </c>
      <c r="K126" s="2">
        <v>1685278434.1772842</v>
      </c>
      <c r="L126" s="2" t="s">
        <v>21</v>
      </c>
      <c r="M126" s="2" t="s">
        <v>49</v>
      </c>
      <c r="N126" s="2" t="s">
        <v>433</v>
      </c>
      <c r="O126" s="2" t="s">
        <v>24</v>
      </c>
      <c r="P126" s="2" t="s">
        <v>25</v>
      </c>
    </row>
    <row r="127" spans="1:16" hidden="1">
      <c r="A127" s="2">
        <v>11435</v>
      </c>
      <c r="B127" s="2" t="s">
        <v>767</v>
      </c>
      <c r="C127" s="2" t="s">
        <v>768</v>
      </c>
      <c r="D127" s="3">
        <v>46096.795138888891</v>
      </c>
      <c r="E127" s="2" t="s">
        <v>16</v>
      </c>
      <c r="F127" s="2" t="s">
        <v>5</v>
      </c>
      <c r="G127" s="2" t="s">
        <v>34</v>
      </c>
      <c r="H127" s="2" t="s">
        <v>18</v>
      </c>
      <c r="I127" s="2" t="s">
        <v>19</v>
      </c>
      <c r="J127" s="2" t="s">
        <v>738</v>
      </c>
      <c r="K127" s="2">
        <v>40105164.17735941</v>
      </c>
      <c r="L127" s="2" t="s">
        <v>21</v>
      </c>
      <c r="M127" s="2" t="s">
        <v>22</v>
      </c>
      <c r="N127" s="2" t="s">
        <v>769</v>
      </c>
      <c r="O127" s="2" t="s">
        <v>80</v>
      </c>
      <c r="P127" s="2" t="s">
        <v>44</v>
      </c>
    </row>
    <row r="128" spans="1:16" hidden="1">
      <c r="A128" s="2">
        <v>10980</v>
      </c>
      <c r="B128" s="2" t="s">
        <v>115</v>
      </c>
      <c r="C128" s="2" t="s">
        <v>115</v>
      </c>
      <c r="D128" s="3">
        <v>46083.822916666672</v>
      </c>
      <c r="E128" s="2" t="s">
        <v>40</v>
      </c>
      <c r="F128" s="2" t="s">
        <v>5</v>
      </c>
      <c r="G128" s="2" t="s">
        <v>17</v>
      </c>
      <c r="H128" s="2" t="s">
        <v>18</v>
      </c>
      <c r="I128" s="2" t="s">
        <v>116</v>
      </c>
      <c r="J128" s="2" t="s">
        <v>117</v>
      </c>
      <c r="K128" s="2">
        <v>1676514517.1772473</v>
      </c>
      <c r="L128" s="2" t="s">
        <v>118</v>
      </c>
      <c r="M128" s="2" t="s">
        <v>22</v>
      </c>
      <c r="N128" s="2" t="s">
        <v>119</v>
      </c>
      <c r="O128" s="2" t="s">
        <v>41</v>
      </c>
      <c r="P128" s="2" t="s">
        <v>44</v>
      </c>
    </row>
    <row r="129" spans="1:16" hidden="1">
      <c r="A129" s="2">
        <v>11515</v>
      </c>
      <c r="B129" s="2" t="s">
        <v>878</v>
      </c>
      <c r="C129" s="2" t="s">
        <v>879</v>
      </c>
      <c r="D129" s="3">
        <v>46098.075694444444</v>
      </c>
      <c r="E129" s="2" t="s">
        <v>40</v>
      </c>
      <c r="F129" s="2" t="s">
        <v>5</v>
      </c>
      <c r="G129" s="2" t="s">
        <v>34</v>
      </c>
      <c r="H129" s="2" t="s">
        <v>18</v>
      </c>
      <c r="I129" s="2" t="s">
        <v>19</v>
      </c>
      <c r="J129" s="2" t="s">
        <v>880</v>
      </c>
      <c r="K129" s="2">
        <v>1428780200.1773705</v>
      </c>
      <c r="L129" s="2" t="s">
        <v>21</v>
      </c>
      <c r="M129" s="2" t="s">
        <v>22</v>
      </c>
      <c r="N129" s="2" t="s">
        <v>881</v>
      </c>
      <c r="O129" s="2" t="s">
        <v>41</v>
      </c>
      <c r="P129" s="2" t="s">
        <v>25</v>
      </c>
    </row>
    <row r="130" spans="1:16" hidden="1">
      <c r="A130" s="2">
        <v>11189</v>
      </c>
      <c r="B130" s="2" t="s">
        <v>440</v>
      </c>
      <c r="C130" s="2" t="s">
        <v>440</v>
      </c>
      <c r="D130" s="3">
        <v>46088.791666666672</v>
      </c>
      <c r="E130" s="2" t="s">
        <v>16</v>
      </c>
      <c r="F130" s="2" t="s">
        <v>181</v>
      </c>
      <c r="G130" s="2" t="s">
        <v>34</v>
      </c>
      <c r="H130" s="2" t="s">
        <v>41</v>
      </c>
      <c r="I130" s="2" t="s">
        <v>41</v>
      </c>
      <c r="J130" s="2" t="s">
        <v>41</v>
      </c>
      <c r="K130" s="2" t="s">
        <v>41</v>
      </c>
      <c r="L130" s="2" t="s">
        <v>41</v>
      </c>
      <c r="M130" s="2" t="s">
        <v>22</v>
      </c>
      <c r="N130" s="2" t="s">
        <v>441</v>
      </c>
      <c r="O130" s="2" t="s">
        <v>252</v>
      </c>
      <c r="P130" s="2" t="s">
        <v>99</v>
      </c>
    </row>
    <row r="131" spans="1:16" hidden="1">
      <c r="A131" s="2">
        <v>11162</v>
      </c>
      <c r="B131" s="2" t="s">
        <v>390</v>
      </c>
      <c r="C131" s="2" t="s">
        <v>390</v>
      </c>
      <c r="D131" s="3">
        <v>46087.545138888891</v>
      </c>
      <c r="E131" s="2" t="s">
        <v>40</v>
      </c>
      <c r="F131" s="2" t="s">
        <v>5</v>
      </c>
      <c r="G131" s="2" t="s">
        <v>17</v>
      </c>
      <c r="H131" s="2" t="s">
        <v>96</v>
      </c>
      <c r="I131" s="2" t="s">
        <v>391</v>
      </c>
      <c r="J131" s="2" t="s">
        <v>392</v>
      </c>
      <c r="K131" s="2">
        <v>474589495.17727941</v>
      </c>
      <c r="L131" s="2" t="s">
        <v>21</v>
      </c>
      <c r="M131" s="2" t="s">
        <v>22</v>
      </c>
      <c r="N131" s="2" t="s">
        <v>393</v>
      </c>
      <c r="O131" s="2" t="s">
        <v>41</v>
      </c>
      <c r="P131" s="2" t="s">
        <v>394</v>
      </c>
    </row>
    <row r="132" spans="1:16" hidden="1">
      <c r="A132" s="2">
        <v>11126</v>
      </c>
      <c r="B132" s="2" t="s">
        <v>331</v>
      </c>
      <c r="C132" s="2" t="s">
        <v>331</v>
      </c>
      <c r="D132" s="3">
        <v>46086.679166666669</v>
      </c>
      <c r="E132" s="2" t="s">
        <v>40</v>
      </c>
      <c r="F132" s="2" t="s">
        <v>5</v>
      </c>
      <c r="G132" s="2" t="s">
        <v>27</v>
      </c>
      <c r="H132" s="2" t="s">
        <v>18</v>
      </c>
      <c r="I132" s="2" t="s">
        <v>28</v>
      </c>
      <c r="J132" s="2" t="s">
        <v>332</v>
      </c>
      <c r="K132" s="2">
        <v>1807698442.1772647</v>
      </c>
      <c r="L132" s="2" t="s">
        <v>30</v>
      </c>
      <c r="M132" s="2" t="s">
        <v>22</v>
      </c>
      <c r="N132" s="2" t="s">
        <v>333</v>
      </c>
      <c r="O132" s="2" t="s">
        <v>41</v>
      </c>
      <c r="P132" s="2" t="s">
        <v>25</v>
      </c>
    </row>
    <row r="133" spans="1:16" hidden="1">
      <c r="A133" s="2">
        <v>11604</v>
      </c>
      <c r="B133" s="2" t="s">
        <v>945</v>
      </c>
      <c r="C133" s="2" t="s">
        <v>945</v>
      </c>
      <c r="D133" s="3">
        <v>46099.588194444441</v>
      </c>
      <c r="E133" s="2" t="s">
        <v>40</v>
      </c>
      <c r="F133" s="2" t="s">
        <v>5</v>
      </c>
      <c r="G133" s="2" t="s">
        <v>27</v>
      </c>
      <c r="H133" s="2" t="s">
        <v>18</v>
      </c>
      <c r="I133" s="2" t="s">
        <v>162</v>
      </c>
      <c r="J133" s="2" t="s">
        <v>946</v>
      </c>
      <c r="K133" s="2">
        <v>628125208.17738354</v>
      </c>
      <c r="L133" s="2" t="s">
        <v>21</v>
      </c>
      <c r="M133" s="2" t="s">
        <v>22</v>
      </c>
      <c r="N133" s="2" t="s">
        <v>947</v>
      </c>
      <c r="O133" s="2" t="s">
        <v>41</v>
      </c>
      <c r="P133" s="2" t="s">
        <v>25</v>
      </c>
    </row>
    <row r="134" spans="1:16" hidden="1">
      <c r="A134" s="2">
        <v>11580</v>
      </c>
      <c r="B134" s="2" t="s">
        <v>932</v>
      </c>
      <c r="C134" s="2" t="s">
        <v>932</v>
      </c>
      <c r="D134" s="3">
        <v>46099.061805555553</v>
      </c>
      <c r="E134" s="2" t="s">
        <v>396</v>
      </c>
      <c r="F134" s="2" t="s">
        <v>5</v>
      </c>
      <c r="G134" s="2" t="s">
        <v>27</v>
      </c>
      <c r="H134" s="2" t="s">
        <v>18</v>
      </c>
      <c r="I134" s="2" t="s">
        <v>28</v>
      </c>
      <c r="J134" s="2" t="s">
        <v>933</v>
      </c>
      <c r="K134" s="2">
        <v>1729731938.1773789</v>
      </c>
      <c r="L134" s="2" t="s">
        <v>30</v>
      </c>
      <c r="M134" s="2" t="s">
        <v>22</v>
      </c>
      <c r="N134" s="2" t="s">
        <v>934</v>
      </c>
      <c r="O134" s="2" t="s">
        <v>41</v>
      </c>
      <c r="P134" s="2" t="s">
        <v>25</v>
      </c>
    </row>
    <row r="135" spans="1:16" hidden="1">
      <c r="A135" s="2">
        <v>10983</v>
      </c>
      <c r="B135" s="2" t="s">
        <v>127</v>
      </c>
      <c r="C135" s="2" t="s">
        <v>127</v>
      </c>
      <c r="D135" s="3">
        <v>46083.985416666663</v>
      </c>
      <c r="E135" s="2" t="s">
        <v>121</v>
      </c>
      <c r="F135" s="2" t="s">
        <v>41</v>
      </c>
      <c r="G135" s="2" t="s">
        <v>34</v>
      </c>
      <c r="H135" s="2" t="s">
        <v>18</v>
      </c>
      <c r="I135" s="2" t="s">
        <v>19</v>
      </c>
      <c r="J135" s="2" t="s">
        <v>128</v>
      </c>
      <c r="K135" s="2">
        <v>1858989452.1772487</v>
      </c>
      <c r="L135" s="2" t="s">
        <v>21</v>
      </c>
      <c r="M135" s="2" t="s">
        <v>22</v>
      </c>
      <c r="N135" s="2" t="s">
        <v>129</v>
      </c>
      <c r="O135" s="2" t="s">
        <v>41</v>
      </c>
      <c r="P135" s="2" t="s">
        <v>25</v>
      </c>
    </row>
    <row r="136" spans="1:16" hidden="1">
      <c r="A136" s="2">
        <v>10966</v>
      </c>
      <c r="B136" s="2" t="s">
        <v>89</v>
      </c>
      <c r="C136" s="2" t="s">
        <v>89</v>
      </c>
      <c r="D136" s="3">
        <v>46083.552083333328</v>
      </c>
      <c r="E136" s="2" t="s">
        <v>90</v>
      </c>
      <c r="F136" s="2" t="s">
        <v>5</v>
      </c>
      <c r="G136" s="2" t="s">
        <v>34</v>
      </c>
      <c r="H136" s="2" t="s">
        <v>91</v>
      </c>
      <c r="I136" s="2" t="s">
        <v>92</v>
      </c>
      <c r="J136" s="2" t="s">
        <v>93</v>
      </c>
      <c r="K136" s="2">
        <v>1572628889.1772449</v>
      </c>
      <c r="L136" s="2" t="s">
        <v>21</v>
      </c>
      <c r="M136" s="2" t="s">
        <v>49</v>
      </c>
      <c r="N136" s="2" t="s">
        <v>94</v>
      </c>
      <c r="O136" s="2" t="s">
        <v>41</v>
      </c>
      <c r="P136" s="2" t="s">
        <v>81</v>
      </c>
    </row>
    <row r="137" spans="1:16" hidden="1">
      <c r="A137" s="2">
        <v>11257</v>
      </c>
      <c r="B137" s="2" t="s">
        <v>549</v>
      </c>
      <c r="C137" s="2" t="s">
        <v>549</v>
      </c>
      <c r="D137" s="3">
        <v>46091.615277777775</v>
      </c>
      <c r="E137" s="2" t="s">
        <v>52</v>
      </c>
      <c r="F137" s="2" t="s">
        <v>41</v>
      </c>
      <c r="G137" s="2" t="s">
        <v>53</v>
      </c>
      <c r="H137" s="2" t="s">
        <v>41</v>
      </c>
      <c r="I137" s="2" t="s">
        <v>41</v>
      </c>
      <c r="J137" s="2" t="s">
        <v>41</v>
      </c>
      <c r="K137" s="2" t="s">
        <v>41</v>
      </c>
      <c r="L137" s="2" t="s">
        <v>41</v>
      </c>
      <c r="M137" s="2" t="s">
        <v>88</v>
      </c>
      <c r="N137" s="2" t="s">
        <v>550</v>
      </c>
      <c r="O137" s="2" t="s">
        <v>41</v>
      </c>
      <c r="P137" s="2" t="s">
        <v>41</v>
      </c>
    </row>
    <row r="138" spans="1:16" hidden="1">
      <c r="A138" s="2">
        <v>11705</v>
      </c>
      <c r="B138" s="2" t="s">
        <v>1066</v>
      </c>
      <c r="C138" s="2" t="s">
        <v>1066</v>
      </c>
      <c r="D138" s="3">
        <v>46102.137499999997</v>
      </c>
      <c r="E138" s="2" t="s">
        <v>801</v>
      </c>
      <c r="F138" s="2" t="s">
        <v>5</v>
      </c>
      <c r="G138" s="2" t="s">
        <v>27</v>
      </c>
      <c r="H138" s="2" t="s">
        <v>18</v>
      </c>
      <c r="I138" s="2" t="s">
        <v>35</v>
      </c>
      <c r="J138" s="2" t="s">
        <v>1067</v>
      </c>
      <c r="K138" s="2">
        <v>149165549.17740557</v>
      </c>
      <c r="L138" s="2" t="s">
        <v>21</v>
      </c>
      <c r="M138" s="2" t="s">
        <v>22</v>
      </c>
      <c r="N138" s="2" t="s">
        <v>1068</v>
      </c>
      <c r="O138" s="2" t="s">
        <v>41</v>
      </c>
      <c r="P138" s="2" t="s">
        <v>25</v>
      </c>
    </row>
    <row r="139" spans="1:16" hidden="1">
      <c r="A139" s="2">
        <v>11190</v>
      </c>
      <c r="B139" s="2" t="s">
        <v>442</v>
      </c>
      <c r="C139" s="2" t="s">
        <v>442</v>
      </c>
      <c r="D139" s="3">
        <v>46088.825694444444</v>
      </c>
      <c r="E139" s="2" t="s">
        <v>52</v>
      </c>
      <c r="F139" s="2" t="s">
        <v>41</v>
      </c>
      <c r="G139" s="2" t="s">
        <v>53</v>
      </c>
      <c r="H139" s="2" t="s">
        <v>443</v>
      </c>
      <c r="I139" s="2" t="s">
        <v>530</v>
      </c>
      <c r="J139" s="2" t="s">
        <v>41</v>
      </c>
      <c r="K139" s="2" t="s">
        <v>41</v>
      </c>
      <c r="L139" s="2" t="s">
        <v>41</v>
      </c>
      <c r="M139" s="2" t="s">
        <v>22</v>
      </c>
      <c r="N139" s="2" t="s">
        <v>444</v>
      </c>
      <c r="O139" s="2" t="s">
        <v>41</v>
      </c>
      <c r="P139" s="2" t="s">
        <v>56</v>
      </c>
    </row>
    <row r="140" spans="1:16" hidden="1">
      <c r="A140" s="2">
        <v>11805</v>
      </c>
      <c r="B140" s="2" t="s">
        <v>1184</v>
      </c>
      <c r="C140" s="2" t="s">
        <v>1184</v>
      </c>
      <c r="D140" s="3">
        <v>46104.798611111109</v>
      </c>
      <c r="E140" s="2" t="s">
        <v>801</v>
      </c>
      <c r="F140" s="2" t="s">
        <v>5</v>
      </c>
      <c r="G140" s="2" t="s">
        <v>27</v>
      </c>
      <c r="H140" s="2" t="s">
        <v>18</v>
      </c>
      <c r="I140" s="2" t="s">
        <v>28</v>
      </c>
      <c r="J140" s="2" t="s">
        <v>110</v>
      </c>
      <c r="K140" s="2">
        <v>213807751.17742857</v>
      </c>
      <c r="L140" s="2" t="s">
        <v>30</v>
      </c>
      <c r="M140" s="2" t="s">
        <v>22</v>
      </c>
      <c r="N140" s="2" t="s">
        <v>1185</v>
      </c>
      <c r="O140" s="2" t="s">
        <v>41</v>
      </c>
      <c r="P140" s="2" t="s">
        <v>25</v>
      </c>
    </row>
    <row r="141" spans="1:16" hidden="1">
      <c r="A141" s="2">
        <v>11789</v>
      </c>
      <c r="B141" s="2" t="s">
        <v>1164</v>
      </c>
      <c r="C141" s="2" t="s">
        <v>1164</v>
      </c>
      <c r="D141" s="3">
        <v>46104.65347222222</v>
      </c>
      <c r="E141" s="2" t="s">
        <v>801</v>
      </c>
      <c r="F141" s="2" t="s">
        <v>5</v>
      </c>
      <c r="G141" s="2" t="s">
        <v>27</v>
      </c>
      <c r="H141" s="2" t="s">
        <v>18</v>
      </c>
      <c r="I141" s="2" t="s">
        <v>183</v>
      </c>
      <c r="J141" s="2" t="s">
        <v>1165</v>
      </c>
      <c r="K141" s="2">
        <v>1952548634.1774273</v>
      </c>
      <c r="L141" s="2" t="s">
        <v>21</v>
      </c>
      <c r="M141" s="2" t="s">
        <v>22</v>
      </c>
      <c r="N141" s="2" t="s">
        <v>1166</v>
      </c>
      <c r="O141" s="2" t="s">
        <v>41</v>
      </c>
      <c r="P141" s="2" t="s">
        <v>25</v>
      </c>
    </row>
    <row r="142" spans="1:16" hidden="1">
      <c r="A142" s="2">
        <v>11192</v>
      </c>
      <c r="B142" s="2" t="s">
        <v>445</v>
      </c>
      <c r="C142" s="2" t="s">
        <v>446</v>
      </c>
      <c r="D142" s="3">
        <v>46088.888888888891</v>
      </c>
      <c r="E142" s="2" t="s">
        <v>16</v>
      </c>
      <c r="F142" s="2" t="s">
        <v>5</v>
      </c>
      <c r="G142" s="2" t="s">
        <v>34</v>
      </c>
      <c r="H142" s="2" t="s">
        <v>18</v>
      </c>
      <c r="I142" s="2" t="s">
        <v>19</v>
      </c>
      <c r="J142" s="2" t="s">
        <v>270</v>
      </c>
      <c r="K142" s="2">
        <v>524783149.1772911</v>
      </c>
      <c r="L142" s="2" t="s">
        <v>21</v>
      </c>
      <c r="M142" s="2" t="s">
        <v>22</v>
      </c>
      <c r="N142" s="2" t="s">
        <v>447</v>
      </c>
      <c r="O142" s="2" t="s">
        <v>24</v>
      </c>
      <c r="P142" s="2" t="s">
        <v>25</v>
      </c>
    </row>
    <row r="143" spans="1:16" hidden="1">
      <c r="A143" s="2">
        <v>11447</v>
      </c>
      <c r="B143" s="2" t="s">
        <v>797</v>
      </c>
      <c r="C143" s="2" t="s">
        <v>797</v>
      </c>
      <c r="D143" s="3">
        <v>46097.279166666667</v>
      </c>
      <c r="E143" s="2" t="s">
        <v>90</v>
      </c>
      <c r="F143" s="2" t="s">
        <v>5</v>
      </c>
      <c r="G143" s="2" t="s">
        <v>34</v>
      </c>
      <c r="H143" s="2" t="s">
        <v>91</v>
      </c>
      <c r="I143" s="2" t="s">
        <v>68</v>
      </c>
      <c r="J143" s="2" t="s">
        <v>798</v>
      </c>
      <c r="K143" s="2">
        <v>1315156661.1773636</v>
      </c>
      <c r="L143" s="2" t="s">
        <v>21</v>
      </c>
      <c r="M143" s="2" t="s">
        <v>49</v>
      </c>
      <c r="N143" s="2" t="s">
        <v>799</v>
      </c>
      <c r="O143" s="2" t="s">
        <v>41</v>
      </c>
      <c r="P143" s="2" t="s">
        <v>175</v>
      </c>
    </row>
    <row r="144" spans="1:16" hidden="1">
      <c r="A144" s="2">
        <v>12115</v>
      </c>
      <c r="B144" s="2" t="s">
        <v>1446</v>
      </c>
      <c r="C144" s="2" t="s">
        <v>1446</v>
      </c>
      <c r="D144" s="3">
        <v>46111.65347222222</v>
      </c>
      <c r="E144" s="2" t="s">
        <v>1322</v>
      </c>
      <c r="F144" s="2" t="s">
        <v>5</v>
      </c>
      <c r="G144" s="2" t="s">
        <v>27</v>
      </c>
      <c r="H144" s="2" t="s">
        <v>18</v>
      </c>
      <c r="I144" s="2" t="s">
        <v>28</v>
      </c>
      <c r="J144" s="2" t="s">
        <v>1447</v>
      </c>
      <c r="K144" s="2">
        <v>1765353461.1774874</v>
      </c>
      <c r="L144" s="2" t="s">
        <v>30</v>
      </c>
      <c r="M144" s="2" t="s">
        <v>22</v>
      </c>
      <c r="N144" s="2" t="s">
        <v>1448</v>
      </c>
      <c r="O144" s="2" t="s">
        <v>41</v>
      </c>
      <c r="P144" s="2" t="s">
        <v>25</v>
      </c>
    </row>
    <row r="145" spans="1:16" hidden="1">
      <c r="A145" s="2">
        <v>11747</v>
      </c>
      <c r="B145" s="2" t="s">
        <v>1107</v>
      </c>
      <c r="C145" s="2" t="s">
        <v>1107</v>
      </c>
      <c r="D145" s="3">
        <v>46103.618750000001</v>
      </c>
      <c r="E145" s="2" t="s">
        <v>180</v>
      </c>
      <c r="F145" s="2" t="s">
        <v>5</v>
      </c>
      <c r="G145" s="2" t="s">
        <v>17</v>
      </c>
      <c r="H145" s="2" t="s">
        <v>46</v>
      </c>
      <c r="I145" s="2" t="s">
        <v>667</v>
      </c>
      <c r="J145" s="2" t="s">
        <v>1108</v>
      </c>
      <c r="K145" s="2">
        <v>1738523209.1774185</v>
      </c>
      <c r="L145" s="2" t="s">
        <v>21</v>
      </c>
      <c r="M145" s="2" t="s">
        <v>49</v>
      </c>
      <c r="N145" s="2" t="s">
        <v>1109</v>
      </c>
      <c r="O145" s="2" t="s">
        <v>41</v>
      </c>
      <c r="P145" s="2" t="s">
        <v>25</v>
      </c>
    </row>
    <row r="146" spans="1:16" hidden="1">
      <c r="A146" s="2">
        <v>11171</v>
      </c>
      <c r="B146" s="2" t="s">
        <v>402</v>
      </c>
      <c r="C146" s="2" t="s">
        <v>402</v>
      </c>
      <c r="D146" s="3">
        <v>46087.773611111115</v>
      </c>
      <c r="E146" s="2" t="s">
        <v>40</v>
      </c>
      <c r="F146" s="2" t="s">
        <v>5</v>
      </c>
      <c r="G146" s="2" t="s">
        <v>27</v>
      </c>
      <c r="H146" s="2" t="s">
        <v>18</v>
      </c>
      <c r="I146" s="2" t="s">
        <v>28</v>
      </c>
      <c r="J146" s="2" t="s">
        <v>403</v>
      </c>
      <c r="K146" s="2">
        <v>903324300.1772815</v>
      </c>
      <c r="L146" s="2" t="s">
        <v>30</v>
      </c>
      <c r="M146" s="2" t="s">
        <v>22</v>
      </c>
      <c r="N146" s="2" t="s">
        <v>404</v>
      </c>
      <c r="O146" s="2" t="s">
        <v>41</v>
      </c>
      <c r="P146" s="2" t="s">
        <v>25</v>
      </c>
    </row>
    <row r="147" spans="1:16" hidden="1">
      <c r="A147" s="2">
        <v>11404</v>
      </c>
      <c r="B147" s="2" t="s">
        <v>714</v>
      </c>
      <c r="C147" s="2" t="s">
        <v>714</v>
      </c>
      <c r="D147" s="3">
        <v>46095.595833333333</v>
      </c>
      <c r="E147" s="2" t="s">
        <v>52</v>
      </c>
      <c r="F147" s="2" t="s">
        <v>5</v>
      </c>
      <c r="G147" s="2" t="s">
        <v>53</v>
      </c>
      <c r="H147" s="2" t="s">
        <v>443</v>
      </c>
      <c r="I147" s="2" t="s">
        <v>597</v>
      </c>
      <c r="J147" s="2" t="s">
        <v>715</v>
      </c>
      <c r="K147" s="2">
        <v>1855355063.1773489</v>
      </c>
      <c r="L147" s="2" t="s">
        <v>21</v>
      </c>
      <c r="M147" s="2" t="s">
        <v>22</v>
      </c>
      <c r="N147" s="2" t="s">
        <v>716</v>
      </c>
      <c r="O147" s="2" t="s">
        <v>41</v>
      </c>
      <c r="P147" s="2" t="s">
        <v>44</v>
      </c>
    </row>
    <row r="148" spans="1:16" hidden="1">
      <c r="A148" s="2">
        <v>12056</v>
      </c>
      <c r="B148" s="2" t="s">
        <v>1380</v>
      </c>
      <c r="C148" s="2" t="s">
        <v>1380</v>
      </c>
      <c r="D148" s="3">
        <v>46109.291666666672</v>
      </c>
      <c r="E148" s="2" t="s">
        <v>52</v>
      </c>
      <c r="F148" s="2" t="s">
        <v>41</v>
      </c>
      <c r="G148" s="2" t="s">
        <v>53</v>
      </c>
      <c r="H148" s="2" t="s">
        <v>443</v>
      </c>
      <c r="I148" s="2" t="s">
        <v>97</v>
      </c>
      <c r="J148" s="2" t="s">
        <v>41</v>
      </c>
      <c r="K148" s="2" t="s">
        <v>41</v>
      </c>
      <c r="L148" s="2" t="s">
        <v>21</v>
      </c>
      <c r="M148" s="2" t="s">
        <v>22</v>
      </c>
      <c r="N148" s="2" t="s">
        <v>1381</v>
      </c>
      <c r="O148" s="2" t="s">
        <v>41</v>
      </c>
      <c r="P148" s="2" t="s">
        <v>99</v>
      </c>
    </row>
    <row r="149" spans="1:16" hidden="1">
      <c r="A149" s="2">
        <v>11427</v>
      </c>
      <c r="B149" s="2" t="s">
        <v>748</v>
      </c>
      <c r="C149" s="2" t="s">
        <v>748</v>
      </c>
      <c r="D149" s="3">
        <v>46096.561805555553</v>
      </c>
      <c r="E149" s="2" t="s">
        <v>16</v>
      </c>
      <c r="F149" s="2" t="s">
        <v>41</v>
      </c>
      <c r="G149" s="2" t="s">
        <v>17</v>
      </c>
      <c r="H149" s="2" t="s">
        <v>46</v>
      </c>
      <c r="I149" s="2" t="s">
        <v>374</v>
      </c>
      <c r="J149" s="2" t="s">
        <v>749</v>
      </c>
      <c r="K149" s="2">
        <v>983108925.17734933</v>
      </c>
      <c r="L149" s="2" t="s">
        <v>21</v>
      </c>
      <c r="M149" s="2" t="s">
        <v>49</v>
      </c>
      <c r="N149" s="2" t="s">
        <v>750</v>
      </c>
      <c r="O149" s="2" t="s">
        <v>24</v>
      </c>
      <c r="P149" s="2" t="s">
        <v>25</v>
      </c>
    </row>
    <row r="150" spans="1:16" hidden="1">
      <c r="A150" s="2">
        <v>11229</v>
      </c>
      <c r="B150" s="2" t="s">
        <v>508</v>
      </c>
      <c r="C150" s="2" t="s">
        <v>509</v>
      </c>
      <c r="D150" s="3">
        <v>46090.786805555559</v>
      </c>
      <c r="E150" s="2" t="s">
        <v>16</v>
      </c>
      <c r="F150" s="2" t="s">
        <v>5</v>
      </c>
      <c r="G150" s="2" t="s">
        <v>34</v>
      </c>
      <c r="H150" s="2" t="s">
        <v>18</v>
      </c>
      <c r="I150" s="2" t="s">
        <v>19</v>
      </c>
      <c r="J150" s="2" t="s">
        <v>510</v>
      </c>
      <c r="K150" s="2">
        <v>1959797460.1773076</v>
      </c>
      <c r="L150" s="2" t="s">
        <v>21</v>
      </c>
      <c r="M150" s="2" t="s">
        <v>22</v>
      </c>
      <c r="N150" s="2" t="s">
        <v>511</v>
      </c>
      <c r="O150" s="2" t="s">
        <v>24</v>
      </c>
      <c r="P150" s="2" t="s">
        <v>25</v>
      </c>
    </row>
    <row r="151" spans="1:16" hidden="1">
      <c r="A151" s="2">
        <v>11342</v>
      </c>
      <c r="B151" s="2" t="s">
        <v>650</v>
      </c>
      <c r="C151" s="2" t="s">
        <v>650</v>
      </c>
      <c r="D151" s="3">
        <v>46093.84375</v>
      </c>
      <c r="E151" s="2" t="s">
        <v>52</v>
      </c>
      <c r="F151" s="2" t="s">
        <v>181</v>
      </c>
      <c r="G151" s="2" t="s">
        <v>53</v>
      </c>
      <c r="H151" s="2" t="s">
        <v>18</v>
      </c>
      <c r="I151" s="2" t="s">
        <v>391</v>
      </c>
      <c r="J151" s="2" t="s">
        <v>651</v>
      </c>
      <c r="K151" s="2">
        <v>396702260.17733395</v>
      </c>
      <c r="L151" s="2" t="s">
        <v>41</v>
      </c>
      <c r="M151" s="2" t="s">
        <v>22</v>
      </c>
      <c r="N151" s="2" t="s">
        <v>652</v>
      </c>
      <c r="O151" s="2" t="s">
        <v>41</v>
      </c>
      <c r="P151" s="2" t="s">
        <v>25</v>
      </c>
    </row>
    <row r="152" spans="1:16" hidden="1">
      <c r="A152" s="2">
        <v>11545</v>
      </c>
      <c r="B152" s="2" t="s">
        <v>899</v>
      </c>
      <c r="C152" s="2" t="s">
        <v>900</v>
      </c>
      <c r="D152" s="3">
        <v>46098.754861111112</v>
      </c>
      <c r="E152" s="2" t="s">
        <v>688</v>
      </c>
      <c r="F152" s="2" t="s">
        <v>5</v>
      </c>
      <c r="G152" s="2" t="s">
        <v>34</v>
      </c>
      <c r="H152" s="2" t="s">
        <v>18</v>
      </c>
      <c r="I152" s="2" t="s">
        <v>35</v>
      </c>
      <c r="J152" s="2" t="s">
        <v>901</v>
      </c>
      <c r="K152" s="2">
        <v>1258667893.1772733</v>
      </c>
      <c r="L152" s="2" t="s">
        <v>21</v>
      </c>
      <c r="M152" s="2" t="s">
        <v>22</v>
      </c>
      <c r="N152" s="2" t="s">
        <v>902</v>
      </c>
      <c r="O152" s="2" t="s">
        <v>41</v>
      </c>
      <c r="P152" s="2" t="s">
        <v>25</v>
      </c>
    </row>
    <row r="153" spans="1:16" hidden="1">
      <c r="A153" s="2">
        <v>11299</v>
      </c>
      <c r="B153" s="2" t="s">
        <v>594</v>
      </c>
      <c r="C153" s="2" t="s">
        <v>594</v>
      </c>
      <c r="D153" s="3">
        <v>46092.9375</v>
      </c>
      <c r="E153" s="2" t="s">
        <v>40</v>
      </c>
      <c r="F153" s="2" t="s">
        <v>5</v>
      </c>
      <c r="G153" s="2" t="s">
        <v>17</v>
      </c>
      <c r="H153" s="2" t="s">
        <v>54</v>
      </c>
      <c r="I153" s="2" t="s">
        <v>291</v>
      </c>
      <c r="J153" s="2" t="s">
        <v>41</v>
      </c>
      <c r="K153" s="2" t="s">
        <v>41</v>
      </c>
      <c r="L153" s="2" t="s">
        <v>21</v>
      </c>
      <c r="M153" s="2" t="s">
        <v>22</v>
      </c>
      <c r="N153" s="2" t="s">
        <v>595</v>
      </c>
      <c r="O153" s="2" t="s">
        <v>41</v>
      </c>
      <c r="P153" s="2" t="s">
        <v>99</v>
      </c>
    </row>
    <row r="154" spans="1:16" hidden="1">
      <c r="A154" s="2">
        <v>11180</v>
      </c>
      <c r="B154" s="2" t="s">
        <v>429</v>
      </c>
      <c r="C154" s="2" t="s">
        <v>429</v>
      </c>
      <c r="D154" s="3">
        <v>46087.933333333334</v>
      </c>
      <c r="E154" s="2" t="s">
        <v>16</v>
      </c>
      <c r="F154" s="2" t="s">
        <v>181</v>
      </c>
      <c r="G154" s="2" t="s">
        <v>17</v>
      </c>
      <c r="H154" s="2" t="s">
        <v>18</v>
      </c>
      <c r="I154" s="2" t="s">
        <v>19</v>
      </c>
      <c r="J154" s="2" t="s">
        <v>270</v>
      </c>
      <c r="K154" s="2">
        <v>288758919.17728281</v>
      </c>
      <c r="L154" s="2" t="s">
        <v>21</v>
      </c>
      <c r="M154" s="2" t="s">
        <v>22</v>
      </c>
      <c r="N154" s="2" t="s">
        <v>430</v>
      </c>
      <c r="O154" s="2" t="s">
        <v>24</v>
      </c>
      <c r="P154" s="2" t="s">
        <v>25</v>
      </c>
    </row>
    <row r="155" spans="1:16" hidden="1">
      <c r="A155" s="2">
        <v>11234</v>
      </c>
      <c r="B155" s="2" t="s">
        <v>520</v>
      </c>
      <c r="C155" s="2" t="s">
        <v>520</v>
      </c>
      <c r="D155" s="3">
        <v>46090.847222222219</v>
      </c>
      <c r="E155" s="2" t="s">
        <v>40</v>
      </c>
      <c r="F155" s="2" t="s">
        <v>5</v>
      </c>
      <c r="G155" s="2" t="s">
        <v>34</v>
      </c>
      <c r="H155" s="2" t="s">
        <v>18</v>
      </c>
      <c r="I155" s="2" t="s">
        <v>19</v>
      </c>
      <c r="J155" s="2" t="s">
        <v>255</v>
      </c>
      <c r="K155" s="2">
        <v>468358965.17730802</v>
      </c>
      <c r="L155" s="2" t="s">
        <v>21</v>
      </c>
      <c r="M155" s="2" t="s">
        <v>22</v>
      </c>
      <c r="N155" s="2" t="s">
        <v>521</v>
      </c>
      <c r="O155" s="2" t="s">
        <v>41</v>
      </c>
      <c r="P155" s="2" t="s">
        <v>175</v>
      </c>
    </row>
    <row r="156" spans="1:16" hidden="1">
      <c r="A156" s="2">
        <v>11128</v>
      </c>
      <c r="B156" s="2" t="s">
        <v>334</v>
      </c>
      <c r="C156" s="2" t="s">
        <v>335</v>
      </c>
      <c r="D156" s="3">
        <v>46086.688194444447</v>
      </c>
      <c r="E156" s="2" t="s">
        <v>121</v>
      </c>
      <c r="F156" s="2" t="s">
        <v>5</v>
      </c>
      <c r="G156" s="2" t="s">
        <v>34</v>
      </c>
      <c r="H156" s="2" t="s">
        <v>18</v>
      </c>
      <c r="I156" s="2" t="s">
        <v>19</v>
      </c>
      <c r="J156" s="2" t="s">
        <v>336</v>
      </c>
      <c r="K156" s="2">
        <v>797787102.17727208</v>
      </c>
      <c r="L156" s="2" t="s">
        <v>21</v>
      </c>
      <c r="M156" s="2" t="s">
        <v>22</v>
      </c>
      <c r="N156" s="2" t="s">
        <v>337</v>
      </c>
      <c r="O156" s="2" t="s">
        <v>41</v>
      </c>
      <c r="P156" s="2" t="s">
        <v>25</v>
      </c>
    </row>
    <row r="157" spans="1:16" hidden="1">
      <c r="A157" s="2">
        <v>12126</v>
      </c>
      <c r="B157" s="2" t="s">
        <v>1264</v>
      </c>
      <c r="C157" s="2" t="s">
        <v>1264</v>
      </c>
      <c r="D157" s="3">
        <v>46111.898611111115</v>
      </c>
      <c r="E157" s="2" t="s">
        <v>16</v>
      </c>
      <c r="F157" s="2" t="s">
        <v>5</v>
      </c>
      <c r="G157" s="2" t="s">
        <v>34</v>
      </c>
      <c r="H157" s="2" t="s">
        <v>18</v>
      </c>
      <c r="I157" s="2" t="s">
        <v>305</v>
      </c>
      <c r="J157" s="2" t="s">
        <v>41</v>
      </c>
      <c r="K157" s="2" t="s">
        <v>41</v>
      </c>
      <c r="L157" s="2" t="s">
        <v>21</v>
      </c>
      <c r="M157" s="2" t="s">
        <v>88</v>
      </c>
      <c r="N157" s="2" t="s">
        <v>1265</v>
      </c>
      <c r="O157" s="2" t="s">
        <v>66</v>
      </c>
      <c r="P157" s="2" t="s">
        <v>56</v>
      </c>
    </row>
    <row r="158" spans="1:16" hidden="1">
      <c r="A158" s="2">
        <v>11808</v>
      </c>
      <c r="B158" s="2" t="s">
        <v>1186</v>
      </c>
      <c r="C158" s="2" t="s">
        <v>1186</v>
      </c>
      <c r="D158" s="3">
        <v>46104.829166666663</v>
      </c>
      <c r="E158" s="2" t="s">
        <v>801</v>
      </c>
      <c r="F158" s="2" t="s">
        <v>5</v>
      </c>
      <c r="G158" s="2" t="s">
        <v>27</v>
      </c>
      <c r="H158" s="2" t="s">
        <v>18</v>
      </c>
      <c r="I158" s="2" t="s">
        <v>19</v>
      </c>
      <c r="J158" s="2" t="s">
        <v>1187</v>
      </c>
      <c r="K158" s="2">
        <v>1668431024.177429</v>
      </c>
      <c r="L158" s="2" t="s">
        <v>21</v>
      </c>
      <c r="M158" s="2" t="s">
        <v>22</v>
      </c>
      <c r="N158" s="2" t="s">
        <v>1188</v>
      </c>
      <c r="O158" s="2" t="s">
        <v>41</v>
      </c>
      <c r="P158" s="2" t="s">
        <v>25</v>
      </c>
    </row>
    <row r="159" spans="1:16" hidden="1">
      <c r="A159" s="2">
        <v>11269</v>
      </c>
      <c r="B159" s="2" t="s">
        <v>563</v>
      </c>
      <c r="C159" s="2" t="s">
        <v>564</v>
      </c>
      <c r="D159" s="3">
        <v>46091.851388888885</v>
      </c>
      <c r="E159" s="2" t="s">
        <v>16</v>
      </c>
      <c r="F159" s="2" t="s">
        <v>41</v>
      </c>
      <c r="G159" s="2" t="s">
        <v>34</v>
      </c>
      <c r="H159" s="2" t="s">
        <v>18</v>
      </c>
      <c r="I159" s="2" t="s">
        <v>19</v>
      </c>
      <c r="J159" s="2" t="s">
        <v>565</v>
      </c>
      <c r="K159" s="2">
        <v>75600139.17731671</v>
      </c>
      <c r="L159" s="2" t="s">
        <v>21</v>
      </c>
      <c r="M159" s="2" t="s">
        <v>22</v>
      </c>
      <c r="N159" s="2" t="s">
        <v>566</v>
      </c>
      <c r="O159" s="2" t="s">
        <v>24</v>
      </c>
      <c r="P159" s="2" t="s">
        <v>25</v>
      </c>
    </row>
    <row r="160" spans="1:16" hidden="1">
      <c r="A160" s="2">
        <v>11797</v>
      </c>
      <c r="B160" s="2" t="s">
        <v>1172</v>
      </c>
      <c r="C160" s="2" t="s">
        <v>1173</v>
      </c>
      <c r="D160" s="3">
        <v>46104.688888888893</v>
      </c>
      <c r="F160" s="2" t="s">
        <v>5</v>
      </c>
      <c r="G160" s="2" t="s">
        <v>34</v>
      </c>
      <c r="H160" s="2" t="s">
        <v>18</v>
      </c>
      <c r="I160" s="2" t="s">
        <v>41</v>
      </c>
      <c r="J160" s="2" t="s">
        <v>41</v>
      </c>
      <c r="K160" s="2" t="s">
        <v>41</v>
      </c>
      <c r="L160" s="2" t="s">
        <v>41</v>
      </c>
      <c r="N160" s="2" t="s">
        <v>1174</v>
      </c>
      <c r="O160" s="2" t="s">
        <v>41</v>
      </c>
      <c r="P160" s="2" t="s">
        <v>1103</v>
      </c>
    </row>
    <row r="161" spans="1:16" hidden="1">
      <c r="A161" s="2">
        <v>11493</v>
      </c>
      <c r="B161" s="2" t="s">
        <v>847</v>
      </c>
      <c r="C161" s="2" t="s">
        <v>848</v>
      </c>
      <c r="D161" s="3">
        <v>46097.770138888889</v>
      </c>
      <c r="E161" s="2" t="s">
        <v>16</v>
      </c>
      <c r="F161" s="2" t="s">
        <v>5</v>
      </c>
      <c r="G161" s="2" t="s">
        <v>34</v>
      </c>
      <c r="H161" s="2" t="s">
        <v>18</v>
      </c>
      <c r="I161" s="2" t="s">
        <v>162</v>
      </c>
      <c r="J161" s="2" t="s">
        <v>41</v>
      </c>
      <c r="K161" s="2" t="s">
        <v>41</v>
      </c>
      <c r="L161" s="2" t="s">
        <v>21</v>
      </c>
      <c r="M161" s="2" t="s">
        <v>22</v>
      </c>
      <c r="N161" s="2" t="s">
        <v>849</v>
      </c>
      <c r="O161" s="2" t="s">
        <v>850</v>
      </c>
      <c r="P161" s="2" t="s">
        <v>56</v>
      </c>
    </row>
    <row r="162" spans="1:16" hidden="1">
      <c r="A162" s="2">
        <v>11804</v>
      </c>
      <c r="B162" s="2" t="s">
        <v>1181</v>
      </c>
      <c r="C162" s="2" t="s">
        <v>1181</v>
      </c>
      <c r="D162" s="3">
        <v>46104.763888888891</v>
      </c>
      <c r="E162" s="2" t="s">
        <v>1012</v>
      </c>
      <c r="F162" s="2" t="s">
        <v>5</v>
      </c>
      <c r="G162" s="2" t="s">
        <v>17</v>
      </c>
      <c r="H162" s="2" t="s">
        <v>46</v>
      </c>
      <c r="I162" s="2" t="s">
        <v>374</v>
      </c>
      <c r="J162" s="2" t="s">
        <v>1182</v>
      </c>
      <c r="K162" s="2">
        <v>547371483.17742825</v>
      </c>
      <c r="L162" s="2" t="s">
        <v>21</v>
      </c>
      <c r="M162" s="2" t="s">
        <v>49</v>
      </c>
      <c r="N162" s="2" t="s">
        <v>1183</v>
      </c>
      <c r="O162" s="2" t="s">
        <v>41</v>
      </c>
      <c r="P162" s="2" t="s">
        <v>25</v>
      </c>
    </row>
    <row r="163" spans="1:16" hidden="1">
      <c r="A163" s="2">
        <v>11482</v>
      </c>
      <c r="B163" s="2" t="s">
        <v>833</v>
      </c>
      <c r="C163" s="2" t="s">
        <v>833</v>
      </c>
      <c r="D163" s="3">
        <v>46097.701388888891</v>
      </c>
      <c r="E163" s="2" t="s">
        <v>40</v>
      </c>
      <c r="F163" s="2" t="s">
        <v>5</v>
      </c>
      <c r="G163" s="2" t="s">
        <v>27</v>
      </c>
      <c r="H163" s="2" t="s">
        <v>18</v>
      </c>
      <c r="I163" s="2" t="s">
        <v>834</v>
      </c>
      <c r="J163" s="2" t="s">
        <v>835</v>
      </c>
      <c r="K163" s="2">
        <v>280768910.17736721</v>
      </c>
      <c r="L163" s="2" t="s">
        <v>21</v>
      </c>
      <c r="M163" s="2" t="s">
        <v>22</v>
      </c>
      <c r="N163" s="2" t="s">
        <v>836</v>
      </c>
      <c r="O163" s="2" t="s">
        <v>41</v>
      </c>
      <c r="P163" s="2" t="s">
        <v>25</v>
      </c>
    </row>
    <row r="164" spans="1:16" hidden="1">
      <c r="A164" s="2">
        <v>11317</v>
      </c>
      <c r="B164" s="2" t="s">
        <v>613</v>
      </c>
      <c r="C164" s="2" t="s">
        <v>614</v>
      </c>
      <c r="D164" s="3">
        <v>46093.395833333328</v>
      </c>
      <c r="E164" s="2" t="s">
        <v>16</v>
      </c>
      <c r="F164" s="2" t="s">
        <v>41</v>
      </c>
      <c r="G164" s="2" t="s">
        <v>17</v>
      </c>
      <c r="H164" s="2" t="s">
        <v>182</v>
      </c>
      <c r="I164" s="2" t="s">
        <v>41</v>
      </c>
      <c r="J164" s="2" t="s">
        <v>41</v>
      </c>
      <c r="K164" s="2" t="s">
        <v>41</v>
      </c>
      <c r="L164" s="2" t="s">
        <v>21</v>
      </c>
      <c r="M164" s="2" t="s">
        <v>22</v>
      </c>
      <c r="N164" s="2" t="s">
        <v>615</v>
      </c>
      <c r="O164" s="2" t="s">
        <v>24</v>
      </c>
      <c r="P164" s="2" t="s">
        <v>99</v>
      </c>
    </row>
    <row r="165" spans="1:16" hidden="1">
      <c r="A165" s="2">
        <v>12073</v>
      </c>
      <c r="B165" s="2" t="s">
        <v>1404</v>
      </c>
      <c r="C165" s="2" t="s">
        <v>1404</v>
      </c>
      <c r="D165" s="3">
        <v>46110.014583333337</v>
      </c>
      <c r="E165" s="2" t="s">
        <v>1351</v>
      </c>
      <c r="F165" s="2" t="s">
        <v>41</v>
      </c>
      <c r="G165" s="2" t="s">
        <v>17</v>
      </c>
      <c r="H165" s="2" t="s">
        <v>54</v>
      </c>
      <c r="I165" s="2" t="s">
        <v>35</v>
      </c>
      <c r="J165" s="2" t="s">
        <v>1405</v>
      </c>
      <c r="K165" s="2">
        <v>859504249.17747402</v>
      </c>
      <c r="L165" s="2" t="s">
        <v>21</v>
      </c>
      <c r="M165" s="2" t="s">
        <v>22</v>
      </c>
      <c r="N165" s="2" t="s">
        <v>1406</v>
      </c>
      <c r="O165" s="2" t="s">
        <v>41</v>
      </c>
      <c r="P165" s="2" t="s">
        <v>25</v>
      </c>
    </row>
    <row r="166" spans="1:16" hidden="1">
      <c r="A166" s="2">
        <v>12135</v>
      </c>
      <c r="B166" s="2" t="s">
        <v>1466</v>
      </c>
      <c r="C166" s="2" t="s">
        <v>1466</v>
      </c>
      <c r="D166" s="3">
        <v>46112.288888888885</v>
      </c>
      <c r="E166" s="2" t="s">
        <v>52</v>
      </c>
      <c r="F166" s="2" t="s">
        <v>5</v>
      </c>
      <c r="G166" s="2" t="s">
        <v>34</v>
      </c>
      <c r="H166" s="2" t="s">
        <v>18</v>
      </c>
      <c r="I166" s="2" t="s">
        <v>397</v>
      </c>
      <c r="J166" s="2" t="s">
        <v>41</v>
      </c>
      <c r="K166" s="2" t="s">
        <v>41</v>
      </c>
      <c r="L166" s="2" t="s">
        <v>21</v>
      </c>
      <c r="M166" s="2" t="s">
        <v>88</v>
      </c>
      <c r="N166" s="2" t="s">
        <v>1467</v>
      </c>
      <c r="O166" s="2" t="s">
        <v>41</v>
      </c>
      <c r="P166" s="2" t="s">
        <v>56</v>
      </c>
    </row>
    <row r="167" spans="1:16" hidden="1">
      <c r="A167" s="2">
        <v>11177</v>
      </c>
      <c r="B167" s="2" t="s">
        <v>419</v>
      </c>
      <c r="C167" s="2" t="s">
        <v>419</v>
      </c>
      <c r="D167" s="3">
        <v>46087.856249999997</v>
      </c>
      <c r="E167" s="2" t="s">
        <v>40</v>
      </c>
      <c r="F167" s="2" t="s">
        <v>5</v>
      </c>
      <c r="G167" s="2" t="s">
        <v>27</v>
      </c>
      <c r="H167" s="2" t="s">
        <v>18</v>
      </c>
      <c r="I167" s="2" t="s">
        <v>28</v>
      </c>
      <c r="J167" s="2" t="s">
        <v>420</v>
      </c>
      <c r="K167" s="2">
        <v>27567908.177280128</v>
      </c>
      <c r="L167" s="2" t="s">
        <v>30</v>
      </c>
      <c r="M167" s="2" t="s">
        <v>22</v>
      </c>
      <c r="N167" s="2" t="s">
        <v>421</v>
      </c>
      <c r="O167" s="2" t="s">
        <v>41</v>
      </c>
      <c r="P167" s="2" t="s">
        <v>25</v>
      </c>
    </row>
    <row r="168" spans="1:16" hidden="1">
      <c r="A168" s="2">
        <v>11634</v>
      </c>
      <c r="B168" s="2" t="s">
        <v>994</v>
      </c>
      <c r="C168" s="2" t="s">
        <v>994</v>
      </c>
      <c r="D168" s="3">
        <v>46100.380555555559</v>
      </c>
      <c r="E168" s="2" t="s">
        <v>40</v>
      </c>
      <c r="F168" s="2" t="s">
        <v>5</v>
      </c>
      <c r="G168" s="2" t="s">
        <v>17</v>
      </c>
      <c r="H168" s="2" t="s">
        <v>46</v>
      </c>
      <c r="I168" s="2" t="s">
        <v>287</v>
      </c>
      <c r="J168" s="2" t="s">
        <v>995</v>
      </c>
      <c r="K168" s="2">
        <v>333847256.1773904</v>
      </c>
      <c r="L168" s="2" t="s">
        <v>21</v>
      </c>
      <c r="M168" s="2" t="s">
        <v>49</v>
      </c>
      <c r="N168" s="2" t="s">
        <v>996</v>
      </c>
      <c r="O168" s="2" t="s">
        <v>41</v>
      </c>
      <c r="P168" s="2" t="s">
        <v>394</v>
      </c>
    </row>
    <row r="169" spans="1:16" hidden="1">
      <c r="A169" s="2">
        <v>11146</v>
      </c>
      <c r="B169" s="2" t="s">
        <v>370</v>
      </c>
      <c r="C169" s="2" t="s">
        <v>370</v>
      </c>
      <c r="D169" s="3">
        <v>46087.129861111112</v>
      </c>
      <c r="E169" s="2" t="s">
        <v>90</v>
      </c>
      <c r="F169" s="2" t="s">
        <v>5</v>
      </c>
      <c r="G169" s="2" t="s">
        <v>34</v>
      </c>
      <c r="H169" s="2" t="s">
        <v>91</v>
      </c>
      <c r="I169" s="2" t="s">
        <v>68</v>
      </c>
      <c r="J169" s="2" t="s">
        <v>371</v>
      </c>
      <c r="K169" s="2">
        <v>1755345737.1772759</v>
      </c>
      <c r="L169" s="2" t="s">
        <v>21</v>
      </c>
      <c r="M169" s="2" t="s">
        <v>49</v>
      </c>
      <c r="N169" s="2" t="s">
        <v>372</v>
      </c>
      <c r="O169" s="2" t="s">
        <v>41</v>
      </c>
      <c r="P169" s="2" t="s">
        <v>25</v>
      </c>
    </row>
    <row r="170" spans="1:16" hidden="1">
      <c r="A170" s="2">
        <v>10969</v>
      </c>
      <c r="B170" s="2" t="s">
        <v>102</v>
      </c>
      <c r="C170" s="2" t="s">
        <v>103</v>
      </c>
      <c r="D170" s="3">
        <v>46083.579166666663</v>
      </c>
      <c r="E170" s="2" t="s">
        <v>16</v>
      </c>
      <c r="F170" s="2" t="s">
        <v>5</v>
      </c>
      <c r="G170" s="2" t="s">
        <v>34</v>
      </c>
      <c r="H170" s="2" t="s">
        <v>18</v>
      </c>
      <c r="I170" s="2" t="s">
        <v>19</v>
      </c>
      <c r="J170" s="2" t="s">
        <v>104</v>
      </c>
      <c r="K170" s="2">
        <v>817903330.17724526</v>
      </c>
      <c r="L170" s="2" t="s">
        <v>21</v>
      </c>
      <c r="M170" s="2" t="s">
        <v>22</v>
      </c>
      <c r="N170" s="2" t="s">
        <v>105</v>
      </c>
      <c r="O170" s="2" t="s">
        <v>24</v>
      </c>
      <c r="P170" s="2" t="s">
        <v>25</v>
      </c>
    </row>
    <row r="171" spans="1:16" hidden="1">
      <c r="A171" s="2">
        <v>11940</v>
      </c>
      <c r="B171" s="2" t="s">
        <v>1258</v>
      </c>
      <c r="C171" s="2" t="s">
        <v>1258</v>
      </c>
      <c r="D171" s="3">
        <v>46106.729166666672</v>
      </c>
      <c r="E171" s="2" t="s">
        <v>52</v>
      </c>
      <c r="F171" s="2" t="s">
        <v>5</v>
      </c>
      <c r="G171" s="2" t="s">
        <v>53</v>
      </c>
      <c r="H171" s="2" t="s">
        <v>54</v>
      </c>
      <c r="I171" s="2" t="s">
        <v>41</v>
      </c>
      <c r="J171" s="2" t="s">
        <v>41</v>
      </c>
      <c r="K171" s="2" t="s">
        <v>41</v>
      </c>
      <c r="L171" s="2" t="s">
        <v>21</v>
      </c>
      <c r="M171" s="2" t="s">
        <v>22</v>
      </c>
      <c r="N171" s="2" t="s">
        <v>1259</v>
      </c>
      <c r="O171" s="2" t="s">
        <v>41</v>
      </c>
      <c r="P171" s="2" t="s">
        <v>99</v>
      </c>
    </row>
    <row r="172" spans="1:16" hidden="1">
      <c r="A172" s="2">
        <v>11783</v>
      </c>
      <c r="B172" s="2" t="s">
        <v>1160</v>
      </c>
      <c r="C172" s="2" t="s">
        <v>1160</v>
      </c>
      <c r="D172" s="3">
        <v>46104.62222222222</v>
      </c>
      <c r="E172" s="2" t="s">
        <v>52</v>
      </c>
      <c r="F172" s="2" t="s">
        <v>41</v>
      </c>
      <c r="G172" s="2" t="s">
        <v>53</v>
      </c>
      <c r="H172" s="2" t="s">
        <v>41</v>
      </c>
      <c r="I172" s="2" t="s">
        <v>41</v>
      </c>
      <c r="J172" s="2" t="s">
        <v>41</v>
      </c>
      <c r="K172" s="2" t="s">
        <v>41</v>
      </c>
      <c r="L172" s="2" t="s">
        <v>41</v>
      </c>
      <c r="M172" s="2" t="s">
        <v>88</v>
      </c>
      <c r="N172" s="2" t="s">
        <v>1161</v>
      </c>
      <c r="O172" s="2" t="s">
        <v>41</v>
      </c>
      <c r="P172" s="2" t="s">
        <v>41</v>
      </c>
    </row>
    <row r="173" spans="1:16" hidden="1">
      <c r="A173" s="2">
        <v>11289</v>
      </c>
      <c r="B173" s="2" t="s">
        <v>588</v>
      </c>
      <c r="C173" s="2" t="s">
        <v>588</v>
      </c>
      <c r="D173" s="3">
        <v>46092.564583333333</v>
      </c>
      <c r="E173" s="2" t="s">
        <v>40</v>
      </c>
      <c r="F173" s="2" t="s">
        <v>5</v>
      </c>
      <c r="G173" s="2" t="s">
        <v>17</v>
      </c>
      <c r="H173" s="2" t="s">
        <v>18</v>
      </c>
      <c r="I173" s="2" t="s">
        <v>169</v>
      </c>
      <c r="J173" s="2" t="s">
        <v>589</v>
      </c>
      <c r="K173" s="2" t="s">
        <v>64</v>
      </c>
      <c r="L173" s="2" t="s">
        <v>118</v>
      </c>
      <c r="M173" s="2" t="s">
        <v>22</v>
      </c>
      <c r="N173" s="2" t="s">
        <v>590</v>
      </c>
      <c r="O173" s="2" t="s">
        <v>41</v>
      </c>
      <c r="P173" s="2" t="s">
        <v>44</v>
      </c>
    </row>
    <row r="174" spans="1:16" hidden="1">
      <c r="A174" s="2">
        <v>12132</v>
      </c>
      <c r="B174" s="2" t="s">
        <v>1458</v>
      </c>
      <c r="C174" s="2" t="s">
        <v>1458</v>
      </c>
      <c r="D174" s="3">
        <v>46112.155555555553</v>
      </c>
      <c r="E174" s="2" t="s">
        <v>1322</v>
      </c>
      <c r="F174" s="2" t="s">
        <v>5</v>
      </c>
      <c r="G174" s="2" t="s">
        <v>17</v>
      </c>
      <c r="H174" s="2" t="s">
        <v>46</v>
      </c>
      <c r="I174" s="2" t="s">
        <v>374</v>
      </c>
      <c r="J174" s="2" t="s">
        <v>1459</v>
      </c>
      <c r="K174" s="2">
        <v>409646427.17749178</v>
      </c>
      <c r="L174" s="2" t="s">
        <v>21</v>
      </c>
      <c r="M174" s="2" t="s">
        <v>49</v>
      </c>
      <c r="N174" s="2" t="s">
        <v>1460</v>
      </c>
      <c r="O174" s="2" t="s">
        <v>41</v>
      </c>
      <c r="P174" s="2" t="s">
        <v>25</v>
      </c>
    </row>
    <row r="175" spans="1:16">
      <c r="A175" s="2">
        <v>11762</v>
      </c>
      <c r="B175" s="2" t="s">
        <v>1136</v>
      </c>
      <c r="C175" s="2" t="s">
        <v>1137</v>
      </c>
      <c r="D175" s="3">
        <v>46103.93472222222</v>
      </c>
      <c r="E175" s="2" t="s">
        <v>1012</v>
      </c>
      <c r="F175" s="2" t="s">
        <v>181</v>
      </c>
      <c r="G175" s="2" t="s">
        <v>17</v>
      </c>
      <c r="H175" s="2" t="s">
        <v>46</v>
      </c>
      <c r="I175" s="2" t="s">
        <v>630</v>
      </c>
      <c r="J175" s="2" t="s">
        <v>93</v>
      </c>
      <c r="K175" s="2">
        <v>2133160344.1774211</v>
      </c>
      <c r="L175" s="2" t="s">
        <v>21</v>
      </c>
      <c r="M175" s="2" t="s">
        <v>49</v>
      </c>
      <c r="N175" s="2" t="s">
        <v>1138</v>
      </c>
      <c r="O175" s="2" t="s">
        <v>41</v>
      </c>
      <c r="P175" s="2" t="s">
        <v>81</v>
      </c>
    </row>
    <row r="176" spans="1:16" hidden="1">
      <c r="A176" s="2">
        <v>11062</v>
      </c>
      <c r="B176" s="2" t="s">
        <v>224</v>
      </c>
      <c r="C176" s="2" t="s">
        <v>224</v>
      </c>
      <c r="D176" s="3">
        <v>46085.383333333331</v>
      </c>
      <c r="E176" s="2" t="s">
        <v>52</v>
      </c>
      <c r="F176" s="2" t="s">
        <v>181</v>
      </c>
      <c r="G176" s="2" t="s">
        <v>53</v>
      </c>
      <c r="H176" s="2" t="s">
        <v>54</v>
      </c>
      <c r="I176" s="2" t="s">
        <v>225</v>
      </c>
      <c r="J176" s="2" t="s">
        <v>226</v>
      </c>
      <c r="K176" s="2">
        <v>443034564.17726046</v>
      </c>
      <c r="L176" s="2" t="s">
        <v>21</v>
      </c>
      <c r="M176" s="2" t="s">
        <v>22</v>
      </c>
      <c r="N176" s="2" t="s">
        <v>227</v>
      </c>
      <c r="O176" s="2" t="s">
        <v>41</v>
      </c>
      <c r="P176" s="2" t="s">
        <v>25</v>
      </c>
    </row>
    <row r="177" spans="1:16" hidden="1">
      <c r="A177" s="2">
        <v>11164</v>
      </c>
      <c r="B177" s="2" t="s">
        <v>399</v>
      </c>
      <c r="C177" s="2" t="s">
        <v>399</v>
      </c>
      <c r="D177" s="3">
        <v>46087.609722222223</v>
      </c>
      <c r="E177" s="2" t="s">
        <v>52</v>
      </c>
      <c r="F177" s="2" t="s">
        <v>181</v>
      </c>
      <c r="G177" s="2" t="s">
        <v>53</v>
      </c>
      <c r="H177" s="2" t="s">
        <v>18</v>
      </c>
      <c r="I177" s="2" t="s">
        <v>19</v>
      </c>
      <c r="J177" s="2" t="s">
        <v>400</v>
      </c>
      <c r="K177" s="2">
        <v>2002531339.1772799</v>
      </c>
      <c r="L177" s="2" t="s">
        <v>41</v>
      </c>
      <c r="M177" s="2" t="s">
        <v>22</v>
      </c>
      <c r="N177" s="2" t="s">
        <v>401</v>
      </c>
      <c r="O177" s="2" t="s">
        <v>41</v>
      </c>
      <c r="P177" s="2" t="s">
        <v>25</v>
      </c>
    </row>
    <row r="178" spans="1:16" hidden="1">
      <c r="A178" s="2">
        <v>12134</v>
      </c>
      <c r="B178" s="2" t="s">
        <v>1464</v>
      </c>
      <c r="C178" s="2" t="s">
        <v>1464</v>
      </c>
      <c r="D178" s="3">
        <v>46112.253472222219</v>
      </c>
      <c r="E178" s="2" t="s">
        <v>1322</v>
      </c>
      <c r="F178" s="2" t="s">
        <v>5</v>
      </c>
      <c r="G178" s="2" t="s">
        <v>34</v>
      </c>
      <c r="H178" s="2" t="s">
        <v>18</v>
      </c>
      <c r="I178" s="2" t="s">
        <v>19</v>
      </c>
      <c r="J178" s="2" t="s">
        <v>42</v>
      </c>
      <c r="K178" s="2" t="s">
        <v>41</v>
      </c>
      <c r="L178" s="2" t="s">
        <v>21</v>
      </c>
      <c r="M178" s="2" t="s">
        <v>22</v>
      </c>
      <c r="N178" s="2" t="s">
        <v>1465</v>
      </c>
      <c r="O178" s="2" t="s">
        <v>41</v>
      </c>
      <c r="P178" s="2" t="s">
        <v>81</v>
      </c>
    </row>
    <row r="179" spans="1:16" hidden="1">
      <c r="A179" s="2">
        <v>11117</v>
      </c>
      <c r="B179" s="2" t="s">
        <v>327</v>
      </c>
      <c r="C179" s="2" t="s">
        <v>328</v>
      </c>
      <c r="D179" s="3">
        <v>46086.457638888889</v>
      </c>
      <c r="E179" s="2" t="s">
        <v>16</v>
      </c>
      <c r="F179" s="2" t="s">
        <v>5</v>
      </c>
      <c r="G179" s="2" t="s">
        <v>34</v>
      </c>
      <c r="H179" s="2" t="s">
        <v>18</v>
      </c>
      <c r="I179" s="2" t="s">
        <v>162</v>
      </c>
      <c r="J179" s="2" t="s">
        <v>329</v>
      </c>
      <c r="K179" s="2">
        <v>788318395.17727005</v>
      </c>
      <c r="L179" s="2" t="s">
        <v>21</v>
      </c>
      <c r="M179" s="2" t="s">
        <v>22</v>
      </c>
      <c r="N179" s="2" t="s">
        <v>330</v>
      </c>
      <c r="O179" s="2" t="s">
        <v>24</v>
      </c>
      <c r="P179" s="2" t="s">
        <v>25</v>
      </c>
    </row>
    <row r="180" spans="1:16" hidden="1">
      <c r="A180" s="2">
        <v>11670</v>
      </c>
      <c r="B180" s="2" t="s">
        <v>1024</v>
      </c>
      <c r="C180" s="2" t="s">
        <v>1024</v>
      </c>
      <c r="D180" s="3">
        <v>46101.132638888885</v>
      </c>
      <c r="E180" s="2" t="s">
        <v>688</v>
      </c>
      <c r="F180" s="2" t="s">
        <v>5</v>
      </c>
      <c r="G180" s="2" t="s">
        <v>17</v>
      </c>
      <c r="H180" s="2" t="s">
        <v>46</v>
      </c>
      <c r="I180" s="2" t="s">
        <v>374</v>
      </c>
      <c r="J180" s="2" t="s">
        <v>1025</v>
      </c>
      <c r="K180" s="2">
        <v>1876377054.177397</v>
      </c>
      <c r="L180" s="2" t="s">
        <v>21</v>
      </c>
      <c r="M180" s="2" t="s">
        <v>49</v>
      </c>
      <c r="N180" s="2" t="s">
        <v>1026</v>
      </c>
      <c r="O180" s="2" t="s">
        <v>41</v>
      </c>
      <c r="P180" s="2" t="s">
        <v>25</v>
      </c>
    </row>
    <row r="181" spans="1:16" hidden="1">
      <c r="A181" s="2">
        <v>11669</v>
      </c>
      <c r="B181" s="2" t="s">
        <v>1022</v>
      </c>
      <c r="C181" s="2" t="s">
        <v>1022</v>
      </c>
      <c r="D181" s="3">
        <v>46101.091666666667</v>
      </c>
      <c r="E181" s="2" t="s">
        <v>40</v>
      </c>
      <c r="F181" s="2" t="s">
        <v>5</v>
      </c>
      <c r="G181" s="2" t="s">
        <v>27</v>
      </c>
      <c r="H181" s="2" t="s">
        <v>18</v>
      </c>
      <c r="I181" s="2" t="s">
        <v>28</v>
      </c>
      <c r="J181" s="2" t="s">
        <v>457</v>
      </c>
      <c r="K181" s="2">
        <v>2090166229.1773965</v>
      </c>
      <c r="L181" s="2" t="s">
        <v>30</v>
      </c>
      <c r="M181" s="2" t="s">
        <v>22</v>
      </c>
      <c r="N181" s="2" t="s">
        <v>1023</v>
      </c>
      <c r="O181" s="2" t="s">
        <v>41</v>
      </c>
      <c r="P181" s="2" t="s">
        <v>25</v>
      </c>
    </row>
    <row r="182" spans="1:16" hidden="1">
      <c r="A182" s="2">
        <v>11964</v>
      </c>
      <c r="B182" s="2" t="s">
        <v>1282</v>
      </c>
      <c r="C182" s="2" t="s">
        <v>1283</v>
      </c>
      <c r="D182" s="3">
        <v>46107.127083333333</v>
      </c>
      <c r="E182" s="2" t="s">
        <v>40</v>
      </c>
      <c r="F182" s="2" t="s">
        <v>5</v>
      </c>
      <c r="G182" s="2" t="s">
        <v>27</v>
      </c>
      <c r="H182" s="2" t="s">
        <v>18</v>
      </c>
      <c r="I182" s="2" t="s">
        <v>19</v>
      </c>
      <c r="J182" s="2" t="s">
        <v>1284</v>
      </c>
      <c r="K182" s="2">
        <v>91818794.17744866</v>
      </c>
      <c r="L182" s="2" t="s">
        <v>21</v>
      </c>
      <c r="M182" s="2" t="s">
        <v>22</v>
      </c>
      <c r="N182" s="2" t="s">
        <v>1285</v>
      </c>
      <c r="O182" s="2" t="s">
        <v>41</v>
      </c>
      <c r="P182" s="2" t="s">
        <v>44</v>
      </c>
    </row>
    <row r="183" spans="1:16" hidden="1">
      <c r="A183" s="2">
        <v>11799</v>
      </c>
      <c r="B183" s="2" t="s">
        <v>1178</v>
      </c>
      <c r="C183" s="2" t="s">
        <v>1178</v>
      </c>
      <c r="D183" s="3">
        <v>46104.728472222225</v>
      </c>
      <c r="E183" s="2" t="s">
        <v>1012</v>
      </c>
      <c r="F183" s="2" t="s">
        <v>5</v>
      </c>
      <c r="G183" s="2" t="s">
        <v>17</v>
      </c>
      <c r="H183" s="2" t="s">
        <v>46</v>
      </c>
      <c r="I183" s="2" t="s">
        <v>374</v>
      </c>
      <c r="J183" s="2" t="s">
        <v>1179</v>
      </c>
      <c r="K183" s="2">
        <v>375274841.17742795</v>
      </c>
      <c r="L183" s="2" t="s">
        <v>21</v>
      </c>
      <c r="M183" s="2" t="s">
        <v>49</v>
      </c>
      <c r="N183" s="2" t="s">
        <v>1180</v>
      </c>
      <c r="O183" s="2" t="s">
        <v>41</v>
      </c>
      <c r="P183" s="2" t="s">
        <v>25</v>
      </c>
    </row>
    <row r="184" spans="1:16" hidden="1">
      <c r="A184" s="2">
        <v>11500</v>
      </c>
      <c r="B184" s="2" t="s">
        <v>856</v>
      </c>
      <c r="C184" s="2" t="s">
        <v>857</v>
      </c>
      <c r="D184" s="3">
        <v>46097.837500000001</v>
      </c>
      <c r="E184" s="2" t="s">
        <v>16</v>
      </c>
      <c r="F184" s="2" t="s">
        <v>5</v>
      </c>
      <c r="G184" s="2" t="s">
        <v>34</v>
      </c>
      <c r="H184" s="2" t="s">
        <v>18</v>
      </c>
      <c r="I184" s="2" t="s">
        <v>19</v>
      </c>
      <c r="J184" s="2" t="s">
        <v>858</v>
      </c>
      <c r="K184" s="2">
        <v>1708798627.1773517</v>
      </c>
      <c r="L184" s="2" t="s">
        <v>21</v>
      </c>
      <c r="M184" s="2" t="s">
        <v>22</v>
      </c>
      <c r="N184" s="2" t="s">
        <v>859</v>
      </c>
      <c r="O184" s="2" t="s">
        <v>80</v>
      </c>
      <c r="P184" s="2" t="s">
        <v>25</v>
      </c>
    </row>
    <row r="185" spans="1:16" hidden="1">
      <c r="A185" s="2">
        <v>11444</v>
      </c>
      <c r="B185" s="2" t="s">
        <v>786</v>
      </c>
      <c r="C185" s="2" t="s">
        <v>786</v>
      </c>
      <c r="D185" s="3">
        <v>46097.09097222222</v>
      </c>
      <c r="E185" s="2" t="s">
        <v>16</v>
      </c>
      <c r="F185" s="2" t="s">
        <v>5</v>
      </c>
      <c r="G185" s="2" t="s">
        <v>17</v>
      </c>
      <c r="H185" s="2" t="s">
        <v>46</v>
      </c>
      <c r="I185" s="2" t="s">
        <v>140</v>
      </c>
      <c r="J185" s="2" t="s">
        <v>787</v>
      </c>
      <c r="K185" s="2">
        <v>48769930.177361943</v>
      </c>
      <c r="L185" s="2" t="s">
        <v>21</v>
      </c>
      <c r="M185" s="2" t="s">
        <v>49</v>
      </c>
      <c r="N185" s="2" t="s">
        <v>788</v>
      </c>
      <c r="O185" s="2" t="s">
        <v>24</v>
      </c>
      <c r="P185" s="2" t="s">
        <v>25</v>
      </c>
    </row>
    <row r="186" spans="1:16" hidden="1">
      <c r="A186" s="2">
        <v>11195</v>
      </c>
      <c r="B186" s="2" t="s">
        <v>448</v>
      </c>
      <c r="C186" s="2" t="s">
        <v>449</v>
      </c>
      <c r="D186" s="3">
        <v>46089.196527777778</v>
      </c>
      <c r="E186" s="2" t="s">
        <v>16</v>
      </c>
      <c r="F186" s="2" t="s">
        <v>5</v>
      </c>
      <c r="G186" s="2" t="s">
        <v>34</v>
      </c>
      <c r="H186" s="2" t="s">
        <v>18</v>
      </c>
      <c r="I186" s="2" t="s">
        <v>19</v>
      </c>
      <c r="J186" s="2" t="s">
        <v>413</v>
      </c>
      <c r="K186" s="2">
        <v>1170078553.1772938</v>
      </c>
      <c r="L186" s="2" t="s">
        <v>21</v>
      </c>
      <c r="M186" s="2" t="s">
        <v>22</v>
      </c>
      <c r="N186" s="2" t="s">
        <v>450</v>
      </c>
      <c r="O186" s="2" t="s">
        <v>202</v>
      </c>
      <c r="P186" s="2" t="s">
        <v>25</v>
      </c>
    </row>
    <row r="187" spans="1:16" hidden="1">
      <c r="A187" s="2">
        <v>12156</v>
      </c>
      <c r="B187" s="2" t="s">
        <v>1479</v>
      </c>
      <c r="C187" s="2" t="s">
        <v>1479</v>
      </c>
      <c r="D187" s="3">
        <v>46112.604861111111</v>
      </c>
      <c r="E187" s="2" t="s">
        <v>52</v>
      </c>
      <c r="F187" s="2" t="s">
        <v>41</v>
      </c>
      <c r="G187" s="2" t="s">
        <v>53</v>
      </c>
      <c r="H187" s="2" t="s">
        <v>41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88</v>
      </c>
      <c r="N187" s="2" t="s">
        <v>1480</v>
      </c>
      <c r="O187" s="2" t="s">
        <v>41</v>
      </c>
      <c r="P187" s="2" t="s">
        <v>41</v>
      </c>
    </row>
    <row r="188" spans="1:16" hidden="1">
      <c r="A188" s="2">
        <v>11196</v>
      </c>
      <c r="B188" s="2" t="s">
        <v>451</v>
      </c>
      <c r="C188" s="2" t="s">
        <v>452</v>
      </c>
      <c r="D188" s="3">
        <v>46089.236805555556</v>
      </c>
      <c r="E188" s="2" t="s">
        <v>16</v>
      </c>
      <c r="F188" s="2" t="s">
        <v>41</v>
      </c>
      <c r="G188" s="2" t="s">
        <v>34</v>
      </c>
      <c r="H188" s="2" t="s">
        <v>18</v>
      </c>
      <c r="I188" s="2" t="s">
        <v>397</v>
      </c>
      <c r="J188" s="2" t="s">
        <v>453</v>
      </c>
      <c r="K188" s="2" t="s">
        <v>454</v>
      </c>
      <c r="L188" s="2" t="s">
        <v>21</v>
      </c>
      <c r="M188" s="2" t="s">
        <v>22</v>
      </c>
      <c r="N188" s="2" t="s">
        <v>455</v>
      </c>
      <c r="O188" s="2" t="s">
        <v>66</v>
      </c>
      <c r="P188" s="2" t="s">
        <v>25</v>
      </c>
    </row>
    <row r="189" spans="1:16" hidden="1">
      <c r="A189" s="2">
        <v>11784</v>
      </c>
      <c r="B189" s="2" t="s">
        <v>1162</v>
      </c>
      <c r="C189" s="2" t="s">
        <v>1162</v>
      </c>
      <c r="D189" s="3">
        <v>46104.625694444447</v>
      </c>
      <c r="E189" s="2" t="s">
        <v>52</v>
      </c>
      <c r="F189" s="2" t="s">
        <v>41</v>
      </c>
      <c r="G189" s="2" t="s">
        <v>53</v>
      </c>
      <c r="H189" s="2" t="s">
        <v>41</v>
      </c>
      <c r="I189" s="2" t="s">
        <v>41</v>
      </c>
      <c r="J189" s="2" t="s">
        <v>41</v>
      </c>
      <c r="K189" s="2" t="s">
        <v>41</v>
      </c>
      <c r="L189" s="2" t="s">
        <v>41</v>
      </c>
      <c r="M189" s="2" t="s">
        <v>88</v>
      </c>
      <c r="N189" s="2" t="s">
        <v>1163</v>
      </c>
      <c r="O189" s="2" t="s">
        <v>41</v>
      </c>
      <c r="P189" s="2" t="s">
        <v>41</v>
      </c>
    </row>
    <row r="190" spans="1:16" hidden="1">
      <c r="A190" s="2">
        <v>11965</v>
      </c>
      <c r="B190" s="2" t="s">
        <v>1286</v>
      </c>
      <c r="C190" s="2" t="s">
        <v>1286</v>
      </c>
      <c r="D190" s="3">
        <v>46107.154861111107</v>
      </c>
      <c r="E190" s="2" t="s">
        <v>801</v>
      </c>
      <c r="F190" s="2" t="s">
        <v>5</v>
      </c>
      <c r="G190" s="2" t="s">
        <v>27</v>
      </c>
      <c r="H190" s="2" t="s">
        <v>18</v>
      </c>
      <c r="I190" s="2" t="s">
        <v>19</v>
      </c>
      <c r="J190" s="2" t="s">
        <v>270</v>
      </c>
      <c r="K190" s="2">
        <v>991353176.17744887</v>
      </c>
      <c r="L190" s="2" t="s">
        <v>21</v>
      </c>
      <c r="M190" s="2" t="s">
        <v>22</v>
      </c>
      <c r="N190" s="2" t="s">
        <v>1287</v>
      </c>
      <c r="O190" s="2" t="s">
        <v>41</v>
      </c>
      <c r="P190" s="2" t="s">
        <v>25</v>
      </c>
    </row>
    <row r="191" spans="1:16" hidden="1">
      <c r="A191" s="2">
        <v>12044</v>
      </c>
      <c r="B191" s="2" t="s">
        <v>1365</v>
      </c>
      <c r="C191" s="2" t="s">
        <v>1365</v>
      </c>
      <c r="D191" s="3">
        <v>46108.791666666672</v>
      </c>
      <c r="E191" s="2" t="s">
        <v>40</v>
      </c>
      <c r="F191" s="2" t="s">
        <v>41</v>
      </c>
      <c r="G191" s="2" t="s">
        <v>17</v>
      </c>
      <c r="H191" s="2" t="s">
        <v>54</v>
      </c>
      <c r="I191" s="2" t="s">
        <v>1366</v>
      </c>
      <c r="J191" s="2" t="s">
        <v>41</v>
      </c>
      <c r="K191" s="2" t="s">
        <v>41</v>
      </c>
      <c r="L191" s="2" t="s">
        <v>21</v>
      </c>
      <c r="M191" s="2" t="s">
        <v>22</v>
      </c>
      <c r="N191" s="2" t="s">
        <v>1367</v>
      </c>
      <c r="O191" s="2" t="s">
        <v>41</v>
      </c>
      <c r="P191" s="2" t="s">
        <v>99</v>
      </c>
    </row>
    <row r="192" spans="1:16" hidden="1">
      <c r="A192" s="2">
        <v>11393</v>
      </c>
      <c r="B192" s="2" t="s">
        <v>694</v>
      </c>
      <c r="C192" s="2" t="s">
        <v>695</v>
      </c>
      <c r="D192" s="3">
        <v>46094.934027777781</v>
      </c>
      <c r="E192" s="2" t="s">
        <v>16</v>
      </c>
      <c r="F192" s="2" t="s">
        <v>5</v>
      </c>
      <c r="G192" s="2" t="s">
        <v>34</v>
      </c>
      <c r="H192" s="2" t="s">
        <v>18</v>
      </c>
      <c r="I192" s="2" t="s">
        <v>19</v>
      </c>
      <c r="J192" s="2" t="s">
        <v>696</v>
      </c>
      <c r="K192" s="2">
        <v>715484877.17734337</v>
      </c>
      <c r="L192" s="2" t="s">
        <v>21</v>
      </c>
      <c r="M192" s="2" t="s">
        <v>22</v>
      </c>
      <c r="N192" s="2" t="s">
        <v>697</v>
      </c>
      <c r="O192" s="2" t="s">
        <v>24</v>
      </c>
      <c r="P192" s="2" t="s">
        <v>25</v>
      </c>
    </row>
    <row r="193" spans="1:16" hidden="1">
      <c r="A193" s="2">
        <v>11017</v>
      </c>
      <c r="B193" s="2" t="s">
        <v>168</v>
      </c>
      <c r="C193" s="2" t="s">
        <v>168</v>
      </c>
      <c r="D193" s="3">
        <v>46084.641666666663</v>
      </c>
      <c r="E193" s="2" t="s">
        <v>40</v>
      </c>
      <c r="F193" s="2" t="s">
        <v>5</v>
      </c>
      <c r="G193" s="2" t="s">
        <v>17</v>
      </c>
      <c r="H193" s="2" t="s">
        <v>18</v>
      </c>
      <c r="I193" s="2" t="s">
        <v>169</v>
      </c>
      <c r="J193" s="2" t="s">
        <v>170</v>
      </c>
      <c r="K193" s="2" t="s">
        <v>41</v>
      </c>
      <c r="L193" s="2" t="s">
        <v>118</v>
      </c>
      <c r="M193" s="2" t="s">
        <v>22</v>
      </c>
      <c r="N193" s="2" t="s">
        <v>171</v>
      </c>
      <c r="O193" s="2" t="s">
        <v>41</v>
      </c>
      <c r="P193" s="2" t="s">
        <v>56</v>
      </c>
    </row>
    <row r="194" spans="1:16" hidden="1">
      <c r="A194" s="2">
        <v>12089</v>
      </c>
      <c r="B194" s="2" t="s">
        <v>1428</v>
      </c>
      <c r="C194" s="2" t="s">
        <v>1428</v>
      </c>
      <c r="D194" s="3">
        <v>46111.109722222223</v>
      </c>
      <c r="E194" s="2" t="s">
        <v>1322</v>
      </c>
      <c r="F194" s="2" t="s">
        <v>41</v>
      </c>
      <c r="G194" s="2" t="s">
        <v>27</v>
      </c>
      <c r="H194" s="2" t="s">
        <v>18</v>
      </c>
      <c r="I194" s="2" t="s">
        <v>19</v>
      </c>
      <c r="J194" s="2" t="s">
        <v>1429</v>
      </c>
      <c r="K194" s="2">
        <v>880803664.1774826</v>
      </c>
      <c r="L194" s="2" t="s">
        <v>21</v>
      </c>
      <c r="M194" s="2" t="s">
        <v>22</v>
      </c>
      <c r="N194" s="2" t="s">
        <v>1430</v>
      </c>
      <c r="O194" s="2" t="s">
        <v>41</v>
      </c>
      <c r="P194" s="2" t="s">
        <v>25</v>
      </c>
    </row>
    <row r="195" spans="1:16" hidden="1">
      <c r="A195" s="2">
        <v>11272</v>
      </c>
      <c r="B195" s="2" t="s">
        <v>574</v>
      </c>
      <c r="C195" s="2" t="s">
        <v>575</v>
      </c>
      <c r="D195" s="3">
        <v>46091.913888888885</v>
      </c>
      <c r="E195" s="2" t="s">
        <v>121</v>
      </c>
      <c r="F195" s="2" t="s">
        <v>5</v>
      </c>
      <c r="G195" s="2" t="s">
        <v>34</v>
      </c>
      <c r="H195" s="2" t="s">
        <v>18</v>
      </c>
      <c r="I195" s="2" t="s">
        <v>19</v>
      </c>
      <c r="J195" s="2" t="s">
        <v>576</v>
      </c>
      <c r="K195" s="2">
        <v>1312666046.1773171</v>
      </c>
      <c r="L195" s="2" t="s">
        <v>21</v>
      </c>
      <c r="M195" s="2" t="s">
        <v>22</v>
      </c>
      <c r="N195" s="2" t="s">
        <v>577</v>
      </c>
      <c r="O195" s="2" t="s">
        <v>41</v>
      </c>
      <c r="P195" s="2" t="s">
        <v>578</v>
      </c>
    </row>
    <row r="196" spans="1:16" hidden="1">
      <c r="A196" s="2">
        <v>10940</v>
      </c>
      <c r="B196" s="2" t="s">
        <v>67</v>
      </c>
      <c r="C196" s="2" t="s">
        <v>67</v>
      </c>
      <c r="D196" s="3">
        <v>46083.044444444444</v>
      </c>
      <c r="E196" s="2" t="s">
        <v>16</v>
      </c>
      <c r="F196" s="2" t="s">
        <v>5</v>
      </c>
      <c r="G196" s="2" t="s">
        <v>17</v>
      </c>
      <c r="H196" s="2" t="s">
        <v>46</v>
      </c>
      <c r="I196" s="2" t="s">
        <v>68</v>
      </c>
      <c r="J196" s="2" t="s">
        <v>69</v>
      </c>
      <c r="K196" s="2">
        <v>1573224374.1772406</v>
      </c>
      <c r="L196" s="2" t="s">
        <v>21</v>
      </c>
      <c r="M196" s="2" t="s">
        <v>49</v>
      </c>
      <c r="N196" s="2" t="s">
        <v>70</v>
      </c>
      <c r="O196" s="2" t="s">
        <v>24</v>
      </c>
      <c r="P196" s="2" t="s">
        <v>25</v>
      </c>
    </row>
    <row r="197" spans="1:16" hidden="1">
      <c r="A197" s="2">
        <v>11967</v>
      </c>
      <c r="B197" s="2" t="s">
        <v>1288</v>
      </c>
      <c r="C197" s="2" t="s">
        <v>1288</v>
      </c>
      <c r="D197" s="3">
        <v>46107.270833333328</v>
      </c>
      <c r="E197" s="2" t="s">
        <v>801</v>
      </c>
      <c r="F197" s="2" t="s">
        <v>41</v>
      </c>
      <c r="G197" s="2" t="s">
        <v>27</v>
      </c>
      <c r="H197" s="2" t="s">
        <v>18</v>
      </c>
      <c r="I197" s="2" t="s">
        <v>162</v>
      </c>
      <c r="J197" s="2" t="s">
        <v>1289</v>
      </c>
      <c r="K197" s="2">
        <v>423524867.17744994</v>
      </c>
      <c r="L197" s="2" t="s">
        <v>21</v>
      </c>
      <c r="M197" s="2" t="s">
        <v>22</v>
      </c>
      <c r="N197" s="2" t="s">
        <v>1290</v>
      </c>
      <c r="O197" s="2" t="s">
        <v>41</v>
      </c>
      <c r="P197" s="2" t="s">
        <v>25</v>
      </c>
    </row>
    <row r="198" spans="1:16" hidden="1">
      <c r="A198" s="2">
        <v>11735</v>
      </c>
      <c r="B198" s="2" t="s">
        <v>1100</v>
      </c>
      <c r="C198" s="2" t="s">
        <v>1100</v>
      </c>
      <c r="D198" s="3">
        <v>46103.101388888885</v>
      </c>
      <c r="E198" s="2" t="s">
        <v>40</v>
      </c>
      <c r="F198" s="2" t="s">
        <v>5</v>
      </c>
      <c r="G198" s="2" t="s">
        <v>27</v>
      </c>
      <c r="H198" s="2" t="s">
        <v>18</v>
      </c>
      <c r="I198" s="2" t="s">
        <v>19</v>
      </c>
      <c r="J198" s="2" t="s">
        <v>1101</v>
      </c>
      <c r="K198" s="2">
        <v>1058636243.1774138</v>
      </c>
      <c r="L198" s="2" t="s">
        <v>21</v>
      </c>
      <c r="M198" s="2" t="s">
        <v>22</v>
      </c>
      <c r="N198" s="2" t="s">
        <v>1102</v>
      </c>
      <c r="O198" s="2" t="s">
        <v>41</v>
      </c>
      <c r="P198" s="2" t="s">
        <v>25</v>
      </c>
    </row>
    <row r="199" spans="1:16" hidden="1">
      <c r="A199" s="2">
        <v>11502</v>
      </c>
      <c r="B199" s="2" t="s">
        <v>860</v>
      </c>
      <c r="C199" s="2" t="s">
        <v>860</v>
      </c>
      <c r="D199" s="3">
        <v>46097.85555555555</v>
      </c>
      <c r="E199" s="2" t="s">
        <v>40</v>
      </c>
      <c r="F199" s="2" t="s">
        <v>5</v>
      </c>
      <c r="G199" s="2" t="s">
        <v>27</v>
      </c>
      <c r="H199" s="2" t="s">
        <v>18</v>
      </c>
      <c r="I199" s="2" t="s">
        <v>19</v>
      </c>
      <c r="J199" s="2" t="s">
        <v>861</v>
      </c>
      <c r="K199" s="2">
        <v>983182876.17736852</v>
      </c>
      <c r="L199" s="2" t="s">
        <v>21</v>
      </c>
      <c r="M199" s="2" t="s">
        <v>22</v>
      </c>
      <c r="N199" s="2" t="s">
        <v>862</v>
      </c>
      <c r="O199" s="2" t="s">
        <v>41</v>
      </c>
      <c r="P199" s="2" t="s">
        <v>25</v>
      </c>
    </row>
    <row r="200" spans="1:16" hidden="1">
      <c r="A200" s="2">
        <v>11759</v>
      </c>
      <c r="B200" s="2" t="s">
        <v>1129</v>
      </c>
      <c r="C200" s="2" t="s">
        <v>1129</v>
      </c>
      <c r="D200" s="3">
        <v>46103.84652777778</v>
      </c>
      <c r="E200" s="2" t="s">
        <v>801</v>
      </c>
      <c r="F200" s="2" t="s">
        <v>5</v>
      </c>
      <c r="G200" s="2" t="s">
        <v>27</v>
      </c>
      <c r="H200" s="2" t="s">
        <v>18</v>
      </c>
      <c r="I200" s="2" t="s">
        <v>1130</v>
      </c>
      <c r="J200" s="2" t="s">
        <v>1131</v>
      </c>
      <c r="K200" s="2">
        <v>1917726220.1774204</v>
      </c>
      <c r="L200" s="2" t="s">
        <v>60</v>
      </c>
      <c r="M200" s="2" t="s">
        <v>22</v>
      </c>
      <c r="N200" s="2" t="s">
        <v>1132</v>
      </c>
      <c r="O200" s="2" t="s">
        <v>41</v>
      </c>
      <c r="P200" s="2" t="s">
        <v>44</v>
      </c>
    </row>
    <row r="201" spans="1:16" hidden="1">
      <c r="A201" s="2">
        <v>11407</v>
      </c>
      <c r="B201" s="2" t="s">
        <v>717</v>
      </c>
      <c r="C201" s="2" t="s">
        <v>717</v>
      </c>
      <c r="D201" s="3">
        <v>46095.775694444441</v>
      </c>
      <c r="E201" s="2" t="s">
        <v>16</v>
      </c>
      <c r="F201" s="2" t="s">
        <v>5</v>
      </c>
      <c r="G201" s="2" t="s">
        <v>17</v>
      </c>
      <c r="H201" s="2" t="s">
        <v>46</v>
      </c>
      <c r="I201" s="2" t="s">
        <v>243</v>
      </c>
      <c r="J201" s="2" t="s">
        <v>718</v>
      </c>
      <c r="K201" s="2">
        <v>2031973553.1773505</v>
      </c>
      <c r="L201" s="2" t="s">
        <v>21</v>
      </c>
      <c r="M201" s="2" t="s">
        <v>49</v>
      </c>
      <c r="N201" s="2" t="s">
        <v>719</v>
      </c>
      <c r="O201" s="2" t="s">
        <v>24</v>
      </c>
      <c r="P201" s="2" t="s">
        <v>25</v>
      </c>
    </row>
    <row r="202" spans="1:16" hidden="1">
      <c r="A202" s="2">
        <v>11054</v>
      </c>
      <c r="B202" s="2" t="s">
        <v>220</v>
      </c>
      <c r="C202" s="2" t="s">
        <v>221</v>
      </c>
      <c r="D202" s="3">
        <v>46085.186805555553</v>
      </c>
      <c r="E202" s="2" t="s">
        <v>16</v>
      </c>
      <c r="F202" s="2" t="s">
        <v>5</v>
      </c>
      <c r="G202" s="2" t="s">
        <v>34</v>
      </c>
      <c r="H202" s="2" t="s">
        <v>18</v>
      </c>
      <c r="I202" s="2" t="s">
        <v>35</v>
      </c>
      <c r="J202" s="2" t="s">
        <v>222</v>
      </c>
      <c r="K202" s="2">
        <v>1750447154.1772592</v>
      </c>
      <c r="L202" s="2" t="s">
        <v>21</v>
      </c>
      <c r="M202" s="2" t="s">
        <v>22</v>
      </c>
      <c r="N202" s="2" t="s">
        <v>223</v>
      </c>
      <c r="O202" s="2" t="s">
        <v>24</v>
      </c>
      <c r="P202" s="2" t="s">
        <v>25</v>
      </c>
    </row>
    <row r="203" spans="1:16" hidden="1">
      <c r="A203" s="2">
        <v>11396</v>
      </c>
      <c r="B203" s="2" t="s">
        <v>702</v>
      </c>
      <c r="C203" s="2" t="s">
        <v>703</v>
      </c>
      <c r="D203" s="3">
        <v>46095.041666666672</v>
      </c>
      <c r="E203" s="2" t="s">
        <v>40</v>
      </c>
      <c r="F203" s="2" t="s">
        <v>5</v>
      </c>
      <c r="G203" s="2" t="s">
        <v>17</v>
      </c>
      <c r="H203" s="2" t="s">
        <v>96</v>
      </c>
      <c r="I203" s="2" t="s">
        <v>704</v>
      </c>
      <c r="J203" s="2" t="s">
        <v>41</v>
      </c>
      <c r="K203" s="2" t="s">
        <v>41</v>
      </c>
      <c r="L203" s="2" t="s">
        <v>21</v>
      </c>
      <c r="M203" s="2" t="s">
        <v>22</v>
      </c>
      <c r="N203" s="2" t="s">
        <v>705</v>
      </c>
      <c r="O203" s="2" t="s">
        <v>41</v>
      </c>
      <c r="P203" s="2" t="s">
        <v>99</v>
      </c>
    </row>
    <row r="204" spans="1:16" hidden="1">
      <c r="A204" s="2">
        <v>11494</v>
      </c>
      <c r="B204" s="2" t="s">
        <v>851</v>
      </c>
      <c r="C204" s="2" t="s">
        <v>851</v>
      </c>
      <c r="D204" s="3">
        <v>46097.788194444445</v>
      </c>
      <c r="E204" s="2" t="s">
        <v>265</v>
      </c>
      <c r="F204" s="2" t="s">
        <v>5</v>
      </c>
      <c r="G204" s="2" t="s">
        <v>34</v>
      </c>
      <c r="H204" s="2" t="s">
        <v>18</v>
      </c>
      <c r="I204" s="2" t="s">
        <v>279</v>
      </c>
      <c r="J204" s="2" t="s">
        <v>41</v>
      </c>
      <c r="K204" s="2" t="s">
        <v>41</v>
      </c>
      <c r="L204" s="2" t="s">
        <v>21</v>
      </c>
      <c r="M204" s="2" t="s">
        <v>88</v>
      </c>
      <c r="N204" s="2" t="s">
        <v>852</v>
      </c>
      <c r="O204" s="2" t="s">
        <v>41</v>
      </c>
      <c r="P204" s="2" t="s">
        <v>56</v>
      </c>
    </row>
    <row r="205" spans="1:16" hidden="1">
      <c r="A205" s="2">
        <v>11383</v>
      </c>
      <c r="B205" s="2" t="s">
        <v>680</v>
      </c>
      <c r="C205" s="2" t="s">
        <v>681</v>
      </c>
      <c r="D205" s="3">
        <v>46094.759027777778</v>
      </c>
      <c r="E205" s="2" t="s">
        <v>16</v>
      </c>
      <c r="F205" s="2" t="s">
        <v>5</v>
      </c>
      <c r="G205" s="2" t="s">
        <v>34</v>
      </c>
      <c r="H205" s="2" t="s">
        <v>18</v>
      </c>
      <c r="I205" s="2" t="s">
        <v>19</v>
      </c>
      <c r="J205" s="2" t="s">
        <v>682</v>
      </c>
      <c r="K205" s="2">
        <v>1697579152.1773417</v>
      </c>
      <c r="L205" s="2" t="s">
        <v>21</v>
      </c>
      <c r="M205" s="2" t="s">
        <v>22</v>
      </c>
      <c r="N205" s="2" t="s">
        <v>683</v>
      </c>
      <c r="O205" s="2" t="s">
        <v>202</v>
      </c>
      <c r="P205" s="2" t="s">
        <v>25</v>
      </c>
    </row>
    <row r="206" spans="1:16" hidden="1">
      <c r="A206" s="2">
        <v>11411</v>
      </c>
      <c r="B206" s="2" t="s">
        <v>727</v>
      </c>
      <c r="C206" s="2" t="s">
        <v>728</v>
      </c>
      <c r="D206" s="3">
        <v>46095.859027777777</v>
      </c>
      <c r="E206" s="2" t="s">
        <v>16</v>
      </c>
      <c r="F206" s="2" t="s">
        <v>181</v>
      </c>
      <c r="G206" s="2" t="s">
        <v>34</v>
      </c>
      <c r="H206" s="2" t="s">
        <v>54</v>
      </c>
      <c r="I206" s="2" t="s">
        <v>162</v>
      </c>
      <c r="J206" s="2" t="s">
        <v>729</v>
      </c>
      <c r="K206" s="2">
        <v>1276247681.1773512</v>
      </c>
      <c r="L206" s="2" t="s">
        <v>21</v>
      </c>
      <c r="M206" s="2" t="s">
        <v>22</v>
      </c>
      <c r="N206" s="2" t="s">
        <v>730</v>
      </c>
      <c r="O206" s="2" t="s">
        <v>257</v>
      </c>
      <c r="P206" s="2" t="s">
        <v>25</v>
      </c>
    </row>
    <row r="207" spans="1:16" hidden="1">
      <c r="A207" s="2">
        <v>11161</v>
      </c>
      <c r="B207" s="2" t="s">
        <v>387</v>
      </c>
      <c r="C207" s="2" t="s">
        <v>387</v>
      </c>
      <c r="D207" s="3">
        <v>46087.515972222223</v>
      </c>
      <c r="E207" s="2" t="s">
        <v>90</v>
      </c>
      <c r="F207" s="2" t="s">
        <v>5</v>
      </c>
      <c r="G207" s="2" t="s">
        <v>34</v>
      </c>
      <c r="H207" s="2" t="s">
        <v>91</v>
      </c>
      <c r="I207" s="2" t="s">
        <v>92</v>
      </c>
      <c r="J207" s="2" t="s">
        <v>388</v>
      </c>
      <c r="K207" s="2">
        <v>1508590357.1772792</v>
      </c>
      <c r="L207" s="2" t="s">
        <v>21</v>
      </c>
      <c r="M207" s="2" t="s">
        <v>49</v>
      </c>
      <c r="N207" s="2" t="s">
        <v>389</v>
      </c>
      <c r="O207" s="2" t="s">
        <v>41</v>
      </c>
      <c r="P207" s="2" t="s">
        <v>25</v>
      </c>
    </row>
    <row r="208" spans="1:16" hidden="1">
      <c r="A208" s="2">
        <v>11990</v>
      </c>
      <c r="B208" s="2" t="s">
        <v>1309</v>
      </c>
      <c r="C208" s="2" t="s">
        <v>1309</v>
      </c>
      <c r="D208" s="3">
        <v>46107.663888888885</v>
      </c>
      <c r="E208" s="2" t="s">
        <v>40</v>
      </c>
      <c r="F208" s="2" t="s">
        <v>5</v>
      </c>
      <c r="G208" s="2" t="s">
        <v>27</v>
      </c>
      <c r="H208" s="2" t="s">
        <v>18</v>
      </c>
      <c r="I208" s="2" t="s">
        <v>19</v>
      </c>
      <c r="J208" s="2" t="s">
        <v>1310</v>
      </c>
      <c r="K208" s="2">
        <v>1684644994.1774533</v>
      </c>
      <c r="L208" s="2" t="s">
        <v>21</v>
      </c>
      <c r="M208" s="2" t="s">
        <v>22</v>
      </c>
      <c r="N208" s="2" t="s">
        <v>1311</v>
      </c>
      <c r="O208" s="2" t="s">
        <v>41</v>
      </c>
      <c r="P208" s="2" t="s">
        <v>25</v>
      </c>
    </row>
    <row r="209" spans="1:16" hidden="1">
      <c r="A209" s="2">
        <v>11019</v>
      </c>
      <c r="B209" s="2" t="s">
        <v>172</v>
      </c>
      <c r="C209" s="2" t="s">
        <v>172</v>
      </c>
      <c r="D209" s="3">
        <v>46084.667361111111</v>
      </c>
      <c r="E209" s="2" t="s">
        <v>90</v>
      </c>
      <c r="F209" s="2" t="s">
        <v>5</v>
      </c>
      <c r="G209" s="2" t="s">
        <v>34</v>
      </c>
      <c r="H209" s="2" t="s">
        <v>91</v>
      </c>
      <c r="I209" s="2" t="s">
        <v>68</v>
      </c>
      <c r="J209" s="2" t="s">
        <v>173</v>
      </c>
      <c r="K209" s="2">
        <v>1138075336.1772544</v>
      </c>
      <c r="L209" s="2" t="s">
        <v>21</v>
      </c>
      <c r="M209" s="2" t="s">
        <v>49</v>
      </c>
      <c r="N209" s="2" t="s">
        <v>174</v>
      </c>
      <c r="O209" s="2" t="s">
        <v>159</v>
      </c>
      <c r="P209" s="2" t="s">
        <v>175</v>
      </c>
    </row>
    <row r="210" spans="1:16" hidden="1">
      <c r="A210" s="2">
        <v>11253</v>
      </c>
      <c r="B210" s="2" t="s">
        <v>546</v>
      </c>
      <c r="C210" s="2" t="s">
        <v>546</v>
      </c>
      <c r="D210" s="3">
        <v>46091.571527777778</v>
      </c>
      <c r="E210" s="2" t="s">
        <v>16</v>
      </c>
      <c r="F210" s="2" t="s">
        <v>5</v>
      </c>
      <c r="G210" s="2" t="s">
        <v>34</v>
      </c>
      <c r="H210" s="2" t="s">
        <v>91</v>
      </c>
      <c r="I210" s="2" t="s">
        <v>547</v>
      </c>
      <c r="J210" s="2" t="s">
        <v>196</v>
      </c>
      <c r="K210" s="2" t="s">
        <v>41</v>
      </c>
      <c r="L210" s="2" t="s">
        <v>21</v>
      </c>
      <c r="M210" s="2" t="s">
        <v>49</v>
      </c>
      <c r="N210" s="2" t="s">
        <v>548</v>
      </c>
      <c r="O210" s="2" t="s">
        <v>66</v>
      </c>
      <c r="P210" s="2" t="s">
        <v>81</v>
      </c>
    </row>
    <row r="211" spans="1:16" hidden="1">
      <c r="A211" s="2">
        <v>12087</v>
      </c>
      <c r="B211" s="2" t="s">
        <v>1426</v>
      </c>
      <c r="C211" s="2" t="s">
        <v>1426</v>
      </c>
      <c r="D211" s="3">
        <v>46111.056250000001</v>
      </c>
      <c r="E211" s="2" t="s">
        <v>40</v>
      </c>
      <c r="F211" s="2" t="s">
        <v>5</v>
      </c>
      <c r="G211" s="2" t="s">
        <v>27</v>
      </c>
      <c r="H211" s="2" t="s">
        <v>18</v>
      </c>
      <c r="I211" s="2" t="s">
        <v>19</v>
      </c>
      <c r="J211" s="2" t="s">
        <v>270</v>
      </c>
      <c r="K211" s="2">
        <v>1188841248.1774824</v>
      </c>
      <c r="L211" s="2" t="s">
        <v>21</v>
      </c>
      <c r="M211" s="2" t="s">
        <v>22</v>
      </c>
      <c r="N211" s="2" t="s">
        <v>1427</v>
      </c>
      <c r="O211" s="2" t="s">
        <v>41</v>
      </c>
      <c r="P211" s="2" t="s">
        <v>25</v>
      </c>
    </row>
    <row r="212" spans="1:16" hidden="1">
      <c r="A212" s="2">
        <v>11343</v>
      </c>
      <c r="B212" s="2" t="s">
        <v>653</v>
      </c>
      <c r="C212" s="2" t="s">
        <v>653</v>
      </c>
      <c r="D212" s="3">
        <v>46093.850694444445</v>
      </c>
      <c r="E212" s="2" t="s">
        <v>16</v>
      </c>
      <c r="F212" s="2" t="s">
        <v>5</v>
      </c>
      <c r="G212" s="2" t="s">
        <v>17</v>
      </c>
      <c r="H212" s="2" t="s">
        <v>46</v>
      </c>
      <c r="I212" s="2" t="s">
        <v>68</v>
      </c>
      <c r="J212" s="2" t="s">
        <v>654</v>
      </c>
      <c r="K212" s="2">
        <v>29058254.177333966</v>
      </c>
      <c r="L212" s="2" t="s">
        <v>21</v>
      </c>
      <c r="M212" s="2" t="s">
        <v>49</v>
      </c>
      <c r="N212" s="2" t="s">
        <v>655</v>
      </c>
      <c r="O212" s="2" t="s">
        <v>24</v>
      </c>
      <c r="P212" s="2" t="s">
        <v>25</v>
      </c>
    </row>
    <row r="213" spans="1:16" hidden="1">
      <c r="A213" s="2">
        <v>11683</v>
      </c>
      <c r="B213" s="2" t="s">
        <v>1035</v>
      </c>
      <c r="C213" s="2" t="s">
        <v>1036</v>
      </c>
      <c r="D213" s="3">
        <v>46101.568749999999</v>
      </c>
      <c r="E213" s="2" t="s">
        <v>688</v>
      </c>
      <c r="F213" s="2" t="s">
        <v>5</v>
      </c>
      <c r="G213" s="2" t="s">
        <v>17</v>
      </c>
      <c r="H213" s="2" t="s">
        <v>46</v>
      </c>
      <c r="I213" s="2" t="s">
        <v>92</v>
      </c>
      <c r="J213" s="2" t="s">
        <v>1037</v>
      </c>
      <c r="K213" s="2">
        <v>1553723891.1774006</v>
      </c>
      <c r="L213" s="2" t="s">
        <v>21</v>
      </c>
      <c r="M213" s="2" t="s">
        <v>49</v>
      </c>
      <c r="N213" s="2" t="s">
        <v>1038</v>
      </c>
      <c r="O213" s="2" t="s">
        <v>41</v>
      </c>
      <c r="P213" s="2" t="s">
        <v>25</v>
      </c>
    </row>
    <row r="214" spans="1:16" hidden="1">
      <c r="A214" s="2">
        <v>10991</v>
      </c>
      <c r="B214" s="2" t="s">
        <v>150</v>
      </c>
      <c r="C214" s="2" t="s">
        <v>150</v>
      </c>
      <c r="D214" s="3">
        <v>46084.117361111115</v>
      </c>
      <c r="E214" s="2" t="s">
        <v>16</v>
      </c>
      <c r="F214" s="2" t="s">
        <v>5</v>
      </c>
      <c r="G214" s="2" t="s">
        <v>27</v>
      </c>
      <c r="H214" s="2" t="s">
        <v>18</v>
      </c>
      <c r="I214" s="2" t="s">
        <v>58</v>
      </c>
      <c r="J214" s="2" t="s">
        <v>151</v>
      </c>
      <c r="K214" s="2">
        <v>876897733.17724991</v>
      </c>
      <c r="L214" s="2" t="s">
        <v>60</v>
      </c>
      <c r="M214" s="2" t="s">
        <v>22</v>
      </c>
      <c r="N214" s="2" t="s">
        <v>152</v>
      </c>
      <c r="O214" s="2" t="s">
        <v>24</v>
      </c>
      <c r="P214" s="2" t="s">
        <v>25</v>
      </c>
    </row>
    <row r="215" spans="1:16" hidden="1">
      <c r="A215" s="2">
        <v>12079</v>
      </c>
      <c r="B215" s="2" t="s">
        <v>1412</v>
      </c>
      <c r="C215" s="2" t="s">
        <v>1412</v>
      </c>
      <c r="D215" s="3">
        <v>46110.498611111107</v>
      </c>
      <c r="E215" s="2" t="s">
        <v>1322</v>
      </c>
      <c r="F215" s="2" t="s">
        <v>41</v>
      </c>
      <c r="G215" s="2" t="s">
        <v>27</v>
      </c>
      <c r="H215" s="2" t="s">
        <v>18</v>
      </c>
      <c r="I215" s="2" t="s">
        <v>58</v>
      </c>
      <c r="J215" s="2" t="s">
        <v>1413</v>
      </c>
      <c r="K215" s="2">
        <v>1394167664.1774774</v>
      </c>
      <c r="L215" s="2" t="s">
        <v>60</v>
      </c>
      <c r="M215" s="2" t="s">
        <v>22</v>
      </c>
      <c r="N215" s="2" t="s">
        <v>1414</v>
      </c>
      <c r="O215" s="2" t="s">
        <v>41</v>
      </c>
      <c r="P215" s="2" t="s">
        <v>25</v>
      </c>
    </row>
    <row r="216" spans="1:16" hidden="1">
      <c r="A216" s="2">
        <v>11780</v>
      </c>
      <c r="B216" s="2" t="s">
        <v>1153</v>
      </c>
      <c r="C216" s="2" t="s">
        <v>1153</v>
      </c>
      <c r="D216" s="3">
        <v>46104.568749999999</v>
      </c>
      <c r="E216" s="2" t="s">
        <v>40</v>
      </c>
      <c r="F216" s="2" t="s">
        <v>5</v>
      </c>
      <c r="G216" s="2" t="s">
        <v>27</v>
      </c>
      <c r="H216" s="2" t="s">
        <v>18</v>
      </c>
      <c r="I216" s="2" t="s">
        <v>305</v>
      </c>
      <c r="J216" s="2" t="s">
        <v>1154</v>
      </c>
      <c r="K216" s="2">
        <v>1058304977.1774265</v>
      </c>
      <c r="L216" s="2" t="s">
        <v>21</v>
      </c>
      <c r="M216" s="2" t="s">
        <v>22</v>
      </c>
      <c r="N216" s="2" t="s">
        <v>1155</v>
      </c>
      <c r="O216" s="2" t="s">
        <v>41</v>
      </c>
      <c r="P216" s="2" t="s">
        <v>25</v>
      </c>
    </row>
    <row r="217" spans="1:16" hidden="1">
      <c r="A217" s="2">
        <v>10941</v>
      </c>
      <c r="B217" s="2" t="s">
        <v>71</v>
      </c>
      <c r="C217" s="2" t="s">
        <v>71</v>
      </c>
      <c r="D217" s="3">
        <v>46083.051388888889</v>
      </c>
      <c r="E217" s="2" t="s">
        <v>16</v>
      </c>
      <c r="F217" s="2" t="s">
        <v>5</v>
      </c>
      <c r="G217" s="2" t="s">
        <v>34</v>
      </c>
      <c r="H217" s="2" t="s">
        <v>18</v>
      </c>
      <c r="I217" s="2" t="s">
        <v>41</v>
      </c>
      <c r="J217" s="2" t="s">
        <v>41</v>
      </c>
      <c r="K217" s="2" t="s">
        <v>41</v>
      </c>
      <c r="L217" s="2" t="s">
        <v>21</v>
      </c>
      <c r="M217" s="2" t="s">
        <v>22</v>
      </c>
      <c r="N217" s="2" t="s">
        <v>72</v>
      </c>
      <c r="O217" s="2" t="s">
        <v>66</v>
      </c>
      <c r="P217" s="2" t="s">
        <v>56</v>
      </c>
    </row>
    <row r="218" spans="1:16" hidden="1">
      <c r="A218" s="2">
        <v>10971</v>
      </c>
      <c r="B218" s="2" t="s">
        <v>106</v>
      </c>
      <c r="C218" s="2" t="s">
        <v>106</v>
      </c>
      <c r="D218" s="3">
        <v>46083.643055555556</v>
      </c>
      <c r="E218" s="2" t="s">
        <v>16</v>
      </c>
      <c r="F218" s="2" t="s">
        <v>5</v>
      </c>
      <c r="G218" s="2" t="s">
        <v>34</v>
      </c>
      <c r="H218" s="2" t="s">
        <v>18</v>
      </c>
      <c r="I218" s="2" t="s">
        <v>19</v>
      </c>
      <c r="J218" s="2" t="s">
        <v>107</v>
      </c>
      <c r="K218" s="2">
        <v>222850388.1772458</v>
      </c>
      <c r="L218" s="2" t="s">
        <v>21</v>
      </c>
      <c r="M218" s="2" t="s">
        <v>22</v>
      </c>
      <c r="N218" s="2" t="s">
        <v>108</v>
      </c>
      <c r="O218" s="2" t="s">
        <v>24</v>
      </c>
      <c r="P218" s="2" t="s">
        <v>25</v>
      </c>
    </row>
    <row r="219" spans="1:16" hidden="1">
      <c r="A219" s="2">
        <v>11698</v>
      </c>
      <c r="B219" s="2" t="s">
        <v>1052</v>
      </c>
      <c r="C219" s="2" t="s">
        <v>1052</v>
      </c>
      <c r="D219" s="3">
        <v>46101.845833333333</v>
      </c>
      <c r="E219" s="2" t="s">
        <v>40</v>
      </c>
      <c r="F219" s="2" t="s">
        <v>41</v>
      </c>
      <c r="G219" s="2" t="s">
        <v>27</v>
      </c>
      <c r="H219" s="2" t="s">
        <v>18</v>
      </c>
      <c r="I219" s="2" t="s">
        <v>41</v>
      </c>
      <c r="J219" s="2" t="s">
        <v>41</v>
      </c>
      <c r="K219" s="2" t="s">
        <v>41</v>
      </c>
      <c r="L219" s="2" t="s">
        <v>21</v>
      </c>
      <c r="M219" s="2" t="s">
        <v>22</v>
      </c>
      <c r="N219" s="2" t="s">
        <v>1053</v>
      </c>
      <c r="O219" s="2" t="s">
        <v>41</v>
      </c>
      <c r="P219" s="2" t="s">
        <v>41</v>
      </c>
    </row>
    <row r="220" spans="1:16" hidden="1">
      <c r="A220" s="2">
        <v>11292</v>
      </c>
      <c r="B220" s="2" t="s">
        <v>591</v>
      </c>
      <c r="C220" s="2" t="s">
        <v>591</v>
      </c>
      <c r="D220" s="3">
        <v>46092.667361111111</v>
      </c>
      <c r="E220" s="2" t="s">
        <v>16</v>
      </c>
      <c r="F220" s="2" t="s">
        <v>5</v>
      </c>
      <c r="G220" s="2" t="s">
        <v>34</v>
      </c>
      <c r="H220" s="2" t="s">
        <v>18</v>
      </c>
      <c r="I220" s="2" t="s">
        <v>35</v>
      </c>
      <c r="J220" s="2" t="s">
        <v>592</v>
      </c>
      <c r="K220" s="2" t="s">
        <v>41</v>
      </c>
      <c r="L220" s="2" t="s">
        <v>21</v>
      </c>
      <c r="M220" s="2" t="s">
        <v>22</v>
      </c>
      <c r="N220" s="2" t="s">
        <v>593</v>
      </c>
      <c r="O220" s="2" t="s">
        <v>24</v>
      </c>
      <c r="P220" s="2" t="s">
        <v>81</v>
      </c>
    </row>
    <row r="221" spans="1:16" hidden="1">
      <c r="A221" s="2">
        <v>11083</v>
      </c>
      <c r="B221" s="2" t="s">
        <v>260</v>
      </c>
      <c r="C221" s="2" t="s">
        <v>260</v>
      </c>
      <c r="D221" s="3">
        <v>46085.747916666667</v>
      </c>
      <c r="E221" s="2" t="s">
        <v>16</v>
      </c>
      <c r="F221" s="2" t="s">
        <v>41</v>
      </c>
      <c r="G221" s="2" t="s">
        <v>27</v>
      </c>
      <c r="H221" s="2" t="s">
        <v>54</v>
      </c>
      <c r="I221" s="2" t="s">
        <v>261</v>
      </c>
      <c r="J221" s="2" t="s">
        <v>262</v>
      </c>
      <c r="K221" s="2">
        <v>683277752.17726386</v>
      </c>
      <c r="L221" s="2" t="s">
        <v>30</v>
      </c>
      <c r="M221" s="2" t="s">
        <v>22</v>
      </c>
      <c r="N221" s="2" t="s">
        <v>263</v>
      </c>
      <c r="O221" s="2" t="s">
        <v>66</v>
      </c>
      <c r="P221" s="2" t="s">
        <v>44</v>
      </c>
    </row>
    <row r="222" spans="1:16" hidden="1">
      <c r="A222" s="2">
        <v>11219</v>
      </c>
      <c r="B222" s="2" t="s">
        <v>489</v>
      </c>
      <c r="C222" s="2" t="s">
        <v>490</v>
      </c>
      <c r="D222" s="3">
        <v>46090.552083333328</v>
      </c>
      <c r="E222" s="2" t="s">
        <v>180</v>
      </c>
      <c r="F222" s="2" t="s">
        <v>5</v>
      </c>
      <c r="G222" s="2" t="s">
        <v>17</v>
      </c>
      <c r="H222" s="2" t="s">
        <v>46</v>
      </c>
      <c r="I222" s="2" t="s">
        <v>243</v>
      </c>
      <c r="J222" s="2" t="s">
        <v>491</v>
      </c>
      <c r="K222" s="2">
        <v>960946331.17728817</v>
      </c>
      <c r="L222" s="2" t="s">
        <v>21</v>
      </c>
      <c r="M222" s="2" t="s">
        <v>49</v>
      </c>
      <c r="N222" s="2" t="s">
        <v>492</v>
      </c>
      <c r="O222" s="2" t="s">
        <v>41</v>
      </c>
      <c r="P222" s="2" t="s">
        <v>44</v>
      </c>
    </row>
    <row r="223" spans="1:16" hidden="1">
      <c r="A223" s="2">
        <v>11049</v>
      </c>
      <c r="B223" s="2" t="s">
        <v>210</v>
      </c>
      <c r="C223" s="2" t="s">
        <v>211</v>
      </c>
      <c r="D223" s="3">
        <v>46085.068055555559</v>
      </c>
      <c r="E223" s="2" t="s">
        <v>16</v>
      </c>
      <c r="F223" s="2" t="s">
        <v>5</v>
      </c>
      <c r="G223" s="2" t="s">
        <v>34</v>
      </c>
      <c r="H223" s="2" t="s">
        <v>18</v>
      </c>
      <c r="I223" s="2" t="s">
        <v>162</v>
      </c>
      <c r="J223" s="2" t="s">
        <v>212</v>
      </c>
      <c r="K223" s="2">
        <v>203341355.1772581</v>
      </c>
      <c r="L223" s="2" t="s">
        <v>21</v>
      </c>
      <c r="M223" s="2" t="s">
        <v>22</v>
      </c>
      <c r="N223" s="2" t="s">
        <v>213</v>
      </c>
      <c r="O223" s="2" t="s">
        <v>24</v>
      </c>
      <c r="P223" s="2" t="s">
        <v>25</v>
      </c>
    </row>
    <row r="224" spans="1:16" hidden="1">
      <c r="A224" s="2">
        <v>11454</v>
      </c>
      <c r="B224" s="2" t="s">
        <v>803</v>
      </c>
      <c r="C224" s="2" t="s">
        <v>803</v>
      </c>
      <c r="D224" s="3">
        <v>46097.416666666672</v>
      </c>
      <c r="E224" s="2" t="s">
        <v>52</v>
      </c>
      <c r="F224" s="2" t="s">
        <v>181</v>
      </c>
      <c r="G224" s="2" t="s">
        <v>53</v>
      </c>
      <c r="H224" s="2" t="s">
        <v>41</v>
      </c>
      <c r="I224" s="2" t="s">
        <v>41</v>
      </c>
      <c r="J224" s="2" t="s">
        <v>41</v>
      </c>
      <c r="K224" s="2" t="s">
        <v>41</v>
      </c>
      <c r="L224" s="2" t="s">
        <v>21</v>
      </c>
      <c r="M224" s="2" t="s">
        <v>22</v>
      </c>
      <c r="N224" s="2" t="s">
        <v>804</v>
      </c>
      <c r="O224" s="2" t="s">
        <v>41</v>
      </c>
      <c r="P224" s="2" t="s">
        <v>99</v>
      </c>
    </row>
    <row r="225" spans="1:16">
      <c r="A225" s="2">
        <v>11271</v>
      </c>
      <c r="B225" s="2" t="s">
        <v>571</v>
      </c>
      <c r="C225" s="2" t="s">
        <v>571</v>
      </c>
      <c r="D225" s="3">
        <v>46091.905555555553</v>
      </c>
      <c r="E225" s="2" t="s">
        <v>52</v>
      </c>
      <c r="F225" s="2" t="s">
        <v>181</v>
      </c>
      <c r="G225" s="2" t="s">
        <v>53</v>
      </c>
      <c r="H225" s="2" t="s">
        <v>46</v>
      </c>
      <c r="I225" s="2" t="s">
        <v>140</v>
      </c>
      <c r="J225" s="2" t="s">
        <v>572</v>
      </c>
      <c r="K225" s="2">
        <v>242634039.17731717</v>
      </c>
      <c r="L225" s="2" t="s">
        <v>41</v>
      </c>
      <c r="M225" s="2" t="s">
        <v>49</v>
      </c>
      <c r="N225" s="2" t="s">
        <v>573</v>
      </c>
      <c r="O225" s="2" t="s">
        <v>41</v>
      </c>
      <c r="P225" s="2" t="s">
        <v>25</v>
      </c>
    </row>
    <row r="226" spans="1:16" hidden="1">
      <c r="A226" s="2">
        <v>12116</v>
      </c>
      <c r="B226" s="2" t="s">
        <v>1449</v>
      </c>
      <c r="C226" s="2" t="s">
        <v>1449</v>
      </c>
      <c r="D226" s="3">
        <v>46111.665972222225</v>
      </c>
      <c r="E226" s="2" t="s">
        <v>40</v>
      </c>
      <c r="F226" s="2" t="s">
        <v>5</v>
      </c>
      <c r="G226" s="2" t="s">
        <v>27</v>
      </c>
      <c r="H226" s="2" t="s">
        <v>18</v>
      </c>
      <c r="I226" s="2" t="s">
        <v>28</v>
      </c>
      <c r="J226" s="2" t="s">
        <v>1450</v>
      </c>
      <c r="K226" s="2">
        <v>1479044077.1774876</v>
      </c>
      <c r="L226" s="2" t="s">
        <v>30</v>
      </c>
      <c r="M226" s="2" t="s">
        <v>22</v>
      </c>
      <c r="N226" s="2" t="s">
        <v>1451</v>
      </c>
      <c r="O226" s="2" t="s">
        <v>41</v>
      </c>
      <c r="P226" s="2" t="s">
        <v>25</v>
      </c>
    </row>
    <row r="227" spans="1:16" hidden="1">
      <c r="A227" s="2">
        <v>10923</v>
      </c>
      <c r="B227" s="2" t="s">
        <v>15</v>
      </c>
      <c r="C227" s="2" t="s">
        <v>15</v>
      </c>
      <c r="D227" s="3">
        <v>46082.020833333328</v>
      </c>
      <c r="E227" s="2" t="s">
        <v>16</v>
      </c>
      <c r="F227" s="2" t="s">
        <v>5</v>
      </c>
      <c r="G227" s="2" t="s">
        <v>17</v>
      </c>
      <c r="H227" s="2" t="s">
        <v>18</v>
      </c>
      <c r="I227" s="2" t="s">
        <v>19</v>
      </c>
      <c r="J227" s="2" t="s">
        <v>20</v>
      </c>
      <c r="K227" s="2">
        <v>1493402926.1769402</v>
      </c>
      <c r="L227" s="2" t="s">
        <v>21</v>
      </c>
      <c r="M227" s="2" t="s">
        <v>22</v>
      </c>
      <c r="N227" s="2" t="s">
        <v>23</v>
      </c>
      <c r="O227" s="2" t="s">
        <v>24</v>
      </c>
      <c r="P227" s="2" t="s">
        <v>25</v>
      </c>
    </row>
    <row r="228" spans="1:16" hidden="1">
      <c r="A228" s="2">
        <v>12041</v>
      </c>
      <c r="B228" s="2" t="s">
        <v>1360</v>
      </c>
      <c r="C228" s="2" t="s">
        <v>1360</v>
      </c>
      <c r="D228" s="3">
        <v>46108.732638888891</v>
      </c>
      <c r="E228" s="2" t="s">
        <v>180</v>
      </c>
      <c r="F228" s="2" t="s">
        <v>5</v>
      </c>
      <c r="G228" s="2" t="s">
        <v>17</v>
      </c>
      <c r="H228" s="2" t="s">
        <v>46</v>
      </c>
      <c r="I228" s="2" t="s">
        <v>195</v>
      </c>
      <c r="J228" s="2" t="s">
        <v>1361</v>
      </c>
      <c r="K228" s="2">
        <v>2045296217.1774626</v>
      </c>
      <c r="L228" s="2" t="s">
        <v>21</v>
      </c>
      <c r="M228" s="2" t="s">
        <v>49</v>
      </c>
      <c r="N228" s="2" t="s">
        <v>1362</v>
      </c>
      <c r="O228" s="2" t="s">
        <v>41</v>
      </c>
      <c r="P228" s="2" t="s">
        <v>25</v>
      </c>
    </row>
    <row r="229" spans="1:16" hidden="1">
      <c r="A229" s="2">
        <v>11441</v>
      </c>
      <c r="B229" s="2" t="s">
        <v>777</v>
      </c>
      <c r="C229" s="2" t="s">
        <v>778</v>
      </c>
      <c r="D229" s="3">
        <v>46096.856249999997</v>
      </c>
      <c r="E229" s="2" t="s">
        <v>16</v>
      </c>
      <c r="F229" s="2" t="s">
        <v>41</v>
      </c>
      <c r="G229" s="2" t="s">
        <v>34</v>
      </c>
      <c r="H229" s="2" t="s">
        <v>18</v>
      </c>
      <c r="I229" s="2" t="s">
        <v>35</v>
      </c>
      <c r="J229" s="2" t="s">
        <v>155</v>
      </c>
      <c r="K229" s="2">
        <v>1316803677.1773601</v>
      </c>
      <c r="L229" s="2" t="s">
        <v>21</v>
      </c>
      <c r="M229" s="2" t="s">
        <v>22</v>
      </c>
      <c r="N229" s="2" t="s">
        <v>779</v>
      </c>
      <c r="O229" s="2" t="s">
        <v>24</v>
      </c>
      <c r="P229" s="2" t="s">
        <v>81</v>
      </c>
    </row>
    <row r="230" spans="1:16" hidden="1">
      <c r="A230" s="2">
        <v>11337</v>
      </c>
      <c r="B230" s="2" t="s">
        <v>642</v>
      </c>
      <c r="C230" s="2" t="s">
        <v>643</v>
      </c>
      <c r="D230" s="3">
        <v>46093.722916666666</v>
      </c>
      <c r="E230" s="2" t="s">
        <v>16</v>
      </c>
      <c r="F230" s="2" t="s">
        <v>5</v>
      </c>
      <c r="G230" s="2" t="s">
        <v>34</v>
      </c>
      <c r="H230" s="2" t="s">
        <v>18</v>
      </c>
      <c r="I230" s="2" t="s">
        <v>19</v>
      </c>
      <c r="J230" s="2" t="s">
        <v>644</v>
      </c>
      <c r="K230" s="2">
        <v>737092776.17733288</v>
      </c>
      <c r="L230" s="2" t="s">
        <v>21</v>
      </c>
      <c r="M230" s="2" t="s">
        <v>22</v>
      </c>
      <c r="N230" s="2" t="s">
        <v>645</v>
      </c>
      <c r="O230" s="2" t="s">
        <v>24</v>
      </c>
      <c r="P230" s="2" t="s">
        <v>25</v>
      </c>
    </row>
    <row r="231" spans="1:16" hidden="1">
      <c r="A231" s="2">
        <v>11092</v>
      </c>
      <c r="B231" s="2" t="s">
        <v>285</v>
      </c>
      <c r="C231" s="2" t="s">
        <v>285</v>
      </c>
      <c r="D231" s="3">
        <v>46085.961805555555</v>
      </c>
      <c r="E231" s="2" t="s">
        <v>180</v>
      </c>
      <c r="F231" s="2" t="s">
        <v>5</v>
      </c>
      <c r="G231" s="2" t="s">
        <v>17</v>
      </c>
      <c r="H231" s="2" t="s">
        <v>286</v>
      </c>
      <c r="I231" s="2" t="s">
        <v>287</v>
      </c>
      <c r="J231" s="2" t="s">
        <v>288</v>
      </c>
      <c r="K231" s="2">
        <v>782030904.17726576</v>
      </c>
      <c r="L231" s="2" t="s">
        <v>21</v>
      </c>
      <c r="M231" s="2" t="s">
        <v>49</v>
      </c>
      <c r="N231" s="2" t="s">
        <v>289</v>
      </c>
      <c r="O231" s="2" t="s">
        <v>41</v>
      </c>
      <c r="P231" s="2" t="s">
        <v>25</v>
      </c>
    </row>
    <row r="232" spans="1:16" hidden="1">
      <c r="A232" s="2">
        <v>11621</v>
      </c>
      <c r="B232" s="2" t="s">
        <v>972</v>
      </c>
      <c r="C232" s="2" t="s">
        <v>972</v>
      </c>
      <c r="D232" s="3">
        <v>46099.959722222222</v>
      </c>
      <c r="E232" s="2" t="s">
        <v>16</v>
      </c>
      <c r="F232" s="2" t="s">
        <v>181</v>
      </c>
      <c r="G232" s="2" t="s">
        <v>34</v>
      </c>
      <c r="H232" s="2" t="s">
        <v>54</v>
      </c>
      <c r="I232" s="2" t="s">
        <v>530</v>
      </c>
      <c r="J232" s="2" t="s">
        <v>41</v>
      </c>
      <c r="K232" s="2" t="s">
        <v>41</v>
      </c>
      <c r="L232" s="2" t="s">
        <v>41</v>
      </c>
      <c r="M232" s="2" t="s">
        <v>49</v>
      </c>
      <c r="N232" s="2" t="s">
        <v>973</v>
      </c>
      <c r="O232" s="2" t="s">
        <v>252</v>
      </c>
      <c r="P232" s="2" t="s">
        <v>56</v>
      </c>
    </row>
    <row r="233" spans="1:16" hidden="1">
      <c r="A233" s="2">
        <v>11623</v>
      </c>
      <c r="B233" s="2" t="s">
        <v>974</v>
      </c>
      <c r="C233" s="2" t="s">
        <v>974</v>
      </c>
      <c r="D233" s="3">
        <v>46100.029861111107</v>
      </c>
      <c r="E233" s="2" t="s">
        <v>688</v>
      </c>
      <c r="F233" s="2" t="s">
        <v>5</v>
      </c>
      <c r="G233" s="2" t="s">
        <v>27</v>
      </c>
      <c r="H233" s="2" t="s">
        <v>18</v>
      </c>
      <c r="I233" s="2" t="s">
        <v>19</v>
      </c>
      <c r="J233" s="2" t="s">
        <v>975</v>
      </c>
      <c r="K233" s="2">
        <v>81161614.177387372</v>
      </c>
      <c r="L233" s="2" t="s">
        <v>21</v>
      </c>
      <c r="M233" s="2" t="s">
        <v>22</v>
      </c>
      <c r="N233" s="2" t="s">
        <v>976</v>
      </c>
      <c r="O233" s="2" t="s">
        <v>41</v>
      </c>
      <c r="P233" s="2" t="s">
        <v>175</v>
      </c>
    </row>
    <row r="234" spans="1:16" hidden="1">
      <c r="A234" s="2">
        <v>11085</v>
      </c>
      <c r="B234" s="2" t="s">
        <v>264</v>
      </c>
      <c r="C234" s="2" t="s">
        <v>264</v>
      </c>
      <c r="D234" s="3">
        <v>46085.791666666672</v>
      </c>
      <c r="E234" s="2" t="s">
        <v>265</v>
      </c>
      <c r="F234" s="2" t="s">
        <v>5</v>
      </c>
      <c r="G234" s="2" t="s">
        <v>34</v>
      </c>
      <c r="H234" s="2" t="s">
        <v>18</v>
      </c>
      <c r="I234" s="2" t="s">
        <v>68</v>
      </c>
      <c r="J234" s="2" t="s">
        <v>266</v>
      </c>
      <c r="K234" s="2">
        <v>2109703687.1772645</v>
      </c>
      <c r="L234" s="2" t="s">
        <v>21</v>
      </c>
      <c r="M234" s="2" t="s">
        <v>49</v>
      </c>
      <c r="N234" s="2" t="s">
        <v>267</v>
      </c>
      <c r="O234" s="2" t="s">
        <v>41</v>
      </c>
      <c r="P234" s="2" t="s">
        <v>81</v>
      </c>
    </row>
    <row r="235" spans="1:16" hidden="1">
      <c r="A235" s="2">
        <v>11475</v>
      </c>
      <c r="B235" s="2" t="s">
        <v>825</v>
      </c>
      <c r="C235" s="2" t="s">
        <v>825</v>
      </c>
      <c r="D235" s="3">
        <v>46097.625</v>
      </c>
      <c r="E235" s="2" t="s">
        <v>16</v>
      </c>
      <c r="F235" s="2" t="s">
        <v>5</v>
      </c>
      <c r="G235" s="2" t="s">
        <v>17</v>
      </c>
      <c r="H235" s="2" t="s">
        <v>96</v>
      </c>
      <c r="I235" s="2" t="s">
        <v>826</v>
      </c>
      <c r="J235" s="2" t="s">
        <v>41</v>
      </c>
      <c r="K235" s="2" t="s">
        <v>41</v>
      </c>
      <c r="L235" s="2" t="s">
        <v>21</v>
      </c>
      <c r="M235" s="2" t="s">
        <v>22</v>
      </c>
      <c r="N235" s="2" t="s">
        <v>827</v>
      </c>
      <c r="O235" s="2" t="s">
        <v>66</v>
      </c>
      <c r="P235" s="2" t="s">
        <v>99</v>
      </c>
    </row>
    <row r="236" spans="1:16" hidden="1">
      <c r="A236" s="2">
        <v>11867</v>
      </c>
      <c r="B236" s="2" t="s">
        <v>1216</v>
      </c>
      <c r="C236" s="2" t="s">
        <v>1217</v>
      </c>
      <c r="D236" s="3">
        <v>46105.772916666669</v>
      </c>
      <c r="E236" s="2" t="s">
        <v>801</v>
      </c>
      <c r="F236" s="2" t="s">
        <v>5</v>
      </c>
      <c r="G236" s="2" t="s">
        <v>27</v>
      </c>
      <c r="H236" s="2" t="s">
        <v>18</v>
      </c>
      <c r="I236" s="2" t="s">
        <v>28</v>
      </c>
      <c r="J236" s="2" t="s">
        <v>1218</v>
      </c>
      <c r="K236" s="2">
        <v>834204031.17743695</v>
      </c>
      <c r="L236" s="2" t="s">
        <v>30</v>
      </c>
      <c r="M236" s="2" t="s">
        <v>22</v>
      </c>
      <c r="N236" s="2" t="s">
        <v>1217</v>
      </c>
      <c r="O236" s="2" t="s">
        <v>41</v>
      </c>
      <c r="P236" s="2" t="s">
        <v>25</v>
      </c>
    </row>
    <row r="237" spans="1:16" hidden="1">
      <c r="A237" s="2">
        <v>11246</v>
      </c>
      <c r="B237" s="2" t="s">
        <v>534</v>
      </c>
      <c r="C237" s="2" t="s">
        <v>534</v>
      </c>
      <c r="D237" s="3">
        <v>46091.436111111107</v>
      </c>
      <c r="E237" s="2" t="s">
        <v>52</v>
      </c>
      <c r="F237" s="2" t="s">
        <v>181</v>
      </c>
      <c r="G237" s="2" t="s">
        <v>53</v>
      </c>
      <c r="H237" s="2" t="s">
        <v>41</v>
      </c>
      <c r="I237" s="2" t="s">
        <v>535</v>
      </c>
      <c r="J237" s="2" t="s">
        <v>155</v>
      </c>
      <c r="K237" s="2">
        <v>170197715.17698535</v>
      </c>
      <c r="L237" s="2" t="s">
        <v>21</v>
      </c>
      <c r="M237" s="2" t="s">
        <v>22</v>
      </c>
      <c r="N237" s="2" t="s">
        <v>536</v>
      </c>
      <c r="O237" s="2" t="s">
        <v>41</v>
      </c>
      <c r="P237" s="2" t="s">
        <v>81</v>
      </c>
    </row>
    <row r="238" spans="1:16" hidden="1">
      <c r="A238" s="2">
        <v>11912</v>
      </c>
      <c r="B238" s="2" t="s">
        <v>1251</v>
      </c>
      <c r="C238" s="2" t="s">
        <v>1251</v>
      </c>
      <c r="D238" s="3">
        <v>46106.50277777778</v>
      </c>
      <c r="E238" s="2" t="s">
        <v>52</v>
      </c>
      <c r="F238" s="2" t="s">
        <v>181</v>
      </c>
      <c r="G238" s="2" t="s">
        <v>53</v>
      </c>
      <c r="H238" s="2" t="s">
        <v>41</v>
      </c>
      <c r="I238" s="2" t="s">
        <v>1224</v>
      </c>
      <c r="J238" s="2" t="s">
        <v>1252</v>
      </c>
      <c r="K238" s="2">
        <v>825705957.17744327</v>
      </c>
      <c r="L238" s="2" t="s">
        <v>41</v>
      </c>
      <c r="M238" s="2" t="s">
        <v>49</v>
      </c>
      <c r="N238" s="2" t="s">
        <v>1253</v>
      </c>
      <c r="O238" s="2" t="s">
        <v>41</v>
      </c>
      <c r="P238" s="2" t="s">
        <v>44</v>
      </c>
    </row>
    <row r="239" spans="1:16" hidden="1">
      <c r="A239" s="2">
        <v>11203</v>
      </c>
      <c r="B239" s="2" t="s">
        <v>467</v>
      </c>
      <c r="C239" s="2" t="s">
        <v>467</v>
      </c>
      <c r="D239" s="3">
        <v>46089.518055555556</v>
      </c>
      <c r="E239" s="2" t="s">
        <v>16</v>
      </c>
      <c r="F239" s="2" t="s">
        <v>5</v>
      </c>
      <c r="G239" s="2" t="s">
        <v>17</v>
      </c>
      <c r="H239" s="2" t="s">
        <v>46</v>
      </c>
      <c r="I239" s="2" t="s">
        <v>140</v>
      </c>
      <c r="J239" s="2" t="s">
        <v>468</v>
      </c>
      <c r="K239" s="2">
        <v>2132095273.1772966</v>
      </c>
      <c r="L239" s="2" t="s">
        <v>21</v>
      </c>
      <c r="M239" s="2" t="s">
        <v>49</v>
      </c>
      <c r="N239" s="2" t="s">
        <v>469</v>
      </c>
      <c r="O239" s="2" t="s">
        <v>24</v>
      </c>
      <c r="P239" s="2" t="s">
        <v>25</v>
      </c>
    </row>
    <row r="240" spans="1:16" hidden="1">
      <c r="A240" s="2">
        <v>11096</v>
      </c>
      <c r="B240" s="2" t="s">
        <v>298</v>
      </c>
      <c r="C240" s="2" t="s">
        <v>298</v>
      </c>
      <c r="D240" s="3">
        <v>46086.045833333337</v>
      </c>
      <c r="E240" s="2" t="s">
        <v>16</v>
      </c>
      <c r="F240" s="2" t="s">
        <v>5</v>
      </c>
      <c r="G240" s="2" t="s">
        <v>17</v>
      </c>
      <c r="H240" s="2" t="s">
        <v>46</v>
      </c>
      <c r="I240" s="2" t="s">
        <v>140</v>
      </c>
      <c r="J240" s="2" t="s">
        <v>299</v>
      </c>
      <c r="K240" s="2">
        <v>2145733820.1772666</v>
      </c>
      <c r="L240" s="2" t="s">
        <v>21</v>
      </c>
      <c r="M240" s="2" t="s">
        <v>49</v>
      </c>
      <c r="N240" s="2" t="s">
        <v>300</v>
      </c>
      <c r="O240" s="2" t="s">
        <v>24</v>
      </c>
      <c r="P240" s="2" t="s">
        <v>25</v>
      </c>
    </row>
    <row r="241" spans="1:16" hidden="1">
      <c r="A241" s="2">
        <v>11616</v>
      </c>
      <c r="B241" s="2" t="s">
        <v>963</v>
      </c>
      <c r="C241" s="2" t="s">
        <v>963</v>
      </c>
      <c r="D241" s="3">
        <v>46099.813194444447</v>
      </c>
      <c r="E241" s="2" t="s">
        <v>40</v>
      </c>
      <c r="F241" s="2" t="s">
        <v>5</v>
      </c>
      <c r="G241" s="2" t="s">
        <v>27</v>
      </c>
      <c r="H241" s="2" t="s">
        <v>18</v>
      </c>
      <c r="I241" s="2" t="s">
        <v>28</v>
      </c>
      <c r="J241" s="2" t="s">
        <v>933</v>
      </c>
      <c r="K241" s="2">
        <v>2034366341.1773853</v>
      </c>
      <c r="L241" s="2" t="s">
        <v>30</v>
      </c>
      <c r="M241" s="2" t="s">
        <v>22</v>
      </c>
      <c r="N241" s="2" t="s">
        <v>964</v>
      </c>
      <c r="O241" s="2" t="s">
        <v>41</v>
      </c>
      <c r="P241" s="2" t="s">
        <v>44</v>
      </c>
    </row>
    <row r="242" spans="1:16" hidden="1">
      <c r="A242" s="2">
        <v>11689</v>
      </c>
      <c r="B242" s="2" t="s">
        <v>1045</v>
      </c>
      <c r="C242" s="2" t="s">
        <v>1045</v>
      </c>
      <c r="D242" s="3">
        <v>46101.686111111107</v>
      </c>
      <c r="E242" s="2" t="s">
        <v>16</v>
      </c>
      <c r="F242" s="2" t="s">
        <v>5</v>
      </c>
      <c r="G242" s="2" t="s">
        <v>34</v>
      </c>
      <c r="H242" s="2" t="s">
        <v>18</v>
      </c>
      <c r="I242" s="2" t="s">
        <v>19</v>
      </c>
      <c r="J242" s="2" t="s">
        <v>715</v>
      </c>
      <c r="K242" s="2">
        <v>1757527306.1774018</v>
      </c>
      <c r="L242" s="2" t="s">
        <v>21</v>
      </c>
      <c r="M242" s="2" t="s">
        <v>22</v>
      </c>
      <c r="N242" s="2" t="s">
        <v>1046</v>
      </c>
      <c r="O242" s="2" t="s">
        <v>202</v>
      </c>
      <c r="P242" s="2" t="s">
        <v>44</v>
      </c>
    </row>
    <row r="243" spans="1:16" hidden="1">
      <c r="A243" s="2">
        <v>11798</v>
      </c>
      <c r="B243" s="2" t="s">
        <v>1175</v>
      </c>
      <c r="C243" s="2" t="s">
        <v>1175</v>
      </c>
      <c r="D243" s="3">
        <v>46104.722222222219</v>
      </c>
      <c r="E243" s="2" t="s">
        <v>801</v>
      </c>
      <c r="F243" s="2" t="s">
        <v>5</v>
      </c>
      <c r="G243" s="2" t="s">
        <v>27</v>
      </c>
      <c r="H243" s="2" t="s">
        <v>18</v>
      </c>
      <c r="I243" s="2" t="s">
        <v>19</v>
      </c>
      <c r="J243" s="2" t="s">
        <v>1176</v>
      </c>
      <c r="K243" s="2">
        <v>727613738.17742789</v>
      </c>
      <c r="L243" s="2" t="s">
        <v>21</v>
      </c>
      <c r="M243" s="2" t="s">
        <v>22</v>
      </c>
      <c r="N243" s="2" t="s">
        <v>1177</v>
      </c>
      <c r="O243" s="2" t="s">
        <v>41</v>
      </c>
      <c r="P243" s="2" t="s">
        <v>25</v>
      </c>
    </row>
    <row r="244" spans="1:16" hidden="1">
      <c r="A244" s="2">
        <v>12123</v>
      </c>
      <c r="B244" s="2" t="s">
        <v>1456</v>
      </c>
      <c r="C244" s="2" t="s">
        <v>1456</v>
      </c>
      <c r="D244" s="3">
        <v>46111.836805555555</v>
      </c>
      <c r="E244" s="2" t="s">
        <v>16</v>
      </c>
      <c r="F244" s="2" t="s">
        <v>5</v>
      </c>
      <c r="G244" s="2" t="s">
        <v>34</v>
      </c>
      <c r="H244" s="2" t="s">
        <v>18</v>
      </c>
      <c r="I244" s="2" t="s">
        <v>19</v>
      </c>
      <c r="J244" s="2" t="s">
        <v>42</v>
      </c>
      <c r="K244" s="2">
        <v>505307445.17747092</v>
      </c>
      <c r="L244" s="2" t="s">
        <v>21</v>
      </c>
      <c r="M244" s="2" t="s">
        <v>22</v>
      </c>
      <c r="N244" s="2" t="s">
        <v>1457</v>
      </c>
      <c r="O244" s="2" t="s">
        <v>80</v>
      </c>
      <c r="P244" s="2" t="s">
        <v>44</v>
      </c>
    </row>
    <row r="245" spans="1:16" hidden="1">
      <c r="A245" s="2">
        <v>11530</v>
      </c>
      <c r="B245" s="2" t="s">
        <v>889</v>
      </c>
      <c r="C245" s="2" t="s">
        <v>889</v>
      </c>
      <c r="D245" s="3">
        <v>46098.521527777775</v>
      </c>
      <c r="E245" s="2" t="s">
        <v>688</v>
      </c>
      <c r="F245" s="2" t="s">
        <v>5</v>
      </c>
      <c r="G245" s="2" t="s">
        <v>17</v>
      </c>
      <c r="H245" s="2" t="s">
        <v>18</v>
      </c>
      <c r="I245" s="2" t="s">
        <v>890</v>
      </c>
      <c r="J245" s="2" t="s">
        <v>891</v>
      </c>
      <c r="K245" s="2">
        <v>1856465940.1773736</v>
      </c>
      <c r="L245" s="2" t="s">
        <v>118</v>
      </c>
      <c r="M245" s="2" t="s">
        <v>22</v>
      </c>
      <c r="N245" s="2" t="s">
        <v>892</v>
      </c>
      <c r="O245" s="2" t="s">
        <v>41</v>
      </c>
      <c r="P245" s="2" t="s">
        <v>44</v>
      </c>
    </row>
    <row r="246" spans="1:16" hidden="1">
      <c r="A246" s="2">
        <v>11378</v>
      </c>
      <c r="B246" s="2" t="s">
        <v>678</v>
      </c>
      <c r="C246" s="2" t="s">
        <v>678</v>
      </c>
      <c r="D246" s="3">
        <v>46094.708333333328</v>
      </c>
      <c r="E246" s="2" t="s">
        <v>16</v>
      </c>
      <c r="F246" s="2" t="s">
        <v>181</v>
      </c>
      <c r="G246" s="2" t="s">
        <v>17</v>
      </c>
      <c r="H246" s="2" t="s">
        <v>41</v>
      </c>
      <c r="I246" s="2" t="s">
        <v>41</v>
      </c>
      <c r="J246" s="2" t="s">
        <v>41</v>
      </c>
      <c r="K246" s="2" t="s">
        <v>41</v>
      </c>
      <c r="L246" s="2" t="s">
        <v>21</v>
      </c>
      <c r="M246" s="2" t="s">
        <v>22</v>
      </c>
      <c r="N246" s="2" t="s">
        <v>679</v>
      </c>
      <c r="O246" s="2" t="s">
        <v>252</v>
      </c>
      <c r="P246" s="2" t="s">
        <v>99</v>
      </c>
    </row>
    <row r="247" spans="1:16" hidden="1">
      <c r="A247" s="2">
        <v>11005</v>
      </c>
      <c r="B247" s="2" t="s">
        <v>157</v>
      </c>
      <c r="C247" s="2" t="s">
        <v>157</v>
      </c>
      <c r="D247" s="3">
        <v>46084.430555555555</v>
      </c>
      <c r="E247" s="2" t="s">
        <v>16</v>
      </c>
      <c r="F247" s="2" t="s">
        <v>41</v>
      </c>
      <c r="G247" s="2" t="s">
        <v>17</v>
      </c>
      <c r="H247" s="2" t="s">
        <v>41</v>
      </c>
      <c r="I247" s="2" t="s">
        <v>41</v>
      </c>
      <c r="J247" s="2" t="s">
        <v>41</v>
      </c>
      <c r="K247" s="2" t="s">
        <v>41</v>
      </c>
      <c r="L247" s="2" t="s">
        <v>41</v>
      </c>
      <c r="M247" s="2" t="s">
        <v>88</v>
      </c>
      <c r="N247" s="2" t="s">
        <v>158</v>
      </c>
      <c r="O247" s="2" t="s">
        <v>159</v>
      </c>
      <c r="P247" s="2" t="s">
        <v>41</v>
      </c>
    </row>
    <row r="248" spans="1:16" hidden="1">
      <c r="A248" s="2">
        <v>12172</v>
      </c>
      <c r="B248" s="2" t="s">
        <v>1485</v>
      </c>
      <c r="C248" s="2" t="s">
        <v>1485</v>
      </c>
      <c r="D248" s="3">
        <v>46112.751388888893</v>
      </c>
      <c r="E248" s="2" t="s">
        <v>16</v>
      </c>
      <c r="F248" s="2" t="s">
        <v>5</v>
      </c>
      <c r="G248" s="2" t="s">
        <v>34</v>
      </c>
      <c r="H248" s="2" t="s">
        <v>18</v>
      </c>
      <c r="I248" s="2" t="s">
        <v>19</v>
      </c>
      <c r="J248" s="2" t="s">
        <v>1486</v>
      </c>
      <c r="K248" s="2">
        <v>5401611.1772551872</v>
      </c>
      <c r="L248" s="2" t="s">
        <v>21</v>
      </c>
      <c r="M248" s="2" t="s">
        <v>22</v>
      </c>
      <c r="N248" s="2" t="s">
        <v>1487</v>
      </c>
      <c r="O248" s="2" t="s">
        <v>66</v>
      </c>
      <c r="P248" s="2" t="s">
        <v>25</v>
      </c>
    </row>
    <row r="249" spans="1:16" hidden="1">
      <c r="A249" s="2">
        <v>11218</v>
      </c>
      <c r="B249" s="2" t="s">
        <v>486</v>
      </c>
      <c r="C249" s="2" t="s">
        <v>486</v>
      </c>
      <c r="D249" s="3">
        <v>46090.544444444444</v>
      </c>
      <c r="E249" s="2" t="s">
        <v>16</v>
      </c>
      <c r="F249" s="2" t="s">
        <v>5</v>
      </c>
      <c r="G249" s="2" t="s">
        <v>27</v>
      </c>
      <c r="H249" s="2" t="s">
        <v>18</v>
      </c>
      <c r="I249" s="2" t="s">
        <v>58</v>
      </c>
      <c r="J249" s="2" t="s">
        <v>487</v>
      </c>
      <c r="K249" s="2">
        <v>1255897516.1773055</v>
      </c>
      <c r="L249" s="2" t="s">
        <v>60</v>
      </c>
      <c r="M249" s="2" t="s">
        <v>22</v>
      </c>
      <c r="N249" s="2" t="s">
        <v>488</v>
      </c>
      <c r="O249" s="2" t="s">
        <v>24</v>
      </c>
      <c r="P249" s="2" t="s">
        <v>25</v>
      </c>
    </row>
    <row r="250" spans="1:16" hidden="1">
      <c r="A250" s="2">
        <v>11473</v>
      </c>
      <c r="B250" s="2" t="s">
        <v>821</v>
      </c>
      <c r="C250" s="2" t="s">
        <v>821</v>
      </c>
      <c r="D250" s="3">
        <v>46097.618055555555</v>
      </c>
      <c r="E250" s="2" t="s">
        <v>40</v>
      </c>
      <c r="F250" s="2" t="s">
        <v>5</v>
      </c>
      <c r="G250" s="2" t="s">
        <v>27</v>
      </c>
      <c r="H250" s="2" t="s">
        <v>18</v>
      </c>
      <c r="I250" s="2" t="s">
        <v>28</v>
      </c>
      <c r="J250" s="2" t="s">
        <v>822</v>
      </c>
      <c r="K250" s="2">
        <v>1679332894.1773665</v>
      </c>
      <c r="L250" s="2" t="s">
        <v>30</v>
      </c>
      <c r="M250" s="2" t="s">
        <v>22</v>
      </c>
      <c r="N250" s="2" t="s">
        <v>823</v>
      </c>
      <c r="O250" s="2" t="s">
        <v>41</v>
      </c>
      <c r="P250" s="2" t="s">
        <v>25</v>
      </c>
    </row>
    <row r="251" spans="1:16" hidden="1">
      <c r="A251" s="2">
        <v>11991</v>
      </c>
      <c r="B251" s="2" t="s">
        <v>1312</v>
      </c>
      <c r="C251" s="2" t="s">
        <v>1312</v>
      </c>
      <c r="D251" s="3">
        <v>46107.69027777778</v>
      </c>
      <c r="E251" s="2" t="s">
        <v>40</v>
      </c>
      <c r="F251" s="2" t="s">
        <v>5</v>
      </c>
      <c r="G251" s="2" t="s">
        <v>17</v>
      </c>
      <c r="H251" s="2" t="s">
        <v>18</v>
      </c>
      <c r="I251" s="2" t="s">
        <v>225</v>
      </c>
      <c r="J251" s="2" t="s">
        <v>1313</v>
      </c>
      <c r="K251" s="2">
        <v>320853810.17745352</v>
      </c>
      <c r="L251" s="2" t="s">
        <v>118</v>
      </c>
      <c r="M251" s="2" t="s">
        <v>22</v>
      </c>
      <c r="N251" s="2" t="s">
        <v>1314</v>
      </c>
      <c r="O251" s="2" t="s">
        <v>41</v>
      </c>
      <c r="P251" s="2" t="s">
        <v>25</v>
      </c>
    </row>
    <row r="252" spans="1:16" hidden="1">
      <c r="A252" s="2">
        <v>11077</v>
      </c>
      <c r="B252" s="2" t="s">
        <v>253</v>
      </c>
      <c r="C252" s="2" t="s">
        <v>254</v>
      </c>
      <c r="D252" s="3">
        <v>46085.702777777777</v>
      </c>
      <c r="E252" s="2" t="s">
        <v>16</v>
      </c>
      <c r="F252" s="2" t="s">
        <v>181</v>
      </c>
      <c r="G252" s="2" t="s">
        <v>34</v>
      </c>
      <c r="H252" s="2" t="s">
        <v>18</v>
      </c>
      <c r="I252" s="2" t="s">
        <v>19</v>
      </c>
      <c r="J252" s="2" t="s">
        <v>255</v>
      </c>
      <c r="K252" s="2">
        <v>2133233625.1772633</v>
      </c>
      <c r="L252" s="2" t="s">
        <v>21</v>
      </c>
      <c r="M252" s="2" t="s">
        <v>22</v>
      </c>
      <c r="N252" s="2" t="s">
        <v>256</v>
      </c>
      <c r="O252" s="2" t="s">
        <v>257</v>
      </c>
      <c r="P252" s="2" t="s">
        <v>175</v>
      </c>
    </row>
    <row r="253" spans="1:16" hidden="1">
      <c r="A253" s="2">
        <v>12022</v>
      </c>
      <c r="B253" s="2" t="s">
        <v>1339</v>
      </c>
      <c r="C253" s="2" t="s">
        <v>1339</v>
      </c>
      <c r="D253" s="3">
        <v>46108.404861111107</v>
      </c>
      <c r="E253" s="2" t="s">
        <v>52</v>
      </c>
      <c r="F253" s="2" t="s">
        <v>41</v>
      </c>
      <c r="G253" s="2" t="s">
        <v>53</v>
      </c>
      <c r="H253" s="2" t="s">
        <v>41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88</v>
      </c>
      <c r="N253" s="2" t="s">
        <v>1340</v>
      </c>
      <c r="O253" s="2" t="s">
        <v>41</v>
      </c>
      <c r="P253" s="2" t="s">
        <v>41</v>
      </c>
    </row>
    <row r="254" spans="1:16" hidden="1">
      <c r="A254" s="2">
        <v>11688</v>
      </c>
      <c r="B254" s="2" t="s">
        <v>1042</v>
      </c>
      <c r="C254" s="2" t="s">
        <v>1042</v>
      </c>
      <c r="D254" s="3">
        <v>46101.666666666672</v>
      </c>
      <c r="E254" s="2" t="s">
        <v>1012</v>
      </c>
      <c r="F254" s="2" t="s">
        <v>5</v>
      </c>
      <c r="G254" s="2" t="s">
        <v>17</v>
      </c>
      <c r="H254" s="2" t="s">
        <v>96</v>
      </c>
      <c r="I254" s="2" t="s">
        <v>1043</v>
      </c>
      <c r="J254" s="2" t="s">
        <v>41</v>
      </c>
      <c r="K254" s="2" t="s">
        <v>41</v>
      </c>
      <c r="L254" s="2" t="s">
        <v>21</v>
      </c>
      <c r="M254" s="2" t="s">
        <v>22</v>
      </c>
      <c r="N254" s="2" t="s">
        <v>1044</v>
      </c>
      <c r="O254" s="2" t="s">
        <v>41</v>
      </c>
      <c r="P254" s="2" t="s">
        <v>99</v>
      </c>
    </row>
    <row r="255" spans="1:16" hidden="1">
      <c r="A255" s="2">
        <v>11753</v>
      </c>
      <c r="B255" s="2" t="s">
        <v>1114</v>
      </c>
      <c r="C255" s="2" t="s">
        <v>1115</v>
      </c>
      <c r="D255" s="3">
        <v>46103.702777777777</v>
      </c>
      <c r="E255" s="2" t="s">
        <v>1012</v>
      </c>
      <c r="F255" s="2" t="s">
        <v>5</v>
      </c>
      <c r="G255" s="2" t="s">
        <v>34</v>
      </c>
      <c r="H255" s="2" t="s">
        <v>18</v>
      </c>
      <c r="I255" s="2" t="s">
        <v>35</v>
      </c>
      <c r="J255" s="2" t="s">
        <v>1116</v>
      </c>
      <c r="K255" s="2">
        <v>1423754818.1774192</v>
      </c>
      <c r="L255" s="2" t="s">
        <v>21</v>
      </c>
      <c r="M255" s="2" t="s">
        <v>22</v>
      </c>
      <c r="N255" s="2" t="s">
        <v>1117</v>
      </c>
      <c r="O255" s="2" t="s">
        <v>41</v>
      </c>
      <c r="P255" s="2" t="s">
        <v>25</v>
      </c>
    </row>
    <row r="256" spans="1:16" hidden="1">
      <c r="A256" s="2">
        <v>11699</v>
      </c>
      <c r="B256" s="2" t="s">
        <v>1054</v>
      </c>
      <c r="C256" s="2" t="s">
        <v>1054</v>
      </c>
      <c r="D256" s="3">
        <v>46101.861111111109</v>
      </c>
      <c r="E256" s="2" t="s">
        <v>801</v>
      </c>
      <c r="F256" s="2" t="s">
        <v>41</v>
      </c>
      <c r="G256" s="2" t="s">
        <v>27</v>
      </c>
      <c r="H256" s="2" t="s">
        <v>18</v>
      </c>
      <c r="I256" s="2" t="s">
        <v>28</v>
      </c>
      <c r="J256" s="2" t="s">
        <v>1055</v>
      </c>
      <c r="K256" s="2" t="s">
        <v>64</v>
      </c>
      <c r="L256" s="2" t="s">
        <v>30</v>
      </c>
      <c r="M256" s="2" t="s">
        <v>22</v>
      </c>
      <c r="N256" s="2" t="s">
        <v>1056</v>
      </c>
      <c r="O256" s="2" t="s">
        <v>41</v>
      </c>
      <c r="P256" s="6" t="s">
        <v>25</v>
      </c>
    </row>
    <row r="257" spans="1:16" hidden="1">
      <c r="A257" s="2">
        <v>11413</v>
      </c>
      <c r="B257" s="2" t="s">
        <v>734</v>
      </c>
      <c r="C257" s="2" t="s">
        <v>734</v>
      </c>
      <c r="D257" s="3">
        <v>46095.90902777778</v>
      </c>
      <c r="E257" s="2" t="s">
        <v>688</v>
      </c>
      <c r="F257" s="2" t="s">
        <v>5</v>
      </c>
      <c r="G257" s="2" t="s">
        <v>27</v>
      </c>
      <c r="H257" s="2" t="s">
        <v>18</v>
      </c>
      <c r="I257" s="2" t="s">
        <v>28</v>
      </c>
      <c r="J257" s="2" t="s">
        <v>110</v>
      </c>
      <c r="K257" s="2">
        <v>555630369.17735171</v>
      </c>
      <c r="L257" s="2" t="s">
        <v>30</v>
      </c>
      <c r="M257" s="2" t="s">
        <v>22</v>
      </c>
      <c r="N257" s="2" t="s">
        <v>735</v>
      </c>
      <c r="O257" s="2" t="s">
        <v>41</v>
      </c>
      <c r="P257" s="2" t="s">
        <v>25</v>
      </c>
    </row>
    <row r="258" spans="1:16" hidden="1">
      <c r="A258" s="2">
        <v>11988</v>
      </c>
      <c r="B258" s="2" t="s">
        <v>1305</v>
      </c>
      <c r="C258" s="2" t="s">
        <v>1305</v>
      </c>
      <c r="D258" s="3">
        <v>46107.635416666672</v>
      </c>
      <c r="E258" s="2" t="s">
        <v>90</v>
      </c>
      <c r="F258" s="2" t="s">
        <v>5</v>
      </c>
      <c r="G258" s="2" t="s">
        <v>34</v>
      </c>
      <c r="H258" s="2" t="s">
        <v>91</v>
      </c>
      <c r="I258" s="2" t="s">
        <v>1306</v>
      </c>
      <c r="J258" s="2" t="s">
        <v>1307</v>
      </c>
      <c r="K258" s="2" t="s">
        <v>41</v>
      </c>
      <c r="L258" s="2" t="s">
        <v>21</v>
      </c>
      <c r="M258" s="2" t="s">
        <v>49</v>
      </c>
      <c r="N258" s="2" t="s">
        <v>1308</v>
      </c>
      <c r="O258" s="2" t="s">
        <v>41</v>
      </c>
      <c r="P258" s="2" t="s">
        <v>81</v>
      </c>
    </row>
    <row r="259" spans="1:16" hidden="1">
      <c r="A259" s="2">
        <v>11143</v>
      </c>
      <c r="B259" s="2" t="s">
        <v>363</v>
      </c>
      <c r="C259" s="2" t="s">
        <v>363</v>
      </c>
      <c r="D259" s="3">
        <v>46087.088888888888</v>
      </c>
      <c r="E259" s="2" t="s">
        <v>40</v>
      </c>
      <c r="F259" s="2" t="s">
        <v>5</v>
      </c>
      <c r="G259" s="2" t="s">
        <v>27</v>
      </c>
      <c r="H259" s="2" t="s">
        <v>18</v>
      </c>
      <c r="I259" s="2" t="s">
        <v>364</v>
      </c>
      <c r="J259" s="2" t="s">
        <v>365</v>
      </c>
      <c r="K259" s="2">
        <v>560256410.17727542</v>
      </c>
      <c r="L259" s="2" t="s">
        <v>60</v>
      </c>
      <c r="M259" s="2" t="s">
        <v>22</v>
      </c>
      <c r="N259" s="2" t="s">
        <v>366</v>
      </c>
      <c r="O259" s="2" t="s">
        <v>41</v>
      </c>
      <c r="P259" s="2" t="s">
        <v>81</v>
      </c>
    </row>
    <row r="260" spans="1:16" hidden="1">
      <c r="A260" s="2">
        <v>11412</v>
      </c>
      <c r="B260" s="2" t="s">
        <v>731</v>
      </c>
      <c r="C260" s="2" t="s">
        <v>731</v>
      </c>
      <c r="D260" s="3">
        <v>46095.879861111112</v>
      </c>
      <c r="E260" s="2" t="s">
        <v>688</v>
      </c>
      <c r="F260" s="2" t="s">
        <v>41</v>
      </c>
      <c r="G260" s="2" t="s">
        <v>27</v>
      </c>
      <c r="H260" s="2" t="s">
        <v>18</v>
      </c>
      <c r="I260" s="2" t="s">
        <v>364</v>
      </c>
      <c r="J260" s="2" t="s">
        <v>732</v>
      </c>
      <c r="K260" s="2">
        <v>727455234.17735147</v>
      </c>
      <c r="L260" s="2" t="s">
        <v>60</v>
      </c>
      <c r="M260" s="2" t="s">
        <v>22</v>
      </c>
      <c r="N260" s="2" t="s">
        <v>733</v>
      </c>
      <c r="O260" s="2" t="s">
        <v>41</v>
      </c>
      <c r="P260" s="6" t="s">
        <v>25</v>
      </c>
    </row>
    <row r="261" spans="1:16" hidden="1">
      <c r="A261" s="2">
        <v>11660</v>
      </c>
      <c r="B261" s="2" t="s">
        <v>1001</v>
      </c>
      <c r="C261" s="2" t="s">
        <v>1001</v>
      </c>
      <c r="D261" s="3">
        <v>46100.904861111107</v>
      </c>
      <c r="E261" s="2" t="s">
        <v>40</v>
      </c>
      <c r="F261" s="2" t="s">
        <v>5</v>
      </c>
      <c r="G261" s="2" t="s">
        <v>27</v>
      </c>
      <c r="H261" s="2" t="s">
        <v>18</v>
      </c>
      <c r="I261" s="2" t="s">
        <v>28</v>
      </c>
      <c r="J261" s="2" t="s">
        <v>78</v>
      </c>
      <c r="K261" s="2">
        <v>1066025405.1773931</v>
      </c>
      <c r="L261" s="2" t="s">
        <v>21</v>
      </c>
      <c r="M261" s="2" t="s">
        <v>22</v>
      </c>
      <c r="N261" s="2" t="s">
        <v>1002</v>
      </c>
      <c r="O261" s="2" t="s">
        <v>41</v>
      </c>
      <c r="P261" s="2" t="s">
        <v>81</v>
      </c>
    </row>
    <row r="262" spans="1:16" hidden="1">
      <c r="A262" s="2">
        <v>11961</v>
      </c>
      <c r="B262" s="2" t="s">
        <v>1277</v>
      </c>
      <c r="C262" s="2" t="s">
        <v>1277</v>
      </c>
      <c r="D262" s="3">
        <v>46107.024305555555</v>
      </c>
      <c r="E262" s="2" t="s">
        <v>16</v>
      </c>
      <c r="F262" s="2" t="s">
        <v>5</v>
      </c>
      <c r="G262" s="2" t="s">
        <v>17</v>
      </c>
      <c r="H262" s="2" t="s">
        <v>18</v>
      </c>
      <c r="I262" s="2" t="s">
        <v>1278</v>
      </c>
      <c r="J262" s="2" t="s">
        <v>1279</v>
      </c>
      <c r="K262" s="2">
        <v>1854316373.1774478</v>
      </c>
      <c r="L262" s="2" t="s">
        <v>118</v>
      </c>
      <c r="M262" s="2" t="s">
        <v>22</v>
      </c>
      <c r="N262" s="2" t="s">
        <v>1280</v>
      </c>
      <c r="O262" s="2" t="s">
        <v>1281</v>
      </c>
      <c r="P262" s="2" t="s">
        <v>44</v>
      </c>
    </row>
    <row r="263" spans="1:16" hidden="1">
      <c r="A263" s="2">
        <v>11883</v>
      </c>
      <c r="B263" s="2" t="s">
        <v>1241</v>
      </c>
      <c r="C263" s="2" t="s">
        <v>1241</v>
      </c>
      <c r="D263" s="3">
        <v>46106.263888888891</v>
      </c>
      <c r="E263" s="2" t="s">
        <v>90</v>
      </c>
      <c r="F263" s="2" t="s">
        <v>5</v>
      </c>
      <c r="G263" s="2" t="s">
        <v>34</v>
      </c>
      <c r="H263" s="2" t="s">
        <v>91</v>
      </c>
      <c r="I263" s="2" t="s">
        <v>243</v>
      </c>
      <c r="J263" s="2" t="s">
        <v>196</v>
      </c>
      <c r="K263" s="2" t="s">
        <v>41</v>
      </c>
      <c r="L263" s="2" t="s">
        <v>21</v>
      </c>
      <c r="M263" s="2" t="s">
        <v>49</v>
      </c>
      <c r="N263" s="2" t="s">
        <v>1242</v>
      </c>
      <c r="O263" s="2" t="s">
        <v>41</v>
      </c>
      <c r="P263" s="2" t="s">
        <v>81</v>
      </c>
    </row>
    <row r="264" spans="1:16" hidden="1">
      <c r="A264" s="2">
        <v>11614</v>
      </c>
      <c r="B264" s="2" t="s">
        <v>922</v>
      </c>
      <c r="C264" s="2" t="s">
        <v>922</v>
      </c>
      <c r="D264" s="3">
        <v>46099.777083333334</v>
      </c>
      <c r="E264" s="2" t="s">
        <v>40</v>
      </c>
      <c r="F264" s="2" t="s">
        <v>5</v>
      </c>
      <c r="G264" s="2" t="s">
        <v>34</v>
      </c>
      <c r="H264" s="2" t="s">
        <v>18</v>
      </c>
      <c r="I264" s="2" t="s">
        <v>19</v>
      </c>
      <c r="J264" s="2" t="s">
        <v>959</v>
      </c>
      <c r="K264" s="2">
        <v>698037105.17535508</v>
      </c>
      <c r="L264" s="2" t="s">
        <v>21</v>
      </c>
      <c r="M264" s="2" t="s">
        <v>88</v>
      </c>
      <c r="N264" s="2" t="s">
        <v>923</v>
      </c>
      <c r="O264" s="2" t="s">
        <v>41</v>
      </c>
      <c r="P264" s="2" t="s">
        <v>81</v>
      </c>
    </row>
    <row r="265" spans="1:16" hidden="1">
      <c r="A265" s="2">
        <v>11448</v>
      </c>
      <c r="B265" s="2" t="s">
        <v>800</v>
      </c>
      <c r="C265" s="2" t="s">
        <v>800</v>
      </c>
      <c r="D265" s="3">
        <v>46097.350694444445</v>
      </c>
      <c r="E265" s="2" t="s">
        <v>801</v>
      </c>
      <c r="F265" s="2" t="s">
        <v>5</v>
      </c>
      <c r="G265" s="2" t="s">
        <v>17</v>
      </c>
      <c r="H265" s="2" t="s">
        <v>46</v>
      </c>
      <c r="I265" s="2" t="s">
        <v>374</v>
      </c>
      <c r="J265" s="2" t="s">
        <v>312</v>
      </c>
      <c r="K265" s="2">
        <v>1108510742.1773643</v>
      </c>
      <c r="L265" s="2" t="s">
        <v>21</v>
      </c>
      <c r="M265" s="2" t="s">
        <v>49</v>
      </c>
      <c r="N265" s="2" t="s">
        <v>802</v>
      </c>
      <c r="O265" s="2" t="s">
        <v>41</v>
      </c>
      <c r="P265" s="2" t="s">
        <v>25</v>
      </c>
    </row>
    <row r="266" spans="1:16" hidden="1">
      <c r="A266" s="2">
        <v>11751</v>
      </c>
      <c r="B266" s="2" t="s">
        <v>1112</v>
      </c>
      <c r="C266" s="2" t="s">
        <v>1112</v>
      </c>
      <c r="D266" s="3">
        <v>46103.691666666666</v>
      </c>
      <c r="E266" s="2" t="s">
        <v>40</v>
      </c>
      <c r="F266" s="2" t="s">
        <v>5</v>
      </c>
      <c r="G266" s="2" t="s">
        <v>17</v>
      </c>
      <c r="H266" s="2" t="s">
        <v>182</v>
      </c>
      <c r="I266" s="2" t="s">
        <v>535</v>
      </c>
      <c r="J266" s="2" t="s">
        <v>598</v>
      </c>
      <c r="K266" s="2" t="s">
        <v>64</v>
      </c>
      <c r="L266" s="2" t="s">
        <v>21</v>
      </c>
      <c r="M266" s="2" t="s">
        <v>22</v>
      </c>
      <c r="N266" s="2" t="s">
        <v>1113</v>
      </c>
      <c r="O266" s="2" t="s">
        <v>41</v>
      </c>
      <c r="P266" s="2" t="s">
        <v>81</v>
      </c>
    </row>
    <row r="267" spans="1:16" hidden="1">
      <c r="A267" s="2">
        <v>11733</v>
      </c>
      <c r="B267" s="2" t="s">
        <v>1097</v>
      </c>
      <c r="C267" s="2" t="s">
        <v>1097</v>
      </c>
      <c r="D267" s="3">
        <v>46103.049305555556</v>
      </c>
      <c r="E267" s="2" t="s">
        <v>40</v>
      </c>
      <c r="F267" s="2" t="s">
        <v>181</v>
      </c>
      <c r="G267" s="2" t="s">
        <v>27</v>
      </c>
      <c r="H267" s="2" t="s">
        <v>18</v>
      </c>
      <c r="I267" s="2" t="s">
        <v>35</v>
      </c>
      <c r="J267" s="2" t="s">
        <v>1098</v>
      </c>
      <c r="K267" s="2">
        <v>1620157508.1774135</v>
      </c>
      <c r="L267" s="2" t="s">
        <v>21</v>
      </c>
      <c r="M267" s="2" t="s">
        <v>22</v>
      </c>
      <c r="N267" s="2" t="s">
        <v>1099</v>
      </c>
      <c r="O267" s="2" t="s">
        <v>41</v>
      </c>
      <c r="P267" s="2" t="s">
        <v>25</v>
      </c>
    </row>
    <row r="268" spans="1:16" hidden="1">
      <c r="A268" s="2">
        <v>11587</v>
      </c>
      <c r="B268" s="2" t="s">
        <v>939</v>
      </c>
      <c r="C268" s="2" t="s">
        <v>940</v>
      </c>
      <c r="D268" s="3">
        <v>46099.262499999997</v>
      </c>
      <c r="E268" s="2" t="s">
        <v>40</v>
      </c>
      <c r="F268" s="2" t="s">
        <v>41</v>
      </c>
      <c r="G268" s="2" t="s">
        <v>34</v>
      </c>
      <c r="H268" s="2" t="s">
        <v>18</v>
      </c>
      <c r="I268" s="2" t="s">
        <v>162</v>
      </c>
      <c r="J268" s="2" t="s">
        <v>941</v>
      </c>
      <c r="K268" s="2">
        <v>61382388.177380741</v>
      </c>
      <c r="L268" s="2" t="s">
        <v>21</v>
      </c>
      <c r="M268" s="2" t="s">
        <v>22</v>
      </c>
      <c r="N268" s="2" t="s">
        <v>942</v>
      </c>
      <c r="O268" s="2" t="s">
        <v>41</v>
      </c>
      <c r="P268" s="2" t="s">
        <v>25</v>
      </c>
    </row>
    <row r="269" spans="1:16" hidden="1">
      <c r="A269" s="2">
        <v>11227</v>
      </c>
      <c r="B269" s="2" t="s">
        <v>502</v>
      </c>
      <c r="C269" s="2" t="s">
        <v>502</v>
      </c>
      <c r="D269" s="3">
        <v>46090.762499999997</v>
      </c>
      <c r="E269" s="2" t="s">
        <v>40</v>
      </c>
      <c r="F269" s="2" t="s">
        <v>5</v>
      </c>
      <c r="G269" s="2" t="s">
        <v>27</v>
      </c>
      <c r="H269" s="2" t="s">
        <v>18</v>
      </c>
      <c r="I269" s="2" t="s">
        <v>58</v>
      </c>
      <c r="J269" s="2" t="s">
        <v>503</v>
      </c>
      <c r="K269" s="2">
        <v>437863374.17730731</v>
      </c>
      <c r="L269" s="2" t="s">
        <v>60</v>
      </c>
      <c r="M269" s="2" t="s">
        <v>22</v>
      </c>
      <c r="N269" s="2" t="s">
        <v>504</v>
      </c>
      <c r="O269" s="2" t="s">
        <v>41</v>
      </c>
      <c r="P269" s="2" t="s">
        <v>25</v>
      </c>
    </row>
    <row r="270" spans="1:16" hidden="1">
      <c r="A270" s="2">
        <v>11206</v>
      </c>
      <c r="B270" s="2" t="s">
        <v>474</v>
      </c>
      <c r="C270" s="2" t="s">
        <v>474</v>
      </c>
      <c r="D270" s="3">
        <v>46089.8125</v>
      </c>
      <c r="E270" s="2" t="s">
        <v>16</v>
      </c>
      <c r="F270" s="2" t="s">
        <v>5</v>
      </c>
      <c r="G270" s="2" t="s">
        <v>17</v>
      </c>
      <c r="H270" s="2" t="s">
        <v>96</v>
      </c>
      <c r="I270" s="2" t="s">
        <v>475</v>
      </c>
      <c r="J270" s="2" t="s">
        <v>41</v>
      </c>
      <c r="K270" s="2" t="s">
        <v>41</v>
      </c>
      <c r="L270" s="2" t="s">
        <v>21</v>
      </c>
      <c r="M270" s="2" t="s">
        <v>22</v>
      </c>
      <c r="N270" s="2" t="s">
        <v>476</v>
      </c>
      <c r="O270" s="2" t="s">
        <v>24</v>
      </c>
      <c r="P270" s="2" t="s">
        <v>99</v>
      </c>
    </row>
    <row r="271" spans="1:16" hidden="1">
      <c r="A271" s="2">
        <v>12066</v>
      </c>
      <c r="B271" s="2" t="s">
        <v>1394</v>
      </c>
      <c r="C271" s="2" t="s">
        <v>1394</v>
      </c>
      <c r="D271" s="3">
        <v>46109.648611111115</v>
      </c>
      <c r="E271" s="2" t="s">
        <v>1322</v>
      </c>
      <c r="F271" s="2" t="s">
        <v>41</v>
      </c>
      <c r="G271" s="2" t="s">
        <v>27</v>
      </c>
      <c r="H271" s="2" t="s">
        <v>18</v>
      </c>
      <c r="I271" s="2" t="s">
        <v>28</v>
      </c>
      <c r="J271" s="2" t="s">
        <v>1395</v>
      </c>
      <c r="K271" s="2">
        <v>188028934.17747048</v>
      </c>
      <c r="L271" s="2" t="s">
        <v>30</v>
      </c>
      <c r="M271" s="2" t="s">
        <v>22</v>
      </c>
      <c r="N271" s="2" t="s">
        <v>1396</v>
      </c>
      <c r="O271" s="2" t="s">
        <v>41</v>
      </c>
      <c r="P271" s="2" t="s">
        <v>25</v>
      </c>
    </row>
    <row r="272" spans="1:16" hidden="1">
      <c r="A272" s="2">
        <v>11145</v>
      </c>
      <c r="B272" s="2" t="s">
        <v>367</v>
      </c>
      <c r="C272" s="2" t="s">
        <v>367</v>
      </c>
      <c r="D272" s="3">
        <v>46087.125694444447</v>
      </c>
      <c r="E272" s="2" t="s">
        <v>16</v>
      </c>
      <c r="F272" s="2" t="s">
        <v>41</v>
      </c>
      <c r="G272" s="2" t="s">
        <v>27</v>
      </c>
      <c r="H272" s="2" t="s">
        <v>18</v>
      </c>
      <c r="I272" s="2" t="s">
        <v>35</v>
      </c>
      <c r="J272" s="2" t="s">
        <v>368</v>
      </c>
      <c r="K272" s="2">
        <v>1790852467.1772759</v>
      </c>
      <c r="L272" s="2" t="s">
        <v>21</v>
      </c>
      <c r="M272" s="2" t="s">
        <v>22</v>
      </c>
      <c r="N272" s="2" t="s">
        <v>369</v>
      </c>
      <c r="O272" s="2" t="s">
        <v>24</v>
      </c>
      <c r="P272" s="2" t="s">
        <v>25</v>
      </c>
    </row>
    <row r="273" spans="1:16" hidden="1">
      <c r="A273" s="2">
        <v>11228</v>
      </c>
      <c r="B273" s="2" t="s">
        <v>505</v>
      </c>
      <c r="C273" s="2" t="s">
        <v>505</v>
      </c>
      <c r="D273" s="3">
        <v>46090.775000000001</v>
      </c>
      <c r="E273" s="2" t="s">
        <v>90</v>
      </c>
      <c r="F273" s="2" t="s">
        <v>5</v>
      </c>
      <c r="G273" s="2" t="s">
        <v>34</v>
      </c>
      <c r="H273" s="2" t="s">
        <v>91</v>
      </c>
      <c r="I273" s="2" t="s">
        <v>68</v>
      </c>
      <c r="J273" s="2" t="s">
        <v>506</v>
      </c>
      <c r="K273" s="2">
        <v>507263652.17730743</v>
      </c>
      <c r="L273" s="2" t="s">
        <v>21</v>
      </c>
      <c r="M273" s="2" t="s">
        <v>49</v>
      </c>
      <c r="N273" s="2" t="s">
        <v>507</v>
      </c>
      <c r="O273" s="2" t="s">
        <v>41</v>
      </c>
      <c r="P273" s="2" t="s">
        <v>175</v>
      </c>
    </row>
    <row r="274" spans="1:16" hidden="1">
      <c r="A274" s="2">
        <v>11706</v>
      </c>
      <c r="B274" s="2" t="s">
        <v>1069</v>
      </c>
      <c r="C274" s="2" t="s">
        <v>1069</v>
      </c>
      <c r="D274" s="3">
        <v>46102.145833333328</v>
      </c>
      <c r="E274" s="2" t="s">
        <v>40</v>
      </c>
      <c r="F274" s="2" t="s">
        <v>5</v>
      </c>
      <c r="G274" s="2" t="s">
        <v>17</v>
      </c>
      <c r="H274" s="2" t="s">
        <v>96</v>
      </c>
      <c r="I274" s="2" t="s">
        <v>685</v>
      </c>
      <c r="J274" s="2" t="s">
        <v>41</v>
      </c>
      <c r="K274" s="2" t="s">
        <v>41</v>
      </c>
      <c r="L274" s="2" t="s">
        <v>21</v>
      </c>
      <c r="M274" s="2" t="s">
        <v>22</v>
      </c>
      <c r="N274" s="2" t="s">
        <v>1070</v>
      </c>
      <c r="O274" s="2" t="s">
        <v>41</v>
      </c>
      <c r="P274" s="2" t="s">
        <v>99</v>
      </c>
    </row>
    <row r="275" spans="1:16" hidden="1">
      <c r="A275" s="2">
        <v>10981</v>
      </c>
      <c r="B275" s="2" t="s">
        <v>120</v>
      </c>
      <c r="C275" s="2" t="s">
        <v>120</v>
      </c>
      <c r="D275" s="3">
        <v>46083.870833333334</v>
      </c>
      <c r="E275" s="2" t="s">
        <v>121</v>
      </c>
      <c r="F275" s="2" t="s">
        <v>5</v>
      </c>
      <c r="G275" s="2" t="s">
        <v>34</v>
      </c>
      <c r="H275" s="2" t="s">
        <v>18</v>
      </c>
      <c r="I275" s="2" t="s">
        <v>41</v>
      </c>
      <c r="J275" s="2" t="s">
        <v>41</v>
      </c>
      <c r="K275" s="2" t="s">
        <v>41</v>
      </c>
      <c r="L275" s="2" t="s">
        <v>21</v>
      </c>
      <c r="M275" s="2" t="s">
        <v>88</v>
      </c>
      <c r="N275" s="2" t="s">
        <v>122</v>
      </c>
      <c r="O275" s="2" t="s">
        <v>41</v>
      </c>
      <c r="P275" s="2" t="s">
        <v>56</v>
      </c>
    </row>
    <row r="276" spans="1:16" hidden="1">
      <c r="A276" s="2">
        <v>11528</v>
      </c>
      <c r="B276" s="2" t="s">
        <v>886</v>
      </c>
      <c r="C276" s="2" t="s">
        <v>886</v>
      </c>
      <c r="D276" s="3">
        <v>46098.492361111115</v>
      </c>
      <c r="E276" s="2" t="s">
        <v>688</v>
      </c>
      <c r="F276" s="2" t="s">
        <v>5</v>
      </c>
      <c r="G276" s="2" t="s">
        <v>17</v>
      </c>
      <c r="H276" s="2" t="s">
        <v>46</v>
      </c>
      <c r="I276" s="2" t="s">
        <v>374</v>
      </c>
      <c r="J276" s="2" t="s">
        <v>887</v>
      </c>
      <c r="K276" s="2">
        <v>1385626286.1773741</v>
      </c>
      <c r="L276" s="2" t="s">
        <v>21</v>
      </c>
      <c r="M276" s="2" t="s">
        <v>49</v>
      </c>
      <c r="N276" s="2" t="s">
        <v>888</v>
      </c>
      <c r="O276" s="2" t="s">
        <v>41</v>
      </c>
      <c r="P276" s="2" t="s">
        <v>25</v>
      </c>
    </row>
    <row r="277" spans="1:16" hidden="1">
      <c r="A277" s="2">
        <v>11094</v>
      </c>
      <c r="B277" s="2" t="s">
        <v>294</v>
      </c>
      <c r="C277" s="2" t="s">
        <v>294</v>
      </c>
      <c r="D277" s="3">
        <v>46086.042361111111</v>
      </c>
      <c r="E277" s="2" t="s">
        <v>16</v>
      </c>
      <c r="F277" s="2" t="s">
        <v>41</v>
      </c>
      <c r="G277" s="2" t="s">
        <v>17</v>
      </c>
      <c r="H277" s="2" t="s">
        <v>46</v>
      </c>
      <c r="I277" s="2" t="s">
        <v>295</v>
      </c>
      <c r="J277" s="2" t="s">
        <v>296</v>
      </c>
      <c r="K277" s="2">
        <v>1983146162.1772666</v>
      </c>
      <c r="L277" s="2" t="s">
        <v>21</v>
      </c>
      <c r="M277" s="2" t="s">
        <v>49</v>
      </c>
      <c r="N277" s="2" t="s">
        <v>297</v>
      </c>
      <c r="O277" s="2" t="s">
        <v>24</v>
      </c>
      <c r="P277" s="2" t="s">
        <v>44</v>
      </c>
    </row>
    <row r="278" spans="1:16" hidden="1">
      <c r="A278" s="2">
        <v>11351</v>
      </c>
      <c r="B278" s="2" t="s">
        <v>294</v>
      </c>
      <c r="C278" s="2" t="s">
        <v>294</v>
      </c>
      <c r="D278" s="3">
        <v>46094.156944444447</v>
      </c>
      <c r="E278" s="2" t="s">
        <v>52</v>
      </c>
      <c r="F278" s="2" t="s">
        <v>181</v>
      </c>
      <c r="G278" s="2" t="s">
        <v>53</v>
      </c>
      <c r="H278" s="2" t="s">
        <v>41</v>
      </c>
      <c r="I278" s="2" t="s">
        <v>530</v>
      </c>
      <c r="J278" s="2" t="s">
        <v>660</v>
      </c>
      <c r="K278" s="2">
        <v>521319379.17733657</v>
      </c>
      <c r="L278" s="2" t="s">
        <v>21</v>
      </c>
      <c r="M278" s="2" t="s">
        <v>22</v>
      </c>
      <c r="N278" s="2" t="s">
        <v>297</v>
      </c>
      <c r="O278" s="2" t="s">
        <v>41</v>
      </c>
      <c r="P278" s="2" t="s">
        <v>81</v>
      </c>
    </row>
    <row r="279" spans="1:16" hidden="1">
      <c r="A279" s="2">
        <v>11914</v>
      </c>
      <c r="B279" s="2" t="s">
        <v>1254</v>
      </c>
      <c r="C279" s="2" t="s">
        <v>1254</v>
      </c>
      <c r="D279" s="3">
        <v>46106.520833333328</v>
      </c>
      <c r="E279" s="2" t="s">
        <v>40</v>
      </c>
      <c r="F279" s="2" t="s">
        <v>5</v>
      </c>
      <c r="G279" s="2" t="s">
        <v>17</v>
      </c>
      <c r="H279" s="2" t="s">
        <v>18</v>
      </c>
      <c r="I279" s="2" t="s">
        <v>41</v>
      </c>
      <c r="J279" s="2" t="s">
        <v>41</v>
      </c>
      <c r="K279" s="2" t="s">
        <v>41</v>
      </c>
      <c r="L279" s="2" t="s">
        <v>118</v>
      </c>
      <c r="M279" s="2" t="s">
        <v>22</v>
      </c>
      <c r="N279" s="2" t="s">
        <v>1255</v>
      </c>
      <c r="O279" s="2" t="s">
        <v>41</v>
      </c>
      <c r="P279" s="6" t="s">
        <v>56</v>
      </c>
    </row>
    <row r="280" spans="1:16" hidden="1">
      <c r="A280" s="2">
        <v>11074</v>
      </c>
      <c r="B280" s="2" t="s">
        <v>246</v>
      </c>
      <c r="C280" s="2" t="s">
        <v>247</v>
      </c>
      <c r="D280" s="3">
        <v>46085.686111111107</v>
      </c>
      <c r="E280" s="2" t="s">
        <v>248</v>
      </c>
      <c r="F280" s="2" t="s">
        <v>5</v>
      </c>
      <c r="G280" s="2" t="s">
        <v>17</v>
      </c>
      <c r="H280" s="2" t="s">
        <v>46</v>
      </c>
      <c r="I280" s="2" t="s">
        <v>249</v>
      </c>
      <c r="J280" s="2" t="s">
        <v>41</v>
      </c>
      <c r="K280" s="2" t="s">
        <v>41</v>
      </c>
      <c r="L280" s="2" t="s">
        <v>21</v>
      </c>
      <c r="M280" s="2" t="s">
        <v>88</v>
      </c>
      <c r="N280" s="2" t="s">
        <v>250</v>
      </c>
      <c r="O280" s="2" t="s">
        <v>41</v>
      </c>
      <c r="P280" s="2" t="s">
        <v>44</v>
      </c>
    </row>
    <row r="281" spans="1:16" hidden="1">
      <c r="A281" s="2">
        <v>11758</v>
      </c>
      <c r="B281" s="2" t="s">
        <v>1126</v>
      </c>
      <c r="C281" s="2" t="s">
        <v>1126</v>
      </c>
      <c r="D281" s="3">
        <v>46103.821527777778</v>
      </c>
      <c r="E281" s="2" t="s">
        <v>801</v>
      </c>
      <c r="F281" s="2" t="s">
        <v>5</v>
      </c>
      <c r="G281" s="2" t="s">
        <v>27</v>
      </c>
      <c r="H281" s="2" t="s">
        <v>18</v>
      </c>
      <c r="I281" s="2" t="s">
        <v>58</v>
      </c>
      <c r="J281" s="2" t="s">
        <v>1127</v>
      </c>
      <c r="K281" s="2">
        <v>1743328022.1774201</v>
      </c>
      <c r="L281" s="2" t="s">
        <v>60</v>
      </c>
      <c r="M281" s="2" t="s">
        <v>22</v>
      </c>
      <c r="N281" s="2" t="s">
        <v>1128</v>
      </c>
      <c r="O281" s="2" t="s">
        <v>41</v>
      </c>
      <c r="P281" s="2" t="s">
        <v>25</v>
      </c>
    </row>
    <row r="282" spans="1:16" hidden="1">
      <c r="A282" s="2">
        <v>11662</v>
      </c>
      <c r="B282" s="2" t="s">
        <v>1003</v>
      </c>
      <c r="C282" s="2" t="s">
        <v>1004</v>
      </c>
      <c r="D282" s="3">
        <v>46100.94027777778</v>
      </c>
      <c r="E282" s="2" t="s">
        <v>40</v>
      </c>
      <c r="F282" s="2" t="s">
        <v>5</v>
      </c>
      <c r="G282" s="2" t="s">
        <v>34</v>
      </c>
      <c r="H282" s="2" t="s">
        <v>18</v>
      </c>
      <c r="I282" s="2" t="s">
        <v>19</v>
      </c>
      <c r="J282" s="2" t="s">
        <v>1005</v>
      </c>
      <c r="K282" s="2">
        <v>815679189.17739522</v>
      </c>
      <c r="L282" s="2" t="s">
        <v>21</v>
      </c>
      <c r="M282" s="2" t="s">
        <v>22</v>
      </c>
      <c r="N282" s="2" t="s">
        <v>1006</v>
      </c>
      <c r="O282" s="2" t="s">
        <v>41</v>
      </c>
      <c r="P282" s="2" t="s">
        <v>25</v>
      </c>
    </row>
    <row r="283" spans="1:16" hidden="1">
      <c r="A283" s="2">
        <v>11945</v>
      </c>
      <c r="B283" s="2" t="s">
        <v>1260</v>
      </c>
      <c r="C283" s="2" t="s">
        <v>1260</v>
      </c>
      <c r="D283" s="3">
        <v>46106.738888888889</v>
      </c>
      <c r="E283" s="2" t="s">
        <v>16</v>
      </c>
      <c r="F283" s="2" t="s">
        <v>5</v>
      </c>
      <c r="G283" s="2" t="s">
        <v>17</v>
      </c>
      <c r="H283" s="2" t="s">
        <v>46</v>
      </c>
      <c r="I283" s="2" t="s">
        <v>1261</v>
      </c>
      <c r="J283" s="2" t="s">
        <v>1262</v>
      </c>
      <c r="K283" s="2">
        <v>294344126.17744529</v>
      </c>
      <c r="L283" s="2" t="s">
        <v>21</v>
      </c>
      <c r="M283" s="2" t="s">
        <v>49</v>
      </c>
      <c r="N283" s="2" t="s">
        <v>1263</v>
      </c>
      <c r="O283" s="2" t="s">
        <v>235</v>
      </c>
      <c r="P283" s="2" t="s">
        <v>25</v>
      </c>
    </row>
    <row r="284" spans="1:16" hidden="1">
      <c r="A284" s="2">
        <v>12049</v>
      </c>
      <c r="B284" s="2" t="s">
        <v>1371</v>
      </c>
      <c r="C284" s="2" t="s">
        <v>1371</v>
      </c>
      <c r="D284" s="3">
        <v>46108.965277777781</v>
      </c>
      <c r="E284" s="2" t="s">
        <v>1322</v>
      </c>
      <c r="F284" s="2" t="s">
        <v>41</v>
      </c>
      <c r="G284" s="2" t="s">
        <v>27</v>
      </c>
      <c r="H284" s="2" t="s">
        <v>18</v>
      </c>
      <c r="I284" s="2" t="s">
        <v>364</v>
      </c>
      <c r="J284" s="2" t="s">
        <v>1372</v>
      </c>
      <c r="K284" s="2">
        <v>1410991274.1774645</v>
      </c>
      <c r="L284" s="2" t="s">
        <v>60</v>
      </c>
      <c r="M284" s="2" t="s">
        <v>22</v>
      </c>
      <c r="N284" s="2" t="s">
        <v>1373</v>
      </c>
      <c r="O284" s="2" t="s">
        <v>41</v>
      </c>
      <c r="P284" s="6" t="s">
        <v>25</v>
      </c>
    </row>
    <row r="285" spans="1:16" hidden="1">
      <c r="A285" s="2">
        <v>12003</v>
      </c>
      <c r="B285" s="2" t="s">
        <v>1320</v>
      </c>
      <c r="C285" s="2" t="s">
        <v>1321</v>
      </c>
      <c r="D285" s="3">
        <v>46107.806944444441</v>
      </c>
      <c r="E285" s="2" t="s">
        <v>40</v>
      </c>
      <c r="F285" s="2" t="s">
        <v>5</v>
      </c>
      <c r="G285" s="2" t="s">
        <v>27</v>
      </c>
      <c r="H285" s="2" t="s">
        <v>18</v>
      </c>
      <c r="I285" s="2" t="s">
        <v>19</v>
      </c>
      <c r="J285" s="2" t="s">
        <v>41</v>
      </c>
      <c r="K285" s="2" t="s">
        <v>41</v>
      </c>
      <c r="L285" s="2" t="s">
        <v>21</v>
      </c>
      <c r="M285" s="2" t="s">
        <v>22</v>
      </c>
      <c r="N285" s="2" t="s">
        <v>1321</v>
      </c>
      <c r="O285" s="2" t="s">
        <v>41</v>
      </c>
      <c r="P285" s="2" t="s">
        <v>56</v>
      </c>
    </row>
    <row r="286" spans="1:16" hidden="1">
      <c r="A286" s="2">
        <v>11048</v>
      </c>
      <c r="B286" s="2" t="s">
        <v>207</v>
      </c>
      <c r="C286" s="2" t="s">
        <v>207</v>
      </c>
      <c r="D286" s="3">
        <v>46085.004861111112</v>
      </c>
      <c r="E286" s="2" t="s">
        <v>16</v>
      </c>
      <c r="F286" s="2" t="s">
        <v>41</v>
      </c>
      <c r="G286" s="2" t="s">
        <v>34</v>
      </c>
      <c r="H286" s="2" t="s">
        <v>18</v>
      </c>
      <c r="I286" s="2" t="s">
        <v>35</v>
      </c>
      <c r="J286" s="2" t="s">
        <v>208</v>
      </c>
      <c r="K286" s="2">
        <v>994009256.17725754</v>
      </c>
      <c r="L286" s="2" t="s">
        <v>21</v>
      </c>
      <c r="M286" s="2" t="s">
        <v>22</v>
      </c>
      <c r="N286" s="2" t="s">
        <v>209</v>
      </c>
      <c r="O286" s="2" t="s">
        <v>66</v>
      </c>
      <c r="P286" s="2" t="s">
        <v>25</v>
      </c>
    </row>
    <row r="287" spans="1:16" hidden="1">
      <c r="A287" s="2">
        <v>11174</v>
      </c>
      <c r="B287" s="2" t="s">
        <v>411</v>
      </c>
      <c r="C287" s="2" t="s">
        <v>412</v>
      </c>
      <c r="D287" s="3">
        <v>46087.854861111111</v>
      </c>
      <c r="E287" s="2" t="s">
        <v>16</v>
      </c>
      <c r="F287" s="2" t="s">
        <v>5</v>
      </c>
      <c r="G287" s="2" t="s">
        <v>34</v>
      </c>
      <c r="H287" s="2" t="s">
        <v>18</v>
      </c>
      <c r="I287" s="2" t="s">
        <v>19</v>
      </c>
      <c r="J287" s="2" t="s">
        <v>413</v>
      </c>
      <c r="K287" s="2">
        <v>507474230.17728198</v>
      </c>
      <c r="L287" s="2" t="s">
        <v>21</v>
      </c>
      <c r="M287" s="2" t="s">
        <v>22</v>
      </c>
      <c r="N287" s="2" t="s">
        <v>414</v>
      </c>
      <c r="O287" s="2" t="s">
        <v>80</v>
      </c>
      <c r="P287" s="2" t="s">
        <v>25</v>
      </c>
    </row>
    <row r="288" spans="1:16" hidden="1">
      <c r="A288" s="2">
        <v>11497</v>
      </c>
      <c r="B288" s="2" t="s">
        <v>853</v>
      </c>
      <c r="C288" s="2" t="s">
        <v>853</v>
      </c>
      <c r="D288" s="3">
        <v>46097.82430555555</v>
      </c>
      <c r="E288" s="2" t="s">
        <v>40</v>
      </c>
      <c r="F288" s="2" t="s">
        <v>5</v>
      </c>
      <c r="G288" s="2" t="s">
        <v>27</v>
      </c>
      <c r="H288" s="2" t="s">
        <v>18</v>
      </c>
      <c r="I288" s="2" t="s">
        <v>58</v>
      </c>
      <c r="J288" s="2" t="s">
        <v>854</v>
      </c>
      <c r="K288" s="2">
        <v>1926673526.1773684</v>
      </c>
      <c r="L288" s="2" t="s">
        <v>60</v>
      </c>
      <c r="M288" s="2" t="s">
        <v>22</v>
      </c>
      <c r="N288" s="2" t="s">
        <v>855</v>
      </c>
      <c r="O288" s="2" t="s">
        <v>41</v>
      </c>
      <c r="P288" s="2" t="s">
        <v>44</v>
      </c>
    </row>
    <row r="289" spans="1:16" hidden="1">
      <c r="A289" s="2">
        <v>11617</v>
      </c>
      <c r="B289" s="2" t="s">
        <v>965</v>
      </c>
      <c r="C289" s="2" t="s">
        <v>965</v>
      </c>
      <c r="D289" s="3">
        <v>46099.869444444441</v>
      </c>
      <c r="E289" s="2" t="s">
        <v>688</v>
      </c>
      <c r="F289" s="2" t="s">
        <v>5</v>
      </c>
      <c r="G289" s="2" t="s">
        <v>27</v>
      </c>
      <c r="H289" s="2" t="s">
        <v>18</v>
      </c>
      <c r="I289" s="2" t="s">
        <v>19</v>
      </c>
      <c r="J289" s="2" t="s">
        <v>192</v>
      </c>
      <c r="K289" s="2" t="s">
        <v>41</v>
      </c>
      <c r="L289" s="2" t="s">
        <v>21</v>
      </c>
      <c r="M289" s="2" t="s">
        <v>22</v>
      </c>
      <c r="N289" s="2" t="s">
        <v>966</v>
      </c>
      <c r="O289" s="2" t="s">
        <v>41</v>
      </c>
      <c r="P289" s="2" t="s">
        <v>81</v>
      </c>
    </row>
    <row r="290" spans="1:16" hidden="1">
      <c r="A290" s="2">
        <v>12161</v>
      </c>
      <c r="B290" s="2" t="s">
        <v>1481</v>
      </c>
      <c r="C290" s="2" t="s">
        <v>1482</v>
      </c>
      <c r="D290" s="3">
        <v>46112.670833333337</v>
      </c>
      <c r="E290" s="2" t="s">
        <v>1322</v>
      </c>
      <c r="F290" s="2" t="s">
        <v>5</v>
      </c>
      <c r="G290" s="2" t="s">
        <v>34</v>
      </c>
      <c r="H290" s="2" t="s">
        <v>18</v>
      </c>
      <c r="I290" s="2" t="s">
        <v>19</v>
      </c>
      <c r="J290" s="2" t="s">
        <v>1483</v>
      </c>
      <c r="K290" s="2">
        <v>669368285.17749608</v>
      </c>
      <c r="L290" s="2" t="s">
        <v>21</v>
      </c>
      <c r="M290" s="2" t="s">
        <v>22</v>
      </c>
      <c r="N290" s="2" t="s">
        <v>1484</v>
      </c>
      <c r="O290" s="2" t="s">
        <v>41</v>
      </c>
      <c r="P290" s="2" t="s">
        <v>81</v>
      </c>
    </row>
    <row r="291" spans="1:16" hidden="1">
      <c r="A291" s="2">
        <v>11238</v>
      </c>
      <c r="B291" s="2" t="s">
        <v>522</v>
      </c>
      <c r="C291" s="2" t="s">
        <v>522</v>
      </c>
      <c r="D291" s="3">
        <v>46091.057638888888</v>
      </c>
      <c r="E291" s="2" t="s">
        <v>16</v>
      </c>
      <c r="F291" s="2" t="s">
        <v>5</v>
      </c>
      <c r="G291" s="2" t="s">
        <v>27</v>
      </c>
      <c r="H291" s="2" t="s">
        <v>18</v>
      </c>
      <c r="I291" s="2" t="s">
        <v>58</v>
      </c>
      <c r="J291" s="2" t="s">
        <v>523</v>
      </c>
      <c r="K291" s="2">
        <v>391374851.17730987</v>
      </c>
      <c r="L291" s="2" t="s">
        <v>60</v>
      </c>
      <c r="M291" s="2" t="s">
        <v>22</v>
      </c>
      <c r="N291" s="2" t="s">
        <v>524</v>
      </c>
      <c r="O291" s="2" t="s">
        <v>24</v>
      </c>
      <c r="P291" s="2" t="s">
        <v>25</v>
      </c>
    </row>
    <row r="292" spans="1:16" hidden="1">
      <c r="A292" s="2">
        <v>11507</v>
      </c>
      <c r="B292" s="2" t="s">
        <v>867</v>
      </c>
      <c r="C292" s="2" t="s">
        <v>868</v>
      </c>
      <c r="D292" s="3">
        <v>46097.926388888889</v>
      </c>
      <c r="E292" s="2" t="s">
        <v>688</v>
      </c>
      <c r="F292" s="2" t="s">
        <v>5</v>
      </c>
      <c r="G292" s="2" t="s">
        <v>34</v>
      </c>
      <c r="H292" s="2" t="s">
        <v>18</v>
      </c>
      <c r="I292" s="2" t="s">
        <v>19</v>
      </c>
      <c r="J292" s="2" t="s">
        <v>869</v>
      </c>
      <c r="K292" s="2">
        <v>1631380633.1773691</v>
      </c>
      <c r="L292" s="2" t="s">
        <v>21</v>
      </c>
      <c r="M292" s="2" t="s">
        <v>22</v>
      </c>
      <c r="N292" s="2" t="s">
        <v>870</v>
      </c>
      <c r="O292" s="2" t="s">
        <v>41</v>
      </c>
      <c r="P292" s="2" t="s">
        <v>25</v>
      </c>
    </row>
    <row r="293" spans="1:16">
      <c r="A293" s="2">
        <v>11609</v>
      </c>
      <c r="B293" s="2" t="s">
        <v>948</v>
      </c>
      <c r="C293" s="2" t="s">
        <v>948</v>
      </c>
      <c r="D293" s="3">
        <v>46099.665277777778</v>
      </c>
      <c r="E293" s="2" t="s">
        <v>52</v>
      </c>
      <c r="F293" s="2" t="s">
        <v>181</v>
      </c>
      <c r="G293" s="2" t="s">
        <v>53</v>
      </c>
      <c r="H293" s="2" t="s">
        <v>46</v>
      </c>
      <c r="I293" s="2" t="s">
        <v>140</v>
      </c>
      <c r="J293" s="2" t="s">
        <v>949</v>
      </c>
      <c r="K293" s="2">
        <v>565500059.17738426</v>
      </c>
      <c r="L293" s="2" t="s">
        <v>21</v>
      </c>
      <c r="M293" s="2" t="s">
        <v>49</v>
      </c>
      <c r="N293" s="2" t="s">
        <v>950</v>
      </c>
      <c r="O293" s="2" t="s">
        <v>41</v>
      </c>
      <c r="P293" s="2" t="s">
        <v>25</v>
      </c>
    </row>
    <row r="294" spans="1:16">
      <c r="A294" s="2">
        <v>12029</v>
      </c>
      <c r="B294" s="2" t="s">
        <v>1350</v>
      </c>
      <c r="C294" s="2" t="s">
        <v>1350</v>
      </c>
      <c r="D294" s="3">
        <v>46108.556944444441</v>
      </c>
      <c r="E294" s="2" t="s">
        <v>1351</v>
      </c>
      <c r="F294" s="2" t="s">
        <v>181</v>
      </c>
      <c r="G294" s="2" t="s">
        <v>17</v>
      </c>
      <c r="H294" s="2" t="s">
        <v>46</v>
      </c>
      <c r="I294" s="2" t="s">
        <v>374</v>
      </c>
      <c r="J294" s="2" t="s">
        <v>1352</v>
      </c>
      <c r="K294" s="2">
        <v>1033769887.177461</v>
      </c>
      <c r="L294" s="2" t="s">
        <v>21</v>
      </c>
      <c r="M294" s="2" t="s">
        <v>49</v>
      </c>
      <c r="N294" s="2" t="s">
        <v>1353</v>
      </c>
      <c r="O294" s="2" t="s">
        <v>41</v>
      </c>
      <c r="P294" s="2" t="s">
        <v>25</v>
      </c>
    </row>
    <row r="295" spans="1:16" hidden="1">
      <c r="A295" s="2">
        <v>11960</v>
      </c>
      <c r="B295" s="2" t="s">
        <v>1275</v>
      </c>
      <c r="C295" s="2" t="s">
        <v>1275</v>
      </c>
      <c r="D295" s="3">
        <v>46106.911111111112</v>
      </c>
      <c r="E295" s="2" t="s">
        <v>40</v>
      </c>
      <c r="F295" s="2" t="s">
        <v>5</v>
      </c>
      <c r="G295" s="2" t="s">
        <v>27</v>
      </c>
      <c r="H295" s="2" t="s">
        <v>18</v>
      </c>
      <c r="I295" s="2" t="s">
        <v>19</v>
      </c>
      <c r="J295" s="2" t="s">
        <v>41</v>
      </c>
      <c r="K295" s="2" t="s">
        <v>41</v>
      </c>
      <c r="L295" s="2" t="s">
        <v>21</v>
      </c>
      <c r="M295" s="2" t="s">
        <v>22</v>
      </c>
      <c r="N295" s="2" t="s">
        <v>1276</v>
      </c>
      <c r="O295" s="2" t="s">
        <v>41</v>
      </c>
      <c r="P295" s="2" t="s">
        <v>56</v>
      </c>
    </row>
    <row r="296" spans="1:16" hidden="1">
      <c r="A296" s="2">
        <v>11139</v>
      </c>
      <c r="B296" s="2" t="s">
        <v>353</v>
      </c>
      <c r="C296" s="2" t="s">
        <v>354</v>
      </c>
      <c r="D296" s="3">
        <v>46087.004166666666</v>
      </c>
      <c r="E296" s="2" t="s">
        <v>16</v>
      </c>
      <c r="F296" s="2" t="s">
        <v>5</v>
      </c>
      <c r="G296" s="2" t="s">
        <v>17</v>
      </c>
      <c r="H296" s="2" t="s">
        <v>46</v>
      </c>
      <c r="I296" s="2" t="s">
        <v>140</v>
      </c>
      <c r="J296" s="2" t="s">
        <v>355</v>
      </c>
      <c r="K296" s="2">
        <v>366464283.17727482</v>
      </c>
      <c r="L296" s="2" t="s">
        <v>21</v>
      </c>
      <c r="M296" s="2" t="s">
        <v>49</v>
      </c>
      <c r="N296" s="2" t="s">
        <v>356</v>
      </c>
      <c r="O296" s="2" t="s">
        <v>24</v>
      </c>
      <c r="P296" s="2" t="s">
        <v>25</v>
      </c>
    </row>
    <row r="297" spans="1:16" hidden="1">
      <c r="A297" s="2">
        <v>11303</v>
      </c>
      <c r="B297" s="2" t="s">
        <v>596</v>
      </c>
      <c r="C297" s="2" t="s">
        <v>596</v>
      </c>
      <c r="D297" s="3">
        <v>46092.943055555559</v>
      </c>
      <c r="E297" s="2" t="s">
        <v>16</v>
      </c>
      <c r="F297" s="2" t="s">
        <v>41</v>
      </c>
      <c r="G297" s="2" t="s">
        <v>17</v>
      </c>
      <c r="H297" s="2" t="s">
        <v>182</v>
      </c>
      <c r="I297" s="2" t="s">
        <v>597</v>
      </c>
      <c r="J297" s="2" t="s">
        <v>598</v>
      </c>
      <c r="K297" s="2">
        <v>295387747.17732614</v>
      </c>
      <c r="L297" s="2" t="s">
        <v>21</v>
      </c>
      <c r="M297" s="2" t="s">
        <v>22</v>
      </c>
      <c r="N297" s="2" t="s">
        <v>599</v>
      </c>
      <c r="O297" s="2" t="s">
        <v>24</v>
      </c>
      <c r="P297" s="2" t="s">
        <v>44</v>
      </c>
    </row>
    <row r="298" spans="1:16" hidden="1">
      <c r="A298" s="2">
        <v>12133</v>
      </c>
      <c r="B298" s="2" t="s">
        <v>1461</v>
      </c>
      <c r="C298" s="2" t="s">
        <v>1461</v>
      </c>
      <c r="D298" s="3">
        <v>46112.209027777775</v>
      </c>
      <c r="E298" s="2" t="s">
        <v>1322</v>
      </c>
      <c r="F298" s="2" t="s">
        <v>5</v>
      </c>
      <c r="G298" s="2" t="s">
        <v>27</v>
      </c>
      <c r="H298" s="2" t="s">
        <v>18</v>
      </c>
      <c r="I298" s="2" t="s">
        <v>28</v>
      </c>
      <c r="J298" s="2" t="s">
        <v>1462</v>
      </c>
      <c r="K298" s="2" t="s">
        <v>64</v>
      </c>
      <c r="L298" s="2" t="s">
        <v>30</v>
      </c>
      <c r="M298" s="2" t="s">
        <v>22</v>
      </c>
      <c r="N298" s="2" t="s">
        <v>1463</v>
      </c>
      <c r="O298" s="2" t="s">
        <v>41</v>
      </c>
      <c r="P298" s="2" t="s">
        <v>25</v>
      </c>
    </row>
    <row r="299" spans="1:16" hidden="1">
      <c r="A299" s="2">
        <v>11116</v>
      </c>
      <c r="B299" s="2" t="s">
        <v>325</v>
      </c>
      <c r="C299" s="2" t="s">
        <v>325</v>
      </c>
      <c r="D299" s="3">
        <v>46086.425000000003</v>
      </c>
      <c r="E299" s="2" t="s">
        <v>16</v>
      </c>
      <c r="F299" s="2" t="s">
        <v>5</v>
      </c>
      <c r="G299" s="2" t="s">
        <v>34</v>
      </c>
      <c r="H299" s="2" t="s">
        <v>18</v>
      </c>
      <c r="I299" s="2" t="s">
        <v>19</v>
      </c>
      <c r="J299" s="2" t="s">
        <v>270</v>
      </c>
      <c r="K299" s="2">
        <v>1655358224.1772687</v>
      </c>
      <c r="L299" s="2" t="s">
        <v>21</v>
      </c>
      <c r="M299" s="2" t="s">
        <v>22</v>
      </c>
      <c r="N299" s="2" t="s">
        <v>326</v>
      </c>
      <c r="O299" s="2" t="s">
        <v>80</v>
      </c>
      <c r="P299" s="2" t="s">
        <v>25</v>
      </c>
    </row>
    <row r="300" spans="1:16" hidden="1">
      <c r="A300" s="2">
        <v>11446</v>
      </c>
      <c r="B300" s="2" t="s">
        <v>793</v>
      </c>
      <c r="C300" s="2" t="s">
        <v>794</v>
      </c>
      <c r="D300" s="3">
        <v>46097.243055555555</v>
      </c>
      <c r="E300" s="2" t="s">
        <v>16</v>
      </c>
      <c r="F300" s="2" t="s">
        <v>5</v>
      </c>
      <c r="G300" s="2" t="s">
        <v>34</v>
      </c>
      <c r="H300" s="2" t="s">
        <v>18</v>
      </c>
      <c r="I300" s="2" t="s">
        <v>19</v>
      </c>
      <c r="J300" s="2" t="s">
        <v>795</v>
      </c>
      <c r="K300" s="2">
        <v>132761678.17736271</v>
      </c>
      <c r="L300" s="2" t="s">
        <v>21</v>
      </c>
      <c r="M300" s="2" t="s">
        <v>22</v>
      </c>
      <c r="N300" s="2" t="s">
        <v>796</v>
      </c>
      <c r="O300" s="2" t="s">
        <v>24</v>
      </c>
      <c r="P300" s="2" t="s">
        <v>25</v>
      </c>
    </row>
    <row r="301" spans="1:16" hidden="1">
      <c r="A301" s="2">
        <v>11105</v>
      </c>
      <c r="B301" s="2" t="s">
        <v>314</v>
      </c>
      <c r="C301" s="2" t="s">
        <v>314</v>
      </c>
      <c r="D301" s="3">
        <v>46086.329166666663</v>
      </c>
      <c r="E301" s="2" t="s">
        <v>40</v>
      </c>
      <c r="F301" s="2" t="s">
        <v>5</v>
      </c>
      <c r="G301" s="2" t="s">
        <v>34</v>
      </c>
      <c r="H301" s="2" t="s">
        <v>18</v>
      </c>
      <c r="I301" s="2" t="s">
        <v>19</v>
      </c>
      <c r="J301" s="2" t="s">
        <v>315</v>
      </c>
      <c r="K301" s="2">
        <v>477959396.17726898</v>
      </c>
      <c r="L301" s="2" t="s">
        <v>21</v>
      </c>
      <c r="M301" s="2" t="s">
        <v>22</v>
      </c>
      <c r="N301" s="2" t="s">
        <v>316</v>
      </c>
      <c r="O301" s="2" t="s">
        <v>41</v>
      </c>
      <c r="P301" s="2" t="s">
        <v>25</v>
      </c>
    </row>
    <row r="302" spans="1:16" hidden="1">
      <c r="A302" s="2">
        <v>11338</v>
      </c>
      <c r="B302" s="2" t="s">
        <v>646</v>
      </c>
      <c r="C302" s="2" t="s">
        <v>646</v>
      </c>
      <c r="D302" s="3">
        <v>46093.726388888885</v>
      </c>
      <c r="E302" s="2" t="s">
        <v>16</v>
      </c>
      <c r="F302" s="2" t="s">
        <v>41</v>
      </c>
      <c r="G302" s="2" t="s">
        <v>17</v>
      </c>
      <c r="H302" s="2" t="s">
        <v>54</v>
      </c>
      <c r="I302" s="2" t="s">
        <v>183</v>
      </c>
      <c r="J302" s="2" t="s">
        <v>192</v>
      </c>
      <c r="K302" s="2" t="s">
        <v>41</v>
      </c>
      <c r="L302" s="2" t="s">
        <v>21</v>
      </c>
      <c r="M302" s="2" t="s">
        <v>22</v>
      </c>
      <c r="N302" s="2" t="s">
        <v>647</v>
      </c>
      <c r="O302" s="2" t="s">
        <v>24</v>
      </c>
      <c r="P302" s="2" t="s">
        <v>81</v>
      </c>
    </row>
    <row r="303" spans="1:16" hidden="1">
      <c r="A303" s="2">
        <v>11266</v>
      </c>
      <c r="B303" s="2" t="s">
        <v>556</v>
      </c>
      <c r="C303" s="2" t="s">
        <v>557</v>
      </c>
      <c r="D303" s="3">
        <v>46091.790972222225</v>
      </c>
      <c r="E303" s="2" t="s">
        <v>396</v>
      </c>
      <c r="F303" s="2" t="s">
        <v>5</v>
      </c>
      <c r="G303" s="2" t="s">
        <v>34</v>
      </c>
      <c r="H303" s="2" t="s">
        <v>18</v>
      </c>
      <c r="I303" s="2" t="s">
        <v>19</v>
      </c>
      <c r="J303" s="2" t="s">
        <v>558</v>
      </c>
      <c r="K303" s="2" t="s">
        <v>41</v>
      </c>
      <c r="L303" s="2" t="s">
        <v>21</v>
      </c>
      <c r="M303" s="2" t="s">
        <v>22</v>
      </c>
      <c r="N303" s="2" t="s">
        <v>559</v>
      </c>
      <c r="O303" s="2" t="s">
        <v>41</v>
      </c>
      <c r="P303" s="2" t="s">
        <v>81</v>
      </c>
    </row>
    <row r="304" spans="1:16" hidden="1">
      <c r="A304" s="2">
        <v>12092</v>
      </c>
      <c r="B304" s="2" t="s">
        <v>1435</v>
      </c>
      <c r="C304" s="2" t="s">
        <v>1435</v>
      </c>
      <c r="D304" s="3">
        <v>46111.189583333333</v>
      </c>
      <c r="E304" s="2" t="s">
        <v>1322</v>
      </c>
      <c r="F304" s="2" t="s">
        <v>5</v>
      </c>
      <c r="G304" s="2" t="s">
        <v>27</v>
      </c>
      <c r="H304" s="2" t="s">
        <v>18</v>
      </c>
      <c r="I304" s="2" t="s">
        <v>19</v>
      </c>
      <c r="J304" s="2" t="s">
        <v>270</v>
      </c>
      <c r="K304" s="2">
        <v>999006861.17748344</v>
      </c>
      <c r="L304" s="2" t="s">
        <v>21</v>
      </c>
      <c r="M304" s="2" t="s">
        <v>22</v>
      </c>
      <c r="N304" s="2" t="s">
        <v>1436</v>
      </c>
      <c r="O304" s="2" t="s">
        <v>41</v>
      </c>
      <c r="P304" s="2" t="s">
        <v>25</v>
      </c>
    </row>
    <row r="305" spans="1:16" hidden="1">
      <c r="A305" s="2">
        <v>11566</v>
      </c>
      <c r="B305" s="2" t="s">
        <v>914</v>
      </c>
      <c r="C305" s="2" t="s">
        <v>915</v>
      </c>
      <c r="D305" s="3">
        <v>46098.911805555559</v>
      </c>
      <c r="E305" s="2" t="s">
        <v>688</v>
      </c>
      <c r="F305" s="2" t="s">
        <v>5</v>
      </c>
      <c r="G305" s="2" t="s">
        <v>34</v>
      </c>
      <c r="H305" s="2" t="s">
        <v>18</v>
      </c>
      <c r="I305" s="2" t="s">
        <v>19</v>
      </c>
      <c r="J305" s="2" t="s">
        <v>916</v>
      </c>
      <c r="K305" s="2">
        <v>20709049.177377705</v>
      </c>
      <c r="L305" s="2" t="s">
        <v>21</v>
      </c>
      <c r="M305" s="2" t="s">
        <v>22</v>
      </c>
      <c r="N305" s="2" t="s">
        <v>917</v>
      </c>
      <c r="O305" s="2" t="s">
        <v>41</v>
      </c>
      <c r="P305" s="2" t="s">
        <v>25</v>
      </c>
    </row>
    <row r="306" spans="1:16" hidden="1">
      <c r="A306" s="2">
        <v>11428</v>
      </c>
      <c r="B306" s="2" t="s">
        <v>751</v>
      </c>
      <c r="C306" s="2" t="s">
        <v>751</v>
      </c>
      <c r="D306" s="3">
        <v>46096.568055555559</v>
      </c>
      <c r="E306" s="2" t="s">
        <v>40</v>
      </c>
      <c r="F306" s="2" t="s">
        <v>5</v>
      </c>
      <c r="G306" s="2" t="s">
        <v>17</v>
      </c>
      <c r="H306" s="2" t="s">
        <v>46</v>
      </c>
      <c r="I306" s="2" t="s">
        <v>752</v>
      </c>
      <c r="J306" s="2" t="s">
        <v>753</v>
      </c>
      <c r="K306" s="2">
        <v>1294314112.1773574</v>
      </c>
      <c r="L306" s="2" t="s">
        <v>21</v>
      </c>
      <c r="M306" s="2" t="s">
        <v>49</v>
      </c>
      <c r="N306" s="2" t="s">
        <v>754</v>
      </c>
      <c r="O306" s="2" t="s">
        <v>41</v>
      </c>
      <c r="P306" s="2" t="s">
        <v>25</v>
      </c>
    </row>
    <row r="307" spans="1:16" hidden="1">
      <c r="A307" s="2">
        <v>11051</v>
      </c>
      <c r="B307" s="2" t="s">
        <v>214</v>
      </c>
      <c r="C307" s="2" t="s">
        <v>215</v>
      </c>
      <c r="D307" s="3">
        <v>46085.173611111109</v>
      </c>
      <c r="E307" s="2" t="s">
        <v>16</v>
      </c>
      <c r="F307" s="2" t="s">
        <v>41</v>
      </c>
      <c r="G307" s="2" t="s">
        <v>34</v>
      </c>
      <c r="H307" s="2" t="s">
        <v>18</v>
      </c>
      <c r="I307" s="2" t="s">
        <v>19</v>
      </c>
      <c r="J307" s="2" t="s">
        <v>216</v>
      </c>
      <c r="K307" s="2">
        <v>925860459.17725897</v>
      </c>
      <c r="L307" s="2" t="s">
        <v>21</v>
      </c>
      <c r="M307" s="2" t="s">
        <v>22</v>
      </c>
      <c r="N307" s="2" t="s">
        <v>217</v>
      </c>
      <c r="O307" s="2" t="s">
        <v>24</v>
      </c>
      <c r="P307" s="2" t="s">
        <v>25</v>
      </c>
    </row>
    <row r="308" spans="1:16" hidden="1">
      <c r="A308" s="2">
        <v>11137</v>
      </c>
      <c r="B308" s="2" t="s">
        <v>350</v>
      </c>
      <c r="C308" s="2" t="s">
        <v>350</v>
      </c>
      <c r="D308" s="3">
        <v>46086.98055555555</v>
      </c>
      <c r="E308" s="2" t="s">
        <v>16</v>
      </c>
      <c r="F308" s="2" t="s">
        <v>41</v>
      </c>
      <c r="G308" s="2" t="s">
        <v>17</v>
      </c>
      <c r="H308" s="2" t="s">
        <v>54</v>
      </c>
      <c r="I308" s="2" t="s">
        <v>237</v>
      </c>
      <c r="J308" s="2" t="s">
        <v>78</v>
      </c>
      <c r="K308" s="2">
        <v>1849432542.1772747</v>
      </c>
      <c r="L308" s="2" t="s">
        <v>21</v>
      </c>
      <c r="M308" s="2" t="s">
        <v>22</v>
      </c>
      <c r="N308" s="2" t="s">
        <v>351</v>
      </c>
      <c r="O308" s="2" t="s">
        <v>24</v>
      </c>
      <c r="P308" s="2" t="s">
        <v>81</v>
      </c>
    </row>
    <row r="309" spans="1:16" hidden="1">
      <c r="A309" s="2">
        <v>11138</v>
      </c>
      <c r="B309" s="2" t="s">
        <v>350</v>
      </c>
      <c r="C309" s="2" t="s">
        <v>350</v>
      </c>
      <c r="D309" s="3">
        <v>46086.98055555555</v>
      </c>
      <c r="E309" s="2" t="s">
        <v>16</v>
      </c>
      <c r="F309" s="2" t="s">
        <v>41</v>
      </c>
      <c r="G309" s="2" t="s">
        <v>17</v>
      </c>
      <c r="H309" s="2" t="s">
        <v>46</v>
      </c>
      <c r="I309" s="2" t="s">
        <v>352</v>
      </c>
      <c r="J309" s="2" t="s">
        <v>93</v>
      </c>
      <c r="K309" s="2">
        <v>184729047.17727464</v>
      </c>
      <c r="L309" s="2" t="s">
        <v>21</v>
      </c>
      <c r="M309" s="2" t="s">
        <v>49</v>
      </c>
      <c r="N309" s="2" t="s">
        <v>351</v>
      </c>
      <c r="O309" s="2" t="s">
        <v>24</v>
      </c>
      <c r="P309" s="2" t="s">
        <v>81</v>
      </c>
    </row>
    <row r="310" spans="1:16" hidden="1">
      <c r="A310" s="2">
        <v>11624</v>
      </c>
      <c r="B310" s="2" t="s">
        <v>977</v>
      </c>
      <c r="C310" s="2" t="s">
        <v>977</v>
      </c>
      <c r="D310" s="3">
        <v>46100.065972222219</v>
      </c>
      <c r="E310" s="2" t="s">
        <v>40</v>
      </c>
      <c r="F310" s="2" t="s">
        <v>5</v>
      </c>
      <c r="G310" s="2" t="s">
        <v>17</v>
      </c>
      <c r="H310" s="2" t="s">
        <v>46</v>
      </c>
      <c r="I310" s="2" t="s">
        <v>978</v>
      </c>
      <c r="J310" s="2" t="s">
        <v>668</v>
      </c>
      <c r="K310" s="2">
        <v>1818039604.1773877</v>
      </c>
      <c r="L310" s="2" t="s">
        <v>21</v>
      </c>
      <c r="M310" s="2" t="s">
        <v>49</v>
      </c>
      <c r="N310" s="2" t="s">
        <v>979</v>
      </c>
      <c r="O310" s="2" t="s">
        <v>41</v>
      </c>
      <c r="P310" s="2" t="s">
        <v>25</v>
      </c>
    </row>
    <row r="311" spans="1:16" hidden="1">
      <c r="A311" s="2">
        <v>12086</v>
      </c>
      <c r="B311" s="2" t="s">
        <v>1423</v>
      </c>
      <c r="C311" s="2" t="s">
        <v>1423</v>
      </c>
      <c r="D311" s="3">
        <v>46110.883333333331</v>
      </c>
      <c r="E311" s="2" t="s">
        <v>1322</v>
      </c>
      <c r="F311" s="2" t="s">
        <v>5</v>
      </c>
      <c r="G311" s="2" t="s">
        <v>27</v>
      </c>
      <c r="H311" s="2" t="s">
        <v>18</v>
      </c>
      <c r="I311" s="2" t="s">
        <v>19</v>
      </c>
      <c r="J311" s="2" t="s">
        <v>1424</v>
      </c>
      <c r="K311" s="2">
        <v>1130664337.1774755</v>
      </c>
      <c r="L311" s="2" t="s">
        <v>21</v>
      </c>
      <c r="M311" s="2" t="s">
        <v>22</v>
      </c>
      <c r="N311" s="2" t="s">
        <v>1425</v>
      </c>
      <c r="O311" s="2" t="s">
        <v>41</v>
      </c>
      <c r="P311" s="2" t="s">
        <v>25</v>
      </c>
    </row>
    <row r="312" spans="1:16" hidden="1">
      <c r="A312" s="2">
        <v>11512</v>
      </c>
      <c r="B312" s="2" t="s">
        <v>871</v>
      </c>
      <c r="C312" s="2" t="s">
        <v>871</v>
      </c>
      <c r="D312" s="3">
        <v>46098.013888888891</v>
      </c>
      <c r="E312" s="2" t="s">
        <v>396</v>
      </c>
      <c r="F312" s="2" t="s">
        <v>5</v>
      </c>
      <c r="G312" s="2" t="s">
        <v>27</v>
      </c>
      <c r="H312" s="2" t="s">
        <v>18</v>
      </c>
      <c r="I312" s="2" t="s">
        <v>58</v>
      </c>
      <c r="J312" s="2" t="s">
        <v>872</v>
      </c>
      <c r="K312" s="2">
        <v>1212779741.1773698</v>
      </c>
      <c r="L312" s="2" t="s">
        <v>21</v>
      </c>
      <c r="M312" s="2" t="s">
        <v>22</v>
      </c>
      <c r="N312" s="2" t="s">
        <v>873</v>
      </c>
      <c r="O312" s="2" t="s">
        <v>41</v>
      </c>
      <c r="P312" s="2" t="s">
        <v>25</v>
      </c>
    </row>
    <row r="313" spans="1:16" hidden="1">
      <c r="A313" s="2">
        <v>11820</v>
      </c>
      <c r="B313" s="2" t="s">
        <v>1207</v>
      </c>
      <c r="C313" s="2" t="s">
        <v>1208</v>
      </c>
      <c r="D313" s="3">
        <v>46105.206250000003</v>
      </c>
      <c r="E313" s="2" t="s">
        <v>801</v>
      </c>
      <c r="F313" s="2" t="s">
        <v>5</v>
      </c>
      <c r="G313" s="2" t="s">
        <v>27</v>
      </c>
      <c r="H313" s="2" t="s">
        <v>18</v>
      </c>
      <c r="I313" s="2" t="s">
        <v>19</v>
      </c>
      <c r="J313" s="2" t="s">
        <v>1209</v>
      </c>
      <c r="K313" s="2">
        <v>54936503.177432105</v>
      </c>
      <c r="L313" s="2" t="s">
        <v>21</v>
      </c>
      <c r="M313" s="2" t="s">
        <v>22</v>
      </c>
      <c r="N313" s="2" t="s">
        <v>1210</v>
      </c>
      <c r="O313" s="2" t="s">
        <v>41</v>
      </c>
      <c r="P313" s="2" t="s">
        <v>25</v>
      </c>
    </row>
    <row r="314" spans="1:16" hidden="1">
      <c r="A314" s="2">
        <v>12012</v>
      </c>
      <c r="B314" s="2" t="s">
        <v>1327</v>
      </c>
      <c r="C314" s="2" t="s">
        <v>1327</v>
      </c>
      <c r="D314" s="3">
        <v>46108.120138888888</v>
      </c>
      <c r="E314" s="2" t="s">
        <v>801</v>
      </c>
      <c r="F314" s="2" t="s">
        <v>5</v>
      </c>
      <c r="G314" s="2" t="s">
        <v>17</v>
      </c>
      <c r="H314" s="2" t="s">
        <v>46</v>
      </c>
      <c r="I314" s="2" t="s">
        <v>374</v>
      </c>
      <c r="J314" s="2" t="s">
        <v>1328</v>
      </c>
      <c r="K314" s="2">
        <v>1539415010.1774573</v>
      </c>
      <c r="L314" s="2" t="s">
        <v>21</v>
      </c>
      <c r="M314" s="2" t="s">
        <v>49</v>
      </c>
      <c r="N314" s="2" t="s">
        <v>1329</v>
      </c>
      <c r="O314" s="2" t="s">
        <v>41</v>
      </c>
      <c r="P314" s="2" t="s">
        <v>25</v>
      </c>
    </row>
    <row r="315" spans="1:16" hidden="1">
      <c r="A315" s="2">
        <v>11330</v>
      </c>
      <c r="B315" s="2" t="s">
        <v>628</v>
      </c>
      <c r="C315" s="2" t="s">
        <v>628</v>
      </c>
      <c r="D315" s="3">
        <v>46093.679861111115</v>
      </c>
      <c r="E315" s="2" t="s">
        <v>16</v>
      </c>
      <c r="F315" s="2" t="s">
        <v>5</v>
      </c>
      <c r="G315" s="2" t="s">
        <v>629</v>
      </c>
      <c r="H315" s="2" t="s">
        <v>46</v>
      </c>
      <c r="I315" s="2" t="s">
        <v>630</v>
      </c>
      <c r="J315" s="2" t="s">
        <v>93</v>
      </c>
      <c r="K315" s="2">
        <v>49382073.177162364</v>
      </c>
      <c r="L315" s="2" t="s">
        <v>21</v>
      </c>
      <c r="M315" s="2" t="s">
        <v>88</v>
      </c>
      <c r="N315" s="2" t="s">
        <v>631</v>
      </c>
      <c r="O315" s="2" t="s">
        <v>24</v>
      </c>
      <c r="P315" s="2" t="s">
        <v>81</v>
      </c>
    </row>
    <row r="316" spans="1:16" hidden="1">
      <c r="A316" s="2">
        <v>11398</v>
      </c>
      <c r="B316" s="2" t="s">
        <v>706</v>
      </c>
      <c r="C316" s="2" t="s">
        <v>707</v>
      </c>
      <c r="D316" s="3">
        <v>46095.188194444447</v>
      </c>
      <c r="E316" s="2" t="s">
        <v>16</v>
      </c>
      <c r="F316" s="2" t="s">
        <v>41</v>
      </c>
      <c r="G316" s="2" t="s">
        <v>17</v>
      </c>
      <c r="H316" s="2" t="s">
        <v>46</v>
      </c>
      <c r="I316" s="2" t="s">
        <v>374</v>
      </c>
      <c r="J316" s="2" t="s">
        <v>708</v>
      </c>
      <c r="K316" s="2">
        <v>143479644.17734554</v>
      </c>
      <c r="L316" s="2" t="s">
        <v>21</v>
      </c>
      <c r="M316" s="2" t="s">
        <v>49</v>
      </c>
      <c r="N316" s="2" t="s">
        <v>709</v>
      </c>
      <c r="O316" s="2" t="s">
        <v>24</v>
      </c>
      <c r="P316" s="2" t="s">
        <v>25</v>
      </c>
    </row>
    <row r="317" spans="1:16" hidden="1">
      <c r="A317" s="2">
        <v>11387</v>
      </c>
      <c r="B317" s="2" t="s">
        <v>687</v>
      </c>
      <c r="C317" s="2" t="s">
        <v>687</v>
      </c>
      <c r="D317" s="3">
        <v>46094.836805555555</v>
      </c>
      <c r="E317" s="2" t="s">
        <v>688</v>
      </c>
      <c r="F317" s="2" t="s">
        <v>5</v>
      </c>
      <c r="G317" s="2" t="s">
        <v>17</v>
      </c>
      <c r="H317" s="2" t="s">
        <v>46</v>
      </c>
      <c r="I317" s="2" t="s">
        <v>140</v>
      </c>
      <c r="J317" s="2" t="s">
        <v>689</v>
      </c>
      <c r="K317" s="2">
        <v>1385845384.1772618</v>
      </c>
      <c r="L317" s="2" t="s">
        <v>21</v>
      </c>
      <c r="M317" s="2" t="s">
        <v>49</v>
      </c>
      <c r="N317" s="2" t="s">
        <v>690</v>
      </c>
      <c r="O317" s="2" t="s">
        <v>41</v>
      </c>
      <c r="P317" s="2" t="s">
        <v>25</v>
      </c>
    </row>
    <row r="318" spans="1:16" hidden="1">
      <c r="A318" s="2">
        <v>11469</v>
      </c>
      <c r="B318" s="2" t="s">
        <v>813</v>
      </c>
      <c r="C318" s="2" t="s">
        <v>814</v>
      </c>
      <c r="D318" s="3">
        <v>46097.587500000001</v>
      </c>
      <c r="E318" s="2" t="s">
        <v>688</v>
      </c>
      <c r="F318" s="2" t="s">
        <v>41</v>
      </c>
      <c r="G318" s="2" t="s">
        <v>17</v>
      </c>
      <c r="H318" s="2" t="s">
        <v>46</v>
      </c>
      <c r="I318" s="2" t="s">
        <v>815</v>
      </c>
      <c r="J318" s="2" t="s">
        <v>816</v>
      </c>
      <c r="K318" s="2">
        <v>737773179.17736626</v>
      </c>
      <c r="L318" s="2" t="s">
        <v>21</v>
      </c>
      <c r="M318" s="2" t="s">
        <v>49</v>
      </c>
      <c r="N318" s="2" t="s">
        <v>817</v>
      </c>
      <c r="O318" s="2" t="s">
        <v>41</v>
      </c>
      <c r="P318" s="2" t="s">
        <v>25</v>
      </c>
    </row>
    <row r="319" spans="1:16" hidden="1">
      <c r="A319" s="2">
        <v>11308</v>
      </c>
      <c r="B319" s="2" t="s">
        <v>603</v>
      </c>
      <c r="C319" s="2" t="s">
        <v>603</v>
      </c>
      <c r="D319" s="3">
        <v>46093.069444444445</v>
      </c>
      <c r="E319" s="2" t="s">
        <v>40</v>
      </c>
      <c r="F319" s="2" t="s">
        <v>5</v>
      </c>
      <c r="G319" s="2" t="s">
        <v>17</v>
      </c>
      <c r="H319" s="2" t="s">
        <v>46</v>
      </c>
      <c r="I319" s="2" t="s">
        <v>604</v>
      </c>
      <c r="J319" s="2" t="s">
        <v>605</v>
      </c>
      <c r="K319" s="2">
        <v>1893048763.1773272</v>
      </c>
      <c r="L319" s="2" t="s">
        <v>21</v>
      </c>
      <c r="M319" s="2" t="s">
        <v>49</v>
      </c>
      <c r="N319" s="2" t="s">
        <v>606</v>
      </c>
      <c r="O319" s="2" t="s">
        <v>41</v>
      </c>
      <c r="P319" s="2" t="s">
        <v>25</v>
      </c>
    </row>
    <row r="320" spans="1:16" hidden="1">
      <c r="A320" s="2">
        <v>11208</v>
      </c>
      <c r="B320" s="2" t="s">
        <v>479</v>
      </c>
      <c r="C320" s="2" t="s">
        <v>480</v>
      </c>
      <c r="D320" s="3">
        <v>46090.180555555555</v>
      </c>
      <c r="E320" s="2" t="s">
        <v>16</v>
      </c>
      <c r="F320" s="2" t="s">
        <v>5</v>
      </c>
      <c r="G320" s="2" t="s">
        <v>17</v>
      </c>
      <c r="H320" s="2" t="s">
        <v>46</v>
      </c>
      <c r="I320" s="2" t="s">
        <v>140</v>
      </c>
      <c r="J320" s="2" t="s">
        <v>481</v>
      </c>
      <c r="K320" s="2">
        <v>2110642590.1773024</v>
      </c>
      <c r="L320" s="2" t="s">
        <v>21</v>
      </c>
      <c r="M320" s="2" t="s">
        <v>49</v>
      </c>
      <c r="N320" s="2" t="s">
        <v>482</v>
      </c>
      <c r="O320" s="2" t="s">
        <v>24</v>
      </c>
      <c r="P320" s="2" t="s">
        <v>25</v>
      </c>
    </row>
    <row r="321" spans="1:16" hidden="1">
      <c r="A321" s="2">
        <v>12100</v>
      </c>
      <c r="B321" s="2" t="s">
        <v>1437</v>
      </c>
      <c r="C321" s="2" t="s">
        <v>1437</v>
      </c>
      <c r="D321" s="3">
        <v>46111.459722222222</v>
      </c>
      <c r="E321" s="2" t="s">
        <v>40</v>
      </c>
      <c r="F321" s="2" t="s">
        <v>41</v>
      </c>
      <c r="G321" s="2" t="s">
        <v>17</v>
      </c>
      <c r="H321" s="2" t="s">
        <v>443</v>
      </c>
      <c r="I321" s="2" t="s">
        <v>97</v>
      </c>
      <c r="J321" s="2" t="s">
        <v>41</v>
      </c>
      <c r="K321" s="2" t="s">
        <v>41</v>
      </c>
      <c r="L321" s="2" t="s">
        <v>21</v>
      </c>
      <c r="M321" s="2" t="s">
        <v>22</v>
      </c>
      <c r="N321" s="2" t="s">
        <v>1438</v>
      </c>
      <c r="O321" s="2" t="s">
        <v>41</v>
      </c>
      <c r="P321" s="2" t="s">
        <v>99</v>
      </c>
    </row>
    <row r="322" spans="1:16" hidden="1">
      <c r="A322" s="2">
        <v>11663</v>
      </c>
      <c r="B322" s="2" t="s">
        <v>1007</v>
      </c>
      <c r="C322" s="2" t="s">
        <v>1008</v>
      </c>
      <c r="D322" s="3">
        <v>46100.979166666672</v>
      </c>
      <c r="E322" s="2" t="s">
        <v>40</v>
      </c>
      <c r="F322" s="2" t="s">
        <v>5</v>
      </c>
      <c r="G322" s="2" t="s">
        <v>17</v>
      </c>
      <c r="H322" s="2" t="s">
        <v>18</v>
      </c>
      <c r="I322" s="2" t="s">
        <v>1009</v>
      </c>
      <c r="J322" s="2" t="s">
        <v>41</v>
      </c>
      <c r="K322" s="2" t="s">
        <v>41</v>
      </c>
      <c r="L322" s="2" t="s">
        <v>21</v>
      </c>
      <c r="M322" s="2" t="s">
        <v>22</v>
      </c>
      <c r="N322" s="2" t="s">
        <v>1010</v>
      </c>
      <c r="O322" s="2" t="s">
        <v>41</v>
      </c>
      <c r="P322" s="2" t="s">
        <v>99</v>
      </c>
    </row>
    <row r="323" spans="1:16" hidden="1">
      <c r="A323" s="2">
        <v>11258</v>
      </c>
      <c r="B323" s="2" t="s">
        <v>551</v>
      </c>
      <c r="C323" s="2" t="s">
        <v>551</v>
      </c>
      <c r="D323" s="3">
        <v>46091.629861111112</v>
      </c>
      <c r="E323" s="2" t="s">
        <v>52</v>
      </c>
      <c r="F323" s="2" t="s">
        <v>181</v>
      </c>
      <c r="G323" s="2" t="s">
        <v>53</v>
      </c>
      <c r="H323" s="2" t="s">
        <v>41</v>
      </c>
      <c r="I323" s="2" t="s">
        <v>140</v>
      </c>
      <c r="J323" s="2" t="s">
        <v>312</v>
      </c>
      <c r="K323" s="2">
        <v>1240606969.1773148</v>
      </c>
      <c r="L323" s="2" t="s">
        <v>41</v>
      </c>
      <c r="M323" s="2" t="s">
        <v>49</v>
      </c>
      <c r="N323" s="2" t="s">
        <v>552</v>
      </c>
      <c r="O323" s="2" t="s">
        <v>41</v>
      </c>
      <c r="P323" s="2" t="s">
        <v>25</v>
      </c>
    </row>
    <row r="324" spans="1:16" hidden="1">
      <c r="A324" s="2">
        <v>11431</v>
      </c>
      <c r="B324" s="2" t="s">
        <v>757</v>
      </c>
      <c r="C324" s="2" t="s">
        <v>757</v>
      </c>
      <c r="D324" s="3">
        <v>46096.632638888885</v>
      </c>
      <c r="E324" s="2" t="s">
        <v>16</v>
      </c>
      <c r="F324" s="2" t="s">
        <v>5</v>
      </c>
      <c r="G324" s="2" t="s">
        <v>17</v>
      </c>
      <c r="H324" s="2" t="s">
        <v>46</v>
      </c>
      <c r="I324" s="2" t="s">
        <v>374</v>
      </c>
      <c r="J324" s="2" t="s">
        <v>758</v>
      </c>
      <c r="K324" s="2">
        <v>494564429.17735803</v>
      </c>
      <c r="L324" s="2" t="s">
        <v>21</v>
      </c>
      <c r="M324" s="2" t="s">
        <v>49</v>
      </c>
      <c r="N324" s="2" t="s">
        <v>759</v>
      </c>
      <c r="O324" s="2" t="s">
        <v>24</v>
      </c>
      <c r="P324" s="2" t="s">
        <v>25</v>
      </c>
    </row>
    <row r="325" spans="1:16" hidden="1">
      <c r="A325" s="2">
        <v>11603</v>
      </c>
      <c r="B325" s="2" t="s">
        <v>943</v>
      </c>
      <c r="C325" s="2" t="s">
        <v>943</v>
      </c>
      <c r="D325" s="3">
        <v>46099.579166666663</v>
      </c>
      <c r="E325" s="2" t="s">
        <v>40</v>
      </c>
      <c r="F325" s="2" t="s">
        <v>5</v>
      </c>
      <c r="G325" s="2" t="s">
        <v>27</v>
      </c>
      <c r="H325" s="2" t="s">
        <v>18</v>
      </c>
      <c r="I325" s="2" t="s">
        <v>28</v>
      </c>
      <c r="J325" s="2" t="s">
        <v>78</v>
      </c>
      <c r="K325" s="2">
        <v>999616534.17738342</v>
      </c>
      <c r="L325" s="2" t="s">
        <v>30</v>
      </c>
      <c r="M325" s="2" t="s">
        <v>22</v>
      </c>
      <c r="N325" s="2" t="s">
        <v>944</v>
      </c>
      <c r="O325" s="2" t="s">
        <v>41</v>
      </c>
      <c r="P325" s="2" t="s">
        <v>81</v>
      </c>
    </row>
    <row r="326" spans="1:16" hidden="1">
      <c r="A326" s="2">
        <v>11619</v>
      </c>
      <c r="B326" s="2" t="s">
        <v>967</v>
      </c>
      <c r="C326" s="2" t="s">
        <v>967</v>
      </c>
      <c r="D326" s="3">
        <v>46099.895833333328</v>
      </c>
      <c r="E326" s="2" t="s">
        <v>40</v>
      </c>
      <c r="F326" s="2" t="s">
        <v>5</v>
      </c>
      <c r="G326" s="2" t="s">
        <v>17</v>
      </c>
      <c r="H326" s="2" t="s">
        <v>96</v>
      </c>
      <c r="I326" s="2" t="s">
        <v>535</v>
      </c>
      <c r="J326" s="2" t="s">
        <v>41</v>
      </c>
      <c r="K326" s="2" t="s">
        <v>41</v>
      </c>
      <c r="L326" s="2" t="s">
        <v>21</v>
      </c>
      <c r="M326" s="2" t="s">
        <v>22</v>
      </c>
      <c r="N326" s="2" t="s">
        <v>968</v>
      </c>
      <c r="O326" s="2" t="s">
        <v>41</v>
      </c>
      <c r="P326" s="2" t="s">
        <v>99</v>
      </c>
    </row>
    <row r="327" spans="1:16" hidden="1">
      <c r="A327" s="2">
        <v>11629</v>
      </c>
      <c r="B327" s="2" t="s">
        <v>986</v>
      </c>
      <c r="C327" s="2" t="s">
        <v>987</v>
      </c>
      <c r="D327" s="3">
        <v>46100.248611111107</v>
      </c>
      <c r="E327" s="2" t="s">
        <v>16</v>
      </c>
      <c r="F327" s="2" t="s">
        <v>5</v>
      </c>
      <c r="G327" s="2" t="s">
        <v>34</v>
      </c>
      <c r="H327" s="2" t="s">
        <v>18</v>
      </c>
      <c r="I327" s="2" t="s">
        <v>279</v>
      </c>
      <c r="J327" s="2" t="s">
        <v>988</v>
      </c>
      <c r="K327" s="2">
        <v>2139560921.1773891</v>
      </c>
      <c r="L327" s="2" t="s">
        <v>21</v>
      </c>
      <c r="M327" s="2" t="s">
        <v>22</v>
      </c>
      <c r="N327" s="2" t="s">
        <v>989</v>
      </c>
      <c r="O327" s="2" t="s">
        <v>202</v>
      </c>
      <c r="P327" s="2" t="s">
        <v>25</v>
      </c>
    </row>
    <row r="328" spans="1:16" hidden="1">
      <c r="A328" s="2">
        <v>11432</v>
      </c>
      <c r="B328" s="2" t="s">
        <v>760</v>
      </c>
      <c r="C328" s="2" t="s">
        <v>760</v>
      </c>
      <c r="D328" s="3">
        <v>46096.649305555555</v>
      </c>
      <c r="E328" s="2" t="s">
        <v>16</v>
      </c>
      <c r="F328" s="2" t="s">
        <v>5</v>
      </c>
      <c r="G328" s="2" t="s">
        <v>17</v>
      </c>
      <c r="H328" s="2" t="s">
        <v>46</v>
      </c>
      <c r="I328" s="2" t="s">
        <v>140</v>
      </c>
      <c r="J328" s="2" t="s">
        <v>761</v>
      </c>
      <c r="K328" s="2">
        <v>2061858939.1773582</v>
      </c>
      <c r="L328" s="2" t="s">
        <v>21</v>
      </c>
      <c r="M328" s="2" t="s">
        <v>49</v>
      </c>
      <c r="N328" s="2" t="s">
        <v>762</v>
      </c>
      <c r="O328" s="2" t="s">
        <v>24</v>
      </c>
      <c r="P328" s="2" t="s">
        <v>25</v>
      </c>
    </row>
    <row r="329" spans="1:16" hidden="1">
      <c r="A329" s="2">
        <v>11358</v>
      </c>
      <c r="B329" s="2" t="s">
        <v>664</v>
      </c>
      <c r="C329" s="2" t="s">
        <v>664</v>
      </c>
      <c r="D329" s="3">
        <v>46094.333333333328</v>
      </c>
      <c r="E329" s="2" t="s">
        <v>40</v>
      </c>
      <c r="F329" s="2" t="s">
        <v>5</v>
      </c>
      <c r="G329" s="2" t="s">
        <v>17</v>
      </c>
      <c r="H329" s="2" t="s">
        <v>96</v>
      </c>
      <c r="I329" s="2" t="s">
        <v>41</v>
      </c>
      <c r="J329" s="2" t="s">
        <v>41</v>
      </c>
      <c r="K329" s="2" t="s">
        <v>41</v>
      </c>
      <c r="L329" s="2" t="s">
        <v>21</v>
      </c>
      <c r="M329" s="2" t="s">
        <v>22</v>
      </c>
      <c r="N329" s="2" t="s">
        <v>665</v>
      </c>
      <c r="O329" s="2" t="s">
        <v>41</v>
      </c>
      <c r="P329" s="2" t="s">
        <v>99</v>
      </c>
    </row>
    <row r="330" spans="1:16" hidden="1">
      <c r="A330" s="2">
        <v>11036</v>
      </c>
      <c r="B330" s="2" t="s">
        <v>198</v>
      </c>
      <c r="C330" s="2" t="s">
        <v>199</v>
      </c>
      <c r="D330" s="3">
        <v>46084.866666666669</v>
      </c>
      <c r="E330" s="2" t="s">
        <v>16</v>
      </c>
      <c r="F330" s="2" t="s">
        <v>5</v>
      </c>
      <c r="G330" s="2" t="s">
        <v>34</v>
      </c>
      <c r="H330" s="2" t="s">
        <v>18</v>
      </c>
      <c r="I330" s="2" t="s">
        <v>19</v>
      </c>
      <c r="J330" s="2" t="s">
        <v>200</v>
      </c>
      <c r="K330" s="2">
        <v>140075629.17725638</v>
      </c>
      <c r="L330" s="2" t="s">
        <v>21</v>
      </c>
      <c r="M330" s="2" t="s">
        <v>22</v>
      </c>
      <c r="N330" s="2" t="s">
        <v>201</v>
      </c>
      <c r="O330" s="2" t="s">
        <v>202</v>
      </c>
      <c r="P330" s="2" t="s">
        <v>25</v>
      </c>
    </row>
    <row r="331" spans="1:16" hidden="1">
      <c r="A331" s="2">
        <v>11517</v>
      </c>
      <c r="B331" s="2" t="s">
        <v>882</v>
      </c>
      <c r="C331" s="2" t="s">
        <v>882</v>
      </c>
      <c r="D331" s="3">
        <v>46098.145833333328</v>
      </c>
      <c r="E331" s="2" t="s">
        <v>52</v>
      </c>
      <c r="F331" s="2" t="s">
        <v>181</v>
      </c>
      <c r="G331" s="2" t="s">
        <v>53</v>
      </c>
      <c r="H331" s="2" t="s">
        <v>41</v>
      </c>
      <c r="I331" s="2" t="s">
        <v>685</v>
      </c>
      <c r="J331" s="2" t="s">
        <v>41</v>
      </c>
      <c r="K331" s="2" t="s">
        <v>41</v>
      </c>
      <c r="L331" s="2" t="s">
        <v>21</v>
      </c>
      <c r="M331" s="2" t="s">
        <v>22</v>
      </c>
      <c r="N331" s="2" t="s">
        <v>883</v>
      </c>
      <c r="O331" s="2" t="s">
        <v>41</v>
      </c>
      <c r="P331" s="2" t="s">
        <v>56</v>
      </c>
    </row>
    <row r="332" spans="1:16" hidden="1">
      <c r="A332" s="2">
        <v>11239</v>
      </c>
      <c r="B332" s="2" t="s">
        <v>525</v>
      </c>
      <c r="C332" s="2" t="s">
        <v>525</v>
      </c>
      <c r="D332" s="3">
        <v>46091.100694444445</v>
      </c>
      <c r="E332" s="2" t="s">
        <v>16</v>
      </c>
      <c r="F332" s="2" t="s">
        <v>5</v>
      </c>
      <c r="G332" s="2" t="s">
        <v>34</v>
      </c>
      <c r="H332" s="2" t="s">
        <v>18</v>
      </c>
      <c r="I332" s="2" t="s">
        <v>19</v>
      </c>
      <c r="J332" s="2" t="s">
        <v>526</v>
      </c>
      <c r="K332" s="2">
        <v>1681687817.1773102</v>
      </c>
      <c r="L332" s="2" t="s">
        <v>21</v>
      </c>
      <c r="M332" s="2" t="s">
        <v>22</v>
      </c>
      <c r="N332" s="2" t="s">
        <v>527</v>
      </c>
      <c r="O332" s="2" t="s">
        <v>80</v>
      </c>
      <c r="P332" s="2" t="s">
        <v>25</v>
      </c>
    </row>
    <row r="333" spans="1:16" hidden="1">
      <c r="A333" s="2">
        <v>11147</v>
      </c>
      <c r="B333" s="2" t="s">
        <v>373</v>
      </c>
      <c r="C333" s="2" t="s">
        <v>373</v>
      </c>
      <c r="D333" s="3">
        <v>46087.154861111107</v>
      </c>
      <c r="E333" s="2" t="s">
        <v>16</v>
      </c>
      <c r="F333" s="2" t="s">
        <v>41</v>
      </c>
      <c r="G333" s="2" t="s">
        <v>17</v>
      </c>
      <c r="H333" s="2" t="s">
        <v>46</v>
      </c>
      <c r="I333" s="2" t="s">
        <v>374</v>
      </c>
      <c r="J333" s="2" t="s">
        <v>375</v>
      </c>
      <c r="K333" s="2">
        <v>1208630180.1772761</v>
      </c>
      <c r="L333" s="2" t="s">
        <v>21</v>
      </c>
      <c r="M333" s="2" t="s">
        <v>49</v>
      </c>
      <c r="N333" s="2" t="s">
        <v>376</v>
      </c>
      <c r="O333" s="2" t="s">
        <v>24</v>
      </c>
      <c r="P333" s="2" t="s">
        <v>25</v>
      </c>
    </row>
    <row r="334" spans="1:16" hidden="1">
      <c r="A334" s="2">
        <v>11065</v>
      </c>
      <c r="B334" s="2" t="s">
        <v>232</v>
      </c>
      <c r="C334" s="2" t="s">
        <v>232</v>
      </c>
      <c r="D334" s="3">
        <v>46085.520833333328</v>
      </c>
      <c r="E334" s="2" t="s">
        <v>16</v>
      </c>
      <c r="F334" s="2" t="s">
        <v>5</v>
      </c>
      <c r="G334" s="2" t="s">
        <v>17</v>
      </c>
      <c r="H334" s="2" t="s">
        <v>96</v>
      </c>
      <c r="I334" s="2" t="s">
        <v>233</v>
      </c>
      <c r="J334" s="2" t="s">
        <v>41</v>
      </c>
      <c r="K334" s="2" t="s">
        <v>41</v>
      </c>
      <c r="L334" s="2" t="s">
        <v>21</v>
      </c>
      <c r="M334" s="2" t="s">
        <v>22</v>
      </c>
      <c r="N334" s="2" t="s">
        <v>234</v>
      </c>
      <c r="O334" s="2" t="s">
        <v>235</v>
      </c>
      <c r="P334" s="2" t="s">
        <v>99</v>
      </c>
    </row>
    <row r="335" spans="1:16" hidden="1">
      <c r="A335" s="2">
        <v>12001</v>
      </c>
      <c r="B335" s="2" t="s">
        <v>1318</v>
      </c>
      <c r="C335" s="2" t="s">
        <v>1318</v>
      </c>
      <c r="D335" s="3">
        <v>46107.792361111111</v>
      </c>
      <c r="E335" s="2" t="s">
        <v>40</v>
      </c>
      <c r="F335" s="2" t="s">
        <v>5</v>
      </c>
      <c r="G335" s="2" t="s">
        <v>27</v>
      </c>
      <c r="H335" s="2" t="s">
        <v>18</v>
      </c>
      <c r="I335" s="2" t="s">
        <v>28</v>
      </c>
      <c r="J335" s="2" t="s">
        <v>110</v>
      </c>
      <c r="K335" s="2">
        <v>1101779072.1774535</v>
      </c>
      <c r="L335" s="2" t="s">
        <v>30</v>
      </c>
      <c r="M335" s="2" t="s">
        <v>22</v>
      </c>
      <c r="N335" s="2" t="s">
        <v>1319</v>
      </c>
      <c r="O335" s="2" t="s">
        <v>41</v>
      </c>
      <c r="P335" s="2" t="s">
        <v>25</v>
      </c>
    </row>
    <row r="336" spans="1:16" hidden="1">
      <c r="A336" s="2">
        <v>11130</v>
      </c>
      <c r="B336" s="2" t="s">
        <v>338</v>
      </c>
      <c r="C336" s="2" t="s">
        <v>338</v>
      </c>
      <c r="D336" s="3">
        <v>46086.709027777775</v>
      </c>
      <c r="E336" s="2" t="s">
        <v>16</v>
      </c>
      <c r="F336" s="2" t="s">
        <v>5</v>
      </c>
      <c r="G336" s="2" t="s">
        <v>17</v>
      </c>
      <c r="H336" s="2" t="s">
        <v>46</v>
      </c>
      <c r="I336" s="2" t="s">
        <v>195</v>
      </c>
      <c r="J336" s="2" t="s">
        <v>339</v>
      </c>
      <c r="K336" s="2">
        <v>1870920733.1772721</v>
      </c>
      <c r="L336" s="2" t="s">
        <v>21</v>
      </c>
      <c r="M336" s="2" t="s">
        <v>49</v>
      </c>
      <c r="N336" s="2" t="s">
        <v>340</v>
      </c>
      <c r="O336" s="2" t="s">
        <v>24</v>
      </c>
      <c r="P336" s="2" t="s">
        <v>25</v>
      </c>
    </row>
    <row r="337" spans="1:16" hidden="1">
      <c r="A337" s="2">
        <v>11012</v>
      </c>
      <c r="B337" s="2" t="s">
        <v>165</v>
      </c>
      <c r="C337" s="2" t="s">
        <v>165</v>
      </c>
      <c r="D337" s="3">
        <v>46084.476388888885</v>
      </c>
      <c r="E337" s="2" t="s">
        <v>40</v>
      </c>
      <c r="F337" s="2" t="s">
        <v>5</v>
      </c>
      <c r="G337" s="2" t="s">
        <v>17</v>
      </c>
      <c r="H337" s="2" t="s">
        <v>46</v>
      </c>
      <c r="I337" s="2" t="s">
        <v>140</v>
      </c>
      <c r="J337" s="2" t="s">
        <v>166</v>
      </c>
      <c r="K337" s="2">
        <v>506415695.17725301</v>
      </c>
      <c r="L337" s="2" t="s">
        <v>21</v>
      </c>
      <c r="M337" s="2" t="s">
        <v>49</v>
      </c>
      <c r="N337" s="2" t="s">
        <v>167</v>
      </c>
      <c r="O337" s="2" t="s">
        <v>41</v>
      </c>
      <c r="P337" s="2" t="s">
        <v>25</v>
      </c>
    </row>
    <row r="338" spans="1:16" hidden="1">
      <c r="A338" s="2">
        <v>11211</v>
      </c>
      <c r="B338" s="2" t="s">
        <v>483</v>
      </c>
      <c r="C338" s="2" t="s">
        <v>483</v>
      </c>
      <c r="D338" s="3">
        <v>46090.422222222223</v>
      </c>
      <c r="E338" s="2" t="s">
        <v>16</v>
      </c>
      <c r="F338" s="2" t="s">
        <v>5</v>
      </c>
      <c r="G338" s="2" t="s">
        <v>34</v>
      </c>
      <c r="H338" s="2" t="s">
        <v>18</v>
      </c>
      <c r="I338" s="2" t="s">
        <v>19</v>
      </c>
      <c r="J338" s="2" t="s">
        <v>484</v>
      </c>
      <c r="K338" s="2">
        <v>1911347924.1773043</v>
      </c>
      <c r="L338" s="2" t="s">
        <v>21</v>
      </c>
      <c r="M338" s="2" t="s">
        <v>22</v>
      </c>
      <c r="N338" s="2" t="s">
        <v>485</v>
      </c>
      <c r="O338" s="2" t="s">
        <v>24</v>
      </c>
      <c r="P338" s="2" t="s">
        <v>25</v>
      </c>
    </row>
    <row r="339" spans="1:16" hidden="1">
      <c r="A339" s="2">
        <v>11410</v>
      </c>
      <c r="B339" s="2" t="s">
        <v>724</v>
      </c>
      <c r="C339" s="2" t="s">
        <v>725</v>
      </c>
      <c r="D339" s="3">
        <v>46095.833333333328</v>
      </c>
      <c r="E339" s="2" t="s">
        <v>40</v>
      </c>
      <c r="F339" s="2" t="s">
        <v>5</v>
      </c>
      <c r="G339" s="2" t="s">
        <v>17</v>
      </c>
      <c r="H339" s="2" t="s">
        <v>96</v>
      </c>
      <c r="I339" s="2" t="s">
        <v>41</v>
      </c>
      <c r="J339" s="2" t="s">
        <v>41</v>
      </c>
      <c r="K339" s="2" t="s">
        <v>41</v>
      </c>
      <c r="L339" s="2" t="s">
        <v>21</v>
      </c>
      <c r="M339" s="2" t="s">
        <v>22</v>
      </c>
      <c r="N339" s="2" t="s">
        <v>726</v>
      </c>
      <c r="O339" s="2" t="s">
        <v>41</v>
      </c>
      <c r="P339" s="2" t="s">
        <v>99</v>
      </c>
    </row>
    <row r="340" spans="1:16" hidden="1">
      <c r="A340" s="2">
        <v>11372</v>
      </c>
      <c r="B340" s="2" t="s">
        <v>675</v>
      </c>
      <c r="C340" s="2" t="s">
        <v>676</v>
      </c>
      <c r="D340" s="3">
        <v>46094.623611111107</v>
      </c>
      <c r="E340" s="2" t="s">
        <v>121</v>
      </c>
      <c r="F340" s="2" t="s">
        <v>5</v>
      </c>
      <c r="G340" s="2" t="s">
        <v>17</v>
      </c>
      <c r="H340" s="2" t="s">
        <v>96</v>
      </c>
      <c r="I340" s="2" t="s">
        <v>41</v>
      </c>
      <c r="J340" s="2" t="s">
        <v>41</v>
      </c>
      <c r="K340" s="2" t="s">
        <v>41</v>
      </c>
      <c r="L340" s="2" t="s">
        <v>21</v>
      </c>
      <c r="M340" s="2" t="s">
        <v>88</v>
      </c>
      <c r="N340" s="2" t="s">
        <v>677</v>
      </c>
      <c r="O340" s="2" t="s">
        <v>41</v>
      </c>
      <c r="P340" s="2" t="s">
        <v>56</v>
      </c>
    </row>
    <row r="341" spans="1:16" hidden="1">
      <c r="A341" s="2">
        <v>11395</v>
      </c>
      <c r="B341" s="2" t="s">
        <v>698</v>
      </c>
      <c r="C341" s="2" t="s">
        <v>698</v>
      </c>
      <c r="D341" s="3">
        <v>46095.029166666667</v>
      </c>
      <c r="E341" s="2" t="s">
        <v>40</v>
      </c>
      <c r="F341" s="2" t="s">
        <v>5</v>
      </c>
      <c r="G341" s="2" t="s">
        <v>17</v>
      </c>
      <c r="H341" s="2" t="s">
        <v>91</v>
      </c>
      <c r="I341" s="2" t="s">
        <v>699</v>
      </c>
      <c r="J341" s="2" t="s">
        <v>700</v>
      </c>
      <c r="K341" s="2">
        <v>1274746814.1773438</v>
      </c>
      <c r="L341" s="2" t="s">
        <v>21</v>
      </c>
      <c r="M341" s="2" t="s">
        <v>49</v>
      </c>
      <c r="N341" s="2" t="s">
        <v>701</v>
      </c>
      <c r="O341" s="2" t="s">
        <v>41</v>
      </c>
      <c r="P341" s="2" t="s">
        <v>81</v>
      </c>
    </row>
    <row r="342" spans="1:16" hidden="1">
      <c r="A342" s="2">
        <v>11414</v>
      </c>
      <c r="B342" s="2" t="s">
        <v>736</v>
      </c>
      <c r="C342" s="2" t="s">
        <v>737</v>
      </c>
      <c r="D342" s="3">
        <v>46095.927777777775</v>
      </c>
      <c r="E342" s="2" t="s">
        <v>16</v>
      </c>
      <c r="F342" s="2" t="s">
        <v>5</v>
      </c>
      <c r="G342" s="2" t="s">
        <v>34</v>
      </c>
      <c r="H342" s="2" t="s">
        <v>18</v>
      </c>
      <c r="I342" s="2" t="s">
        <v>19</v>
      </c>
      <c r="J342" s="2" t="s">
        <v>738</v>
      </c>
      <c r="K342" s="2">
        <v>341493467.17735195</v>
      </c>
      <c r="L342" s="2" t="s">
        <v>21</v>
      </c>
      <c r="M342" s="2" t="s">
        <v>22</v>
      </c>
      <c r="N342" s="2" t="s">
        <v>739</v>
      </c>
      <c r="O342" s="2" t="s">
        <v>24</v>
      </c>
      <c r="P342" s="2" t="s">
        <v>44</v>
      </c>
    </row>
    <row r="343" spans="1:16" hidden="1">
      <c r="A343" s="2">
        <v>11748</v>
      </c>
      <c r="B343" s="2" t="s">
        <v>1110</v>
      </c>
      <c r="C343" s="2" t="s">
        <v>1110</v>
      </c>
      <c r="D343" s="3">
        <v>46103.63680555555</v>
      </c>
      <c r="E343" s="2" t="s">
        <v>40</v>
      </c>
      <c r="F343" s="2" t="s">
        <v>5</v>
      </c>
      <c r="G343" s="2" t="s">
        <v>17</v>
      </c>
      <c r="H343" s="2" t="s">
        <v>46</v>
      </c>
      <c r="I343" s="2" t="s">
        <v>47</v>
      </c>
      <c r="J343" s="2" t="s">
        <v>668</v>
      </c>
      <c r="K343" s="2">
        <v>1150695052.1774182</v>
      </c>
      <c r="L343" s="2" t="s">
        <v>21</v>
      </c>
      <c r="M343" s="2" t="s">
        <v>49</v>
      </c>
      <c r="N343" s="2" t="s">
        <v>1111</v>
      </c>
      <c r="O343" s="2" t="s">
        <v>159</v>
      </c>
      <c r="P343" s="2" t="s">
        <v>25</v>
      </c>
    </row>
    <row r="344" spans="1:16" hidden="1">
      <c r="A344" s="2">
        <v>11247</v>
      </c>
      <c r="B344" s="2" t="s">
        <v>537</v>
      </c>
      <c r="C344" s="2" t="s">
        <v>537</v>
      </c>
      <c r="D344" s="3">
        <v>46091.462500000001</v>
      </c>
      <c r="E344" s="2" t="s">
        <v>16</v>
      </c>
      <c r="F344" s="2" t="s">
        <v>181</v>
      </c>
      <c r="G344" s="2" t="s">
        <v>17</v>
      </c>
      <c r="H344" s="2" t="s">
        <v>18</v>
      </c>
      <c r="I344" s="2" t="s">
        <v>322</v>
      </c>
      <c r="J344" s="2" t="s">
        <v>41</v>
      </c>
      <c r="K344" s="2" t="s">
        <v>41</v>
      </c>
      <c r="L344" s="2" t="s">
        <v>118</v>
      </c>
      <c r="M344" s="2" t="s">
        <v>22</v>
      </c>
      <c r="N344" s="2" t="s">
        <v>538</v>
      </c>
      <c r="O344" s="2" t="s">
        <v>252</v>
      </c>
      <c r="P344" s="2" t="s">
        <v>56</v>
      </c>
    </row>
    <row r="345" spans="1:16" hidden="1">
      <c r="A345" s="2">
        <v>11026</v>
      </c>
      <c r="B345" s="2" t="s">
        <v>185</v>
      </c>
      <c r="C345" s="2" t="s">
        <v>185</v>
      </c>
      <c r="D345" s="3">
        <v>46084.737500000003</v>
      </c>
      <c r="E345" s="2" t="s">
        <v>16</v>
      </c>
      <c r="F345" s="2" t="s">
        <v>41</v>
      </c>
      <c r="G345" s="2" t="s">
        <v>17</v>
      </c>
      <c r="H345" s="2" t="s">
        <v>41</v>
      </c>
      <c r="I345" s="2" t="s">
        <v>41</v>
      </c>
      <c r="J345" s="2" t="s">
        <v>41</v>
      </c>
      <c r="K345" s="2" t="s">
        <v>41</v>
      </c>
      <c r="L345" s="2" t="s">
        <v>41</v>
      </c>
      <c r="M345" s="2" t="s">
        <v>88</v>
      </c>
      <c r="N345" s="2" t="s">
        <v>186</v>
      </c>
      <c r="O345" s="2" t="s">
        <v>159</v>
      </c>
      <c r="P345" s="2" t="s">
        <v>41</v>
      </c>
    </row>
    <row r="346" spans="1:16" hidden="1">
      <c r="A346" s="2">
        <v>11975</v>
      </c>
      <c r="B346" s="2" t="s">
        <v>1297</v>
      </c>
      <c r="C346" s="2" t="s">
        <v>1297</v>
      </c>
      <c r="D346" s="3">
        <v>46107.433333333334</v>
      </c>
      <c r="E346" s="2" t="s">
        <v>40</v>
      </c>
      <c r="F346" s="2" t="s">
        <v>5</v>
      </c>
      <c r="G346" s="2" t="s">
        <v>27</v>
      </c>
      <c r="H346" s="2" t="s">
        <v>18</v>
      </c>
      <c r="I346" s="2" t="s">
        <v>35</v>
      </c>
      <c r="J346" s="2" t="s">
        <v>1298</v>
      </c>
      <c r="K346" s="2">
        <v>416920807.17745131</v>
      </c>
      <c r="L346" s="2" t="s">
        <v>21</v>
      </c>
      <c r="M346" s="2" t="s">
        <v>22</v>
      </c>
      <c r="N346" s="2" t="s">
        <v>1299</v>
      </c>
      <c r="O346" s="2" t="s">
        <v>41</v>
      </c>
      <c r="P346" s="2" t="s">
        <v>25</v>
      </c>
    </row>
    <row r="347" spans="1:16" hidden="1">
      <c r="A347" s="2">
        <v>11686</v>
      </c>
      <c r="B347" s="2" t="s">
        <v>1039</v>
      </c>
      <c r="C347" s="2" t="s">
        <v>1039</v>
      </c>
      <c r="D347" s="3">
        <v>46101.658333333333</v>
      </c>
      <c r="E347" s="2" t="s">
        <v>40</v>
      </c>
      <c r="F347" s="2" t="s">
        <v>5</v>
      </c>
      <c r="G347" s="2" t="s">
        <v>27</v>
      </c>
      <c r="H347" s="2" t="s">
        <v>18</v>
      </c>
      <c r="I347" s="2" t="s">
        <v>28</v>
      </c>
      <c r="J347" s="2" t="s">
        <v>1040</v>
      </c>
      <c r="K347" s="2">
        <v>1178336666.1774015</v>
      </c>
      <c r="L347" s="2" t="s">
        <v>30</v>
      </c>
      <c r="M347" s="2" t="s">
        <v>22</v>
      </c>
      <c r="N347" s="2" t="s">
        <v>1041</v>
      </c>
      <c r="O347" s="2" t="s">
        <v>41</v>
      </c>
      <c r="P347" s="2" t="s">
        <v>25</v>
      </c>
    </row>
    <row r="348" spans="1:16" hidden="1">
      <c r="A348" s="2">
        <v>11318</v>
      </c>
      <c r="B348" s="2" t="s">
        <v>616</v>
      </c>
      <c r="C348" s="2" t="s">
        <v>616</v>
      </c>
      <c r="D348" s="3">
        <v>46093.41805555555</v>
      </c>
      <c r="E348" s="2" t="s">
        <v>218</v>
      </c>
      <c r="F348" s="2" t="s">
        <v>41</v>
      </c>
      <c r="G348" s="2" t="s">
        <v>219</v>
      </c>
      <c r="H348" s="2" t="s">
        <v>41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88</v>
      </c>
      <c r="N348" s="2" t="s">
        <v>617</v>
      </c>
      <c r="O348" s="2" t="s">
        <v>41</v>
      </c>
      <c r="P348" s="2" t="s">
        <v>41</v>
      </c>
    </row>
    <row r="349" spans="1:16" hidden="1">
      <c r="A349" s="2">
        <v>11090</v>
      </c>
      <c r="B349" s="2" t="s">
        <v>277</v>
      </c>
      <c r="C349" s="2" t="s">
        <v>278</v>
      </c>
      <c r="D349" s="3">
        <v>46085.876388888893</v>
      </c>
      <c r="E349" s="2" t="s">
        <v>16</v>
      </c>
      <c r="F349" s="2" t="s">
        <v>5</v>
      </c>
      <c r="G349" s="2" t="s">
        <v>34</v>
      </c>
      <c r="H349" s="2" t="s">
        <v>18</v>
      </c>
      <c r="I349" s="2" t="s">
        <v>279</v>
      </c>
      <c r="J349" s="2" t="s">
        <v>280</v>
      </c>
      <c r="K349" s="2">
        <v>995091989.17726505</v>
      </c>
      <c r="L349" s="2" t="s">
        <v>21</v>
      </c>
      <c r="M349" s="2" t="s">
        <v>22</v>
      </c>
      <c r="N349" s="2" t="s">
        <v>281</v>
      </c>
      <c r="O349" s="2" t="s">
        <v>24</v>
      </c>
      <c r="P349" s="2" t="s">
        <v>25</v>
      </c>
    </row>
    <row r="350" spans="1:16" hidden="1">
      <c r="A350" s="2">
        <v>12018</v>
      </c>
      <c r="B350" s="2" t="s">
        <v>1336</v>
      </c>
      <c r="C350" s="2" t="s">
        <v>1336</v>
      </c>
      <c r="D350" s="3">
        <v>46108.304166666669</v>
      </c>
      <c r="E350" s="2" t="s">
        <v>801</v>
      </c>
      <c r="F350" s="2" t="s">
        <v>5</v>
      </c>
      <c r="G350" s="2" t="s">
        <v>17</v>
      </c>
      <c r="H350" s="2" t="s">
        <v>46</v>
      </c>
      <c r="I350" s="2" t="s">
        <v>68</v>
      </c>
      <c r="J350" s="2" t="s">
        <v>1337</v>
      </c>
      <c r="K350" s="2">
        <v>1096123714.1774588</v>
      </c>
      <c r="L350" s="2" t="s">
        <v>21</v>
      </c>
      <c r="M350" s="2" t="s">
        <v>49</v>
      </c>
      <c r="N350" s="2" t="s">
        <v>1338</v>
      </c>
      <c r="O350" s="2" t="s">
        <v>41</v>
      </c>
      <c r="P350" s="2" t="s">
        <v>25</v>
      </c>
    </row>
    <row r="351" spans="1:16" hidden="1">
      <c r="A351" s="2">
        <v>10927</v>
      </c>
      <c r="B351" s="2" t="s">
        <v>45</v>
      </c>
      <c r="C351" s="2" t="s">
        <v>45</v>
      </c>
      <c r="D351" s="3">
        <v>46082.364583333328</v>
      </c>
      <c r="E351" s="2" t="s">
        <v>16</v>
      </c>
      <c r="F351" s="2" t="s">
        <v>5</v>
      </c>
      <c r="G351" s="2" t="s">
        <v>17</v>
      </c>
      <c r="H351" s="2" t="s">
        <v>46</v>
      </c>
      <c r="I351" s="2" t="s">
        <v>47</v>
      </c>
      <c r="J351" s="2" t="s">
        <v>48</v>
      </c>
      <c r="K351" s="2">
        <v>1025825738.1772348</v>
      </c>
      <c r="L351" s="2" t="s">
        <v>21</v>
      </c>
      <c r="M351" s="2" t="s">
        <v>49</v>
      </c>
      <c r="N351" s="2" t="s">
        <v>50</v>
      </c>
      <c r="O351" s="2" t="s">
        <v>24</v>
      </c>
      <c r="P351" s="2" t="s">
        <v>25</v>
      </c>
    </row>
    <row r="352" spans="1:16" hidden="1">
      <c r="A352" s="2">
        <v>11087</v>
      </c>
      <c r="B352" s="2" t="s">
        <v>268</v>
      </c>
      <c r="C352" s="2" t="s">
        <v>269</v>
      </c>
      <c r="D352" s="3">
        <v>46085.806944444441</v>
      </c>
      <c r="E352" s="2" t="s">
        <v>16</v>
      </c>
      <c r="F352" s="2" t="s">
        <v>41</v>
      </c>
      <c r="G352" s="2" t="s">
        <v>34</v>
      </c>
      <c r="H352" s="2" t="s">
        <v>18</v>
      </c>
      <c r="I352" s="2" t="s">
        <v>19</v>
      </c>
      <c r="J352" s="2" t="s">
        <v>270</v>
      </c>
      <c r="K352" s="2">
        <v>1820741954.1772645</v>
      </c>
      <c r="L352" s="2" t="s">
        <v>21</v>
      </c>
      <c r="M352" s="2" t="s">
        <v>22</v>
      </c>
      <c r="N352" s="2" t="s">
        <v>271</v>
      </c>
      <c r="O352" s="2" t="s">
        <v>24</v>
      </c>
      <c r="P352" s="2" t="s">
        <v>25</v>
      </c>
    </row>
    <row r="353" spans="1:16" hidden="1">
      <c r="A353" s="2">
        <v>10944</v>
      </c>
      <c r="B353" s="2" t="s">
        <v>73</v>
      </c>
      <c r="C353" s="2" t="s">
        <v>74</v>
      </c>
      <c r="D353" s="3">
        <v>46083.161111111112</v>
      </c>
      <c r="E353" s="2" t="s">
        <v>16</v>
      </c>
      <c r="F353" s="2" t="s">
        <v>5</v>
      </c>
      <c r="G353" s="2" t="s">
        <v>34</v>
      </c>
      <c r="H353" s="2" t="s">
        <v>54</v>
      </c>
      <c r="I353" s="2" t="s">
        <v>19</v>
      </c>
      <c r="J353" s="2" t="s">
        <v>75</v>
      </c>
      <c r="K353" s="2">
        <v>1137057563.1772416</v>
      </c>
      <c r="L353" s="2" t="s">
        <v>21</v>
      </c>
      <c r="M353" s="2" t="s">
        <v>22</v>
      </c>
      <c r="N353" s="2" t="s">
        <v>76</v>
      </c>
      <c r="O353" s="2" t="s">
        <v>66</v>
      </c>
      <c r="P353" s="2" t="s">
        <v>25</v>
      </c>
    </row>
    <row r="354" spans="1:16" hidden="1">
      <c r="A354" s="2">
        <v>11436</v>
      </c>
      <c r="B354" s="2" t="s">
        <v>770</v>
      </c>
      <c r="C354" s="2" t="s">
        <v>771</v>
      </c>
      <c r="D354" s="3">
        <v>46096.808333333334</v>
      </c>
      <c r="E354" s="2" t="s">
        <v>688</v>
      </c>
      <c r="F354" s="2" t="s">
        <v>5</v>
      </c>
      <c r="G354" s="2" t="s">
        <v>27</v>
      </c>
      <c r="H354" s="2" t="s">
        <v>18</v>
      </c>
      <c r="I354" s="2" t="s">
        <v>28</v>
      </c>
      <c r="J354" s="2" t="s">
        <v>772</v>
      </c>
      <c r="K354" s="2">
        <v>1848794779.1773596</v>
      </c>
      <c r="L354" s="2" t="s">
        <v>30</v>
      </c>
      <c r="M354" s="2" t="s">
        <v>22</v>
      </c>
      <c r="N354" s="2" t="s">
        <v>773</v>
      </c>
      <c r="O354" s="2" t="s">
        <v>41</v>
      </c>
      <c r="P354" s="2" t="s">
        <v>25</v>
      </c>
    </row>
    <row r="355" spans="1:16" hidden="1">
      <c r="A355" s="2">
        <v>11023</v>
      </c>
      <c r="B355" s="2" t="s">
        <v>176</v>
      </c>
      <c r="C355" s="2" t="s">
        <v>176</v>
      </c>
      <c r="D355" s="3">
        <v>46084.697222222225</v>
      </c>
      <c r="E355" s="2" t="s">
        <v>16</v>
      </c>
      <c r="F355" s="2" t="s">
        <v>5</v>
      </c>
      <c r="G355" s="2" t="s">
        <v>34</v>
      </c>
      <c r="H355" s="2" t="s">
        <v>18</v>
      </c>
      <c r="I355" s="2" t="s">
        <v>19</v>
      </c>
      <c r="J355" s="2" t="s">
        <v>177</v>
      </c>
      <c r="K355" s="2">
        <v>1579419528.1772549</v>
      </c>
      <c r="L355" s="2" t="s">
        <v>21</v>
      </c>
      <c r="M355" s="2" t="s">
        <v>22</v>
      </c>
      <c r="N355" s="2" t="s">
        <v>178</v>
      </c>
      <c r="O355" s="2" t="s">
        <v>80</v>
      </c>
      <c r="P355" s="2" t="s">
        <v>25</v>
      </c>
    </row>
    <row r="356" spans="1:16" hidden="1">
      <c r="A356" s="2">
        <v>11093</v>
      </c>
      <c r="B356" s="2" t="s">
        <v>290</v>
      </c>
      <c r="C356" s="2" t="s">
        <v>290</v>
      </c>
      <c r="D356" s="3">
        <v>46086.027083333334</v>
      </c>
      <c r="E356" s="2" t="s">
        <v>16</v>
      </c>
      <c r="F356" s="2" t="s">
        <v>5</v>
      </c>
      <c r="G356" s="2" t="s">
        <v>17</v>
      </c>
      <c r="H356" s="2" t="s">
        <v>46</v>
      </c>
      <c r="I356" s="2" t="s">
        <v>291</v>
      </c>
      <c r="J356" s="2" t="s">
        <v>292</v>
      </c>
      <c r="K356" s="2" t="s">
        <v>41</v>
      </c>
      <c r="L356" s="2" t="s">
        <v>21</v>
      </c>
      <c r="M356" s="2" t="s">
        <v>49</v>
      </c>
      <c r="N356" s="2" t="s">
        <v>293</v>
      </c>
      <c r="O356" s="2" t="s">
        <v>24</v>
      </c>
      <c r="P356" s="2" t="s">
        <v>81</v>
      </c>
    </row>
    <row r="357" spans="1:16" hidden="1">
      <c r="A357" s="2">
        <v>11521</v>
      </c>
      <c r="B357" s="2" t="s">
        <v>884</v>
      </c>
      <c r="C357" s="2" t="s">
        <v>884</v>
      </c>
      <c r="D357" s="3">
        <v>46098.341666666667</v>
      </c>
      <c r="E357" s="2" t="s">
        <v>40</v>
      </c>
      <c r="F357" s="2" t="s">
        <v>5</v>
      </c>
      <c r="G357" s="2" t="s">
        <v>17</v>
      </c>
      <c r="H357" s="2" t="s">
        <v>96</v>
      </c>
      <c r="I357" s="2" t="s">
        <v>530</v>
      </c>
      <c r="J357" s="2" t="s">
        <v>715</v>
      </c>
      <c r="K357" s="2">
        <v>341579753.17737275</v>
      </c>
      <c r="L357" s="2" t="s">
        <v>21</v>
      </c>
      <c r="M357" s="2" t="s">
        <v>22</v>
      </c>
      <c r="N357" s="2" t="s">
        <v>885</v>
      </c>
      <c r="O357" s="2" t="s">
        <v>41</v>
      </c>
      <c r="P357" s="2" t="s">
        <v>44</v>
      </c>
    </row>
    <row r="358" spans="1:16" hidden="1">
      <c r="A358" s="2">
        <v>11320</v>
      </c>
      <c r="B358" s="2" t="s">
        <v>621</v>
      </c>
      <c r="C358" s="2" t="s">
        <v>622</v>
      </c>
      <c r="D358" s="3">
        <v>46093.447916666672</v>
      </c>
      <c r="E358" s="2" t="s">
        <v>40</v>
      </c>
      <c r="F358" s="2" t="s">
        <v>5</v>
      </c>
      <c r="G358" s="2" t="s">
        <v>34</v>
      </c>
      <c r="H358" s="2" t="s">
        <v>18</v>
      </c>
      <c r="I358" s="2" t="s">
        <v>279</v>
      </c>
      <c r="J358" s="2" t="s">
        <v>623</v>
      </c>
      <c r="K358" s="2">
        <v>1974058915.1773305</v>
      </c>
      <c r="L358" s="2" t="s">
        <v>21</v>
      </c>
      <c r="M358" s="2" t="s">
        <v>22</v>
      </c>
      <c r="N358" s="2" t="s">
        <v>624</v>
      </c>
      <c r="O358" s="2" t="s">
        <v>41</v>
      </c>
      <c r="P358" s="2" t="s">
        <v>25</v>
      </c>
    </row>
    <row r="359" spans="1:16" hidden="1">
      <c r="A359" s="2">
        <v>11953</v>
      </c>
      <c r="B359" s="2" t="s">
        <v>1266</v>
      </c>
      <c r="C359" s="2" t="s">
        <v>1267</v>
      </c>
      <c r="D359" s="3">
        <v>46106.811805555553</v>
      </c>
      <c r="E359" s="2" t="s">
        <v>40</v>
      </c>
      <c r="F359" s="2" t="s">
        <v>5</v>
      </c>
      <c r="G359" s="2" t="s">
        <v>27</v>
      </c>
      <c r="H359" s="2" t="s">
        <v>18</v>
      </c>
      <c r="I359" s="2" t="s">
        <v>19</v>
      </c>
      <c r="J359" s="2" t="s">
        <v>1268</v>
      </c>
      <c r="K359" s="2">
        <v>702015368.17744601</v>
      </c>
      <c r="L359" s="2" t="s">
        <v>21</v>
      </c>
      <c r="M359" s="2" t="s">
        <v>22</v>
      </c>
      <c r="N359" s="2" t="s">
        <v>1269</v>
      </c>
      <c r="O359" s="2" t="s">
        <v>41</v>
      </c>
      <c r="P359" s="2" t="s">
        <v>25</v>
      </c>
    </row>
    <row r="360" spans="1:16" hidden="1">
      <c r="A360" s="2">
        <v>12005</v>
      </c>
      <c r="B360" s="2" t="s">
        <v>1266</v>
      </c>
      <c r="C360" s="2" t="s">
        <v>1267</v>
      </c>
      <c r="D360" s="3">
        <v>46107.862500000003</v>
      </c>
      <c r="E360" s="2" t="s">
        <v>1322</v>
      </c>
      <c r="F360" s="2" t="s">
        <v>41</v>
      </c>
      <c r="G360" s="2" t="s">
        <v>17</v>
      </c>
      <c r="H360" s="2" t="s">
        <v>182</v>
      </c>
      <c r="I360" s="2" t="s">
        <v>19</v>
      </c>
      <c r="J360" s="2" t="s">
        <v>1323</v>
      </c>
      <c r="K360" s="2">
        <v>702015368.17744601</v>
      </c>
      <c r="L360" s="2" t="s">
        <v>21</v>
      </c>
      <c r="M360" s="2" t="s">
        <v>22</v>
      </c>
      <c r="N360" s="2" t="s">
        <v>1269</v>
      </c>
      <c r="O360" s="2" t="s">
        <v>41</v>
      </c>
      <c r="P360" s="2" t="s">
        <v>25</v>
      </c>
    </row>
    <row r="361" spans="1:16" hidden="1">
      <c r="A361" s="2">
        <v>10947</v>
      </c>
      <c r="B361" s="2" t="s">
        <v>82</v>
      </c>
      <c r="C361" s="2" t="s">
        <v>82</v>
      </c>
      <c r="D361" s="3">
        <v>46083.326388888891</v>
      </c>
      <c r="E361" s="2" t="s">
        <v>40</v>
      </c>
      <c r="F361" s="2" t="s">
        <v>5</v>
      </c>
      <c r="G361" s="2" t="s">
        <v>17</v>
      </c>
      <c r="H361" s="2" t="s">
        <v>46</v>
      </c>
      <c r="I361" s="2" t="s">
        <v>68</v>
      </c>
      <c r="J361" s="2" t="s">
        <v>83</v>
      </c>
      <c r="K361" s="2">
        <v>63178635.177242972</v>
      </c>
      <c r="L361" s="2" t="s">
        <v>21</v>
      </c>
      <c r="M361" s="2" t="s">
        <v>49</v>
      </c>
      <c r="N361" s="2" t="s">
        <v>84</v>
      </c>
      <c r="O361" s="2" t="s">
        <v>41</v>
      </c>
      <c r="P361" s="2" t="s">
        <v>25</v>
      </c>
    </row>
    <row r="362" spans="1:16" hidden="1">
      <c r="A362" s="2">
        <v>11665</v>
      </c>
      <c r="B362" s="2" t="s">
        <v>1011</v>
      </c>
      <c r="C362" s="2" t="s">
        <v>1011</v>
      </c>
      <c r="D362" s="3">
        <v>46101.006944444445</v>
      </c>
      <c r="E362" s="2" t="s">
        <v>1012</v>
      </c>
      <c r="F362" s="2" t="s">
        <v>5</v>
      </c>
      <c r="G362" s="2" t="s">
        <v>27</v>
      </c>
      <c r="H362" s="2" t="s">
        <v>18</v>
      </c>
      <c r="I362" s="2" t="s">
        <v>28</v>
      </c>
      <c r="J362" s="2" t="s">
        <v>1013</v>
      </c>
      <c r="K362" s="2">
        <v>236578608.17739582</v>
      </c>
      <c r="L362" s="2" t="s">
        <v>30</v>
      </c>
      <c r="M362" s="2" t="s">
        <v>22</v>
      </c>
      <c r="N362" s="2" t="s">
        <v>1014</v>
      </c>
      <c r="O362" s="2" t="s">
        <v>41</v>
      </c>
      <c r="P362" s="2" t="s">
        <v>25</v>
      </c>
    </row>
    <row r="363" spans="1:16" hidden="1">
      <c r="A363" s="2">
        <v>11207</v>
      </c>
      <c r="B363" s="2" t="s">
        <v>477</v>
      </c>
      <c r="C363" s="2" t="s">
        <v>477</v>
      </c>
      <c r="D363" s="3">
        <v>46090.10555555555</v>
      </c>
      <c r="E363" s="2" t="s">
        <v>16</v>
      </c>
      <c r="F363" s="2" t="s">
        <v>5</v>
      </c>
      <c r="G363" s="2" t="s">
        <v>34</v>
      </c>
      <c r="H363" s="2" t="s">
        <v>18</v>
      </c>
      <c r="I363" s="2" t="s">
        <v>19</v>
      </c>
      <c r="J363" s="2" t="s">
        <v>270</v>
      </c>
      <c r="K363" s="2">
        <v>127657036.1773016</v>
      </c>
      <c r="L363" s="2" t="s">
        <v>21</v>
      </c>
      <c r="M363" s="2" t="s">
        <v>22</v>
      </c>
      <c r="N363" s="2" t="s">
        <v>478</v>
      </c>
      <c r="O363" s="2" t="s">
        <v>80</v>
      </c>
      <c r="P363" s="2" t="s">
        <v>25</v>
      </c>
    </row>
    <row r="364" spans="1:16" hidden="1">
      <c r="A364" s="2">
        <v>11149</v>
      </c>
      <c r="B364" s="2" t="s">
        <v>377</v>
      </c>
      <c r="C364" s="2" t="s">
        <v>377</v>
      </c>
      <c r="D364" s="3">
        <v>46087.20694444445</v>
      </c>
      <c r="E364" s="2" t="s">
        <v>16</v>
      </c>
      <c r="F364" s="2" t="s">
        <v>5</v>
      </c>
      <c r="G364" s="2" t="s">
        <v>34</v>
      </c>
      <c r="H364" s="2" t="s">
        <v>18</v>
      </c>
      <c r="I364" s="2" t="s">
        <v>35</v>
      </c>
      <c r="J364" s="2" t="s">
        <v>378</v>
      </c>
      <c r="K364" s="2">
        <v>1093782090.177212</v>
      </c>
      <c r="L364" s="2" t="s">
        <v>21</v>
      </c>
      <c r="M364" s="2" t="s">
        <v>22</v>
      </c>
      <c r="N364" s="2" t="s">
        <v>379</v>
      </c>
      <c r="O364" s="2" t="s">
        <v>80</v>
      </c>
      <c r="P364" s="2" t="s">
        <v>25</v>
      </c>
    </row>
    <row r="365" spans="1:16">
      <c r="A365" s="2">
        <v>11307</v>
      </c>
      <c r="B365" s="2" t="s">
        <v>600</v>
      </c>
      <c r="C365" s="2" t="s">
        <v>600</v>
      </c>
      <c r="D365" s="3">
        <v>46093.065972222219</v>
      </c>
      <c r="E365" s="2" t="s">
        <v>16</v>
      </c>
      <c r="F365" s="2" t="s">
        <v>181</v>
      </c>
      <c r="G365" s="2" t="s">
        <v>17</v>
      </c>
      <c r="H365" s="2" t="s">
        <v>46</v>
      </c>
      <c r="I365" s="2" t="s">
        <v>374</v>
      </c>
      <c r="J365" s="2" t="s">
        <v>601</v>
      </c>
      <c r="K365" s="2">
        <v>791497245.17732716</v>
      </c>
      <c r="L365" s="2" t="s">
        <v>21</v>
      </c>
      <c r="M365" s="2" t="s">
        <v>49</v>
      </c>
      <c r="N365" s="2" t="s">
        <v>602</v>
      </c>
      <c r="O365" s="2" t="s">
        <v>24</v>
      </c>
      <c r="P365" s="2" t="s">
        <v>25</v>
      </c>
    </row>
    <row r="366" spans="1:16" hidden="1">
      <c r="A366" s="2">
        <v>11259</v>
      </c>
      <c r="B366" s="2" t="s">
        <v>553</v>
      </c>
      <c r="C366" s="2" t="s">
        <v>554</v>
      </c>
      <c r="D366" s="3">
        <v>46091.636111111111</v>
      </c>
      <c r="E366" s="2" t="s">
        <v>16</v>
      </c>
      <c r="F366" s="2" t="s">
        <v>41</v>
      </c>
      <c r="G366" s="2" t="s">
        <v>34</v>
      </c>
      <c r="H366" s="2" t="s">
        <v>18</v>
      </c>
      <c r="I366" s="2" t="s">
        <v>19</v>
      </c>
      <c r="J366" s="2" t="s">
        <v>255</v>
      </c>
      <c r="K366" s="2">
        <v>314414835.17731488</v>
      </c>
      <c r="L366" s="2" t="s">
        <v>21</v>
      </c>
      <c r="M366" s="2" t="s">
        <v>22</v>
      </c>
      <c r="N366" s="2" t="s">
        <v>555</v>
      </c>
      <c r="O366" s="2" t="s">
        <v>24</v>
      </c>
      <c r="P366" s="2" t="s">
        <v>175</v>
      </c>
    </row>
    <row r="367" spans="1:16" hidden="1">
      <c r="A367" s="2">
        <v>10931</v>
      </c>
      <c r="B367" s="2" t="s">
        <v>57</v>
      </c>
      <c r="C367" s="2" t="s">
        <v>57</v>
      </c>
      <c r="D367" s="3">
        <v>46082.85555555555</v>
      </c>
      <c r="E367" s="2" t="s">
        <v>40</v>
      </c>
      <c r="F367" s="2" t="s">
        <v>5</v>
      </c>
      <c r="G367" s="2" t="s">
        <v>27</v>
      </c>
      <c r="H367" s="2" t="s">
        <v>18</v>
      </c>
      <c r="I367" s="2" t="s">
        <v>58</v>
      </c>
      <c r="J367" s="2" t="s">
        <v>59</v>
      </c>
      <c r="K367" s="2">
        <v>151006887.17723897</v>
      </c>
      <c r="L367" s="2" t="s">
        <v>60</v>
      </c>
      <c r="M367" s="2" t="s">
        <v>22</v>
      </c>
      <c r="N367" s="2" t="s">
        <v>61</v>
      </c>
      <c r="O367" s="2" t="s">
        <v>41</v>
      </c>
      <c r="P367" s="2" t="s">
        <v>25</v>
      </c>
    </row>
    <row r="368" spans="1:16" hidden="1">
      <c r="A368" s="2">
        <v>10984</v>
      </c>
      <c r="B368" s="2" t="s">
        <v>130</v>
      </c>
      <c r="C368" s="2" t="s">
        <v>130</v>
      </c>
      <c r="D368" s="3">
        <v>46083.99722222222</v>
      </c>
      <c r="E368" s="2" t="s">
        <v>40</v>
      </c>
      <c r="F368" s="2" t="s">
        <v>41</v>
      </c>
      <c r="G368" s="2" t="s">
        <v>27</v>
      </c>
      <c r="H368" s="2" t="s">
        <v>18</v>
      </c>
      <c r="I368" s="2" t="s">
        <v>28</v>
      </c>
      <c r="J368" s="2" t="s">
        <v>131</v>
      </c>
      <c r="K368" s="2" t="s">
        <v>64</v>
      </c>
      <c r="L368" s="2" t="s">
        <v>30</v>
      </c>
      <c r="M368" s="2" t="s">
        <v>22</v>
      </c>
      <c r="N368" s="2" t="s">
        <v>132</v>
      </c>
      <c r="O368" s="2" t="s">
        <v>41</v>
      </c>
      <c r="P368" s="2" t="s">
        <v>44</v>
      </c>
    </row>
    <row r="369" spans="1:16" hidden="1">
      <c r="A369" s="2">
        <v>11332</v>
      </c>
      <c r="B369" s="2" t="s">
        <v>632</v>
      </c>
      <c r="C369" s="2" t="s">
        <v>633</v>
      </c>
      <c r="D369" s="3">
        <v>46093.681250000001</v>
      </c>
      <c r="E369" s="2" t="s">
        <v>16</v>
      </c>
      <c r="F369" s="2" t="s">
        <v>5</v>
      </c>
      <c r="G369" s="2" t="s">
        <v>34</v>
      </c>
      <c r="H369" s="2" t="s">
        <v>18</v>
      </c>
      <c r="I369" s="2" t="s">
        <v>19</v>
      </c>
      <c r="J369" s="2" t="s">
        <v>634</v>
      </c>
      <c r="K369" s="2">
        <v>1268774774.1773324</v>
      </c>
      <c r="L369" s="2" t="s">
        <v>21</v>
      </c>
      <c r="M369" s="2" t="s">
        <v>22</v>
      </c>
      <c r="N369" s="2" t="s">
        <v>635</v>
      </c>
      <c r="O369" s="2" t="s">
        <v>80</v>
      </c>
      <c r="P369" s="2" t="s">
        <v>25</v>
      </c>
    </row>
    <row r="370" spans="1:16" hidden="1">
      <c r="A370" s="2">
        <v>11445</v>
      </c>
      <c r="B370" s="2" t="s">
        <v>789</v>
      </c>
      <c r="C370" s="2" t="s">
        <v>790</v>
      </c>
      <c r="D370" s="3">
        <v>46097.09097222222</v>
      </c>
      <c r="E370" s="2" t="s">
        <v>16</v>
      </c>
      <c r="F370" s="2" t="s">
        <v>5</v>
      </c>
      <c r="G370" s="2" t="s">
        <v>34</v>
      </c>
      <c r="H370" s="2" t="s">
        <v>18</v>
      </c>
      <c r="I370" s="2" t="s">
        <v>19</v>
      </c>
      <c r="J370" s="2" t="s">
        <v>791</v>
      </c>
      <c r="K370" s="2">
        <v>60205370.177361935</v>
      </c>
      <c r="L370" s="2" t="s">
        <v>21</v>
      </c>
      <c r="M370" s="2" t="s">
        <v>22</v>
      </c>
      <c r="N370" s="2" t="s">
        <v>792</v>
      </c>
      <c r="O370" s="2" t="s">
        <v>24</v>
      </c>
      <c r="P370" s="2" t="s">
        <v>25</v>
      </c>
    </row>
    <row r="371" spans="1:16" hidden="1">
      <c r="A371" s="2">
        <v>11790</v>
      </c>
      <c r="B371" s="2" t="s">
        <v>1167</v>
      </c>
      <c r="C371" s="2" t="s">
        <v>1167</v>
      </c>
      <c r="D371" s="3">
        <v>46104.665972222225</v>
      </c>
      <c r="E371" s="2" t="s">
        <v>1012</v>
      </c>
      <c r="F371" s="2" t="s">
        <v>5</v>
      </c>
      <c r="G371" s="2" t="s">
        <v>17</v>
      </c>
      <c r="H371" s="2" t="s">
        <v>46</v>
      </c>
      <c r="I371" s="2" t="s">
        <v>374</v>
      </c>
      <c r="J371" s="2" t="s">
        <v>1168</v>
      </c>
      <c r="K371" s="2">
        <v>793902446.17742741</v>
      </c>
      <c r="L371" s="2" t="s">
        <v>21</v>
      </c>
      <c r="M371" s="2" t="s">
        <v>49</v>
      </c>
      <c r="N371" s="2" t="s">
        <v>1169</v>
      </c>
      <c r="O371" s="2" t="s">
        <v>41</v>
      </c>
      <c r="P371" s="6" t="s">
        <v>25</v>
      </c>
    </row>
    <row r="372" spans="1:16" hidden="1">
      <c r="A372" s="2">
        <v>12077</v>
      </c>
      <c r="B372" s="2" t="s">
        <v>1410</v>
      </c>
      <c r="C372" s="2" t="s">
        <v>1410</v>
      </c>
      <c r="D372" s="3">
        <v>46110.297916666663</v>
      </c>
      <c r="E372" s="2" t="s">
        <v>40</v>
      </c>
      <c r="F372" s="2" t="s">
        <v>5</v>
      </c>
      <c r="G372" s="2" t="s">
        <v>17</v>
      </c>
      <c r="H372" s="2" t="s">
        <v>46</v>
      </c>
      <c r="I372" s="2" t="s">
        <v>68</v>
      </c>
      <c r="J372" s="2" t="s">
        <v>93</v>
      </c>
      <c r="K372" s="2">
        <v>742822323.17747569</v>
      </c>
      <c r="L372" s="2" t="s">
        <v>21</v>
      </c>
      <c r="M372" s="2" t="s">
        <v>49</v>
      </c>
      <c r="N372" s="2" t="s">
        <v>1411</v>
      </c>
      <c r="O372" s="2" t="s">
        <v>41</v>
      </c>
      <c r="P372" s="2" t="s">
        <v>81</v>
      </c>
    </row>
    <row r="373" spans="1:16" hidden="1">
      <c r="A373" s="2">
        <v>11386</v>
      </c>
      <c r="B373" s="2" t="s">
        <v>684</v>
      </c>
      <c r="C373" s="2" t="s">
        <v>684</v>
      </c>
      <c r="D373" s="3">
        <v>46094.8125</v>
      </c>
      <c r="E373" s="2" t="s">
        <v>40</v>
      </c>
      <c r="F373" s="2" t="s">
        <v>5</v>
      </c>
      <c r="G373" s="2" t="s">
        <v>17</v>
      </c>
      <c r="H373" s="2" t="s">
        <v>96</v>
      </c>
      <c r="I373" s="2" t="s">
        <v>685</v>
      </c>
      <c r="J373" s="2" t="s">
        <v>41</v>
      </c>
      <c r="K373" s="2" t="s">
        <v>41</v>
      </c>
      <c r="L373" s="2" t="s">
        <v>21</v>
      </c>
      <c r="M373" s="2" t="s">
        <v>22</v>
      </c>
      <c r="N373" s="2" t="s">
        <v>686</v>
      </c>
      <c r="O373" s="2" t="s">
        <v>41</v>
      </c>
      <c r="P373" s="2" t="s">
        <v>99</v>
      </c>
    </row>
    <row r="374" spans="1:16" hidden="1">
      <c r="A374" s="2">
        <v>11815</v>
      </c>
      <c r="B374" s="2" t="s">
        <v>1195</v>
      </c>
      <c r="C374" s="2" t="s">
        <v>1195</v>
      </c>
      <c r="D374" s="3">
        <v>46104.862500000003</v>
      </c>
      <c r="E374" s="2" t="s">
        <v>1012</v>
      </c>
      <c r="F374" s="2" t="s">
        <v>5</v>
      </c>
      <c r="G374" s="2" t="s">
        <v>17</v>
      </c>
      <c r="H374" s="2" t="s">
        <v>182</v>
      </c>
      <c r="I374" s="2" t="s">
        <v>844</v>
      </c>
      <c r="J374" s="2" t="s">
        <v>1196</v>
      </c>
      <c r="K374" s="2">
        <v>1704801589.1774292</v>
      </c>
      <c r="L374" s="2" t="s">
        <v>21</v>
      </c>
      <c r="M374" s="2" t="s">
        <v>22</v>
      </c>
      <c r="N374" s="2" t="s">
        <v>1197</v>
      </c>
      <c r="O374" s="2" t="s">
        <v>41</v>
      </c>
      <c r="P374" s="2" t="s">
        <v>25</v>
      </c>
    </row>
    <row r="375" spans="1:16" hidden="1">
      <c r="A375" s="2">
        <v>11755</v>
      </c>
      <c r="B375" s="2" t="s">
        <v>1120</v>
      </c>
      <c r="C375" s="2" t="s">
        <v>1120</v>
      </c>
      <c r="D375" s="3">
        <v>46103.705555555556</v>
      </c>
      <c r="E375" s="2" t="s">
        <v>1012</v>
      </c>
      <c r="F375" s="2" t="s">
        <v>5</v>
      </c>
      <c r="G375" s="2" t="s">
        <v>17</v>
      </c>
      <c r="H375" s="2" t="s">
        <v>46</v>
      </c>
      <c r="I375" s="2" t="s">
        <v>140</v>
      </c>
      <c r="J375" s="2" t="s">
        <v>1121</v>
      </c>
      <c r="K375" s="2">
        <v>401851849.17741895</v>
      </c>
      <c r="L375" s="2" t="s">
        <v>21</v>
      </c>
      <c r="M375" s="2" t="s">
        <v>49</v>
      </c>
      <c r="N375" s="2" t="s">
        <v>1122</v>
      </c>
      <c r="O375" s="2" t="s">
        <v>41</v>
      </c>
      <c r="P375" s="2" t="s">
        <v>25</v>
      </c>
    </row>
    <row r="376" spans="1:16" hidden="1">
      <c r="A376" s="2">
        <v>11681</v>
      </c>
      <c r="B376" s="2" t="s">
        <v>1031</v>
      </c>
      <c r="C376" s="2" t="s">
        <v>1032</v>
      </c>
      <c r="D376" s="3">
        <v>46101.5625</v>
      </c>
      <c r="E376" s="2" t="s">
        <v>688</v>
      </c>
      <c r="F376" s="2" t="s">
        <v>5</v>
      </c>
      <c r="G376" s="2" t="s">
        <v>34</v>
      </c>
      <c r="H376" s="2" t="s">
        <v>18</v>
      </c>
      <c r="I376" s="2" t="s">
        <v>19</v>
      </c>
      <c r="J376" s="2" t="s">
        <v>1033</v>
      </c>
      <c r="K376" s="2">
        <v>1318178914.1774006</v>
      </c>
      <c r="L376" s="2" t="s">
        <v>21</v>
      </c>
      <c r="M376" s="2" t="s">
        <v>22</v>
      </c>
      <c r="N376" s="2" t="s">
        <v>1034</v>
      </c>
      <c r="O376" s="2" t="s">
        <v>41</v>
      </c>
      <c r="P376" s="2" t="s">
        <v>25</v>
      </c>
    </row>
    <row r="377" spans="1:16" hidden="1">
      <c r="A377" s="2">
        <v>11880</v>
      </c>
      <c r="B377" s="2" t="s">
        <v>1230</v>
      </c>
      <c r="C377" s="2" t="s">
        <v>1230</v>
      </c>
      <c r="D377" s="3">
        <v>46106.117361111115</v>
      </c>
      <c r="E377" s="2" t="s">
        <v>40</v>
      </c>
      <c r="F377" s="2" t="s">
        <v>5</v>
      </c>
      <c r="G377" s="2" t="s">
        <v>27</v>
      </c>
      <c r="H377" s="2" t="s">
        <v>18</v>
      </c>
      <c r="I377" s="2" t="s">
        <v>19</v>
      </c>
      <c r="J377" s="2" t="s">
        <v>1231</v>
      </c>
      <c r="K377" s="2">
        <v>1922726556.1774399</v>
      </c>
      <c r="L377" s="2" t="s">
        <v>21</v>
      </c>
      <c r="M377" s="2" t="s">
        <v>22</v>
      </c>
      <c r="N377" s="2" t="s">
        <v>1232</v>
      </c>
      <c r="O377" s="2" t="s">
        <v>41</v>
      </c>
      <c r="P377" s="2" t="s">
        <v>44</v>
      </c>
    </row>
    <row r="378" spans="1:16" hidden="1">
      <c r="A378" s="2">
        <v>11099</v>
      </c>
      <c r="B378" s="2" t="s">
        <v>301</v>
      </c>
      <c r="C378" s="2" t="s">
        <v>301</v>
      </c>
      <c r="D378" s="3">
        <v>46086.056250000001</v>
      </c>
      <c r="E378" s="2" t="s">
        <v>16</v>
      </c>
      <c r="F378" s="2" t="s">
        <v>5</v>
      </c>
      <c r="G378" s="2" t="s">
        <v>17</v>
      </c>
      <c r="H378" s="2" t="s">
        <v>46</v>
      </c>
      <c r="I378" s="2" t="s">
        <v>92</v>
      </c>
      <c r="J378" s="2" t="s">
        <v>302</v>
      </c>
      <c r="K378" s="2">
        <v>1719595632.1772666</v>
      </c>
      <c r="L378" s="2" t="s">
        <v>21</v>
      </c>
      <c r="M378" s="2" t="s">
        <v>49</v>
      </c>
      <c r="N378" s="2" t="s">
        <v>303</v>
      </c>
      <c r="O378" s="2" t="s">
        <v>24</v>
      </c>
      <c r="P378" s="2" t="s">
        <v>25</v>
      </c>
    </row>
    <row r="379" spans="1:16" hidden="1">
      <c r="A379" s="2">
        <v>12058</v>
      </c>
      <c r="B379" s="2" t="s">
        <v>1382</v>
      </c>
      <c r="C379" s="2" t="s">
        <v>1382</v>
      </c>
      <c r="D379" s="3">
        <v>46109.411805555559</v>
      </c>
      <c r="E379" s="2" t="s">
        <v>16</v>
      </c>
      <c r="F379" s="2" t="s">
        <v>5</v>
      </c>
      <c r="G379" s="2" t="s">
        <v>17</v>
      </c>
      <c r="H379" s="2" t="s">
        <v>46</v>
      </c>
      <c r="I379" s="2" t="s">
        <v>374</v>
      </c>
      <c r="J379" s="2" t="s">
        <v>1383</v>
      </c>
      <c r="K379" s="2">
        <v>1811919381.1774685</v>
      </c>
      <c r="L379" s="2" t="s">
        <v>21</v>
      </c>
      <c r="M379" s="2" t="s">
        <v>49</v>
      </c>
      <c r="N379" s="2" t="s">
        <v>1384</v>
      </c>
      <c r="O379" s="2" t="s">
        <v>66</v>
      </c>
      <c r="P379" s="2" t="s">
        <v>25</v>
      </c>
    </row>
    <row r="380" spans="1:16" hidden="1">
      <c r="A380" s="2">
        <v>11613</v>
      </c>
      <c r="B380" s="2" t="s">
        <v>955</v>
      </c>
      <c r="C380" s="2" t="s">
        <v>956</v>
      </c>
      <c r="D380" s="3">
        <v>46099.754166666666</v>
      </c>
      <c r="E380" s="2" t="s">
        <v>40</v>
      </c>
      <c r="F380" s="2" t="s">
        <v>5</v>
      </c>
      <c r="G380" s="2" t="s">
        <v>34</v>
      </c>
      <c r="H380" s="2" t="s">
        <v>18</v>
      </c>
      <c r="I380" s="2" t="s">
        <v>19</v>
      </c>
      <c r="J380" s="2" t="s">
        <v>957</v>
      </c>
      <c r="K380" s="2">
        <v>1294079448.1773851</v>
      </c>
      <c r="L380" s="2" t="s">
        <v>21</v>
      </c>
      <c r="M380" s="2" t="s">
        <v>22</v>
      </c>
      <c r="N380" s="2" t="s">
        <v>958</v>
      </c>
      <c r="O380" s="2" t="s">
        <v>41</v>
      </c>
      <c r="P380" s="2" t="s">
        <v>25</v>
      </c>
    </row>
    <row r="381" spans="1:16" hidden="1">
      <c r="A381" s="2">
        <v>12043</v>
      </c>
      <c r="B381" s="2" t="s">
        <v>1363</v>
      </c>
      <c r="C381" s="2" t="s">
        <v>1363</v>
      </c>
      <c r="D381" s="3">
        <v>46108.777083333334</v>
      </c>
      <c r="E381" s="2" t="s">
        <v>90</v>
      </c>
      <c r="F381" s="2" t="s">
        <v>5</v>
      </c>
      <c r="G381" s="2" t="s">
        <v>34</v>
      </c>
      <c r="H381" s="2" t="s">
        <v>91</v>
      </c>
      <c r="I381" s="2" t="s">
        <v>195</v>
      </c>
      <c r="J381" s="2" t="s">
        <v>93</v>
      </c>
      <c r="K381" s="2">
        <v>48189217.17746295</v>
      </c>
      <c r="L381" s="2" t="s">
        <v>21</v>
      </c>
      <c r="M381" s="2" t="s">
        <v>49</v>
      </c>
      <c r="N381" s="2" t="s">
        <v>1364</v>
      </c>
      <c r="O381" s="2" t="s">
        <v>41</v>
      </c>
      <c r="P381" s="2" t="s">
        <v>81</v>
      </c>
    </row>
    <row r="382" spans="1:16" hidden="1">
      <c r="A382" s="2">
        <v>11334</v>
      </c>
      <c r="B382" s="2" t="s">
        <v>636</v>
      </c>
      <c r="C382" s="2" t="s">
        <v>636</v>
      </c>
      <c r="D382" s="3">
        <v>46093.708333333328</v>
      </c>
      <c r="E382" s="2" t="s">
        <v>121</v>
      </c>
      <c r="F382" s="2" t="s">
        <v>41</v>
      </c>
      <c r="G382" s="2" t="s">
        <v>17</v>
      </c>
      <c r="H382" s="2" t="s">
        <v>54</v>
      </c>
      <c r="I382" s="2" t="s">
        <v>305</v>
      </c>
      <c r="J382" s="2" t="s">
        <v>41</v>
      </c>
      <c r="K382" s="2" t="s">
        <v>41</v>
      </c>
      <c r="L382" s="2" t="s">
        <v>21</v>
      </c>
      <c r="M382" s="2" t="s">
        <v>22</v>
      </c>
      <c r="N382" s="2" t="s">
        <v>637</v>
      </c>
      <c r="O382" s="2" t="s">
        <v>41</v>
      </c>
      <c r="P382" s="2" t="s">
        <v>99</v>
      </c>
    </row>
    <row r="383" spans="1:16" hidden="1">
      <c r="A383" s="2">
        <v>11954</v>
      </c>
      <c r="B383" s="2" t="s">
        <v>1270</v>
      </c>
      <c r="C383" s="2" t="s">
        <v>1270</v>
      </c>
      <c r="D383" s="3">
        <v>46106.819444444445</v>
      </c>
      <c r="E383" s="2" t="s">
        <v>40</v>
      </c>
      <c r="F383" s="2" t="s">
        <v>5</v>
      </c>
      <c r="G383" s="2" t="s">
        <v>27</v>
      </c>
      <c r="H383" s="2" t="s">
        <v>18</v>
      </c>
      <c r="I383" s="2" t="s">
        <v>1271</v>
      </c>
      <c r="J383" s="2" t="s">
        <v>78</v>
      </c>
      <c r="K383" s="2">
        <v>720975486.17744601</v>
      </c>
      <c r="L383" s="2" t="s">
        <v>21</v>
      </c>
      <c r="M383" s="2" t="s">
        <v>22</v>
      </c>
      <c r="N383" s="2" t="s">
        <v>1272</v>
      </c>
      <c r="O383" s="2" t="s">
        <v>41</v>
      </c>
      <c r="P383" s="2" t="s">
        <v>81</v>
      </c>
    </row>
    <row r="384" spans="1:16">
      <c r="A384" s="2">
        <v>11627</v>
      </c>
      <c r="B384" s="2" t="s">
        <v>983</v>
      </c>
      <c r="C384" s="2" t="s">
        <v>983</v>
      </c>
      <c r="D384" s="3">
        <v>46100.245138888888</v>
      </c>
      <c r="E384" s="2" t="s">
        <v>16</v>
      </c>
      <c r="F384" s="2" t="s">
        <v>181</v>
      </c>
      <c r="G384" s="2" t="s">
        <v>17</v>
      </c>
      <c r="H384" s="2" t="s">
        <v>46</v>
      </c>
      <c r="I384" s="2" t="s">
        <v>374</v>
      </c>
      <c r="J384" s="2" t="s">
        <v>984</v>
      </c>
      <c r="K384" s="2">
        <v>650351836.17738926</v>
      </c>
      <c r="L384" s="2" t="s">
        <v>21</v>
      </c>
      <c r="M384" s="2" t="s">
        <v>49</v>
      </c>
      <c r="N384" s="2" t="s">
        <v>985</v>
      </c>
      <c r="O384" s="2" t="s">
        <v>252</v>
      </c>
      <c r="P384" s="2" t="s">
        <v>25</v>
      </c>
    </row>
    <row r="385" spans="1:16" hidden="1">
      <c r="A385" s="2">
        <v>11691</v>
      </c>
      <c r="B385" s="2" t="s">
        <v>1047</v>
      </c>
      <c r="C385" s="2" t="s">
        <v>1047</v>
      </c>
      <c r="D385" s="3">
        <v>46101.709722222222</v>
      </c>
      <c r="E385" s="2" t="s">
        <v>40</v>
      </c>
      <c r="F385" s="2" t="s">
        <v>5</v>
      </c>
      <c r="G385" s="2" t="s">
        <v>27</v>
      </c>
      <c r="H385" s="2" t="s">
        <v>18</v>
      </c>
      <c r="I385" s="2" t="s">
        <v>28</v>
      </c>
      <c r="J385" s="2" t="s">
        <v>1048</v>
      </c>
      <c r="K385" s="2">
        <v>789252941.1774019</v>
      </c>
      <c r="L385" s="2" t="s">
        <v>30</v>
      </c>
      <c r="M385" s="2" t="s">
        <v>22</v>
      </c>
      <c r="N385" s="2" t="s">
        <v>1049</v>
      </c>
      <c r="O385" s="2" t="s">
        <v>41</v>
      </c>
      <c r="P385" s="2" t="s">
        <v>25</v>
      </c>
    </row>
    <row r="386" spans="1:16" hidden="1">
      <c r="A386" s="2">
        <v>11513</v>
      </c>
      <c r="B386" s="2" t="s">
        <v>874</v>
      </c>
      <c r="C386" s="2" t="s">
        <v>875</v>
      </c>
      <c r="D386" s="3">
        <v>46098.038888888885</v>
      </c>
      <c r="E386" s="2" t="s">
        <v>688</v>
      </c>
      <c r="F386" s="2" t="s">
        <v>5</v>
      </c>
      <c r="G386" s="2" t="s">
        <v>34</v>
      </c>
      <c r="H386" s="2" t="s">
        <v>18</v>
      </c>
      <c r="I386" s="2" t="s">
        <v>19</v>
      </c>
      <c r="J386" s="2" t="s">
        <v>876</v>
      </c>
      <c r="K386" s="2">
        <v>1495256128.1773701</v>
      </c>
      <c r="L386" s="2" t="s">
        <v>21</v>
      </c>
      <c r="M386" s="2" t="s">
        <v>22</v>
      </c>
      <c r="N386" s="2" t="s">
        <v>877</v>
      </c>
      <c r="O386" s="2" t="s">
        <v>41</v>
      </c>
      <c r="P386" s="2" t="s">
        <v>25</v>
      </c>
    </row>
    <row r="387" spans="1:16" hidden="1">
      <c r="A387" s="2">
        <v>11720</v>
      </c>
      <c r="B387" s="2" t="s">
        <v>1073</v>
      </c>
      <c r="C387" s="2" t="s">
        <v>1074</v>
      </c>
      <c r="D387" s="3">
        <v>46102.698611111111</v>
      </c>
      <c r="E387" s="2" t="s">
        <v>40</v>
      </c>
      <c r="F387" s="2" t="s">
        <v>5</v>
      </c>
      <c r="G387" s="2" t="s">
        <v>34</v>
      </c>
      <c r="H387" s="2" t="s">
        <v>18</v>
      </c>
      <c r="I387" s="2" t="s">
        <v>19</v>
      </c>
      <c r="J387" s="2" t="s">
        <v>1075</v>
      </c>
      <c r="K387" s="2">
        <v>804071565.17741036</v>
      </c>
      <c r="L387" s="2" t="s">
        <v>21</v>
      </c>
      <c r="M387" s="2" t="s">
        <v>22</v>
      </c>
      <c r="N387" s="2" t="s">
        <v>1076</v>
      </c>
      <c r="O387" s="2" t="s">
        <v>41</v>
      </c>
      <c r="P387" s="2" t="s">
        <v>25</v>
      </c>
    </row>
    <row r="388" spans="1:16" hidden="1">
      <c r="A388" s="2">
        <v>12011</v>
      </c>
      <c r="B388" s="2" t="s">
        <v>1324</v>
      </c>
      <c r="C388" s="2" t="s">
        <v>1324</v>
      </c>
      <c r="D388" s="3">
        <v>46108.074999999997</v>
      </c>
      <c r="E388" s="2" t="s">
        <v>40</v>
      </c>
      <c r="F388" s="2" t="s">
        <v>5</v>
      </c>
      <c r="G388" s="2" t="s">
        <v>27</v>
      </c>
      <c r="H388" s="2" t="s">
        <v>18</v>
      </c>
      <c r="I388" s="2" t="s">
        <v>19</v>
      </c>
      <c r="J388" s="2" t="s">
        <v>1325</v>
      </c>
      <c r="K388" s="2">
        <v>1520688213.1774569</v>
      </c>
      <c r="L388" s="2" t="s">
        <v>21</v>
      </c>
      <c r="M388" s="2" t="s">
        <v>22</v>
      </c>
      <c r="N388" s="2" t="s">
        <v>1326</v>
      </c>
      <c r="O388" s="2" t="s">
        <v>41</v>
      </c>
      <c r="P388" s="2" t="s">
        <v>25</v>
      </c>
    </row>
    <row r="389" spans="1:16" hidden="1">
      <c r="A389" s="2">
        <v>11782</v>
      </c>
      <c r="B389" s="2" t="s">
        <v>1158</v>
      </c>
      <c r="C389" s="2" t="s">
        <v>1158</v>
      </c>
      <c r="D389" s="3">
        <v>46104.606249999997</v>
      </c>
      <c r="E389" s="2" t="s">
        <v>52</v>
      </c>
      <c r="F389" s="2" t="s">
        <v>41</v>
      </c>
      <c r="G389" s="2" t="s">
        <v>53</v>
      </c>
      <c r="H389" s="2" t="s">
        <v>41</v>
      </c>
      <c r="I389" s="2" t="s">
        <v>41</v>
      </c>
      <c r="J389" s="2" t="s">
        <v>41</v>
      </c>
      <c r="K389" s="2" t="s">
        <v>41</v>
      </c>
      <c r="L389" s="2" t="s">
        <v>41</v>
      </c>
      <c r="M389" s="2" t="s">
        <v>88</v>
      </c>
      <c r="N389" s="2" t="s">
        <v>1159</v>
      </c>
      <c r="O389" s="2" t="s">
        <v>41</v>
      </c>
      <c r="P389" s="2" t="s">
        <v>41</v>
      </c>
    </row>
    <row r="390" spans="1:16" hidden="1">
      <c r="A390" s="2">
        <v>11754</v>
      </c>
      <c r="B390" s="2" t="s">
        <v>1118</v>
      </c>
      <c r="C390" s="2" t="s">
        <v>1118</v>
      </c>
      <c r="D390" s="3">
        <v>46103.703472222223</v>
      </c>
      <c r="E390" s="2" t="s">
        <v>40</v>
      </c>
      <c r="F390" s="2" t="s">
        <v>41</v>
      </c>
      <c r="G390" s="2" t="s">
        <v>27</v>
      </c>
      <c r="H390" s="2" t="s">
        <v>18</v>
      </c>
      <c r="I390" s="2" t="s">
        <v>19</v>
      </c>
      <c r="J390" s="2" t="s">
        <v>41</v>
      </c>
      <c r="K390" s="2" t="s">
        <v>41</v>
      </c>
      <c r="L390" s="2" t="s">
        <v>21</v>
      </c>
      <c r="M390" s="2" t="s">
        <v>22</v>
      </c>
      <c r="N390" s="2" t="s">
        <v>1119</v>
      </c>
      <c r="O390" s="2" t="s">
        <v>41</v>
      </c>
      <c r="P390" s="2" t="s">
        <v>1103</v>
      </c>
    </row>
    <row r="391" spans="1:16" hidden="1">
      <c r="A391" s="2">
        <v>11666</v>
      </c>
      <c r="B391" s="2" t="s">
        <v>1015</v>
      </c>
      <c r="C391" s="2" t="s">
        <v>1015</v>
      </c>
      <c r="D391" s="3">
        <v>46101.020138888889</v>
      </c>
      <c r="E391" s="2" t="s">
        <v>90</v>
      </c>
      <c r="F391" s="2" t="s">
        <v>5</v>
      </c>
      <c r="G391" s="2" t="s">
        <v>34</v>
      </c>
      <c r="H391" s="2" t="s">
        <v>91</v>
      </c>
      <c r="I391" s="2" t="s">
        <v>68</v>
      </c>
      <c r="J391" s="2" t="s">
        <v>1016</v>
      </c>
      <c r="K391" s="2" t="s">
        <v>41</v>
      </c>
      <c r="L391" s="2" t="s">
        <v>21</v>
      </c>
      <c r="M391" s="2" t="s">
        <v>49</v>
      </c>
      <c r="N391" s="2" t="s">
        <v>1017</v>
      </c>
      <c r="O391" s="2" t="s">
        <v>41</v>
      </c>
      <c r="P391" s="2" t="s">
        <v>175</v>
      </c>
    </row>
    <row r="392" spans="1:16" hidden="1">
      <c r="A392" s="2">
        <v>11818</v>
      </c>
      <c r="B392" s="2" t="s">
        <v>1201</v>
      </c>
      <c r="C392" s="2" t="s">
        <v>1201</v>
      </c>
      <c r="D392" s="3">
        <v>46105.102777777778</v>
      </c>
      <c r="E392" s="2" t="s">
        <v>40</v>
      </c>
      <c r="F392" s="2" t="s">
        <v>5</v>
      </c>
      <c r="G392" s="2" t="s">
        <v>27</v>
      </c>
      <c r="H392" s="2" t="s">
        <v>18</v>
      </c>
      <c r="I392" s="2" t="s">
        <v>162</v>
      </c>
      <c r="J392" s="2" t="s">
        <v>1202</v>
      </c>
      <c r="K392" s="2">
        <v>275654236.17727625</v>
      </c>
      <c r="L392" s="2" t="s">
        <v>21</v>
      </c>
      <c r="M392" s="2" t="s">
        <v>22</v>
      </c>
      <c r="N392" s="2" t="s">
        <v>1203</v>
      </c>
      <c r="O392" s="2" t="s">
        <v>41</v>
      </c>
      <c r="P392" s="2" t="s">
        <v>25</v>
      </c>
    </row>
    <row r="393" spans="1:16" hidden="1">
      <c r="A393" s="2">
        <v>11869</v>
      </c>
      <c r="B393" s="2" t="s">
        <v>1223</v>
      </c>
      <c r="C393" s="2" t="s">
        <v>1223</v>
      </c>
      <c r="D393" s="3">
        <v>46105.870833333334</v>
      </c>
      <c r="E393" s="2" t="s">
        <v>180</v>
      </c>
      <c r="F393" s="2" t="s">
        <v>5</v>
      </c>
      <c r="G393" s="2" t="s">
        <v>17</v>
      </c>
      <c r="H393" s="2" t="s">
        <v>46</v>
      </c>
      <c r="I393" s="2" t="s">
        <v>1224</v>
      </c>
      <c r="J393" s="2" t="s">
        <v>1089</v>
      </c>
      <c r="K393" s="2">
        <v>1574073991.1774247</v>
      </c>
      <c r="L393" s="2" t="s">
        <v>21</v>
      </c>
      <c r="M393" s="2" t="s">
        <v>49</v>
      </c>
      <c r="N393" s="2" t="s">
        <v>1225</v>
      </c>
      <c r="O393" s="2" t="s">
        <v>41</v>
      </c>
      <c r="P393" s="2" t="s">
        <v>44</v>
      </c>
    </row>
    <row r="394" spans="1:16" hidden="1">
      <c r="A394" s="2">
        <v>11418</v>
      </c>
      <c r="B394" s="2" t="s">
        <v>740</v>
      </c>
      <c r="C394" s="2" t="s">
        <v>741</v>
      </c>
      <c r="D394" s="3">
        <v>46096.311111111107</v>
      </c>
      <c r="E394" s="2" t="s">
        <v>688</v>
      </c>
      <c r="F394" s="2" t="s">
        <v>5</v>
      </c>
      <c r="G394" s="2" t="s">
        <v>17</v>
      </c>
      <c r="H394" s="2" t="s">
        <v>46</v>
      </c>
      <c r="I394" s="2" t="s">
        <v>243</v>
      </c>
      <c r="J394" s="2" t="s">
        <v>742</v>
      </c>
      <c r="K394" s="2">
        <v>1885237511.1773553</v>
      </c>
      <c r="L394" s="2" t="s">
        <v>21</v>
      </c>
      <c r="M394" s="2" t="s">
        <v>49</v>
      </c>
      <c r="N394" s="2" t="s">
        <v>743</v>
      </c>
      <c r="O394" s="2" t="s">
        <v>41</v>
      </c>
      <c r="P394" s="2" t="s">
        <v>25</v>
      </c>
    </row>
    <row r="395" spans="1:16" hidden="1">
      <c r="A395" s="2">
        <v>11073</v>
      </c>
      <c r="B395" s="2" t="s">
        <v>242</v>
      </c>
      <c r="C395" s="2" t="s">
        <v>242</v>
      </c>
      <c r="D395" s="3">
        <v>46085.683333333334</v>
      </c>
      <c r="E395" s="2" t="s">
        <v>16</v>
      </c>
      <c r="F395" s="2" t="s">
        <v>5</v>
      </c>
      <c r="G395" s="2" t="s">
        <v>17</v>
      </c>
      <c r="H395" s="2" t="s">
        <v>46</v>
      </c>
      <c r="I395" s="2" t="s">
        <v>243</v>
      </c>
      <c r="J395" s="2" t="s">
        <v>244</v>
      </c>
      <c r="K395" s="2">
        <v>731974762.17726338</v>
      </c>
      <c r="L395" s="2" t="s">
        <v>21</v>
      </c>
      <c r="M395" s="2" t="s">
        <v>49</v>
      </c>
      <c r="N395" s="2" t="s">
        <v>245</v>
      </c>
      <c r="O395" s="2" t="s">
        <v>66</v>
      </c>
      <c r="P395" s="2" t="s">
        <v>25</v>
      </c>
    </row>
    <row r="396" spans="1:16" hidden="1">
      <c r="A396" s="2">
        <v>11198</v>
      </c>
      <c r="B396" s="2" t="s">
        <v>456</v>
      </c>
      <c r="C396" s="2" t="s">
        <v>456</v>
      </c>
      <c r="D396" s="3">
        <v>46089.268750000003</v>
      </c>
      <c r="E396" s="2" t="s">
        <v>40</v>
      </c>
      <c r="F396" s="2" t="s">
        <v>41</v>
      </c>
      <c r="G396" s="2" t="s">
        <v>27</v>
      </c>
      <c r="H396" s="2" t="s">
        <v>18</v>
      </c>
      <c r="I396" s="2" t="s">
        <v>28</v>
      </c>
      <c r="J396" s="2" t="s">
        <v>457</v>
      </c>
      <c r="K396" s="2">
        <v>265879410.17727506</v>
      </c>
      <c r="L396" s="2" t="s">
        <v>30</v>
      </c>
      <c r="M396" s="2" t="s">
        <v>22</v>
      </c>
      <c r="N396" s="2" t="s">
        <v>458</v>
      </c>
      <c r="O396" s="2" t="s">
        <v>41</v>
      </c>
      <c r="P396" s="2" t="s">
        <v>25</v>
      </c>
    </row>
    <row r="397" spans="1:16" hidden="1">
      <c r="A397" s="2">
        <v>11811</v>
      </c>
      <c r="B397" s="2" t="s">
        <v>1192</v>
      </c>
      <c r="C397" s="2" t="s">
        <v>1192</v>
      </c>
      <c r="D397" s="3">
        <v>46104.837500000001</v>
      </c>
      <c r="E397" s="2" t="s">
        <v>801</v>
      </c>
      <c r="F397" s="2" t="s">
        <v>5</v>
      </c>
      <c r="G397" s="2" t="s">
        <v>27</v>
      </c>
      <c r="H397" s="2" t="s">
        <v>18</v>
      </c>
      <c r="I397" s="2" t="s">
        <v>28</v>
      </c>
      <c r="J397" s="2" t="s">
        <v>1193</v>
      </c>
      <c r="K397" s="2">
        <v>1331192.1774289026</v>
      </c>
      <c r="L397" s="2" t="s">
        <v>30</v>
      </c>
      <c r="M397" s="2" t="s">
        <v>22</v>
      </c>
      <c r="N397" s="2" t="s">
        <v>1194</v>
      </c>
      <c r="O397" s="2" t="s">
        <v>41</v>
      </c>
      <c r="P397" s="2" t="s">
        <v>25</v>
      </c>
    </row>
    <row r="398" spans="1:16" hidden="1">
      <c r="A398" s="2">
        <v>11046</v>
      </c>
      <c r="B398" s="2" t="s">
        <v>203</v>
      </c>
      <c r="C398" s="2" t="s">
        <v>204</v>
      </c>
      <c r="D398" s="3">
        <v>46084.939583333333</v>
      </c>
      <c r="E398" s="2" t="s">
        <v>40</v>
      </c>
      <c r="F398" s="2" t="s">
        <v>5</v>
      </c>
      <c r="G398" s="2" t="s">
        <v>34</v>
      </c>
      <c r="H398" s="2" t="s">
        <v>18</v>
      </c>
      <c r="I398" s="2" t="s">
        <v>19</v>
      </c>
      <c r="J398" s="2" t="s">
        <v>205</v>
      </c>
      <c r="K398" s="2">
        <v>1090818589.1772571</v>
      </c>
      <c r="L398" s="2" t="s">
        <v>21</v>
      </c>
      <c r="M398" s="2" t="s">
        <v>22</v>
      </c>
      <c r="N398" s="2" t="s">
        <v>206</v>
      </c>
      <c r="O398" s="2" t="s">
        <v>41</v>
      </c>
      <c r="P398" s="2" t="s">
        <v>25</v>
      </c>
    </row>
    <row r="399" spans="1:16" hidden="1">
      <c r="A399" s="2">
        <v>11676</v>
      </c>
      <c r="B399" s="2" t="s">
        <v>1027</v>
      </c>
      <c r="C399" s="2" t="s">
        <v>1027</v>
      </c>
      <c r="D399" s="3">
        <v>46101.443749999999</v>
      </c>
      <c r="E399" s="2" t="s">
        <v>40</v>
      </c>
      <c r="F399" s="2" t="s">
        <v>5</v>
      </c>
      <c r="G399" s="2" t="s">
        <v>17</v>
      </c>
      <c r="H399" s="2" t="s">
        <v>46</v>
      </c>
      <c r="I399" s="2" t="s">
        <v>1028</v>
      </c>
      <c r="J399" s="2" t="s">
        <v>1029</v>
      </c>
      <c r="K399" s="2">
        <v>1354470330.1773996</v>
      </c>
      <c r="L399" s="2" t="s">
        <v>21</v>
      </c>
      <c r="M399" s="2" t="s">
        <v>49</v>
      </c>
      <c r="N399" s="2" t="s">
        <v>1030</v>
      </c>
      <c r="O399" s="2" t="s">
        <v>41</v>
      </c>
      <c r="P399" s="2" t="s">
        <v>25</v>
      </c>
    </row>
    <row r="400" spans="1:16" hidden="1">
      <c r="A400" s="2">
        <v>11225</v>
      </c>
      <c r="B400" s="2" t="s">
        <v>495</v>
      </c>
      <c r="C400" s="2" t="s">
        <v>496</v>
      </c>
      <c r="D400" s="3">
        <v>46090.760416666672</v>
      </c>
      <c r="E400" s="2" t="s">
        <v>16</v>
      </c>
      <c r="F400" s="2" t="s">
        <v>5</v>
      </c>
      <c r="G400" s="2" t="s">
        <v>34</v>
      </c>
      <c r="H400" s="2" t="s">
        <v>18</v>
      </c>
      <c r="I400" s="2" t="s">
        <v>19</v>
      </c>
      <c r="J400" s="2" t="s">
        <v>497</v>
      </c>
      <c r="K400" s="2">
        <v>411953344.17730725</v>
      </c>
      <c r="L400" s="2" t="s">
        <v>21</v>
      </c>
      <c r="M400" s="2" t="s">
        <v>22</v>
      </c>
      <c r="N400" s="2" t="s">
        <v>498</v>
      </c>
      <c r="O400" s="2" t="s">
        <v>24</v>
      </c>
      <c r="P400" s="2" t="s">
        <v>25</v>
      </c>
    </row>
    <row r="401" spans="1:16" hidden="1">
      <c r="A401" s="2">
        <v>11567</v>
      </c>
      <c r="B401" s="2" t="s">
        <v>918</v>
      </c>
      <c r="C401" s="2" t="s">
        <v>919</v>
      </c>
      <c r="D401" s="3">
        <v>46098.913888888885</v>
      </c>
      <c r="E401" s="2" t="s">
        <v>16</v>
      </c>
      <c r="F401" s="2" t="s">
        <v>5</v>
      </c>
      <c r="G401" s="2" t="s">
        <v>34</v>
      </c>
      <c r="H401" s="2" t="s">
        <v>18</v>
      </c>
      <c r="I401" s="2" t="s">
        <v>19</v>
      </c>
      <c r="J401" s="2" t="s">
        <v>920</v>
      </c>
      <c r="K401" s="2">
        <v>918232194.1773777</v>
      </c>
      <c r="L401" s="2" t="s">
        <v>21</v>
      </c>
      <c r="M401" s="2" t="s">
        <v>22</v>
      </c>
      <c r="N401" s="2" t="s">
        <v>921</v>
      </c>
      <c r="O401" s="2" t="s">
        <v>257</v>
      </c>
      <c r="P401" s="2" t="s">
        <v>25</v>
      </c>
    </row>
    <row r="402" spans="1:16" hidden="1">
      <c r="A402" s="2">
        <v>11089</v>
      </c>
      <c r="B402" s="2" t="s">
        <v>275</v>
      </c>
      <c r="C402" s="2" t="s">
        <v>275</v>
      </c>
      <c r="D402" s="3">
        <v>46085.852777777778</v>
      </c>
      <c r="E402" s="2" t="s">
        <v>16</v>
      </c>
      <c r="F402" s="2" t="s">
        <v>5</v>
      </c>
      <c r="G402" s="2" t="s">
        <v>34</v>
      </c>
      <c r="H402" s="2" t="s">
        <v>18</v>
      </c>
      <c r="I402" s="2" t="s">
        <v>41</v>
      </c>
      <c r="J402" s="2" t="s">
        <v>41</v>
      </c>
      <c r="K402" s="2" t="s">
        <v>41</v>
      </c>
      <c r="L402" s="2" t="s">
        <v>21</v>
      </c>
      <c r="M402" s="2" t="s">
        <v>22</v>
      </c>
      <c r="N402" s="2" t="s">
        <v>276</v>
      </c>
      <c r="O402" s="2" t="s">
        <v>80</v>
      </c>
      <c r="P402" s="2" t="s">
        <v>56</v>
      </c>
    </row>
    <row r="403" spans="1:16" hidden="1">
      <c r="A403" s="2">
        <v>12053</v>
      </c>
      <c r="B403" s="2" t="s">
        <v>1374</v>
      </c>
      <c r="C403" s="2" t="s">
        <v>1374</v>
      </c>
      <c r="D403" s="3">
        <v>46109.076388888891</v>
      </c>
      <c r="E403" s="2" t="s">
        <v>40</v>
      </c>
      <c r="F403" s="2" t="s">
        <v>5</v>
      </c>
      <c r="G403" s="2" t="s">
        <v>27</v>
      </c>
      <c r="H403" s="2" t="s">
        <v>18</v>
      </c>
      <c r="I403" s="2" t="s">
        <v>19</v>
      </c>
      <c r="J403" s="2" t="s">
        <v>1375</v>
      </c>
      <c r="K403" s="2">
        <v>646022405.17746544</v>
      </c>
      <c r="L403" s="2" t="s">
        <v>21</v>
      </c>
      <c r="M403" s="2" t="s">
        <v>22</v>
      </c>
      <c r="N403" s="2" t="s">
        <v>1376</v>
      </c>
      <c r="O403" s="2" t="s">
        <v>41</v>
      </c>
      <c r="P403" s="2" t="s">
        <v>25</v>
      </c>
    </row>
    <row r="404" spans="1:16" hidden="1">
      <c r="A404" s="2">
        <v>11532</v>
      </c>
      <c r="B404" s="2" t="s">
        <v>893</v>
      </c>
      <c r="C404" s="2" t="s">
        <v>893</v>
      </c>
      <c r="D404" s="3">
        <v>46098.541666666672</v>
      </c>
      <c r="E404" s="2" t="s">
        <v>688</v>
      </c>
      <c r="F404" s="2" t="s">
        <v>181</v>
      </c>
      <c r="G404" s="2" t="s">
        <v>17</v>
      </c>
      <c r="H404" s="2" t="s">
        <v>54</v>
      </c>
      <c r="I404" s="2" t="s">
        <v>41</v>
      </c>
      <c r="J404" s="2" t="s">
        <v>41</v>
      </c>
      <c r="K404" s="2" t="s">
        <v>41</v>
      </c>
      <c r="L404" s="2" t="s">
        <v>21</v>
      </c>
      <c r="M404" s="2" t="s">
        <v>22</v>
      </c>
      <c r="N404" s="2" t="s">
        <v>894</v>
      </c>
      <c r="O404" s="2" t="s">
        <v>41</v>
      </c>
      <c r="P404" s="2" t="s">
        <v>99</v>
      </c>
    </row>
    <row r="405" spans="1:16" hidden="1">
      <c r="A405" s="2">
        <v>11173</v>
      </c>
      <c r="B405" s="2" t="s">
        <v>409</v>
      </c>
      <c r="C405" s="2" t="s">
        <v>409</v>
      </c>
      <c r="D405" s="3">
        <v>46087.844444444447</v>
      </c>
      <c r="E405" s="2" t="s">
        <v>16</v>
      </c>
      <c r="F405" s="2" t="s">
        <v>5</v>
      </c>
      <c r="G405" s="2" t="s">
        <v>34</v>
      </c>
      <c r="H405" s="2" t="s">
        <v>18</v>
      </c>
      <c r="I405" s="2" t="s">
        <v>19</v>
      </c>
      <c r="J405" s="2" t="s">
        <v>41</v>
      </c>
      <c r="K405" s="2" t="s">
        <v>41</v>
      </c>
      <c r="L405" s="2" t="s">
        <v>21</v>
      </c>
      <c r="M405" s="2" t="s">
        <v>22</v>
      </c>
      <c r="N405" s="2" t="s">
        <v>410</v>
      </c>
      <c r="O405" s="2" t="s">
        <v>80</v>
      </c>
      <c r="P405" s="2" t="s">
        <v>56</v>
      </c>
    </row>
    <row r="406" spans="1:16" hidden="1">
      <c r="A406" s="2">
        <v>11746</v>
      </c>
      <c r="B406" s="2" t="s">
        <v>1104</v>
      </c>
      <c r="C406" s="2" t="s">
        <v>1104</v>
      </c>
      <c r="D406" s="3">
        <v>46103.59652777778</v>
      </c>
      <c r="E406" s="2" t="s">
        <v>801</v>
      </c>
      <c r="F406" s="2" t="s">
        <v>5</v>
      </c>
      <c r="G406" s="2" t="s">
        <v>27</v>
      </c>
      <c r="H406" s="2" t="s">
        <v>18</v>
      </c>
      <c r="I406" s="2" t="s">
        <v>28</v>
      </c>
      <c r="J406" s="2" t="s">
        <v>1105</v>
      </c>
      <c r="K406" s="2">
        <v>1179726724.1774182</v>
      </c>
      <c r="L406" s="2" t="s">
        <v>30</v>
      </c>
      <c r="M406" s="2" t="s">
        <v>22</v>
      </c>
      <c r="N406" s="2" t="s">
        <v>1106</v>
      </c>
      <c r="O406" s="2" t="s">
        <v>41</v>
      </c>
      <c r="P406" s="2" t="s">
        <v>25</v>
      </c>
    </row>
    <row r="407" spans="1:16" hidden="1">
      <c r="A407" s="2">
        <v>11232</v>
      </c>
      <c r="B407" s="2" t="s">
        <v>516</v>
      </c>
      <c r="C407" s="2" t="s">
        <v>517</v>
      </c>
      <c r="D407" s="3">
        <v>46090.8125</v>
      </c>
      <c r="E407" s="2" t="s">
        <v>16</v>
      </c>
      <c r="F407" s="2" t="s">
        <v>5</v>
      </c>
      <c r="G407" s="2" t="s">
        <v>34</v>
      </c>
      <c r="H407" s="2" t="s">
        <v>18</v>
      </c>
      <c r="I407" s="2" t="s">
        <v>19</v>
      </c>
      <c r="J407" s="2" t="s">
        <v>518</v>
      </c>
      <c r="K407" s="2">
        <v>464604201.17730725</v>
      </c>
      <c r="L407" s="2" t="s">
        <v>21</v>
      </c>
      <c r="M407" s="2" t="s">
        <v>22</v>
      </c>
      <c r="N407" s="2" t="s">
        <v>519</v>
      </c>
      <c r="O407" s="2" t="s">
        <v>80</v>
      </c>
      <c r="P407" s="2" t="s">
        <v>25</v>
      </c>
    </row>
    <row r="408" spans="1:16" hidden="1">
      <c r="A408" s="2">
        <v>11091</v>
      </c>
      <c r="B408" s="2" t="s">
        <v>282</v>
      </c>
      <c r="C408" s="2" t="s">
        <v>282</v>
      </c>
      <c r="D408" s="3">
        <v>46085.911805555559</v>
      </c>
      <c r="E408" s="2" t="s">
        <v>16</v>
      </c>
      <c r="F408" s="2" t="s">
        <v>5</v>
      </c>
      <c r="G408" s="2" t="s">
        <v>34</v>
      </c>
      <c r="H408" s="2" t="s">
        <v>18</v>
      </c>
      <c r="I408" s="2" t="s">
        <v>19</v>
      </c>
      <c r="J408" s="2" t="s">
        <v>283</v>
      </c>
      <c r="K408" s="2" t="s">
        <v>41</v>
      </c>
      <c r="L408" s="2" t="s">
        <v>21</v>
      </c>
      <c r="M408" s="2" t="s">
        <v>22</v>
      </c>
      <c r="N408" s="2" t="s">
        <v>284</v>
      </c>
      <c r="O408" s="2" t="s">
        <v>24</v>
      </c>
      <c r="P408" s="2" t="s">
        <v>175</v>
      </c>
    </row>
    <row r="409" spans="1:16" hidden="1">
      <c r="A409" s="2">
        <v>11707</v>
      </c>
      <c r="B409" s="2" t="s">
        <v>1071</v>
      </c>
      <c r="C409" s="2" t="s">
        <v>1071</v>
      </c>
      <c r="D409" s="3">
        <v>46102.229166666672</v>
      </c>
      <c r="E409" s="2" t="s">
        <v>16</v>
      </c>
      <c r="F409" s="2" t="s">
        <v>5</v>
      </c>
      <c r="G409" s="2" t="s">
        <v>17</v>
      </c>
      <c r="H409" s="2" t="s">
        <v>96</v>
      </c>
      <c r="I409" s="2" t="s">
        <v>535</v>
      </c>
      <c r="J409" s="2" t="s">
        <v>41</v>
      </c>
      <c r="K409" s="2" t="s">
        <v>41</v>
      </c>
      <c r="L409" s="2" t="s">
        <v>21</v>
      </c>
      <c r="M409" s="2" t="s">
        <v>22</v>
      </c>
      <c r="N409" s="2" t="s">
        <v>1072</v>
      </c>
      <c r="O409" s="2" t="s">
        <v>202</v>
      </c>
      <c r="P409" s="2" t="s">
        <v>99</v>
      </c>
    </row>
    <row r="410" spans="1:16" hidden="1">
      <c r="A410" s="2">
        <v>11240</v>
      </c>
      <c r="B410" s="2" t="s">
        <v>528</v>
      </c>
      <c r="C410" s="2" t="s">
        <v>529</v>
      </c>
      <c r="D410" s="3">
        <v>46091.104166666672</v>
      </c>
      <c r="E410" s="2" t="s">
        <v>16</v>
      </c>
      <c r="F410" s="2" t="s">
        <v>5</v>
      </c>
      <c r="G410" s="2" t="s">
        <v>17</v>
      </c>
      <c r="H410" s="2" t="s">
        <v>182</v>
      </c>
      <c r="I410" s="2" t="s">
        <v>530</v>
      </c>
      <c r="J410" s="2" t="s">
        <v>41</v>
      </c>
      <c r="K410" s="2" t="s">
        <v>41</v>
      </c>
      <c r="L410" s="2" t="s">
        <v>21</v>
      </c>
      <c r="M410" s="2" t="s">
        <v>22</v>
      </c>
      <c r="N410" s="2" t="s">
        <v>531</v>
      </c>
      <c r="O410" s="2" t="s">
        <v>24</v>
      </c>
      <c r="P410" s="2" t="s">
        <v>56</v>
      </c>
    </row>
    <row r="411" spans="1:16" hidden="1">
      <c r="A411" s="2">
        <v>12146</v>
      </c>
      <c r="B411" s="2" t="s">
        <v>1358</v>
      </c>
      <c r="C411" s="2" t="s">
        <v>1358</v>
      </c>
      <c r="D411" s="3">
        <v>46112.513888888891</v>
      </c>
      <c r="E411" s="2" t="s">
        <v>40</v>
      </c>
      <c r="F411" s="2" t="s">
        <v>5</v>
      </c>
      <c r="G411" s="2" t="s">
        <v>17</v>
      </c>
      <c r="H411" s="2" t="s">
        <v>96</v>
      </c>
      <c r="I411" s="2" t="s">
        <v>41</v>
      </c>
      <c r="J411" s="2" t="s">
        <v>41</v>
      </c>
      <c r="K411" s="2" t="s">
        <v>41</v>
      </c>
      <c r="L411" s="2" t="s">
        <v>21</v>
      </c>
      <c r="M411" s="2" t="s">
        <v>88</v>
      </c>
      <c r="N411" s="2" t="s">
        <v>1359</v>
      </c>
      <c r="O411" s="2" t="s">
        <v>41</v>
      </c>
      <c r="P411" s="2" t="s">
        <v>41</v>
      </c>
    </row>
    <row r="412" spans="1:16" hidden="1">
      <c r="A412" s="2">
        <v>11439</v>
      </c>
      <c r="B412" s="2" t="s">
        <v>774</v>
      </c>
      <c r="C412" s="2" t="s">
        <v>774</v>
      </c>
      <c r="D412" s="3">
        <v>46096.84652777778</v>
      </c>
      <c r="E412" s="2" t="s">
        <v>90</v>
      </c>
      <c r="F412" s="2" t="s">
        <v>41</v>
      </c>
      <c r="G412" s="2" t="s">
        <v>34</v>
      </c>
      <c r="H412" s="2" t="s">
        <v>91</v>
      </c>
      <c r="I412" s="2" t="s">
        <v>243</v>
      </c>
      <c r="J412" s="2" t="s">
        <v>775</v>
      </c>
      <c r="K412" s="2">
        <v>389186891.17735988</v>
      </c>
      <c r="L412" s="2" t="s">
        <v>21</v>
      </c>
      <c r="M412" s="2" t="s">
        <v>49</v>
      </c>
      <c r="N412" s="2" t="s">
        <v>776</v>
      </c>
      <c r="O412" s="2" t="s">
        <v>41</v>
      </c>
      <c r="P412" s="2" t="s">
        <v>25</v>
      </c>
    </row>
    <row r="413" spans="1:16" hidden="1">
      <c r="A413" s="2">
        <v>12054</v>
      </c>
      <c r="B413" s="2" t="s">
        <v>1377</v>
      </c>
      <c r="C413" s="2" t="s">
        <v>1377</v>
      </c>
      <c r="D413" s="3">
        <v>46109.124305555553</v>
      </c>
      <c r="E413" s="2" t="s">
        <v>1322</v>
      </c>
      <c r="F413" s="2" t="s">
        <v>5</v>
      </c>
      <c r="G413" s="2" t="s">
        <v>27</v>
      </c>
      <c r="H413" s="2" t="s">
        <v>18</v>
      </c>
      <c r="I413" s="2" t="s">
        <v>475</v>
      </c>
      <c r="J413" s="2" t="s">
        <v>1378</v>
      </c>
      <c r="K413" s="2">
        <v>647508455.17744768</v>
      </c>
      <c r="L413" s="2" t="s">
        <v>21</v>
      </c>
      <c r="M413" s="2" t="s">
        <v>22</v>
      </c>
      <c r="N413" s="2" t="s">
        <v>1379</v>
      </c>
      <c r="O413" s="2" t="s">
        <v>41</v>
      </c>
      <c r="P413" s="2" t="s">
        <v>25</v>
      </c>
    </row>
    <row r="414" spans="1:16" hidden="1">
      <c r="A414" s="2">
        <v>11140</v>
      </c>
      <c r="B414" s="2" t="s">
        <v>357</v>
      </c>
      <c r="C414" s="2" t="s">
        <v>358</v>
      </c>
      <c r="D414" s="3">
        <v>46087.013194444444</v>
      </c>
      <c r="E414" s="2" t="s">
        <v>40</v>
      </c>
      <c r="F414" s="2" t="s">
        <v>5</v>
      </c>
      <c r="G414" s="2" t="s">
        <v>17</v>
      </c>
      <c r="H414" s="2" t="s">
        <v>46</v>
      </c>
      <c r="I414" s="2" t="s">
        <v>140</v>
      </c>
      <c r="J414" s="2" t="s">
        <v>359</v>
      </c>
      <c r="K414" s="2">
        <v>257067664.17727488</v>
      </c>
      <c r="L414" s="2" t="s">
        <v>21</v>
      </c>
      <c r="M414" s="2" t="s">
        <v>49</v>
      </c>
      <c r="N414" s="2" t="s">
        <v>360</v>
      </c>
      <c r="O414" s="2" t="s">
        <v>41</v>
      </c>
      <c r="P414" s="2" t="s">
        <v>25</v>
      </c>
    </row>
    <row r="415" spans="1:16" hidden="1">
      <c r="A415" s="2">
        <v>11873</v>
      </c>
      <c r="B415" s="2" t="s">
        <v>1228</v>
      </c>
      <c r="C415" s="2" t="s">
        <v>1228</v>
      </c>
      <c r="D415" s="3">
        <v>46105.938194444447</v>
      </c>
      <c r="E415" s="2" t="s">
        <v>40</v>
      </c>
      <c r="F415" s="2" t="s">
        <v>5</v>
      </c>
      <c r="G415" s="2" t="s">
        <v>27</v>
      </c>
      <c r="H415" s="2" t="s">
        <v>18</v>
      </c>
      <c r="I415" s="2" t="s">
        <v>19</v>
      </c>
      <c r="J415" s="2" t="s">
        <v>78</v>
      </c>
      <c r="K415" s="2">
        <v>467580483.17743844</v>
      </c>
      <c r="L415" s="2" t="s">
        <v>21</v>
      </c>
      <c r="M415" s="2" t="s">
        <v>22</v>
      </c>
      <c r="N415" s="2" t="s">
        <v>1229</v>
      </c>
      <c r="O415" s="2" t="s">
        <v>41</v>
      </c>
      <c r="P415" s="2" t="s">
        <v>81</v>
      </c>
    </row>
    <row r="416" spans="1:16" hidden="1">
      <c r="A416" s="2">
        <v>11103</v>
      </c>
      <c r="B416" s="2" t="s">
        <v>311</v>
      </c>
      <c r="C416" s="2" t="s">
        <v>311</v>
      </c>
      <c r="D416" s="3">
        <v>46086.246527777781</v>
      </c>
      <c r="E416" s="2" t="s">
        <v>180</v>
      </c>
      <c r="F416" s="2" t="s">
        <v>41</v>
      </c>
      <c r="G416" s="2" t="s">
        <v>17</v>
      </c>
      <c r="H416" s="2" t="s">
        <v>46</v>
      </c>
      <c r="I416" s="2" t="s">
        <v>140</v>
      </c>
      <c r="J416" s="2" t="s">
        <v>312</v>
      </c>
      <c r="K416" s="2">
        <v>2069141736.1772597</v>
      </c>
      <c r="L416" s="2" t="s">
        <v>21</v>
      </c>
      <c r="M416" s="2" t="s">
        <v>49</v>
      </c>
      <c r="N416" s="2" t="s">
        <v>313</v>
      </c>
      <c r="O416" s="2" t="s">
        <v>41</v>
      </c>
      <c r="P416" s="2" t="s">
        <v>25</v>
      </c>
    </row>
    <row r="417" spans="1:16" hidden="1">
      <c r="A417" s="2">
        <v>11187</v>
      </c>
      <c r="B417" s="2" t="s">
        <v>436</v>
      </c>
      <c r="C417" s="2" t="s">
        <v>437</v>
      </c>
      <c r="D417" s="3">
        <v>46088.773611111115</v>
      </c>
      <c r="E417" s="2" t="s">
        <v>16</v>
      </c>
      <c r="F417" s="2" t="s">
        <v>5</v>
      </c>
      <c r="G417" s="2" t="s">
        <v>34</v>
      </c>
      <c r="H417" s="2" t="s">
        <v>18</v>
      </c>
      <c r="I417" s="2" t="s">
        <v>279</v>
      </c>
      <c r="J417" s="2" t="s">
        <v>438</v>
      </c>
      <c r="K417" s="2">
        <v>1039676872.1772901</v>
      </c>
      <c r="L417" s="2" t="s">
        <v>21</v>
      </c>
      <c r="M417" s="2" t="s">
        <v>22</v>
      </c>
      <c r="N417" s="2" t="s">
        <v>439</v>
      </c>
      <c r="O417" s="2" t="s">
        <v>24</v>
      </c>
      <c r="P417" s="2" t="s">
        <v>175</v>
      </c>
    </row>
    <row r="418" spans="1:16" hidden="1">
      <c r="A418" s="2">
        <v>11728</v>
      </c>
      <c r="B418" s="2" t="s">
        <v>1083</v>
      </c>
      <c r="C418" s="2" t="s">
        <v>1083</v>
      </c>
      <c r="D418" s="3">
        <v>46102.797916666663</v>
      </c>
      <c r="E418" s="2" t="s">
        <v>40</v>
      </c>
      <c r="F418" s="2" t="s">
        <v>5</v>
      </c>
      <c r="G418" s="2" t="s">
        <v>27</v>
      </c>
      <c r="H418" s="2" t="s">
        <v>18</v>
      </c>
      <c r="I418" s="2" t="s">
        <v>19</v>
      </c>
      <c r="J418" s="2" t="s">
        <v>1084</v>
      </c>
      <c r="K418" s="2">
        <v>1377373296.1774113</v>
      </c>
      <c r="L418" s="2" t="s">
        <v>30</v>
      </c>
      <c r="M418" s="2" t="s">
        <v>22</v>
      </c>
      <c r="N418" s="2" t="s">
        <v>1085</v>
      </c>
      <c r="O418" s="2" t="s">
        <v>41</v>
      </c>
      <c r="P418" s="2" t="s">
        <v>25</v>
      </c>
    </row>
    <row r="419" spans="1:16" hidden="1">
      <c r="A419" s="2">
        <v>11029</v>
      </c>
      <c r="B419" s="2" t="s">
        <v>190</v>
      </c>
      <c r="C419" s="2" t="s">
        <v>191</v>
      </c>
      <c r="D419" s="3">
        <v>46084.786805555559</v>
      </c>
      <c r="E419" s="2" t="s">
        <v>16</v>
      </c>
      <c r="F419" s="2" t="s">
        <v>41</v>
      </c>
      <c r="G419" s="2" t="s">
        <v>34</v>
      </c>
      <c r="H419" s="2" t="s">
        <v>18</v>
      </c>
      <c r="I419" s="2" t="s">
        <v>19</v>
      </c>
      <c r="J419" s="2" t="s">
        <v>192</v>
      </c>
      <c r="K419" s="2" t="s">
        <v>41</v>
      </c>
      <c r="L419" s="2" t="s">
        <v>21</v>
      </c>
      <c r="M419" s="2" t="s">
        <v>22</v>
      </c>
      <c r="N419" s="2" t="s">
        <v>193</v>
      </c>
      <c r="O419" s="2" t="s">
        <v>24</v>
      </c>
      <c r="P419" s="2" t="s">
        <v>81</v>
      </c>
    </row>
    <row r="420" spans="1:16" hidden="1">
      <c r="A420" s="2">
        <v>11703</v>
      </c>
      <c r="B420" s="2" t="s">
        <v>1060</v>
      </c>
      <c r="C420" s="2" t="s">
        <v>1060</v>
      </c>
      <c r="D420" s="3">
        <v>46101.990277777775</v>
      </c>
      <c r="E420" s="2" t="s">
        <v>16</v>
      </c>
      <c r="F420" s="2" t="s">
        <v>5</v>
      </c>
      <c r="G420" s="2" t="s">
        <v>34</v>
      </c>
      <c r="H420" s="2" t="s">
        <v>18</v>
      </c>
      <c r="I420" s="2" t="s">
        <v>41</v>
      </c>
      <c r="J420" s="2" t="s">
        <v>41</v>
      </c>
      <c r="K420" s="2" t="s">
        <v>41</v>
      </c>
      <c r="L420" s="2" t="s">
        <v>21</v>
      </c>
      <c r="M420" s="2" t="s">
        <v>88</v>
      </c>
      <c r="N420" s="2" t="s">
        <v>1061</v>
      </c>
      <c r="O420" s="2" t="s">
        <v>80</v>
      </c>
      <c r="P420" s="2" t="s">
        <v>81</v>
      </c>
    </row>
    <row r="421" spans="1:16" hidden="1">
      <c r="A421" s="2">
        <v>11986</v>
      </c>
      <c r="B421" s="2" t="s">
        <v>1302</v>
      </c>
      <c r="C421" s="2" t="s">
        <v>1302</v>
      </c>
      <c r="D421" s="3">
        <v>46107.586805555555</v>
      </c>
      <c r="E421" s="2" t="s">
        <v>40</v>
      </c>
      <c r="F421" s="2" t="s">
        <v>5</v>
      </c>
      <c r="G421" s="2" t="s">
        <v>27</v>
      </c>
      <c r="H421" s="2" t="s">
        <v>18</v>
      </c>
      <c r="I421" s="2" t="s">
        <v>58</v>
      </c>
      <c r="J421" s="2" t="s">
        <v>1303</v>
      </c>
      <c r="K421" s="2" t="s">
        <v>41</v>
      </c>
      <c r="L421" s="2" t="s">
        <v>60</v>
      </c>
      <c r="M421" s="2" t="s">
        <v>22</v>
      </c>
      <c r="N421" s="2" t="s">
        <v>1304</v>
      </c>
      <c r="O421" s="2" t="s">
        <v>41</v>
      </c>
      <c r="P421" s="2" t="s">
        <v>81</v>
      </c>
    </row>
    <row r="422" spans="1:16" hidden="1">
      <c r="A422" s="2">
        <v>12142</v>
      </c>
      <c r="B422" s="2" t="s">
        <v>1475</v>
      </c>
      <c r="C422" s="2" t="s">
        <v>1475</v>
      </c>
      <c r="D422" s="3">
        <v>46112.40625</v>
      </c>
      <c r="E422" s="2" t="s">
        <v>218</v>
      </c>
      <c r="F422" s="2" t="s">
        <v>41</v>
      </c>
      <c r="G422" s="2" t="s">
        <v>219</v>
      </c>
      <c r="H422" s="2" t="s">
        <v>41</v>
      </c>
      <c r="I422" s="2" t="s">
        <v>41</v>
      </c>
      <c r="J422" s="2" t="s">
        <v>41</v>
      </c>
      <c r="K422" s="2" t="s">
        <v>41</v>
      </c>
      <c r="L422" s="2" t="s">
        <v>41</v>
      </c>
      <c r="M422" s="2" t="s">
        <v>88</v>
      </c>
      <c r="N422" s="2" t="s">
        <v>1476</v>
      </c>
      <c r="O422" s="2" t="s">
        <v>41</v>
      </c>
      <c r="P422" s="2" t="s">
        <v>41</v>
      </c>
    </row>
    <row r="423" spans="1:16" hidden="1">
      <c r="A423" s="2">
        <v>11575</v>
      </c>
      <c r="B423" s="2" t="s">
        <v>927</v>
      </c>
      <c r="C423" s="2" t="s">
        <v>927</v>
      </c>
      <c r="D423" s="3">
        <v>46098.974999999999</v>
      </c>
      <c r="E423" s="2" t="s">
        <v>40</v>
      </c>
      <c r="F423" s="2" t="s">
        <v>5</v>
      </c>
      <c r="G423" s="2" t="s">
        <v>27</v>
      </c>
      <c r="H423" s="2" t="s">
        <v>18</v>
      </c>
      <c r="I423" s="2" t="s">
        <v>19</v>
      </c>
      <c r="J423" s="2" t="s">
        <v>928</v>
      </c>
      <c r="K423" s="2">
        <v>247222733.17737085</v>
      </c>
      <c r="L423" s="2" t="s">
        <v>21</v>
      </c>
      <c r="M423" s="2" t="s">
        <v>22</v>
      </c>
      <c r="N423" s="2" t="s">
        <v>929</v>
      </c>
      <c r="O423" s="2" t="s">
        <v>41</v>
      </c>
      <c r="P423" s="2" t="s">
        <v>175</v>
      </c>
    </row>
    <row r="424" spans="1:16" hidden="1">
      <c r="A424" s="2">
        <v>11727</v>
      </c>
      <c r="B424" s="2" t="s">
        <v>1080</v>
      </c>
      <c r="C424" s="2" t="s">
        <v>1080</v>
      </c>
      <c r="D424" s="3">
        <v>46102.788888888885</v>
      </c>
      <c r="E424" s="2" t="s">
        <v>40</v>
      </c>
      <c r="F424" s="2" t="s">
        <v>5</v>
      </c>
      <c r="G424" s="2" t="s">
        <v>27</v>
      </c>
      <c r="H424" s="2" t="s">
        <v>18</v>
      </c>
      <c r="I424" s="2" t="s">
        <v>28</v>
      </c>
      <c r="J424" s="2" t="s">
        <v>1081</v>
      </c>
      <c r="K424" s="2">
        <v>1161974614.1774113</v>
      </c>
      <c r="L424" s="2" t="s">
        <v>30</v>
      </c>
      <c r="M424" s="2" t="s">
        <v>22</v>
      </c>
      <c r="N424" s="2" t="s">
        <v>1082</v>
      </c>
      <c r="O424" s="2" t="s">
        <v>41</v>
      </c>
      <c r="P424" s="2" t="s">
        <v>25</v>
      </c>
    </row>
    <row r="425" spans="1:16" hidden="1">
      <c r="A425" s="2">
        <v>11226</v>
      </c>
      <c r="B425" s="2" t="s">
        <v>499</v>
      </c>
      <c r="C425" s="2" t="s">
        <v>499</v>
      </c>
      <c r="D425" s="3">
        <v>46090.761111111111</v>
      </c>
      <c r="E425" s="2" t="s">
        <v>40</v>
      </c>
      <c r="F425" s="2" t="s">
        <v>181</v>
      </c>
      <c r="G425" s="2" t="s">
        <v>27</v>
      </c>
      <c r="H425" s="2" t="s">
        <v>18</v>
      </c>
      <c r="I425" s="2" t="s">
        <v>58</v>
      </c>
      <c r="J425" s="2" t="s">
        <v>500</v>
      </c>
      <c r="K425" s="2" t="s">
        <v>64</v>
      </c>
      <c r="L425" s="2" t="s">
        <v>60</v>
      </c>
      <c r="M425" s="2" t="s">
        <v>22</v>
      </c>
      <c r="N425" s="2" t="s">
        <v>501</v>
      </c>
      <c r="O425" s="2" t="s">
        <v>41</v>
      </c>
      <c r="P425" s="2" t="s">
        <v>25</v>
      </c>
    </row>
    <row r="426" spans="1:16" hidden="1">
      <c r="A426" s="2">
        <v>11136</v>
      </c>
      <c r="B426" s="2" t="s">
        <v>346</v>
      </c>
      <c r="C426" s="2" t="s">
        <v>347</v>
      </c>
      <c r="D426" s="3">
        <v>46086.974999999999</v>
      </c>
      <c r="E426" s="2" t="s">
        <v>16</v>
      </c>
      <c r="F426" s="2" t="s">
        <v>41</v>
      </c>
      <c r="G426" s="2" t="s">
        <v>34</v>
      </c>
      <c r="H426" s="2" t="s">
        <v>18</v>
      </c>
      <c r="I426" s="2" t="s">
        <v>19</v>
      </c>
      <c r="J426" s="2" t="s">
        <v>348</v>
      </c>
      <c r="K426" s="2" t="s">
        <v>64</v>
      </c>
      <c r="L426" s="2" t="s">
        <v>21</v>
      </c>
      <c r="M426" s="2" t="s">
        <v>22</v>
      </c>
      <c r="N426" s="2" t="s">
        <v>349</v>
      </c>
      <c r="O426" s="2" t="s">
        <v>80</v>
      </c>
      <c r="P426" s="2" t="s">
        <v>175</v>
      </c>
    </row>
    <row r="427" spans="1:16" hidden="1">
      <c r="A427" s="2">
        <v>11481</v>
      </c>
      <c r="B427" s="2" t="s">
        <v>830</v>
      </c>
      <c r="C427" s="2" t="s">
        <v>830</v>
      </c>
      <c r="D427" s="3">
        <v>46097.698611111111</v>
      </c>
      <c r="E427" s="2" t="s">
        <v>16</v>
      </c>
      <c r="F427" s="2" t="s">
        <v>5</v>
      </c>
      <c r="G427" s="2" t="s">
        <v>34</v>
      </c>
      <c r="H427" s="2" t="s">
        <v>91</v>
      </c>
      <c r="I427" s="2" t="s">
        <v>243</v>
      </c>
      <c r="J427" s="2" t="s">
        <v>831</v>
      </c>
      <c r="K427" s="2">
        <v>1443440314.1773672</v>
      </c>
      <c r="L427" s="2" t="s">
        <v>21</v>
      </c>
      <c r="M427" s="2" t="s">
        <v>49</v>
      </c>
      <c r="N427" s="2" t="s">
        <v>832</v>
      </c>
      <c r="O427" s="2" t="s">
        <v>257</v>
      </c>
      <c r="P427" s="2" t="s">
        <v>25</v>
      </c>
    </row>
    <row r="428" spans="1:16" hidden="1">
      <c r="A428" s="2">
        <v>11858</v>
      </c>
      <c r="B428" s="2" t="s">
        <v>1213</v>
      </c>
      <c r="C428" s="2" t="s">
        <v>1213</v>
      </c>
      <c r="D428" s="3">
        <v>46105.681250000001</v>
      </c>
      <c r="E428" s="2" t="s">
        <v>801</v>
      </c>
      <c r="F428" s="2" t="s">
        <v>5</v>
      </c>
      <c r="G428" s="2" t="s">
        <v>27</v>
      </c>
      <c r="H428" s="2" t="s">
        <v>18</v>
      </c>
      <c r="I428" s="2" t="s">
        <v>19</v>
      </c>
      <c r="J428" s="2" t="s">
        <v>1214</v>
      </c>
      <c r="K428" s="2" t="s">
        <v>64</v>
      </c>
      <c r="L428" s="2" t="s">
        <v>30</v>
      </c>
      <c r="M428" s="2" t="s">
        <v>22</v>
      </c>
      <c r="N428" s="2" t="s">
        <v>1215</v>
      </c>
      <c r="O428" s="2" t="s">
        <v>41</v>
      </c>
      <c r="P428" s="2" t="s">
        <v>25</v>
      </c>
    </row>
    <row r="429" spans="1:16" hidden="1">
      <c r="A429" s="2">
        <v>10938</v>
      </c>
      <c r="B429" s="2" t="s">
        <v>62</v>
      </c>
      <c r="C429" s="2" t="s">
        <v>62</v>
      </c>
      <c r="D429" s="3">
        <v>46082.966666666667</v>
      </c>
      <c r="E429" s="2" t="s">
        <v>16</v>
      </c>
      <c r="F429" s="2" t="s">
        <v>5</v>
      </c>
      <c r="G429" s="2" t="s">
        <v>34</v>
      </c>
      <c r="H429" s="2" t="s">
        <v>18</v>
      </c>
      <c r="I429" s="2" t="s">
        <v>19</v>
      </c>
      <c r="J429" s="2" t="s">
        <v>63</v>
      </c>
      <c r="K429" s="2" t="s">
        <v>64</v>
      </c>
      <c r="L429" s="2" t="s">
        <v>21</v>
      </c>
      <c r="M429" s="2" t="s">
        <v>22</v>
      </c>
      <c r="N429" s="2" t="s">
        <v>65</v>
      </c>
      <c r="O429" s="2" t="s">
        <v>66</v>
      </c>
      <c r="P429" s="2" t="s">
        <v>25</v>
      </c>
    </row>
    <row r="430" spans="1:16" hidden="1">
      <c r="A430" s="2">
        <v>11142</v>
      </c>
      <c r="B430" s="2" t="s">
        <v>361</v>
      </c>
      <c r="C430" s="2" t="s">
        <v>361</v>
      </c>
      <c r="D430" s="3">
        <v>46087.031944444447</v>
      </c>
      <c r="E430" s="2" t="s">
        <v>16</v>
      </c>
      <c r="F430" s="2" t="s">
        <v>5</v>
      </c>
      <c r="G430" s="2" t="s">
        <v>17</v>
      </c>
      <c r="H430" s="2" t="s">
        <v>46</v>
      </c>
      <c r="I430" s="2" t="s">
        <v>140</v>
      </c>
      <c r="J430" s="2" t="s">
        <v>312</v>
      </c>
      <c r="K430" s="2">
        <v>361659052.17727506</v>
      </c>
      <c r="L430" s="2" t="s">
        <v>21</v>
      </c>
      <c r="M430" s="2" t="s">
        <v>49</v>
      </c>
      <c r="N430" s="2" t="s">
        <v>362</v>
      </c>
      <c r="O430" s="2" t="s">
        <v>24</v>
      </c>
      <c r="P430" s="2" t="s">
        <v>25</v>
      </c>
    </row>
    <row r="431" spans="1:16" hidden="1">
      <c r="A431" s="2">
        <v>11111</v>
      </c>
      <c r="B431" s="2" t="s">
        <v>317</v>
      </c>
      <c r="C431" s="2" t="s">
        <v>317</v>
      </c>
      <c r="D431" s="3">
        <v>46086.389583333337</v>
      </c>
      <c r="E431" s="2" t="s">
        <v>180</v>
      </c>
      <c r="F431" s="2" t="s">
        <v>5</v>
      </c>
      <c r="G431" s="2" t="s">
        <v>17</v>
      </c>
      <c r="H431" s="2" t="s">
        <v>46</v>
      </c>
      <c r="I431" s="2" t="s">
        <v>318</v>
      </c>
      <c r="J431" s="2" t="s">
        <v>319</v>
      </c>
      <c r="K431" s="2">
        <v>319629953.17726952</v>
      </c>
      <c r="L431" s="2" t="s">
        <v>21</v>
      </c>
      <c r="M431" s="2" t="s">
        <v>49</v>
      </c>
      <c r="N431" s="2" t="s">
        <v>320</v>
      </c>
      <c r="O431" s="2" t="s">
        <v>41</v>
      </c>
      <c r="P431" s="2" t="s">
        <v>25</v>
      </c>
    </row>
    <row r="432" spans="1:16" hidden="1">
      <c r="A432" s="2">
        <v>11409</v>
      </c>
      <c r="B432" s="2" t="s">
        <v>720</v>
      </c>
      <c r="C432" s="2" t="s">
        <v>721</v>
      </c>
      <c r="D432" s="3">
        <v>46095.793749999997</v>
      </c>
      <c r="E432" s="2" t="s">
        <v>16</v>
      </c>
      <c r="F432" s="2" t="s">
        <v>5</v>
      </c>
      <c r="G432" s="2" t="s">
        <v>34</v>
      </c>
      <c r="H432" s="2" t="s">
        <v>18</v>
      </c>
      <c r="I432" s="2" t="s">
        <v>19</v>
      </c>
      <c r="J432" s="2" t="s">
        <v>722</v>
      </c>
      <c r="K432" s="2">
        <v>125362400.17735077</v>
      </c>
      <c r="L432" s="2" t="s">
        <v>21</v>
      </c>
      <c r="M432" s="2" t="s">
        <v>22</v>
      </c>
      <c r="N432" s="2" t="s">
        <v>723</v>
      </c>
      <c r="O432" s="2" t="s">
        <v>24</v>
      </c>
      <c r="P432" s="2" t="s">
        <v>25</v>
      </c>
    </row>
    <row r="433" spans="1:16" hidden="1">
      <c r="A433" s="2">
        <v>11285</v>
      </c>
      <c r="B433" s="2" t="s">
        <v>584</v>
      </c>
      <c r="C433" s="2" t="s">
        <v>585</v>
      </c>
      <c r="D433" s="3">
        <v>46092.463888888888</v>
      </c>
      <c r="E433" s="2" t="s">
        <v>16</v>
      </c>
      <c r="F433" s="2" t="s">
        <v>5</v>
      </c>
      <c r="G433" s="2" t="s">
        <v>34</v>
      </c>
      <c r="H433" s="2" t="s">
        <v>18</v>
      </c>
      <c r="I433" s="2" t="s">
        <v>19</v>
      </c>
      <c r="J433" s="2" t="s">
        <v>586</v>
      </c>
      <c r="K433" s="2">
        <v>1642081348.1773219</v>
      </c>
      <c r="L433" s="2" t="s">
        <v>21</v>
      </c>
      <c r="M433" s="2" t="s">
        <v>22</v>
      </c>
      <c r="N433" s="2" t="s">
        <v>587</v>
      </c>
      <c r="O433" s="2" t="s">
        <v>66</v>
      </c>
      <c r="P433" s="2" t="s">
        <v>25</v>
      </c>
    </row>
    <row r="434" spans="1:16" hidden="1">
      <c r="A434" s="2">
        <v>11355</v>
      </c>
      <c r="B434" s="2" t="s">
        <v>661</v>
      </c>
      <c r="C434" s="2" t="s">
        <v>661</v>
      </c>
      <c r="D434" s="3">
        <v>46094.25277777778</v>
      </c>
      <c r="E434" s="2" t="s">
        <v>16</v>
      </c>
      <c r="F434" s="2" t="s">
        <v>5</v>
      </c>
      <c r="G434" s="2" t="s">
        <v>17</v>
      </c>
      <c r="H434" s="2" t="s">
        <v>46</v>
      </c>
      <c r="I434" s="2" t="s">
        <v>41</v>
      </c>
      <c r="J434" s="2" t="s">
        <v>662</v>
      </c>
      <c r="K434" s="2">
        <v>233429674.17733744</v>
      </c>
      <c r="L434" s="2" t="s">
        <v>21</v>
      </c>
      <c r="M434" s="2" t="s">
        <v>49</v>
      </c>
      <c r="N434" s="2" t="s">
        <v>663</v>
      </c>
      <c r="O434" s="2" t="s">
        <v>24</v>
      </c>
      <c r="P434" s="2" t="s">
        <v>25</v>
      </c>
    </row>
    <row r="435" spans="1:16" hidden="1">
      <c r="A435" s="2">
        <v>11201</v>
      </c>
      <c r="B435" s="2" t="s">
        <v>463</v>
      </c>
      <c r="C435" s="2" t="s">
        <v>463</v>
      </c>
      <c r="D435" s="3">
        <v>46089.503472222219</v>
      </c>
      <c r="E435" s="2" t="s">
        <v>16</v>
      </c>
      <c r="F435" s="2" t="s">
        <v>5</v>
      </c>
      <c r="G435" s="2" t="s">
        <v>17</v>
      </c>
      <c r="H435" s="2" t="s">
        <v>46</v>
      </c>
      <c r="I435" s="2" t="s">
        <v>464</v>
      </c>
      <c r="J435" s="2" t="s">
        <v>465</v>
      </c>
      <c r="K435" s="2">
        <v>1672458753.1772964</v>
      </c>
      <c r="L435" s="2" t="s">
        <v>21</v>
      </c>
      <c r="M435" s="2" t="s">
        <v>49</v>
      </c>
      <c r="N435" s="2" t="s">
        <v>466</v>
      </c>
      <c r="O435" s="2" t="s">
        <v>24</v>
      </c>
      <c r="P435" s="2" t="s">
        <v>25</v>
      </c>
    </row>
    <row r="436" spans="1:16" hidden="1">
      <c r="A436" s="2">
        <v>11230</v>
      </c>
      <c r="B436" s="2" t="s">
        <v>512</v>
      </c>
      <c r="C436" s="2" t="s">
        <v>513</v>
      </c>
      <c r="D436" s="3">
        <v>46090.797916666663</v>
      </c>
      <c r="E436" s="2" t="s">
        <v>16</v>
      </c>
      <c r="F436" s="2" t="s">
        <v>5</v>
      </c>
      <c r="G436" s="2" t="s">
        <v>17</v>
      </c>
      <c r="H436" s="2" t="s">
        <v>46</v>
      </c>
      <c r="I436" s="2" t="s">
        <v>140</v>
      </c>
      <c r="J436" s="2" t="s">
        <v>514</v>
      </c>
      <c r="K436" s="2">
        <v>1550146766.1773076</v>
      </c>
      <c r="L436" s="2" t="s">
        <v>21</v>
      </c>
      <c r="M436" s="2" t="s">
        <v>49</v>
      </c>
      <c r="N436" s="2" t="s">
        <v>515</v>
      </c>
      <c r="O436" s="2" t="s">
        <v>24</v>
      </c>
      <c r="P436" s="2" t="s">
        <v>25</v>
      </c>
    </row>
    <row r="437" spans="1:16" hidden="1">
      <c r="A437" s="2">
        <v>10963</v>
      </c>
      <c r="B437" s="2" t="s">
        <v>85</v>
      </c>
      <c r="C437" s="2" t="s">
        <v>85</v>
      </c>
      <c r="D437" s="3">
        <v>46083.520138888889</v>
      </c>
      <c r="E437" s="2" t="s">
        <v>40</v>
      </c>
      <c r="F437" s="2" t="s">
        <v>5</v>
      </c>
      <c r="G437" s="2" t="s">
        <v>27</v>
      </c>
      <c r="H437" s="2" t="s">
        <v>18</v>
      </c>
      <c r="I437" s="2" t="s">
        <v>28</v>
      </c>
      <c r="J437" s="2" t="s">
        <v>86</v>
      </c>
      <c r="K437" s="2">
        <v>1113581908.1772187</v>
      </c>
      <c r="L437" s="2" t="s">
        <v>30</v>
      </c>
      <c r="M437" s="2" t="s">
        <v>22</v>
      </c>
      <c r="N437" s="2" t="s">
        <v>87</v>
      </c>
      <c r="O437" s="2" t="s">
        <v>41</v>
      </c>
      <c r="P437" s="2" t="s">
        <v>25</v>
      </c>
    </row>
    <row r="438" spans="1:16" hidden="1">
      <c r="A438" s="2">
        <v>11033</v>
      </c>
      <c r="B438" s="2" t="s">
        <v>194</v>
      </c>
      <c r="C438" s="2" t="s">
        <v>194</v>
      </c>
      <c r="D438" s="3">
        <v>46084.829166666663</v>
      </c>
      <c r="E438" s="2" t="s">
        <v>40</v>
      </c>
      <c r="F438" s="2" t="s">
        <v>5</v>
      </c>
      <c r="G438" s="2" t="s">
        <v>17</v>
      </c>
      <c r="H438" s="2" t="s">
        <v>46</v>
      </c>
      <c r="I438" s="2" t="s">
        <v>195</v>
      </c>
      <c r="J438" s="2" t="s">
        <v>196</v>
      </c>
      <c r="K438" s="2" t="s">
        <v>64</v>
      </c>
      <c r="L438" s="2" t="s">
        <v>21</v>
      </c>
      <c r="M438" s="2" t="s">
        <v>49</v>
      </c>
      <c r="N438" s="2" t="s">
        <v>197</v>
      </c>
      <c r="O438" s="2" t="s">
        <v>41</v>
      </c>
      <c r="P438" s="2" t="s">
        <v>81</v>
      </c>
    </row>
    <row r="439" spans="1:16" hidden="1">
      <c r="A439" s="2">
        <v>11115</v>
      </c>
      <c r="B439" s="2" t="s">
        <v>321</v>
      </c>
      <c r="C439" s="2" t="s">
        <v>321</v>
      </c>
      <c r="D439" s="3">
        <v>46086.397222222222</v>
      </c>
      <c r="E439" s="2" t="s">
        <v>40</v>
      </c>
      <c r="F439" s="2" t="s">
        <v>5</v>
      </c>
      <c r="G439" s="2" t="s">
        <v>17</v>
      </c>
      <c r="H439" s="2" t="s">
        <v>18</v>
      </c>
      <c r="I439" s="2" t="s">
        <v>322</v>
      </c>
      <c r="J439" s="2" t="s">
        <v>323</v>
      </c>
      <c r="K439" s="2">
        <v>690873241.17726946</v>
      </c>
      <c r="L439" s="2" t="s">
        <v>118</v>
      </c>
      <c r="M439" s="2" t="s">
        <v>22</v>
      </c>
      <c r="N439" s="2" t="s">
        <v>324</v>
      </c>
      <c r="O439" s="2" t="s">
        <v>41</v>
      </c>
      <c r="P439" s="2" t="s">
        <v>44</v>
      </c>
    </row>
    <row r="440" spans="1:16" hidden="1">
      <c r="A440" s="2">
        <v>11569</v>
      </c>
      <c r="B440" s="2" t="s">
        <v>924</v>
      </c>
      <c r="C440" s="2" t="s">
        <v>924</v>
      </c>
      <c r="D440" s="3">
        <v>46098.921527777777</v>
      </c>
      <c r="E440" s="2" t="s">
        <v>16</v>
      </c>
      <c r="F440" s="2" t="s">
        <v>5</v>
      </c>
      <c r="G440" s="2" t="s">
        <v>17</v>
      </c>
      <c r="H440" s="2" t="s">
        <v>18</v>
      </c>
      <c r="I440" s="2" t="s">
        <v>19</v>
      </c>
      <c r="J440" s="2" t="s">
        <v>925</v>
      </c>
      <c r="K440" s="2">
        <v>661522268.17737782</v>
      </c>
      <c r="L440" s="2" t="s">
        <v>21</v>
      </c>
      <c r="M440" s="2" t="s">
        <v>22</v>
      </c>
      <c r="N440" s="2" t="s">
        <v>926</v>
      </c>
      <c r="O440" s="2" t="s">
        <v>66</v>
      </c>
      <c r="P440" s="2" t="s">
        <v>25</v>
      </c>
    </row>
    <row r="441" spans="1:16" hidden="1">
      <c r="A441" s="2">
        <v>11283</v>
      </c>
      <c r="B441" s="2" t="s">
        <v>579</v>
      </c>
      <c r="C441" s="2" t="s">
        <v>579</v>
      </c>
      <c r="D441" s="3">
        <v>46092.416666666672</v>
      </c>
      <c r="E441" s="2" t="s">
        <v>40</v>
      </c>
      <c r="F441" s="2" t="s">
        <v>5</v>
      </c>
      <c r="G441" s="2" t="s">
        <v>17</v>
      </c>
      <c r="H441" s="2" t="s">
        <v>182</v>
      </c>
      <c r="I441" s="2" t="s">
        <v>397</v>
      </c>
      <c r="J441" s="2" t="s">
        <v>41</v>
      </c>
      <c r="K441" s="2" t="s">
        <v>41</v>
      </c>
      <c r="L441" s="2" t="s">
        <v>21</v>
      </c>
      <c r="M441" s="2" t="s">
        <v>22</v>
      </c>
      <c r="N441" s="2" t="s">
        <v>580</v>
      </c>
      <c r="O441" s="2" t="s">
        <v>41</v>
      </c>
      <c r="P441" s="2" t="s">
        <v>99</v>
      </c>
    </row>
    <row r="442" spans="1:16" hidden="1">
      <c r="A442" s="2">
        <v>11908</v>
      </c>
      <c r="B442" s="2" t="s">
        <v>1248</v>
      </c>
      <c r="C442" s="2" t="s">
        <v>1248</v>
      </c>
      <c r="D442" s="3">
        <v>46106.479166666672</v>
      </c>
      <c r="E442" s="2" t="s">
        <v>40</v>
      </c>
      <c r="F442" s="2" t="s">
        <v>181</v>
      </c>
      <c r="G442" s="2" t="s">
        <v>27</v>
      </c>
      <c r="H442" s="2" t="s">
        <v>18</v>
      </c>
      <c r="I442" s="2" t="s">
        <v>364</v>
      </c>
      <c r="J442" s="2" t="s">
        <v>1249</v>
      </c>
      <c r="K442" s="2">
        <v>1932454049.177443</v>
      </c>
      <c r="L442" s="2" t="s">
        <v>60</v>
      </c>
      <c r="M442" s="2" t="s">
        <v>22</v>
      </c>
      <c r="N442" s="2" t="s">
        <v>1250</v>
      </c>
      <c r="O442" s="2" t="s">
        <v>41</v>
      </c>
      <c r="P442" s="2" t="s">
        <v>25</v>
      </c>
    </row>
    <row r="443" spans="1:16" hidden="1">
      <c r="A443" s="2">
        <v>11176</v>
      </c>
      <c r="B443" s="2" t="s">
        <v>415</v>
      </c>
      <c r="C443" s="2" t="s">
        <v>415</v>
      </c>
      <c r="D443" s="3">
        <v>46087.856249999997</v>
      </c>
      <c r="E443" s="2" t="s">
        <v>40</v>
      </c>
      <c r="F443" s="2" t="s">
        <v>5</v>
      </c>
      <c r="G443" s="2" t="s">
        <v>17</v>
      </c>
      <c r="H443" s="2" t="s">
        <v>46</v>
      </c>
      <c r="I443" s="2" t="s">
        <v>416</v>
      </c>
      <c r="J443" s="2" t="s">
        <v>417</v>
      </c>
      <c r="K443" s="2">
        <v>1568779094.1772821</v>
      </c>
      <c r="L443" s="2" t="s">
        <v>21</v>
      </c>
      <c r="M443" s="2" t="s">
        <v>49</v>
      </c>
      <c r="N443" s="2" t="s">
        <v>418</v>
      </c>
      <c r="O443" s="2" t="s">
        <v>41</v>
      </c>
      <c r="P443" s="2" t="s">
        <v>81</v>
      </c>
    </row>
    <row r="444" spans="1:16" hidden="1">
      <c r="A444" s="2">
        <v>11442</v>
      </c>
      <c r="B444" s="2" t="s">
        <v>780</v>
      </c>
      <c r="C444" s="2" t="s">
        <v>780</v>
      </c>
      <c r="D444" s="3">
        <v>46096.898611111115</v>
      </c>
      <c r="E444" s="2" t="s">
        <v>688</v>
      </c>
      <c r="F444" s="2" t="s">
        <v>5</v>
      </c>
      <c r="G444" s="2" t="s">
        <v>27</v>
      </c>
      <c r="H444" s="2" t="s">
        <v>18</v>
      </c>
      <c r="I444" s="2" t="s">
        <v>28</v>
      </c>
      <c r="J444" s="2" t="s">
        <v>781</v>
      </c>
      <c r="K444" s="2">
        <v>2022986571.1773603</v>
      </c>
      <c r="L444" s="2" t="s">
        <v>30</v>
      </c>
      <c r="M444" s="2" t="s">
        <v>22</v>
      </c>
      <c r="N444" s="2" t="s">
        <v>782</v>
      </c>
      <c r="O444" s="2" t="s">
        <v>41</v>
      </c>
      <c r="P444" s="2" t="s">
        <v>25</v>
      </c>
    </row>
    <row r="445" spans="1:16" hidden="1">
      <c r="A445" s="2">
        <v>11399</v>
      </c>
      <c r="B445" s="2" t="s">
        <v>710</v>
      </c>
      <c r="C445" s="2" t="s">
        <v>711</v>
      </c>
      <c r="D445" s="3">
        <v>46095.222222222219</v>
      </c>
      <c r="E445" s="2" t="s">
        <v>16</v>
      </c>
      <c r="F445" s="2" t="s">
        <v>5</v>
      </c>
      <c r="G445" s="2" t="s">
        <v>34</v>
      </c>
      <c r="H445" s="2" t="s">
        <v>18</v>
      </c>
      <c r="I445" s="2" t="s">
        <v>183</v>
      </c>
      <c r="J445" s="2" t="s">
        <v>712</v>
      </c>
      <c r="K445" s="2" t="s">
        <v>41</v>
      </c>
      <c r="L445" s="2" t="s">
        <v>21</v>
      </c>
      <c r="M445" s="2" t="s">
        <v>22</v>
      </c>
      <c r="N445" s="2" t="s">
        <v>713</v>
      </c>
      <c r="O445" s="2" t="s">
        <v>80</v>
      </c>
      <c r="P445" s="2" t="s">
        <v>81</v>
      </c>
    </row>
    <row r="446" spans="1:16" hidden="1">
      <c r="A446" s="2">
        <v>11919</v>
      </c>
      <c r="B446" s="2" t="s">
        <v>1256</v>
      </c>
      <c r="C446" s="2" t="s">
        <v>1256</v>
      </c>
      <c r="D446" s="3">
        <v>46106.5625</v>
      </c>
      <c r="E446" s="2" t="s">
        <v>40</v>
      </c>
      <c r="F446" s="2" t="s">
        <v>5</v>
      </c>
      <c r="G446" s="2" t="s">
        <v>17</v>
      </c>
      <c r="H446" s="2" t="s">
        <v>96</v>
      </c>
      <c r="I446" s="2" t="s">
        <v>41</v>
      </c>
      <c r="J446" s="2" t="s">
        <v>41</v>
      </c>
      <c r="K446" s="2" t="s">
        <v>41</v>
      </c>
      <c r="L446" s="2" t="s">
        <v>21</v>
      </c>
      <c r="M446" s="2" t="s">
        <v>22</v>
      </c>
      <c r="N446" s="2" t="s">
        <v>1257</v>
      </c>
      <c r="O446" s="2" t="s">
        <v>41</v>
      </c>
      <c r="P446" s="2" t="s">
        <v>99</v>
      </c>
    </row>
    <row r="447" spans="1:16" hidden="1">
      <c r="A447" s="2">
        <v>12111</v>
      </c>
      <c r="B447" s="2" t="s">
        <v>1441</v>
      </c>
      <c r="C447" s="2" t="s">
        <v>1441</v>
      </c>
      <c r="D447" s="3">
        <v>46111.604166666672</v>
      </c>
      <c r="E447" s="2" t="s">
        <v>16</v>
      </c>
      <c r="F447" s="2" t="s">
        <v>41</v>
      </c>
      <c r="G447" s="2" t="s">
        <v>34</v>
      </c>
      <c r="H447" s="2" t="s">
        <v>41</v>
      </c>
      <c r="I447" s="2" t="s">
        <v>183</v>
      </c>
      <c r="J447" s="2" t="s">
        <v>41</v>
      </c>
      <c r="K447" s="2" t="s">
        <v>41</v>
      </c>
      <c r="L447" s="2" t="s">
        <v>41</v>
      </c>
      <c r="M447" s="2" t="s">
        <v>22</v>
      </c>
      <c r="N447" s="2" t="s">
        <v>1442</v>
      </c>
      <c r="O447" s="2" t="s">
        <v>66</v>
      </c>
      <c r="P447" s="2" t="s">
        <v>99</v>
      </c>
    </row>
    <row r="448" spans="1:16" hidden="1">
      <c r="A448" s="2">
        <v>12113</v>
      </c>
      <c r="B448" s="2" t="s">
        <v>1441</v>
      </c>
      <c r="C448" s="2" t="s">
        <v>1441</v>
      </c>
      <c r="D448" s="3">
        <v>46111.622916666667</v>
      </c>
      <c r="E448" s="2" t="s">
        <v>40</v>
      </c>
      <c r="F448" s="2" t="s">
        <v>5</v>
      </c>
      <c r="G448" s="2" t="s">
        <v>27</v>
      </c>
      <c r="H448" s="2" t="s">
        <v>18</v>
      </c>
      <c r="I448" s="2" t="s">
        <v>41</v>
      </c>
      <c r="J448" s="2" t="s">
        <v>41</v>
      </c>
      <c r="K448" s="2" t="s">
        <v>41</v>
      </c>
      <c r="L448" s="2" t="s">
        <v>21</v>
      </c>
      <c r="M448" s="2" t="s">
        <v>22</v>
      </c>
      <c r="N448" s="2" t="s">
        <v>1442</v>
      </c>
      <c r="O448" s="2" t="s">
        <v>41</v>
      </c>
      <c r="P448" s="2" t="s">
        <v>56</v>
      </c>
    </row>
    <row r="449" spans="1:16" hidden="1">
      <c r="A449" s="2">
        <v>12027</v>
      </c>
      <c r="B449" s="2" t="s">
        <v>1346</v>
      </c>
      <c r="C449" s="2" t="s">
        <v>1346</v>
      </c>
      <c r="D449" s="3">
        <v>46108.541666666672</v>
      </c>
      <c r="E449" s="2" t="s">
        <v>16</v>
      </c>
      <c r="F449" s="2" t="s">
        <v>181</v>
      </c>
      <c r="G449" s="2" t="s">
        <v>34</v>
      </c>
      <c r="H449" s="2" t="s">
        <v>41</v>
      </c>
      <c r="I449" s="2" t="s">
        <v>391</v>
      </c>
      <c r="J449" s="2" t="s">
        <v>41</v>
      </c>
      <c r="K449" s="2" t="s">
        <v>41</v>
      </c>
      <c r="L449" s="2" t="s">
        <v>41</v>
      </c>
      <c r="M449" s="2" t="s">
        <v>22</v>
      </c>
      <c r="N449" s="2" t="s">
        <v>1347</v>
      </c>
      <c r="O449" s="2" t="s">
        <v>252</v>
      </c>
      <c r="P449" s="2" t="s">
        <v>99</v>
      </c>
    </row>
    <row r="450" spans="1:16" hidden="1">
      <c r="A450" s="2">
        <v>11540</v>
      </c>
      <c r="B450" s="2" t="s">
        <v>896</v>
      </c>
      <c r="C450" s="2" t="s">
        <v>896</v>
      </c>
      <c r="D450" s="3">
        <v>46098.728472222225</v>
      </c>
      <c r="E450" s="2" t="s">
        <v>40</v>
      </c>
      <c r="F450" s="2" t="s">
        <v>5</v>
      </c>
      <c r="G450" s="2" t="s">
        <v>27</v>
      </c>
      <c r="H450" s="2" t="s">
        <v>18</v>
      </c>
      <c r="I450" s="2" t="s">
        <v>19</v>
      </c>
      <c r="J450" s="2" t="s">
        <v>897</v>
      </c>
      <c r="K450" s="2">
        <v>1312738202.177376</v>
      </c>
      <c r="L450" s="2" t="s">
        <v>21</v>
      </c>
      <c r="M450" s="2" t="s">
        <v>22</v>
      </c>
      <c r="N450" s="2" t="s">
        <v>898</v>
      </c>
      <c r="O450" s="2" t="s">
        <v>41</v>
      </c>
      <c r="P450" s="2" t="s">
        <v>81</v>
      </c>
    </row>
    <row r="451" spans="1:16" hidden="1">
      <c r="A451" s="2">
        <v>11626</v>
      </c>
      <c r="B451" s="2" t="s">
        <v>980</v>
      </c>
      <c r="C451" s="2" t="s">
        <v>980</v>
      </c>
      <c r="D451" s="3">
        <v>46100.180555555555</v>
      </c>
      <c r="E451" s="2" t="s">
        <v>688</v>
      </c>
      <c r="F451" s="2" t="s">
        <v>41</v>
      </c>
      <c r="G451" s="2" t="s">
        <v>17</v>
      </c>
      <c r="H451" s="2" t="s">
        <v>46</v>
      </c>
      <c r="I451" s="2" t="s">
        <v>374</v>
      </c>
      <c r="J451" s="2" t="s">
        <v>981</v>
      </c>
      <c r="K451" s="2">
        <v>393199669.17738867</v>
      </c>
      <c r="L451" s="2" t="s">
        <v>21</v>
      </c>
      <c r="M451" s="2" t="s">
        <v>49</v>
      </c>
      <c r="N451" s="2" t="s">
        <v>982</v>
      </c>
      <c r="O451" s="2" t="s">
        <v>41</v>
      </c>
      <c r="P451" s="2" t="s">
        <v>25</v>
      </c>
    </row>
    <row r="452" spans="1:16" hidden="1">
      <c r="A452" s="2">
        <v>12080</v>
      </c>
      <c r="B452" s="2" t="s">
        <v>1415</v>
      </c>
      <c r="C452" s="2" t="s">
        <v>1416</v>
      </c>
      <c r="D452" s="3">
        <v>46110.50277777778</v>
      </c>
      <c r="E452" s="2" t="s">
        <v>180</v>
      </c>
      <c r="F452" s="2" t="s">
        <v>5</v>
      </c>
      <c r="G452" s="2" t="s">
        <v>17</v>
      </c>
      <c r="H452" s="2" t="s">
        <v>46</v>
      </c>
      <c r="I452" s="2" t="s">
        <v>144</v>
      </c>
      <c r="J452" s="2" t="s">
        <v>1417</v>
      </c>
      <c r="K452" s="2">
        <v>1713648395.1774528</v>
      </c>
      <c r="L452" s="2" t="s">
        <v>21</v>
      </c>
      <c r="M452" s="2" t="s">
        <v>49</v>
      </c>
      <c r="N452" s="2" t="s">
        <v>1418</v>
      </c>
      <c r="O452" s="2" t="s">
        <v>41</v>
      </c>
      <c r="P452" s="2" t="s">
        <v>25</v>
      </c>
    </row>
    <row r="453" spans="1:16" hidden="1">
      <c r="A453" s="2">
        <v>11267</v>
      </c>
      <c r="B453" s="2" t="s">
        <v>560</v>
      </c>
      <c r="C453" s="2" t="s">
        <v>560</v>
      </c>
      <c r="D453" s="3">
        <v>46091.791666666672</v>
      </c>
      <c r="E453" s="2" t="s">
        <v>16</v>
      </c>
      <c r="F453" s="2" t="s">
        <v>41</v>
      </c>
      <c r="G453" s="2" t="s">
        <v>17</v>
      </c>
      <c r="H453" s="2" t="s">
        <v>96</v>
      </c>
      <c r="I453" s="2" t="s">
        <v>561</v>
      </c>
      <c r="J453" s="2" t="s">
        <v>41</v>
      </c>
      <c r="K453" s="2" t="s">
        <v>41</v>
      </c>
      <c r="L453" s="2" t="s">
        <v>21</v>
      </c>
      <c r="M453" s="2" t="s">
        <v>22</v>
      </c>
      <c r="N453" s="2" t="s">
        <v>562</v>
      </c>
      <c r="O453" s="2" t="s">
        <v>24</v>
      </c>
      <c r="P453" s="2" t="s">
        <v>99</v>
      </c>
    </row>
    <row r="454" spans="1:16" hidden="1">
      <c r="A454" s="2">
        <v>11172</v>
      </c>
      <c r="B454" s="2" t="s">
        <v>405</v>
      </c>
      <c r="C454" s="2" t="s">
        <v>406</v>
      </c>
      <c r="D454" s="3">
        <v>46087.843055555553</v>
      </c>
      <c r="E454" s="2" t="s">
        <v>16</v>
      </c>
      <c r="F454" s="2" t="s">
        <v>5</v>
      </c>
      <c r="G454" s="2" t="s">
        <v>34</v>
      </c>
      <c r="H454" s="2" t="s">
        <v>18</v>
      </c>
      <c r="I454" s="2" t="s">
        <v>19</v>
      </c>
      <c r="J454" s="2" t="s">
        <v>407</v>
      </c>
      <c r="K454" s="2">
        <v>771443769.17728209</v>
      </c>
      <c r="L454" s="2" t="s">
        <v>21</v>
      </c>
      <c r="M454" s="2" t="s">
        <v>22</v>
      </c>
      <c r="N454" s="2" t="s">
        <v>408</v>
      </c>
      <c r="O454" s="2" t="s">
        <v>24</v>
      </c>
      <c r="P454" s="2" t="s">
        <v>25</v>
      </c>
    </row>
    <row r="455" spans="1:16" hidden="1">
      <c r="A455" s="2">
        <v>12015</v>
      </c>
      <c r="B455" s="2" t="s">
        <v>1332</v>
      </c>
      <c r="C455" s="2" t="s">
        <v>1333</v>
      </c>
      <c r="D455" s="3">
        <v>46108.198611111111</v>
      </c>
      <c r="E455" s="2" t="s">
        <v>218</v>
      </c>
      <c r="F455" s="2" t="s">
        <v>5</v>
      </c>
      <c r="G455" s="2" t="s">
        <v>17</v>
      </c>
      <c r="H455" s="2" t="s">
        <v>96</v>
      </c>
      <c r="I455" s="2" t="s">
        <v>1334</v>
      </c>
      <c r="J455" s="2" t="s">
        <v>41</v>
      </c>
      <c r="K455" s="2" t="s">
        <v>41</v>
      </c>
      <c r="L455" s="2" t="s">
        <v>21</v>
      </c>
      <c r="M455" s="2" t="s">
        <v>88</v>
      </c>
      <c r="N455" s="2" t="s">
        <v>1335</v>
      </c>
      <c r="O455" s="2" t="s">
        <v>41</v>
      </c>
      <c r="P455" s="2" t="s">
        <v>56</v>
      </c>
    </row>
    <row r="456" spans="1:16" hidden="1">
      <c r="A456" s="2">
        <v>10930</v>
      </c>
      <c r="B456" s="2" t="s">
        <v>51</v>
      </c>
      <c r="C456" s="2" t="s">
        <v>51</v>
      </c>
      <c r="D456" s="3">
        <v>46082.776388888888</v>
      </c>
      <c r="E456" s="2" t="s">
        <v>52</v>
      </c>
      <c r="F456" s="2" t="s">
        <v>5</v>
      </c>
      <c r="G456" s="2" t="s">
        <v>53</v>
      </c>
      <c r="H456" s="2" t="s">
        <v>54</v>
      </c>
      <c r="I456" s="2" t="s">
        <v>41</v>
      </c>
      <c r="J456" s="2" t="s">
        <v>41</v>
      </c>
      <c r="K456" s="2" t="s">
        <v>41</v>
      </c>
      <c r="L456" s="2" t="s">
        <v>21</v>
      </c>
      <c r="M456" s="2" t="s">
        <v>22</v>
      </c>
      <c r="N456" s="2" t="s">
        <v>55</v>
      </c>
      <c r="O456" s="2" t="s">
        <v>41</v>
      </c>
      <c r="P456" s="2" t="s">
        <v>56</v>
      </c>
    </row>
    <row r="457" spans="1:16" hidden="1">
      <c r="A457" s="2">
        <v>11484</v>
      </c>
      <c r="B457" s="2" t="s">
        <v>837</v>
      </c>
      <c r="C457" s="2" t="s">
        <v>837</v>
      </c>
      <c r="D457" s="3">
        <v>46097.723611111112</v>
      </c>
      <c r="E457" s="2" t="s">
        <v>40</v>
      </c>
      <c r="F457" s="2" t="s">
        <v>5</v>
      </c>
      <c r="G457" s="2" t="s">
        <v>27</v>
      </c>
      <c r="H457" s="2" t="s">
        <v>18</v>
      </c>
      <c r="I457" s="2" t="s">
        <v>19</v>
      </c>
      <c r="J457" s="2" t="s">
        <v>838</v>
      </c>
      <c r="K457" s="2">
        <v>1332047855.1773674</v>
      </c>
      <c r="L457" s="2" t="s">
        <v>21</v>
      </c>
      <c r="M457" s="2" t="s">
        <v>22</v>
      </c>
      <c r="N457" s="2" t="s">
        <v>839</v>
      </c>
      <c r="O457" s="2" t="s">
        <v>41</v>
      </c>
      <c r="P457" s="2" t="s">
        <v>25</v>
      </c>
    </row>
    <row r="458" spans="1:16" hidden="1">
      <c r="A458" s="2">
        <v>11362</v>
      </c>
      <c r="B458" s="2" t="s">
        <v>670</v>
      </c>
      <c r="C458" s="2" t="s">
        <v>670</v>
      </c>
      <c r="D458" s="3">
        <v>46094.461805555555</v>
      </c>
      <c r="E458" s="2" t="s">
        <v>396</v>
      </c>
      <c r="F458" s="2" t="s">
        <v>5</v>
      </c>
      <c r="G458" s="2" t="s">
        <v>219</v>
      </c>
      <c r="H458" s="2" t="s">
        <v>18</v>
      </c>
      <c r="I458" s="2" t="s">
        <v>169</v>
      </c>
      <c r="J458" s="2" t="s">
        <v>41</v>
      </c>
      <c r="K458" s="2" t="s">
        <v>41</v>
      </c>
      <c r="L458" s="2" t="s">
        <v>118</v>
      </c>
      <c r="M458" s="2" t="s">
        <v>88</v>
      </c>
      <c r="N458" s="2" t="s">
        <v>671</v>
      </c>
      <c r="O458" s="2" t="s">
        <v>41</v>
      </c>
      <c r="P458" s="2" t="s">
        <v>56</v>
      </c>
    </row>
    <row r="459" spans="1:16" hidden="1">
      <c r="A459" s="2">
        <v>12081</v>
      </c>
      <c r="B459" s="2" t="s">
        <v>1170</v>
      </c>
      <c r="C459" s="2" t="s">
        <v>1170</v>
      </c>
      <c r="D459" s="3">
        <v>46110.649305555555</v>
      </c>
      <c r="E459" s="2" t="s">
        <v>121</v>
      </c>
      <c r="F459" s="2" t="s">
        <v>5</v>
      </c>
      <c r="G459" s="2" t="s">
        <v>17</v>
      </c>
      <c r="H459" s="2" t="s">
        <v>182</v>
      </c>
      <c r="I459" s="2" t="s">
        <v>41</v>
      </c>
      <c r="J459" s="2" t="s">
        <v>41</v>
      </c>
      <c r="K459" s="2" t="s">
        <v>41</v>
      </c>
      <c r="L459" s="2" t="s">
        <v>21</v>
      </c>
      <c r="M459" s="2" t="s">
        <v>88</v>
      </c>
      <c r="N459" s="2" t="s">
        <v>1171</v>
      </c>
      <c r="O459" s="2" t="s">
        <v>41</v>
      </c>
      <c r="P459" s="2" t="s">
        <v>56</v>
      </c>
    </row>
    <row r="460" spans="1:16" hidden="1">
      <c r="A460" s="2">
        <v>11729</v>
      </c>
      <c r="B460" s="2" t="s">
        <v>1086</v>
      </c>
      <c r="C460" s="2" t="s">
        <v>1087</v>
      </c>
      <c r="D460" s="3">
        <v>46102.850694444445</v>
      </c>
      <c r="E460" s="2" t="s">
        <v>40</v>
      </c>
      <c r="F460" s="2" t="s">
        <v>5</v>
      </c>
      <c r="G460" s="2" t="s">
        <v>17</v>
      </c>
      <c r="H460" s="2" t="s">
        <v>46</v>
      </c>
      <c r="I460" s="2" t="s">
        <v>1088</v>
      </c>
      <c r="J460" s="2" t="s">
        <v>1089</v>
      </c>
      <c r="K460" s="2">
        <v>573030453.17741179</v>
      </c>
      <c r="L460" s="2" t="s">
        <v>21</v>
      </c>
      <c r="M460" s="2" t="s">
        <v>49</v>
      </c>
      <c r="N460" s="2" t="s">
        <v>1090</v>
      </c>
      <c r="O460" s="2" t="s">
        <v>41</v>
      </c>
      <c r="P460" s="2" t="s">
        <v>44</v>
      </c>
    </row>
    <row r="461" spans="1:16" hidden="1">
      <c r="A461" s="2">
        <v>11007</v>
      </c>
      <c r="B461" s="2" t="s">
        <v>160</v>
      </c>
      <c r="C461" s="2" t="s">
        <v>161</v>
      </c>
      <c r="D461" s="3">
        <v>46084.436111111107</v>
      </c>
      <c r="E461" s="2" t="s">
        <v>16</v>
      </c>
      <c r="F461" s="2" t="s">
        <v>41</v>
      </c>
      <c r="G461" s="2" t="s">
        <v>34</v>
      </c>
      <c r="H461" s="2" t="s">
        <v>18</v>
      </c>
      <c r="I461" s="2" t="s">
        <v>162</v>
      </c>
      <c r="J461" s="2" t="s">
        <v>163</v>
      </c>
      <c r="K461" s="2" t="s">
        <v>64</v>
      </c>
      <c r="L461" s="2" t="s">
        <v>21</v>
      </c>
      <c r="M461" s="2" t="s">
        <v>22</v>
      </c>
      <c r="N461" s="2" t="s">
        <v>164</v>
      </c>
      <c r="O461" s="2" t="s">
        <v>66</v>
      </c>
      <c r="P461" s="2" t="s">
        <v>25</v>
      </c>
    </row>
    <row r="462" spans="1:16" hidden="1">
      <c r="A462" s="2">
        <v>12023</v>
      </c>
      <c r="B462" s="2" t="s">
        <v>1341</v>
      </c>
      <c r="C462" s="2" t="s">
        <v>1342</v>
      </c>
      <c r="D462" s="3">
        <v>46108.406944444447</v>
      </c>
      <c r="E462" s="2" t="s">
        <v>801</v>
      </c>
      <c r="F462" s="2" t="s">
        <v>5</v>
      </c>
      <c r="G462" s="2" t="s">
        <v>17</v>
      </c>
      <c r="H462" s="2" t="s">
        <v>46</v>
      </c>
      <c r="I462" s="2" t="s">
        <v>1343</v>
      </c>
      <c r="J462" s="2" t="s">
        <v>1344</v>
      </c>
      <c r="K462" s="2">
        <v>1236283219.1774595</v>
      </c>
      <c r="L462" s="2" t="s">
        <v>21</v>
      </c>
      <c r="M462" s="2" t="s">
        <v>49</v>
      </c>
      <c r="N462" s="2" t="s">
        <v>1345</v>
      </c>
      <c r="O462" s="2" t="s">
        <v>41</v>
      </c>
      <c r="P462" s="2" t="s">
        <v>25</v>
      </c>
    </row>
  </sheetData>
  <autoFilter ref="A1:P462" xr:uid="{00000000-0001-0000-0000-000000000000}">
    <filterColumn colId="5">
      <filters>
        <filter val="No relevant"/>
      </filters>
    </filterColumn>
    <filterColumn colId="7">
      <filters>
        <filter val="LV RBI Company"/>
      </filters>
    </filterColumn>
    <sortState xmlns:xlrd2="http://schemas.microsoft.com/office/spreadsheetml/2017/richdata2" ref="A2:P462">
      <sortCondition ref="N1:N462"/>
    </sortState>
  </autoFilter>
  <conditionalFormatting sqref="N2:N462">
    <cfRule type="duplicateValues" dxfId="190" priority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E4F2-DC50-4331-8CB1-50A229123D1A}">
  <dimension ref="A1:N21"/>
  <sheetViews>
    <sheetView workbookViewId="0">
      <selection activeCell="C2" sqref="C2:C20"/>
    </sheetView>
  </sheetViews>
  <sheetFormatPr defaultRowHeight="14.4"/>
  <cols>
    <col min="1" max="1" width="12" style="2" customWidth="1"/>
    <col min="2" max="2" width="19.44140625" style="2" customWidth="1"/>
    <col min="3" max="3" width="61" style="2" customWidth="1"/>
    <col min="4" max="4" width="27" style="2" customWidth="1"/>
    <col min="5" max="5" width="30" style="2" customWidth="1"/>
    <col min="6" max="6" width="9" style="2" customWidth="1"/>
    <col min="7" max="7" width="10.44140625" style="2" customWidth="1"/>
    <col min="8" max="8" width="28.44140625" style="2" customWidth="1"/>
    <col min="9" max="9" width="9" style="2" customWidth="1"/>
    <col min="10" max="10" width="22.44140625" style="2" customWidth="1"/>
    <col min="11" max="11" width="10.44140625" style="2" customWidth="1"/>
    <col min="12" max="12" width="15" style="2" customWidth="1"/>
    <col min="13" max="13" width="12" style="2" customWidth="1"/>
    <col min="14" max="14" width="50" style="2" customWidth="1"/>
    <col min="15" max="16384" width="8.88671875" style="2"/>
  </cols>
  <sheetData>
    <row r="1" spans="1:14">
      <c r="A1" s="1" t="s">
        <v>0</v>
      </c>
      <c r="B1" s="1" t="s">
        <v>3</v>
      </c>
      <c r="C1" s="1" t="s">
        <v>2</v>
      </c>
      <c r="D1" s="1" t="s">
        <v>1516</v>
      </c>
      <c r="E1" s="1" t="s">
        <v>6</v>
      </c>
      <c r="F1" s="1" t="s">
        <v>4</v>
      </c>
      <c r="G1" s="1" t="s">
        <v>8</v>
      </c>
      <c r="H1" s="1" t="s">
        <v>13</v>
      </c>
      <c r="I1" s="1" t="s">
        <v>1517</v>
      </c>
      <c r="J1" s="1" t="s">
        <v>7</v>
      </c>
      <c r="K1" s="1" t="s">
        <v>9</v>
      </c>
      <c r="L1" s="1" t="s">
        <v>1518</v>
      </c>
      <c r="M1" s="1" t="s">
        <v>5</v>
      </c>
      <c r="N1" s="1" t="s">
        <v>1519</v>
      </c>
    </row>
    <row r="2" spans="1:14">
      <c r="A2" s="2">
        <v>10939</v>
      </c>
      <c r="B2" s="3">
        <v>46083.002083333333</v>
      </c>
      <c r="C2" s="2" t="s">
        <v>1520</v>
      </c>
      <c r="D2" s="2" t="s">
        <v>1103</v>
      </c>
      <c r="E2" s="2" t="s">
        <v>27</v>
      </c>
      <c r="F2" s="2" t="s">
        <v>1521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1522</v>
      </c>
    </row>
    <row r="3" spans="1:14">
      <c r="A3" s="2">
        <v>11141</v>
      </c>
      <c r="B3" s="3">
        <v>46087.026388888888</v>
      </c>
      <c r="C3" s="2" t="s">
        <v>1523</v>
      </c>
      <c r="D3" s="2" t="s">
        <v>1103</v>
      </c>
      <c r="E3" s="2" t="s">
        <v>27</v>
      </c>
      <c r="F3" s="2" t="s">
        <v>1521</v>
      </c>
      <c r="G3" s="2" t="s">
        <v>41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2" t="s">
        <v>41</v>
      </c>
      <c r="N3" s="2" t="s">
        <v>1524</v>
      </c>
    </row>
    <row r="4" spans="1:14">
      <c r="A4" s="2">
        <v>11235</v>
      </c>
      <c r="B4" s="3">
        <v>46090.856944444444</v>
      </c>
      <c r="C4" s="2" t="s">
        <v>1525</v>
      </c>
      <c r="D4" s="2" t="s">
        <v>1103</v>
      </c>
      <c r="E4" s="2" t="s">
        <v>27</v>
      </c>
      <c r="F4" s="2" t="s">
        <v>1521</v>
      </c>
      <c r="G4" s="2" t="s">
        <v>41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1526</v>
      </c>
    </row>
    <row r="5" spans="1:14">
      <c r="A5" s="2">
        <v>11241</v>
      </c>
      <c r="B5" s="3">
        <v>46091.104166666672</v>
      </c>
      <c r="C5" s="2" t="s">
        <v>1527</v>
      </c>
      <c r="D5" s="2" t="s">
        <v>1103</v>
      </c>
      <c r="E5" s="2" t="s">
        <v>27</v>
      </c>
      <c r="F5" s="2" t="s">
        <v>1521</v>
      </c>
      <c r="G5" s="2" t="s">
        <v>41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41</v>
      </c>
      <c r="N5" s="2" t="s">
        <v>1528</v>
      </c>
    </row>
    <row r="6" spans="1:14">
      <c r="A6" s="2">
        <v>11298</v>
      </c>
      <c r="B6" s="3">
        <v>46092.921527777777</v>
      </c>
      <c r="C6" s="2" t="s">
        <v>1529</v>
      </c>
      <c r="D6" s="2" t="s">
        <v>1103</v>
      </c>
      <c r="E6" s="2" t="s">
        <v>27</v>
      </c>
      <c r="F6" s="2" t="s">
        <v>1521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1530</v>
      </c>
    </row>
    <row r="7" spans="1:14">
      <c r="A7" s="2">
        <v>11311</v>
      </c>
      <c r="B7" s="3">
        <v>46093.1</v>
      </c>
      <c r="C7" s="2" t="s">
        <v>1531</v>
      </c>
      <c r="D7" s="2" t="s">
        <v>1103</v>
      </c>
      <c r="E7" s="2" t="s">
        <v>27</v>
      </c>
      <c r="F7" s="2" t="s">
        <v>1521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41</v>
      </c>
      <c r="N7" s="2" t="s">
        <v>1532</v>
      </c>
    </row>
    <row r="8" spans="1:14">
      <c r="A8" s="2">
        <v>11397</v>
      </c>
      <c r="B8" s="3">
        <v>46095.149305555555</v>
      </c>
      <c r="C8" s="2" t="s">
        <v>1533</v>
      </c>
      <c r="D8" s="2" t="s">
        <v>1103</v>
      </c>
      <c r="E8" s="2" t="s">
        <v>27</v>
      </c>
      <c r="F8" s="2" t="s">
        <v>1521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2" t="s">
        <v>1534</v>
      </c>
    </row>
    <row r="9" spans="1:14">
      <c r="A9" s="2">
        <v>11406</v>
      </c>
      <c r="B9" s="3">
        <v>46095.767361111109</v>
      </c>
      <c r="C9" s="2" t="s">
        <v>1535</v>
      </c>
      <c r="D9" s="2" t="s">
        <v>1103</v>
      </c>
      <c r="E9" s="2" t="s">
        <v>27</v>
      </c>
      <c r="F9" s="2" t="s">
        <v>1521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1536</v>
      </c>
    </row>
    <row r="10" spans="1:14">
      <c r="A10" s="2">
        <v>11419</v>
      </c>
      <c r="B10" s="3">
        <v>46096.34652777778</v>
      </c>
      <c r="C10" s="2" t="s">
        <v>1537</v>
      </c>
      <c r="D10" s="2" t="s">
        <v>1103</v>
      </c>
      <c r="E10" s="2" t="s">
        <v>27</v>
      </c>
      <c r="F10" s="2" t="s">
        <v>1521</v>
      </c>
      <c r="G10" s="2" t="s">
        <v>41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2" t="s">
        <v>41</v>
      </c>
      <c r="N10" s="2" t="s">
        <v>1538</v>
      </c>
    </row>
    <row r="11" spans="1:14">
      <c r="A11" s="2">
        <v>11527</v>
      </c>
      <c r="B11" s="3">
        <v>46098.481944444444</v>
      </c>
      <c r="C11" s="2" t="s">
        <v>1539</v>
      </c>
      <c r="D11" s="2" t="s">
        <v>1103</v>
      </c>
      <c r="E11" s="2" t="s">
        <v>27</v>
      </c>
      <c r="F11" s="2" t="s">
        <v>1521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1540</v>
      </c>
    </row>
    <row r="12" spans="1:14">
      <c r="A12" s="2">
        <v>11541</v>
      </c>
      <c r="B12" s="3">
        <v>46098.729861111111</v>
      </c>
      <c r="C12" s="2" t="s">
        <v>1541</v>
      </c>
      <c r="D12" s="2" t="s">
        <v>1103</v>
      </c>
      <c r="E12" s="2" t="s">
        <v>27</v>
      </c>
      <c r="F12" s="2" t="s">
        <v>1521</v>
      </c>
      <c r="G12" s="2" t="s">
        <v>41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2" t="s">
        <v>41</v>
      </c>
      <c r="N12" s="2" t="s">
        <v>1542</v>
      </c>
    </row>
    <row r="13" spans="1:14">
      <c r="A13" s="2">
        <v>11652</v>
      </c>
      <c r="B13" s="3">
        <v>46100.736805555556</v>
      </c>
      <c r="C13" s="2" t="s">
        <v>1543</v>
      </c>
      <c r="D13" s="2" t="s">
        <v>1103</v>
      </c>
      <c r="E13" s="2" t="s">
        <v>27</v>
      </c>
      <c r="F13" s="2" t="s">
        <v>1521</v>
      </c>
      <c r="G13" s="2" t="s">
        <v>41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2" t="s">
        <v>41</v>
      </c>
      <c r="N13" s="2" t="s">
        <v>1544</v>
      </c>
    </row>
    <row r="14" spans="1:14">
      <c r="A14" s="2">
        <v>11667</v>
      </c>
      <c r="B14" s="3">
        <v>46101.063194444447</v>
      </c>
      <c r="C14" s="2" t="s">
        <v>1545</v>
      </c>
      <c r="D14" s="2" t="s">
        <v>1103</v>
      </c>
      <c r="E14" s="2" t="s">
        <v>27</v>
      </c>
      <c r="F14" s="2" t="s">
        <v>1521</v>
      </c>
      <c r="G14" s="2" t="s">
        <v>41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2" t="s">
        <v>41</v>
      </c>
      <c r="N14" s="2" t="s">
        <v>1546</v>
      </c>
    </row>
    <row r="15" spans="1:14">
      <c r="A15" s="2">
        <v>11700</v>
      </c>
      <c r="B15" s="3">
        <v>46101.90902777778</v>
      </c>
      <c r="C15" s="2" t="s">
        <v>1547</v>
      </c>
      <c r="D15" s="2" t="s">
        <v>1548</v>
      </c>
      <c r="E15" s="2" t="s">
        <v>27</v>
      </c>
      <c r="F15" s="2" t="s">
        <v>1521</v>
      </c>
      <c r="G15" s="2" t="s">
        <v>41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1549</v>
      </c>
    </row>
    <row r="16" spans="1:14">
      <c r="A16" s="2">
        <v>11752</v>
      </c>
      <c r="B16" s="3">
        <v>46103.696527777778</v>
      </c>
      <c r="C16" s="2" t="s">
        <v>1550</v>
      </c>
      <c r="D16" s="2" t="s">
        <v>1118</v>
      </c>
      <c r="E16" s="2" t="s">
        <v>27</v>
      </c>
      <c r="F16" s="2" t="s">
        <v>1521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1551</v>
      </c>
    </row>
    <row r="17" spans="1:14">
      <c r="A17" s="2">
        <v>11765</v>
      </c>
      <c r="B17" s="3">
        <v>46104.082638888889</v>
      </c>
      <c r="C17" s="2" t="s">
        <v>1552</v>
      </c>
      <c r="D17" s="2" t="s">
        <v>1553</v>
      </c>
      <c r="E17" s="2" t="s">
        <v>27</v>
      </c>
      <c r="F17" s="2" t="s">
        <v>1521</v>
      </c>
      <c r="G17" s="2" t="s">
        <v>41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41</v>
      </c>
      <c r="N17" s="2" t="s">
        <v>1554</v>
      </c>
    </row>
    <row r="18" spans="1:14">
      <c r="A18" s="2">
        <v>11934</v>
      </c>
      <c r="B18" s="3">
        <v>46106.688194444447</v>
      </c>
      <c r="C18" s="2" t="s">
        <v>1555</v>
      </c>
      <c r="D18" s="2" t="s">
        <v>1556</v>
      </c>
      <c r="E18" s="2" t="s">
        <v>27</v>
      </c>
      <c r="F18" s="2" t="s">
        <v>1521</v>
      </c>
      <c r="G18" s="2" t="s">
        <v>41</v>
      </c>
      <c r="H18" s="2" t="s">
        <v>41</v>
      </c>
      <c r="I18" s="2" t="s">
        <v>41</v>
      </c>
      <c r="J18" s="2" t="s">
        <v>41</v>
      </c>
      <c r="K18" s="2" t="s">
        <v>41</v>
      </c>
      <c r="L18" s="3">
        <v>46111.875</v>
      </c>
      <c r="M18" s="2" t="s">
        <v>41</v>
      </c>
      <c r="N18" s="2" t="s">
        <v>1557</v>
      </c>
    </row>
    <row r="19" spans="1:14">
      <c r="A19" s="2">
        <v>12048</v>
      </c>
      <c r="B19" s="3">
        <v>46108.877083333333</v>
      </c>
      <c r="C19" s="2" t="s">
        <v>1558</v>
      </c>
      <c r="D19" s="2" t="s">
        <v>1368</v>
      </c>
      <c r="E19" s="2" t="s">
        <v>17</v>
      </c>
      <c r="F19" s="2" t="s">
        <v>1521</v>
      </c>
      <c r="G19" s="2" t="s">
        <v>41</v>
      </c>
      <c r="H19" s="2" t="s">
        <v>41</v>
      </c>
      <c r="I19" s="2" t="s">
        <v>41</v>
      </c>
      <c r="J19" s="2" t="s">
        <v>41</v>
      </c>
      <c r="K19" s="2" t="s">
        <v>41</v>
      </c>
      <c r="L19" s="3">
        <v>46112.520833333328</v>
      </c>
      <c r="M19" s="2" t="s">
        <v>41</v>
      </c>
      <c r="N19" s="2" t="s">
        <v>1559</v>
      </c>
    </row>
    <row r="20" spans="1:14">
      <c r="A20" s="2">
        <v>12097</v>
      </c>
      <c r="B20" s="3">
        <v>46111.395833333328</v>
      </c>
      <c r="C20" s="2" t="s">
        <v>1560</v>
      </c>
      <c r="D20" s="2" t="s">
        <v>1561</v>
      </c>
      <c r="E20" s="2" t="s">
        <v>27</v>
      </c>
      <c r="F20" s="2" t="s">
        <v>1521</v>
      </c>
      <c r="G20" s="2" t="s">
        <v>41</v>
      </c>
      <c r="H20" s="2" t="s">
        <v>41</v>
      </c>
      <c r="I20" s="2" t="s">
        <v>41</v>
      </c>
      <c r="J20" s="2" t="s">
        <v>41</v>
      </c>
      <c r="K20" s="2" t="s">
        <v>41</v>
      </c>
      <c r="L20" s="3">
        <v>46112.895833333328</v>
      </c>
      <c r="M20" s="2" t="s">
        <v>41</v>
      </c>
      <c r="N20" s="2" t="s">
        <v>1562</v>
      </c>
    </row>
    <row r="21" spans="1:14" ht="18">
      <c r="A21" s="4" t="s">
        <v>41</v>
      </c>
      <c r="B21" s="4" t="s">
        <v>41</v>
      </c>
      <c r="C21" s="4" t="s">
        <v>41</v>
      </c>
      <c r="D21" s="4" t="s">
        <v>41</v>
      </c>
      <c r="E21" s="4" t="s">
        <v>41</v>
      </c>
      <c r="F21" s="4" t="s">
        <v>41</v>
      </c>
      <c r="G21" s="4" t="s">
        <v>41</v>
      </c>
      <c r="H21" s="4" t="s">
        <v>41</v>
      </c>
      <c r="I21" s="4" t="s">
        <v>41</v>
      </c>
      <c r="J21" s="4" t="s">
        <v>41</v>
      </c>
      <c r="K21" s="4" t="s">
        <v>41</v>
      </c>
      <c r="L21" s="4" t="s">
        <v>41</v>
      </c>
      <c r="M21" s="4" t="s">
        <v>41</v>
      </c>
      <c r="N21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8DBB-9F01-402A-B3FC-7F79938596E6}">
  <sheetPr>
    <tabColor rgb="FFFFFF00"/>
  </sheetPr>
  <dimension ref="A1:G119"/>
  <sheetViews>
    <sheetView topLeftCell="A7" workbookViewId="0">
      <selection activeCell="A116" sqref="A116"/>
    </sheetView>
  </sheetViews>
  <sheetFormatPr defaultRowHeight="14.4"/>
  <cols>
    <col min="1" max="1" width="23.5546875" style="6" customWidth="1"/>
    <col min="2" max="2" width="8.33203125" style="6" customWidth="1"/>
    <col min="3" max="3" width="9" style="6" customWidth="1"/>
    <col min="4" max="6" width="8.88671875" style="6"/>
    <col min="7" max="7" width="11.88671875" style="6" customWidth="1"/>
    <col min="8" max="16384" width="8.88671875" style="6"/>
  </cols>
  <sheetData>
    <row r="1" spans="1:7" ht="27.6" thickBot="1">
      <c r="A1" s="12" t="s">
        <v>1564</v>
      </c>
      <c r="B1" s="13" t="s">
        <v>1506</v>
      </c>
      <c r="C1" s="13" t="s">
        <v>1508</v>
      </c>
      <c r="D1" s="13" t="s">
        <v>182</v>
      </c>
      <c r="E1" s="13" t="s">
        <v>1565</v>
      </c>
      <c r="F1" s="13" t="s">
        <v>1509</v>
      </c>
      <c r="G1" s="14" t="s">
        <v>99</v>
      </c>
    </row>
    <row r="2" spans="1:7">
      <c r="A2" s="6" t="s">
        <v>578</v>
      </c>
      <c r="B2" s="6">
        <v>0</v>
      </c>
      <c r="C2" s="6">
        <v>0</v>
      </c>
      <c r="D2" s="6">
        <v>0</v>
      </c>
      <c r="E2" s="6">
        <v>0</v>
      </c>
      <c r="G2" s="15"/>
    </row>
    <row r="3" spans="1:7">
      <c r="A3" s="6" t="s">
        <v>1566</v>
      </c>
      <c r="B3" s="6">
        <v>0</v>
      </c>
      <c r="C3" s="6">
        <v>0</v>
      </c>
      <c r="D3" s="6">
        <v>0</v>
      </c>
      <c r="E3" s="6">
        <v>0</v>
      </c>
      <c r="G3" s="15"/>
    </row>
    <row r="4" spans="1:7">
      <c r="A4" s="6" t="s">
        <v>1567</v>
      </c>
      <c r="B4" s="6">
        <v>4098.49</v>
      </c>
      <c r="C4" s="6">
        <v>351.68</v>
      </c>
      <c r="D4" s="6">
        <v>0</v>
      </c>
      <c r="E4" s="6">
        <v>0</v>
      </c>
      <c r="F4" s="6">
        <v>1448.7</v>
      </c>
      <c r="G4" s="15"/>
    </row>
    <row r="5" spans="1:7">
      <c r="A5" s="6" t="s">
        <v>1568</v>
      </c>
      <c r="B5" s="6">
        <v>77.489999999999995</v>
      </c>
      <c r="C5" s="6">
        <v>44.34</v>
      </c>
      <c r="D5" s="6">
        <v>2.85</v>
      </c>
      <c r="F5" s="6">
        <v>0</v>
      </c>
      <c r="G5" s="15"/>
    </row>
    <row r="6" spans="1:7">
      <c r="A6" s="6" t="s">
        <v>1569</v>
      </c>
      <c r="B6" s="6">
        <f>SUM(B2:B5)</f>
        <v>4175.9799999999996</v>
      </c>
      <c r="C6" s="6">
        <f>SUM(C2:C5)</f>
        <v>396.02</v>
      </c>
      <c r="D6" s="6">
        <f>SUM(D2:D5)</f>
        <v>2.85</v>
      </c>
      <c r="E6" s="6">
        <f>SUM(E2:E5)</f>
        <v>0</v>
      </c>
      <c r="F6" s="6">
        <f>SUM(F2:F5)</f>
        <v>1448.7</v>
      </c>
      <c r="G6" s="6">
        <v>200</v>
      </c>
    </row>
    <row r="8" spans="1:7">
      <c r="A8" s="16" t="s">
        <v>1570</v>
      </c>
      <c r="B8" s="16">
        <v>254</v>
      </c>
      <c r="C8" s="16">
        <v>19</v>
      </c>
      <c r="D8" s="16">
        <v>6</v>
      </c>
      <c r="E8" s="16">
        <v>0</v>
      </c>
      <c r="F8" s="16">
        <v>94</v>
      </c>
      <c r="G8" s="16">
        <v>28</v>
      </c>
    </row>
    <row r="9" spans="1:7">
      <c r="A9" s="16" t="s">
        <v>1501</v>
      </c>
      <c r="B9" s="16">
        <v>18</v>
      </c>
      <c r="C9" s="16">
        <v>3</v>
      </c>
      <c r="D9" s="16">
        <v>0</v>
      </c>
      <c r="E9" s="16">
        <v>0</v>
      </c>
      <c r="F9" s="16">
        <v>1</v>
      </c>
      <c r="G9" s="16">
        <v>1</v>
      </c>
    </row>
    <row r="10" spans="1:7">
      <c r="A10" s="16" t="s">
        <v>1571</v>
      </c>
      <c r="B10" s="17">
        <f t="shared" ref="B10:G10" si="0">B6/B9</f>
        <v>231.99888888888887</v>
      </c>
      <c r="C10" s="17">
        <f t="shared" si="0"/>
        <v>132.00666666666666</v>
      </c>
      <c r="D10" s="17" t="e">
        <f t="shared" si="0"/>
        <v>#DIV/0!</v>
      </c>
      <c r="E10" s="17" t="e">
        <f t="shared" si="0"/>
        <v>#DIV/0!</v>
      </c>
      <c r="F10" s="17">
        <f t="shared" si="0"/>
        <v>1448.7</v>
      </c>
      <c r="G10" s="17">
        <f t="shared" si="0"/>
        <v>200</v>
      </c>
    </row>
    <row r="11" spans="1:7">
      <c r="A11" s="16" t="s">
        <v>1572</v>
      </c>
      <c r="B11" s="18">
        <f t="shared" ref="B11:G11" si="1">B9/B8</f>
        <v>7.0866141732283464E-2</v>
      </c>
      <c r="C11" s="18">
        <f t="shared" si="1"/>
        <v>0.15789473684210525</v>
      </c>
      <c r="D11" s="18">
        <f t="shared" si="1"/>
        <v>0</v>
      </c>
      <c r="E11" s="18" t="e">
        <f t="shared" si="1"/>
        <v>#DIV/0!</v>
      </c>
      <c r="F11" s="18">
        <f t="shared" si="1"/>
        <v>1.0638297872340425E-2</v>
      </c>
      <c r="G11" s="18">
        <f t="shared" si="1"/>
        <v>3.5714285714285712E-2</v>
      </c>
    </row>
    <row r="12" spans="1:7">
      <c r="A12" s="16" t="s">
        <v>1573</v>
      </c>
      <c r="B12" s="19">
        <v>3459</v>
      </c>
      <c r="C12" s="19">
        <v>1885</v>
      </c>
      <c r="D12" s="18"/>
      <c r="E12" s="18"/>
    </row>
    <row r="13" spans="1:7">
      <c r="A13" s="16" t="s">
        <v>1574</v>
      </c>
      <c r="B13" s="18">
        <f>(B8+D8+E8)/B12</f>
        <v>7.5166233015322353E-2</v>
      </c>
      <c r="C13" s="18">
        <f>(C8+F8)/C12</f>
        <v>5.9946949602122018E-2</v>
      </c>
      <c r="D13" s="18"/>
      <c r="E13" s="18"/>
    </row>
    <row r="15" spans="1:7">
      <c r="A15" s="6" t="s">
        <v>1575</v>
      </c>
      <c r="B15" s="6">
        <v>1</v>
      </c>
      <c r="C15" s="6">
        <v>0</v>
      </c>
      <c r="D15" s="6">
        <v>0</v>
      </c>
      <c r="F15" s="6">
        <v>0</v>
      </c>
    </row>
    <row r="16" spans="1:7">
      <c r="A16" s="6" t="s">
        <v>1576</v>
      </c>
      <c r="B16" s="6">
        <v>0</v>
      </c>
      <c r="C16" s="6">
        <v>0</v>
      </c>
      <c r="D16" s="6">
        <v>0</v>
      </c>
      <c r="F16" s="6">
        <v>0</v>
      </c>
    </row>
    <row r="17" spans="1:6">
      <c r="A17" s="6" t="s">
        <v>1577</v>
      </c>
      <c r="B17" s="6">
        <v>176</v>
      </c>
      <c r="C17" s="6">
        <v>5</v>
      </c>
      <c r="D17" s="6">
        <v>2</v>
      </c>
      <c r="F17" s="6">
        <v>79</v>
      </c>
    </row>
    <row r="18" spans="1:6">
      <c r="A18" s="6" t="s">
        <v>1578</v>
      </c>
      <c r="B18" s="6">
        <v>10</v>
      </c>
      <c r="C18" s="6">
        <v>5</v>
      </c>
      <c r="D18" s="6">
        <v>0</v>
      </c>
      <c r="F18" s="6">
        <v>0</v>
      </c>
    </row>
    <row r="19" spans="1:6">
      <c r="A19" s="6" t="s">
        <v>1579</v>
      </c>
      <c r="B19" s="6">
        <f>B8-B15-B16-B17-B18</f>
        <v>67</v>
      </c>
      <c r="C19" s="6">
        <f>C8-C15-C16-C17-C18</f>
        <v>9</v>
      </c>
      <c r="D19" s="6">
        <f>D8-D15-D16-D17-D18</f>
        <v>4</v>
      </c>
      <c r="E19" s="6">
        <f>E8-E15-E16-E17-E18</f>
        <v>0</v>
      </c>
      <c r="F19" s="6">
        <f>F8-F15-F16-F17-F18</f>
        <v>15</v>
      </c>
    </row>
    <row r="21" spans="1:6">
      <c r="A21" s="20" t="s">
        <v>4539</v>
      </c>
    </row>
    <row r="22" spans="1:6">
      <c r="A22" s="6" t="s">
        <v>1570</v>
      </c>
      <c r="B22" s="6">
        <v>255</v>
      </c>
      <c r="C22" s="6">
        <v>31</v>
      </c>
      <c r="D22" s="6">
        <v>40</v>
      </c>
      <c r="E22" s="6">
        <v>4</v>
      </c>
      <c r="F22" s="6">
        <v>77</v>
      </c>
    </row>
    <row r="23" spans="1:6">
      <c r="A23" s="6" t="s">
        <v>1573</v>
      </c>
      <c r="B23" s="21">
        <v>3474</v>
      </c>
      <c r="C23" s="21">
        <v>1828</v>
      </c>
    </row>
    <row r="24" spans="1:6">
      <c r="A24" s="6" t="s">
        <v>1574</v>
      </c>
      <c r="B24" s="11">
        <v>8.6067933218192283E-2</v>
      </c>
      <c r="C24" s="11">
        <v>5.9080962800875277E-2</v>
      </c>
    </row>
    <row r="25" spans="1:6">
      <c r="A25" s="6" t="s">
        <v>1580</v>
      </c>
      <c r="B25" s="11">
        <v>4.3137254901960784E-2</v>
      </c>
      <c r="C25" s="11">
        <v>9.6774193548387094E-2</v>
      </c>
    </row>
    <row r="27" spans="1:6">
      <c r="A27" s="16" t="s">
        <v>4540</v>
      </c>
    </row>
    <row r="28" spans="1:6">
      <c r="A28" s="6" t="s">
        <v>1570</v>
      </c>
      <c r="B28" s="15">
        <f>((B8+D8+E8)-(B22+D22+E22))/(B22+D22+E22)</f>
        <v>-0.13043478260869565</v>
      </c>
      <c r="C28" s="15">
        <f>((C8+F8)-(C22+F22))/(C22+F22)</f>
        <v>4.6296296296296294E-2</v>
      </c>
    </row>
    <row r="29" spans="1:6">
      <c r="A29" s="6" t="s">
        <v>1573</v>
      </c>
      <c r="B29" s="15">
        <f>(B12-B23)/B23</f>
        <v>-4.3177892918825561E-3</v>
      </c>
      <c r="C29" s="15">
        <f>(C12-C23)/C23</f>
        <v>3.1181619256017507E-2</v>
      </c>
    </row>
    <row r="30" spans="1:6">
      <c r="A30" s="6" t="s">
        <v>1574</v>
      </c>
      <c r="B30" s="22">
        <f>B13-B24</f>
        <v>-1.0901700202869929E-2</v>
      </c>
      <c r="C30" s="22">
        <f>C13-C24</f>
        <v>8.6598680124674171E-4</v>
      </c>
    </row>
    <row r="31" spans="1:6">
      <c r="A31" s="6" t="s">
        <v>1580</v>
      </c>
      <c r="B31" s="22">
        <f>B11-B25</f>
        <v>2.772888683032268E-2</v>
      </c>
      <c r="C31" s="22">
        <f>C11-C25</f>
        <v>6.112054329371816E-2</v>
      </c>
    </row>
    <row r="34" spans="1:6">
      <c r="A34" s="20" t="s">
        <v>4539</v>
      </c>
    </row>
    <row r="35" spans="1:6">
      <c r="A35" s="6" t="s">
        <v>1575</v>
      </c>
      <c r="B35" s="6">
        <v>16</v>
      </c>
      <c r="C35" s="6">
        <v>0</v>
      </c>
      <c r="D35" s="6">
        <v>0</v>
      </c>
      <c r="F35" s="6">
        <v>0</v>
      </c>
    </row>
    <row r="36" spans="1:6">
      <c r="A36" s="6" t="s">
        <v>1576</v>
      </c>
      <c r="B36" s="6">
        <v>2</v>
      </c>
      <c r="C36" s="6">
        <v>0</v>
      </c>
      <c r="D36" s="6">
        <v>0</v>
      </c>
      <c r="F36" s="6">
        <v>0</v>
      </c>
    </row>
    <row r="37" spans="1:6">
      <c r="A37" s="6" t="s">
        <v>1577</v>
      </c>
      <c r="B37" s="6">
        <v>146</v>
      </c>
      <c r="C37" s="6">
        <v>12</v>
      </c>
      <c r="D37" s="6">
        <v>29</v>
      </c>
      <c r="E37" s="6">
        <v>1</v>
      </c>
      <c r="F37" s="6">
        <v>59</v>
      </c>
    </row>
    <row r="38" spans="1:6">
      <c r="A38" s="6" t="s">
        <v>1578</v>
      </c>
      <c r="B38" s="6">
        <v>10</v>
      </c>
      <c r="C38" s="6">
        <v>2</v>
      </c>
      <c r="D38" s="6">
        <v>0</v>
      </c>
      <c r="F38" s="6">
        <v>0</v>
      </c>
    </row>
    <row r="39" spans="1:6">
      <c r="A39" s="6" t="s">
        <v>1579</v>
      </c>
      <c r="B39" s="6">
        <v>81</v>
      </c>
      <c r="C39" s="6">
        <v>17</v>
      </c>
      <c r="D39" s="6">
        <v>11</v>
      </c>
      <c r="E39" s="6">
        <v>3</v>
      </c>
      <c r="F39" s="6">
        <v>18</v>
      </c>
    </row>
    <row r="40" spans="1:6" s="16" customFormat="1" ht="13.2">
      <c r="A40" s="16" t="s">
        <v>1581</v>
      </c>
      <c r="B40" s="16">
        <f>SUM(B35:B39)</f>
        <v>255</v>
      </c>
      <c r="C40" s="16">
        <f>SUM(C35:C39)</f>
        <v>31</v>
      </c>
      <c r="D40" s="16">
        <f>SUM(D35:D39)</f>
        <v>40</v>
      </c>
      <c r="E40" s="16">
        <f>SUM(E35:E39)</f>
        <v>4</v>
      </c>
      <c r="F40" s="16">
        <f>SUM(F35:F39)</f>
        <v>77</v>
      </c>
    </row>
    <row r="42" spans="1:6">
      <c r="A42" s="16" t="s">
        <v>4541</v>
      </c>
    </row>
    <row r="43" spans="1:6">
      <c r="A43" s="6" t="s">
        <v>1575</v>
      </c>
      <c r="B43" s="6">
        <f t="shared" ref="B43:F47" si="2">B15-B35</f>
        <v>-15</v>
      </c>
      <c r="C43" s="6">
        <f t="shared" si="2"/>
        <v>0</v>
      </c>
      <c r="D43" s="6">
        <f t="shared" si="2"/>
        <v>0</v>
      </c>
      <c r="E43" s="6">
        <f t="shared" si="2"/>
        <v>0</v>
      </c>
      <c r="F43" s="6">
        <f t="shared" si="2"/>
        <v>0</v>
      </c>
    </row>
    <row r="44" spans="1:6">
      <c r="A44" s="6" t="s">
        <v>1576</v>
      </c>
      <c r="B44" s="6">
        <f t="shared" si="2"/>
        <v>-2</v>
      </c>
      <c r="C44" s="6">
        <f t="shared" si="2"/>
        <v>0</v>
      </c>
      <c r="D44" s="6">
        <f t="shared" si="2"/>
        <v>0</v>
      </c>
      <c r="E44" s="6">
        <f t="shared" si="2"/>
        <v>0</v>
      </c>
      <c r="F44" s="6">
        <f t="shared" si="2"/>
        <v>0</v>
      </c>
    </row>
    <row r="45" spans="1:6">
      <c r="A45" s="6" t="s">
        <v>1577</v>
      </c>
      <c r="B45" s="6">
        <f t="shared" si="2"/>
        <v>30</v>
      </c>
      <c r="C45" s="6">
        <f t="shared" si="2"/>
        <v>-7</v>
      </c>
      <c r="D45" s="6">
        <f t="shared" si="2"/>
        <v>-27</v>
      </c>
      <c r="E45" s="6">
        <f t="shared" si="2"/>
        <v>-1</v>
      </c>
      <c r="F45" s="6">
        <f t="shared" si="2"/>
        <v>20</v>
      </c>
    </row>
    <row r="46" spans="1:6">
      <c r="A46" s="6" t="s">
        <v>1578</v>
      </c>
      <c r="B46" s="6">
        <f t="shared" si="2"/>
        <v>0</v>
      </c>
      <c r="C46" s="6">
        <f t="shared" si="2"/>
        <v>3</v>
      </c>
      <c r="D46" s="6">
        <f t="shared" si="2"/>
        <v>0</v>
      </c>
      <c r="E46" s="6">
        <f t="shared" si="2"/>
        <v>0</v>
      </c>
      <c r="F46" s="6">
        <f t="shared" si="2"/>
        <v>0</v>
      </c>
    </row>
    <row r="47" spans="1:6">
      <c r="A47" s="6" t="s">
        <v>1579</v>
      </c>
      <c r="B47" s="6">
        <f t="shared" si="2"/>
        <v>-14</v>
      </c>
      <c r="C47" s="6">
        <f t="shared" si="2"/>
        <v>-8</v>
      </c>
      <c r="D47" s="6">
        <f t="shared" si="2"/>
        <v>-7</v>
      </c>
      <c r="E47" s="6">
        <f t="shared" si="2"/>
        <v>-3</v>
      </c>
      <c r="F47" s="6">
        <f t="shared" si="2"/>
        <v>-3</v>
      </c>
    </row>
    <row r="48" spans="1:6" s="16" customFormat="1" ht="13.2">
      <c r="A48" s="16" t="s">
        <v>1581</v>
      </c>
      <c r="B48" s="16">
        <f>SUM(B43:B47)</f>
        <v>-1</v>
      </c>
      <c r="C48" s="16">
        <f>SUM(C43:C47)</f>
        <v>-12</v>
      </c>
      <c r="D48" s="16">
        <f>SUM(D43:D47)</f>
        <v>-34</v>
      </c>
      <c r="E48" s="16">
        <f>SUM(E43:E47)</f>
        <v>-4</v>
      </c>
      <c r="F48" s="16">
        <f>SUM(F43:F47)</f>
        <v>17</v>
      </c>
    </row>
    <row r="50" spans="1:6">
      <c r="A50" s="16" t="s">
        <v>4542</v>
      </c>
    </row>
    <row r="51" spans="1:6">
      <c r="A51" s="6" t="s">
        <v>1575</v>
      </c>
      <c r="B51" s="15">
        <f t="shared" ref="B51:E55" si="3">-(B35-B15)/B35</f>
        <v>-0.9375</v>
      </c>
      <c r="C51" s="15" t="e">
        <f t="shared" si="3"/>
        <v>#DIV/0!</v>
      </c>
      <c r="D51" s="15" t="e">
        <f t="shared" si="3"/>
        <v>#DIV/0!</v>
      </c>
      <c r="E51" s="15" t="e">
        <f t="shared" si="3"/>
        <v>#DIV/0!</v>
      </c>
    </row>
    <row r="52" spans="1:6">
      <c r="A52" s="6" t="s">
        <v>1576</v>
      </c>
      <c r="B52" s="15">
        <f t="shared" si="3"/>
        <v>-1</v>
      </c>
      <c r="C52" s="15" t="e">
        <f t="shared" si="3"/>
        <v>#DIV/0!</v>
      </c>
      <c r="D52" s="15" t="e">
        <f t="shared" si="3"/>
        <v>#DIV/0!</v>
      </c>
      <c r="E52" s="15" t="e">
        <f t="shared" si="3"/>
        <v>#DIV/0!</v>
      </c>
    </row>
    <row r="53" spans="1:6">
      <c r="A53" s="6" t="s">
        <v>1577</v>
      </c>
      <c r="B53" s="15">
        <f t="shared" si="3"/>
        <v>0.20547945205479451</v>
      </c>
      <c r="C53" s="15">
        <f t="shared" si="3"/>
        <v>-0.58333333333333337</v>
      </c>
      <c r="D53" s="15">
        <f t="shared" si="3"/>
        <v>-0.93103448275862066</v>
      </c>
      <c r="E53" s="15">
        <f t="shared" si="3"/>
        <v>-1</v>
      </c>
    </row>
    <row r="54" spans="1:6">
      <c r="A54" s="6" t="s">
        <v>1578</v>
      </c>
      <c r="B54" s="15">
        <f t="shared" si="3"/>
        <v>0</v>
      </c>
      <c r="C54" s="15">
        <f t="shared" si="3"/>
        <v>1.5</v>
      </c>
      <c r="D54" s="15" t="e">
        <f t="shared" si="3"/>
        <v>#DIV/0!</v>
      </c>
      <c r="E54" s="15" t="e">
        <f t="shared" si="3"/>
        <v>#DIV/0!</v>
      </c>
      <c r="F54" s="15" t="e">
        <f>-(F38-F18)/F38</f>
        <v>#DIV/0!</v>
      </c>
    </row>
    <row r="55" spans="1:6">
      <c r="A55" s="6" t="s">
        <v>1579</v>
      </c>
      <c r="B55" s="15">
        <f t="shared" si="3"/>
        <v>-0.1728395061728395</v>
      </c>
      <c r="C55" s="15">
        <f t="shared" si="3"/>
        <v>-0.47058823529411764</v>
      </c>
      <c r="D55" s="15">
        <f t="shared" si="3"/>
        <v>-0.63636363636363635</v>
      </c>
      <c r="E55" s="15">
        <f t="shared" si="3"/>
        <v>-1</v>
      </c>
    </row>
    <row r="56" spans="1:6" s="16" customFormat="1" ht="13.2">
      <c r="A56" s="16" t="s">
        <v>1581</v>
      </c>
      <c r="B56" s="23">
        <f>-(B40-B8)/B40</f>
        <v>-3.9215686274509803E-3</v>
      </c>
      <c r="C56" s="23">
        <f>-(C40-C8)/C40</f>
        <v>-0.38709677419354838</v>
      </c>
      <c r="D56" s="23">
        <f>-(D40-D8)/D40</f>
        <v>-0.85</v>
      </c>
      <c r="E56" s="23">
        <f>-(E40-E8)/E40</f>
        <v>-1</v>
      </c>
      <c r="F56" s="23">
        <f>-(F40-F8)/F40</f>
        <v>0.22077922077922077</v>
      </c>
    </row>
    <row r="58" spans="1:6">
      <c r="A58" s="6" t="s">
        <v>1582</v>
      </c>
      <c r="B58" s="24">
        <f t="shared" ref="B58:F61" si="4">B2/B15</f>
        <v>0</v>
      </c>
      <c r="C58" s="24" t="e">
        <f t="shared" si="4"/>
        <v>#DIV/0!</v>
      </c>
      <c r="D58" s="24" t="e">
        <f t="shared" si="4"/>
        <v>#DIV/0!</v>
      </c>
      <c r="E58" s="24"/>
      <c r="F58" s="24" t="e">
        <f t="shared" si="4"/>
        <v>#DIV/0!</v>
      </c>
    </row>
    <row r="59" spans="1:6">
      <c r="A59" s="6" t="s">
        <v>1583</v>
      </c>
      <c r="B59" s="24" t="e">
        <f t="shared" si="4"/>
        <v>#DIV/0!</v>
      </c>
      <c r="C59" s="24" t="e">
        <f t="shared" si="4"/>
        <v>#DIV/0!</v>
      </c>
      <c r="D59" s="24" t="e">
        <f t="shared" si="4"/>
        <v>#DIV/0!</v>
      </c>
      <c r="E59" s="24"/>
      <c r="F59" s="24" t="e">
        <f t="shared" si="4"/>
        <v>#DIV/0!</v>
      </c>
    </row>
    <row r="60" spans="1:6">
      <c r="A60" s="6" t="s">
        <v>1584</v>
      </c>
      <c r="B60" s="24">
        <f t="shared" si="4"/>
        <v>23.286874999999998</v>
      </c>
      <c r="C60" s="24">
        <f t="shared" si="4"/>
        <v>70.335999999999999</v>
      </c>
      <c r="D60" s="24">
        <f t="shared" si="4"/>
        <v>0</v>
      </c>
      <c r="E60" s="24" t="e">
        <f t="shared" si="4"/>
        <v>#DIV/0!</v>
      </c>
      <c r="F60" s="24">
        <f t="shared" si="4"/>
        <v>18.337974683544303</v>
      </c>
    </row>
    <row r="61" spans="1:6">
      <c r="A61" s="6" t="s">
        <v>1585</v>
      </c>
      <c r="B61" s="24">
        <f t="shared" si="4"/>
        <v>7.7489999999999997</v>
      </c>
      <c r="C61" s="24">
        <f t="shared" si="4"/>
        <v>8.8680000000000003</v>
      </c>
      <c r="D61" s="24" t="e">
        <f t="shared" si="4"/>
        <v>#DIV/0!</v>
      </c>
      <c r="E61" s="24"/>
      <c r="F61" s="24" t="e">
        <f t="shared" si="4"/>
        <v>#DIV/0!</v>
      </c>
    </row>
    <row r="62" spans="1:6">
      <c r="A62" s="6" t="s">
        <v>1586</v>
      </c>
      <c r="B62" s="24">
        <f>B6/B8</f>
        <v>16.440866141732283</v>
      </c>
      <c r="C62" s="24">
        <f>C6/C8</f>
        <v>20.843157894736841</v>
      </c>
      <c r="D62" s="24">
        <f>D6/D8</f>
        <v>0.47500000000000003</v>
      </c>
      <c r="E62" s="24" t="e">
        <f>E6/E8</f>
        <v>#DIV/0!</v>
      </c>
      <c r="F62" s="24">
        <f>F6/F8</f>
        <v>15.411702127659575</v>
      </c>
    </row>
    <row r="64" spans="1:6">
      <c r="A64" s="20" t="s">
        <v>4539</v>
      </c>
    </row>
    <row r="65" spans="1:7">
      <c r="A65" s="6" t="s">
        <v>1582</v>
      </c>
      <c r="B65" s="25">
        <v>0</v>
      </c>
      <c r="C65" s="25" t="e">
        <v>#DIV/0!</v>
      </c>
      <c r="D65" s="25" t="e">
        <v>#DIV/0!</v>
      </c>
      <c r="E65" s="25"/>
      <c r="F65" s="25" t="e">
        <v>#DIV/0!</v>
      </c>
    </row>
    <row r="66" spans="1:7">
      <c r="A66" s="6" t="s">
        <v>1583</v>
      </c>
      <c r="B66" s="25">
        <v>0</v>
      </c>
      <c r="C66" s="25" t="e">
        <v>#DIV/0!</v>
      </c>
      <c r="D66" s="25" t="e">
        <v>#DIV/0!</v>
      </c>
      <c r="E66" s="25"/>
      <c r="F66" s="25" t="e">
        <v>#DIV/0!</v>
      </c>
    </row>
    <row r="67" spans="1:7">
      <c r="A67" s="6" t="s">
        <v>1584</v>
      </c>
      <c r="B67" s="25">
        <v>23.649452054794523</v>
      </c>
      <c r="C67" s="25">
        <v>49.807500000000005</v>
      </c>
      <c r="D67" s="25">
        <v>3.6020689655172418</v>
      </c>
      <c r="E67" s="25">
        <v>12.04</v>
      </c>
      <c r="F67" s="25">
        <v>15.103389830508474</v>
      </c>
    </row>
    <row r="68" spans="1:7">
      <c r="A68" s="6" t="s">
        <v>1585</v>
      </c>
      <c r="B68" s="25">
        <v>14.327999999999999</v>
      </c>
      <c r="C68" s="25">
        <v>20.495000000000001</v>
      </c>
      <c r="D68" s="25" t="e">
        <v>#DIV/0!</v>
      </c>
      <c r="E68" s="25"/>
      <c r="F68" s="25" t="e">
        <v>#DIV/0!</v>
      </c>
    </row>
    <row r="69" spans="1:7">
      <c r="A69" s="6" t="s">
        <v>1586</v>
      </c>
      <c r="B69" s="25">
        <v>14.102352941176472</v>
      </c>
      <c r="C69" s="25">
        <v>20.602580645161293</v>
      </c>
      <c r="D69" s="25">
        <v>2.7685000000000004</v>
      </c>
      <c r="E69" s="25">
        <v>3.01</v>
      </c>
      <c r="F69" s="25">
        <v>11.572727272727272</v>
      </c>
    </row>
    <row r="71" spans="1:7">
      <c r="A71" s="16" t="s">
        <v>4540</v>
      </c>
    </row>
    <row r="72" spans="1:7">
      <c r="A72" s="6" t="s">
        <v>1582</v>
      </c>
      <c r="B72" s="15" t="e">
        <f t="shared" ref="B72:F76" si="5">(B58-B65)/B65</f>
        <v>#DIV/0!</v>
      </c>
      <c r="C72" s="15" t="e">
        <f t="shared" si="5"/>
        <v>#DIV/0!</v>
      </c>
      <c r="D72" s="15" t="e">
        <f t="shared" si="5"/>
        <v>#DIV/0!</v>
      </c>
      <c r="E72" s="15" t="e">
        <f t="shared" si="5"/>
        <v>#DIV/0!</v>
      </c>
      <c r="F72" s="15" t="e">
        <f t="shared" si="5"/>
        <v>#DIV/0!</v>
      </c>
    </row>
    <row r="73" spans="1:7">
      <c r="A73" s="6" t="s">
        <v>1583</v>
      </c>
      <c r="B73" s="15" t="e">
        <f t="shared" si="5"/>
        <v>#DIV/0!</v>
      </c>
      <c r="C73" s="15" t="e">
        <f t="shared" si="5"/>
        <v>#DIV/0!</v>
      </c>
      <c r="D73" s="15" t="e">
        <f t="shared" si="5"/>
        <v>#DIV/0!</v>
      </c>
      <c r="E73" s="15" t="e">
        <f t="shared" si="5"/>
        <v>#DIV/0!</v>
      </c>
      <c r="F73" s="15" t="e">
        <f t="shared" si="5"/>
        <v>#DIV/0!</v>
      </c>
    </row>
    <row r="74" spans="1:7">
      <c r="A74" s="6" t="s">
        <v>1584</v>
      </c>
      <c r="B74" s="15">
        <f t="shared" si="5"/>
        <v>-1.5331308901130252E-2</v>
      </c>
      <c r="C74" s="15">
        <f t="shared" si="5"/>
        <v>0.41215680369422258</v>
      </c>
      <c r="D74" s="15">
        <f t="shared" si="5"/>
        <v>-1</v>
      </c>
      <c r="E74" s="15" t="e">
        <f t="shared" si="5"/>
        <v>#DIV/0!</v>
      </c>
      <c r="F74" s="15">
        <f t="shared" si="5"/>
        <v>0.21416283955685544</v>
      </c>
    </row>
    <row r="75" spans="1:7">
      <c r="A75" s="6" t="s">
        <v>1585</v>
      </c>
      <c r="B75" s="15">
        <f>(B61-B68)/B68</f>
        <v>-0.45917085427135679</v>
      </c>
      <c r="C75" s="15">
        <f t="shared" si="5"/>
        <v>-0.56730909978043431</v>
      </c>
      <c r="D75" s="15" t="e">
        <f t="shared" si="5"/>
        <v>#DIV/0!</v>
      </c>
      <c r="E75" s="15" t="e">
        <f t="shared" si="5"/>
        <v>#DIV/0!</v>
      </c>
      <c r="F75" s="15" t="e">
        <f t="shared" si="5"/>
        <v>#DIV/0!</v>
      </c>
    </row>
    <row r="76" spans="1:7">
      <c r="A76" s="6" t="s">
        <v>1586</v>
      </c>
      <c r="B76" s="15">
        <f>(B62-B69)/B69</f>
        <v>0.16582432806143649</v>
      </c>
      <c r="C76" s="15">
        <f>(C62-C69)/C69</f>
        <v>1.1677044430453407E-2</v>
      </c>
      <c r="D76" s="15">
        <f>(D62-D69)/D69</f>
        <v>-0.82842694599963884</v>
      </c>
      <c r="E76" s="15" t="e">
        <f>(E62-E69)/E69</f>
        <v>#DIV/0!</v>
      </c>
      <c r="F76" s="15">
        <f t="shared" si="5"/>
        <v>0.33172602831308196</v>
      </c>
    </row>
    <row r="77" spans="1:7">
      <c r="B77" s="15"/>
      <c r="C77" s="15"/>
      <c r="D77" s="15"/>
      <c r="E77" s="15"/>
    </row>
    <row r="78" spans="1:7">
      <c r="A78" s="16" t="s">
        <v>1587</v>
      </c>
      <c r="B78" s="26">
        <f t="shared" ref="B78:G78" si="6">SUM(B79:B85)</f>
        <v>18</v>
      </c>
      <c r="C78" s="26">
        <f t="shared" si="6"/>
        <v>3</v>
      </c>
      <c r="D78" s="26">
        <f t="shared" si="6"/>
        <v>0</v>
      </c>
      <c r="E78" s="26">
        <f t="shared" si="6"/>
        <v>0</v>
      </c>
      <c r="F78" s="26">
        <f t="shared" si="6"/>
        <v>1</v>
      </c>
      <c r="G78" s="26">
        <f t="shared" si="6"/>
        <v>1</v>
      </c>
    </row>
    <row r="79" spans="1:7">
      <c r="A79" s="6" t="s">
        <v>578</v>
      </c>
      <c r="B79" s="27">
        <v>0</v>
      </c>
      <c r="C79" s="27">
        <v>0</v>
      </c>
      <c r="D79" s="27">
        <v>0</v>
      </c>
      <c r="E79" s="27">
        <v>0</v>
      </c>
      <c r="F79" s="27">
        <v>0</v>
      </c>
    </row>
    <row r="80" spans="1:7">
      <c r="A80" s="6" t="s">
        <v>1566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</row>
    <row r="81" spans="1:7">
      <c r="A81" s="6" t="s">
        <v>25</v>
      </c>
      <c r="B81" s="27">
        <v>7</v>
      </c>
      <c r="C81" s="27">
        <v>0</v>
      </c>
      <c r="D81" s="27">
        <v>0</v>
      </c>
      <c r="E81" s="27">
        <v>0</v>
      </c>
      <c r="F81" s="27">
        <v>1</v>
      </c>
    </row>
    <row r="82" spans="1:7">
      <c r="A82" s="6" t="s">
        <v>1568</v>
      </c>
      <c r="B82" s="27">
        <v>2</v>
      </c>
      <c r="C82" s="27">
        <v>0</v>
      </c>
      <c r="D82" s="27">
        <v>0</v>
      </c>
      <c r="E82" s="27">
        <v>0</v>
      </c>
      <c r="F82" s="27">
        <v>0</v>
      </c>
    </row>
    <row r="83" spans="1:7">
      <c r="A83" s="6" t="s">
        <v>1588</v>
      </c>
      <c r="B83" s="27">
        <v>1</v>
      </c>
      <c r="C83" s="27">
        <v>0</v>
      </c>
      <c r="D83" s="27">
        <v>0</v>
      </c>
      <c r="E83" s="27">
        <v>0</v>
      </c>
      <c r="F83" s="27">
        <v>0</v>
      </c>
      <c r="G83" s="27"/>
    </row>
    <row r="84" spans="1:7">
      <c r="A84" s="6" t="s">
        <v>1589</v>
      </c>
      <c r="B84" s="27">
        <v>2</v>
      </c>
      <c r="C84" s="27">
        <v>0</v>
      </c>
      <c r="D84" s="27">
        <v>0</v>
      </c>
      <c r="E84" s="27">
        <v>0</v>
      </c>
      <c r="F84" s="27">
        <v>0</v>
      </c>
    </row>
    <row r="85" spans="1:7">
      <c r="A85" s="6" t="s">
        <v>1590</v>
      </c>
      <c r="B85" s="27">
        <v>6</v>
      </c>
      <c r="C85" s="27">
        <v>3</v>
      </c>
      <c r="D85" s="27">
        <v>0</v>
      </c>
      <c r="E85" s="27">
        <v>0</v>
      </c>
      <c r="F85" s="27">
        <v>0</v>
      </c>
      <c r="G85" s="27">
        <v>1</v>
      </c>
    </row>
    <row r="86" spans="1:7">
      <c r="B86" s="15"/>
      <c r="C86" s="15"/>
      <c r="D86" s="15"/>
      <c r="E86" s="15"/>
    </row>
    <row r="87" spans="1:7">
      <c r="A87" s="16" t="s">
        <v>1571</v>
      </c>
      <c r="B87" s="26"/>
      <c r="C87" s="26"/>
      <c r="D87" s="26"/>
      <c r="E87" s="26"/>
    </row>
    <row r="88" spans="1:7">
      <c r="A88" s="6" t="s">
        <v>578</v>
      </c>
      <c r="B88" s="24" t="e">
        <f t="shared" ref="B88:C91" si="7">B2/B79</f>
        <v>#DIV/0!</v>
      </c>
      <c r="C88" s="24" t="e">
        <f t="shared" si="7"/>
        <v>#DIV/0!</v>
      </c>
    </row>
    <row r="89" spans="1:7">
      <c r="A89" s="6" t="s">
        <v>1566</v>
      </c>
      <c r="B89" s="6" t="e">
        <f t="shared" si="7"/>
        <v>#DIV/0!</v>
      </c>
      <c r="C89" s="6" t="e">
        <f t="shared" si="7"/>
        <v>#DIV/0!</v>
      </c>
    </row>
    <row r="90" spans="1:7">
      <c r="A90" s="6" t="s">
        <v>25</v>
      </c>
      <c r="B90" s="24">
        <f t="shared" si="7"/>
        <v>585.49857142857138</v>
      </c>
      <c r="C90" s="24" t="e">
        <f t="shared" si="7"/>
        <v>#DIV/0!</v>
      </c>
    </row>
    <row r="91" spans="1:7">
      <c r="A91" s="6" t="s">
        <v>1568</v>
      </c>
      <c r="B91" s="24">
        <f t="shared" si="7"/>
        <v>38.744999999999997</v>
      </c>
      <c r="C91" s="24" t="e">
        <f t="shared" si="7"/>
        <v>#DIV/0!</v>
      </c>
    </row>
    <row r="92" spans="1:7">
      <c r="B92" s="24"/>
      <c r="C92" s="24"/>
    </row>
    <row r="93" spans="1:7">
      <c r="A93" s="20" t="s">
        <v>4539</v>
      </c>
      <c r="B93" s="24"/>
      <c r="C93" s="24"/>
    </row>
    <row r="94" spans="1:7">
      <c r="A94" s="16" t="s">
        <v>1587</v>
      </c>
      <c r="B94" s="26">
        <f>SUM(B95:B101)</f>
        <v>11</v>
      </c>
      <c r="C94" s="26">
        <f>SUM(C95:C101)</f>
        <v>3</v>
      </c>
      <c r="D94" s="26">
        <f>SUM(D95:D101)</f>
        <v>0</v>
      </c>
      <c r="E94" s="26"/>
      <c r="F94" s="26">
        <f>SUM(F95:F101)</f>
        <v>3</v>
      </c>
      <c r="G94" s="26">
        <f>SUM(G95:G101)</f>
        <v>0</v>
      </c>
    </row>
    <row r="95" spans="1:7">
      <c r="A95" s="6" t="s">
        <v>578</v>
      </c>
      <c r="B95" s="27">
        <v>0</v>
      </c>
      <c r="C95" s="27">
        <v>0</v>
      </c>
      <c r="D95" s="27">
        <v>0</v>
      </c>
      <c r="E95" s="27">
        <v>0</v>
      </c>
      <c r="F95" s="27">
        <v>0</v>
      </c>
    </row>
    <row r="96" spans="1:7">
      <c r="A96" s="6" t="s">
        <v>1566</v>
      </c>
      <c r="B96" s="27">
        <v>0</v>
      </c>
      <c r="C96" s="27">
        <v>0</v>
      </c>
      <c r="D96" s="27">
        <v>0</v>
      </c>
      <c r="E96" s="27">
        <v>0</v>
      </c>
      <c r="F96" s="27">
        <v>0</v>
      </c>
    </row>
    <row r="97" spans="1:7">
      <c r="A97" s="6" t="s">
        <v>25</v>
      </c>
      <c r="B97" s="27">
        <v>1</v>
      </c>
      <c r="C97" s="27">
        <v>1</v>
      </c>
      <c r="D97" s="27">
        <v>0</v>
      </c>
      <c r="E97" s="27">
        <v>0</v>
      </c>
      <c r="F97" s="27">
        <v>2</v>
      </c>
    </row>
    <row r="98" spans="1:7">
      <c r="A98" s="6" t="s">
        <v>1568</v>
      </c>
      <c r="B98" s="27">
        <v>0</v>
      </c>
      <c r="C98" s="27">
        <v>1</v>
      </c>
      <c r="D98" s="27">
        <v>0</v>
      </c>
      <c r="E98" s="27">
        <v>0</v>
      </c>
      <c r="F98" s="27">
        <v>0</v>
      </c>
    </row>
    <row r="99" spans="1:7">
      <c r="A99" s="6" t="s">
        <v>1588</v>
      </c>
      <c r="B99" s="27">
        <v>4</v>
      </c>
      <c r="C99" s="27">
        <v>1</v>
      </c>
      <c r="D99" s="27">
        <v>0</v>
      </c>
      <c r="E99" s="27">
        <v>0</v>
      </c>
      <c r="F99" s="27">
        <v>0</v>
      </c>
      <c r="G99" s="27"/>
    </row>
    <row r="100" spans="1:7">
      <c r="A100" s="6" t="s">
        <v>1589</v>
      </c>
      <c r="B100" s="27">
        <v>3</v>
      </c>
      <c r="C100" s="27">
        <v>0</v>
      </c>
      <c r="D100" s="27">
        <v>0</v>
      </c>
      <c r="E100" s="27">
        <v>0</v>
      </c>
      <c r="F100" s="27">
        <v>0</v>
      </c>
    </row>
    <row r="101" spans="1:7">
      <c r="A101" s="6" t="s">
        <v>1590</v>
      </c>
      <c r="B101" s="27">
        <v>3</v>
      </c>
      <c r="C101" s="27">
        <v>0</v>
      </c>
      <c r="D101" s="27">
        <v>0</v>
      </c>
      <c r="E101" s="27">
        <v>0</v>
      </c>
      <c r="F101" s="27">
        <v>1</v>
      </c>
      <c r="G101" s="27">
        <v>0</v>
      </c>
    </row>
    <row r="102" spans="1:7">
      <c r="B102" s="24"/>
      <c r="C102" s="24"/>
    </row>
    <row r="103" spans="1:7">
      <c r="A103" s="16" t="s">
        <v>4543</v>
      </c>
      <c r="C103" s="24"/>
    </row>
    <row r="104" spans="1:7">
      <c r="A104" s="16" t="s">
        <v>1587</v>
      </c>
      <c r="B104" s="28">
        <f t="shared" ref="B104:G111" si="8">B78-B94</f>
        <v>7</v>
      </c>
      <c r="C104" s="28">
        <f t="shared" si="8"/>
        <v>0</v>
      </c>
      <c r="D104" s="28">
        <f t="shared" si="8"/>
        <v>0</v>
      </c>
      <c r="E104" s="28">
        <f t="shared" si="8"/>
        <v>0</v>
      </c>
      <c r="F104" s="28">
        <f t="shared" si="8"/>
        <v>-2</v>
      </c>
      <c r="G104" s="28">
        <f t="shared" si="8"/>
        <v>1</v>
      </c>
    </row>
    <row r="105" spans="1:7">
      <c r="A105" s="6" t="s">
        <v>578</v>
      </c>
      <c r="B105" s="29">
        <f t="shared" si="8"/>
        <v>0</v>
      </c>
      <c r="C105" s="29">
        <f t="shared" si="8"/>
        <v>0</v>
      </c>
      <c r="D105" s="29">
        <f t="shared" si="8"/>
        <v>0</v>
      </c>
      <c r="E105" s="29">
        <f t="shared" si="8"/>
        <v>0</v>
      </c>
      <c r="F105" s="29">
        <f t="shared" si="8"/>
        <v>0</v>
      </c>
    </row>
    <row r="106" spans="1:7">
      <c r="A106" s="6" t="s">
        <v>1566</v>
      </c>
      <c r="B106" s="29">
        <f t="shared" si="8"/>
        <v>0</v>
      </c>
      <c r="C106" s="29">
        <f t="shared" si="8"/>
        <v>0</v>
      </c>
      <c r="D106" s="29">
        <f t="shared" si="8"/>
        <v>0</v>
      </c>
      <c r="E106" s="29">
        <f t="shared" si="8"/>
        <v>0</v>
      </c>
      <c r="F106" s="29">
        <f t="shared" si="8"/>
        <v>0</v>
      </c>
    </row>
    <row r="107" spans="1:7">
      <c r="A107" s="6" t="s">
        <v>25</v>
      </c>
      <c r="B107" s="29">
        <f t="shared" si="8"/>
        <v>6</v>
      </c>
      <c r="C107" s="29">
        <f t="shared" si="8"/>
        <v>-1</v>
      </c>
      <c r="D107" s="29">
        <f t="shared" si="8"/>
        <v>0</v>
      </c>
      <c r="E107" s="29">
        <f t="shared" si="8"/>
        <v>0</v>
      </c>
      <c r="F107" s="29">
        <f t="shared" si="8"/>
        <v>-1</v>
      </c>
    </row>
    <row r="108" spans="1:7">
      <c r="A108" s="6" t="s">
        <v>1568</v>
      </c>
      <c r="B108" s="29">
        <f t="shared" si="8"/>
        <v>2</v>
      </c>
      <c r="C108" s="29">
        <f t="shared" si="8"/>
        <v>-1</v>
      </c>
      <c r="D108" s="29">
        <f t="shared" si="8"/>
        <v>0</v>
      </c>
      <c r="E108" s="29">
        <f t="shared" si="8"/>
        <v>0</v>
      </c>
      <c r="F108" s="29">
        <f t="shared" si="8"/>
        <v>0</v>
      </c>
    </row>
    <row r="109" spans="1:7">
      <c r="A109" s="6" t="s">
        <v>1588</v>
      </c>
      <c r="B109" s="29">
        <f t="shared" si="8"/>
        <v>-3</v>
      </c>
      <c r="C109" s="29">
        <f t="shared" si="8"/>
        <v>-1</v>
      </c>
      <c r="D109" s="29">
        <f t="shared" si="8"/>
        <v>0</v>
      </c>
      <c r="E109" s="29">
        <f t="shared" si="8"/>
        <v>0</v>
      </c>
      <c r="F109" s="29">
        <f t="shared" si="8"/>
        <v>0</v>
      </c>
    </row>
    <row r="110" spans="1:7">
      <c r="A110" s="6" t="s">
        <v>1589</v>
      </c>
      <c r="B110" s="29">
        <f t="shared" si="8"/>
        <v>-1</v>
      </c>
      <c r="C110" s="29">
        <f t="shared" si="8"/>
        <v>0</v>
      </c>
      <c r="D110" s="29">
        <f t="shared" si="8"/>
        <v>0</v>
      </c>
      <c r="E110" s="29">
        <f t="shared" si="8"/>
        <v>0</v>
      </c>
      <c r="F110" s="29">
        <f t="shared" si="8"/>
        <v>0</v>
      </c>
    </row>
    <row r="111" spans="1:7">
      <c r="A111" s="6" t="s">
        <v>1590</v>
      </c>
      <c r="B111" s="29">
        <f t="shared" si="8"/>
        <v>3</v>
      </c>
      <c r="C111" s="29">
        <f t="shared" si="8"/>
        <v>3</v>
      </c>
      <c r="D111" s="29">
        <f t="shared" si="8"/>
        <v>0</v>
      </c>
      <c r="E111" s="29">
        <f t="shared" si="8"/>
        <v>0</v>
      </c>
      <c r="F111" s="29">
        <f t="shared" si="8"/>
        <v>-1</v>
      </c>
    </row>
    <row r="112" spans="1:7">
      <c r="B112" s="24"/>
      <c r="C112" s="24"/>
    </row>
    <row r="119" spans="1:1">
      <c r="A119" s="3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158D-9179-44F7-89D1-9D2B504FB96B}">
  <sheetPr>
    <tabColor rgb="FF92D050"/>
  </sheetPr>
  <dimension ref="A1:AP84"/>
  <sheetViews>
    <sheetView tabSelected="1" topLeftCell="A51" workbookViewId="0">
      <selection activeCell="A86" sqref="A86"/>
    </sheetView>
  </sheetViews>
  <sheetFormatPr defaultRowHeight="14.4"/>
  <cols>
    <col min="1" max="1" width="11" style="6" customWidth="1"/>
    <col min="2" max="15" width="8.88671875" style="6"/>
    <col min="16" max="16" width="9" style="6" customWidth="1"/>
    <col min="17" max="17" width="10.109375" style="6" customWidth="1"/>
    <col min="18" max="22" width="8.88671875" style="6"/>
    <col min="23" max="23" width="9.44140625" style="6" bestFit="1" customWidth="1"/>
    <col min="24" max="26" width="9.33203125" style="6" customWidth="1"/>
    <col min="27" max="27" width="9" style="6" bestFit="1" customWidth="1"/>
    <col min="28" max="16384" width="8.88671875" style="6"/>
  </cols>
  <sheetData>
    <row r="1" spans="1:42" ht="21.6" thickBot="1">
      <c r="B1" s="253" t="s">
        <v>183</v>
      </c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42" ht="13.2" customHeight="1">
      <c r="A2" s="244" t="s">
        <v>8</v>
      </c>
      <c r="B2" s="218" t="s">
        <v>4544</v>
      </c>
      <c r="C2" s="219"/>
      <c r="D2" s="219"/>
      <c r="E2" s="219"/>
      <c r="F2" s="219"/>
      <c r="G2" s="219"/>
      <c r="H2" s="220"/>
      <c r="I2" s="231" t="s">
        <v>25</v>
      </c>
      <c r="J2" s="225"/>
      <c r="K2" s="225"/>
      <c r="L2" s="226"/>
      <c r="M2" s="227"/>
      <c r="N2" s="228" t="s">
        <v>175</v>
      </c>
      <c r="O2" s="229"/>
      <c r="P2" s="229"/>
      <c r="Q2" s="229"/>
      <c r="R2" s="230"/>
      <c r="S2" s="224" t="s">
        <v>1501</v>
      </c>
      <c r="T2" s="225" t="s">
        <v>1571</v>
      </c>
      <c r="U2" s="221" t="s">
        <v>4545</v>
      </c>
      <c r="V2" s="246" t="s">
        <v>4575</v>
      </c>
      <c r="W2" s="247"/>
      <c r="X2" s="247"/>
      <c r="Y2" s="247"/>
      <c r="Z2" s="247"/>
      <c r="AA2" s="247"/>
      <c r="AB2" s="248"/>
      <c r="AC2" s="249" t="s">
        <v>4546</v>
      </c>
      <c r="AD2" s="250"/>
      <c r="AE2" s="250"/>
      <c r="AF2" s="251"/>
      <c r="AG2" s="252" t="s">
        <v>4576</v>
      </c>
      <c r="AH2" s="240"/>
      <c r="AI2" s="240"/>
      <c r="AJ2" s="241"/>
      <c r="AK2" s="242"/>
      <c r="AL2" s="239" t="s">
        <v>4546</v>
      </c>
      <c r="AM2" s="240"/>
      <c r="AN2" s="240"/>
      <c r="AO2" s="241"/>
      <c r="AP2" s="242"/>
    </row>
    <row r="3" spans="1:42" ht="72.599999999999994" thickBot="1">
      <c r="A3" s="245"/>
      <c r="B3" s="57" t="s">
        <v>25</v>
      </c>
      <c r="C3" s="58" t="s">
        <v>1568</v>
      </c>
      <c r="D3" s="59" t="s">
        <v>4547</v>
      </c>
      <c r="E3" s="60" t="s">
        <v>4548</v>
      </c>
      <c r="F3" s="60" t="s">
        <v>4549</v>
      </c>
      <c r="G3" s="60" t="s">
        <v>4550</v>
      </c>
      <c r="H3" s="59" t="s">
        <v>1581</v>
      </c>
      <c r="I3" s="61" t="s">
        <v>2447</v>
      </c>
      <c r="J3" s="62" t="s">
        <v>4551</v>
      </c>
      <c r="K3" s="63" t="s">
        <v>4552</v>
      </c>
      <c r="L3" s="63" t="s">
        <v>4553</v>
      </c>
      <c r="M3" s="64" t="s">
        <v>4554</v>
      </c>
      <c r="N3" s="61" t="s">
        <v>2447</v>
      </c>
      <c r="O3" s="62" t="s">
        <v>4551</v>
      </c>
      <c r="P3" s="63" t="s">
        <v>4552</v>
      </c>
      <c r="Q3" s="63" t="s">
        <v>4553</v>
      </c>
      <c r="R3" s="64" t="s">
        <v>4554</v>
      </c>
      <c r="S3" s="254"/>
      <c r="T3" s="233"/>
      <c r="U3" s="222"/>
      <c r="V3" s="66" t="s">
        <v>25</v>
      </c>
      <c r="W3" s="67" t="s">
        <v>1568</v>
      </c>
      <c r="X3" s="68" t="s">
        <v>4547</v>
      </c>
      <c r="Y3" s="69" t="s">
        <v>4548</v>
      </c>
      <c r="Z3" s="69" t="s">
        <v>4549</v>
      </c>
      <c r="AA3" s="69" t="s">
        <v>4550</v>
      </c>
      <c r="AB3" s="70" t="s">
        <v>1581</v>
      </c>
      <c r="AC3" s="71" t="s">
        <v>25</v>
      </c>
      <c r="AD3" s="72" t="s">
        <v>4547</v>
      </c>
      <c r="AE3" s="73" t="s">
        <v>4550</v>
      </c>
      <c r="AF3" s="74" t="s">
        <v>1581</v>
      </c>
      <c r="AG3" s="75" t="s">
        <v>2447</v>
      </c>
      <c r="AH3" s="76" t="s">
        <v>4551</v>
      </c>
      <c r="AI3" s="77" t="s">
        <v>4552</v>
      </c>
      <c r="AJ3" s="77" t="s">
        <v>4553</v>
      </c>
      <c r="AK3" s="78" t="s">
        <v>4554</v>
      </c>
      <c r="AL3" s="79" t="s">
        <v>2447</v>
      </c>
      <c r="AM3" s="80" t="s">
        <v>4551</v>
      </c>
      <c r="AN3" s="81" t="s">
        <v>4552</v>
      </c>
      <c r="AO3" s="81" t="s">
        <v>4553</v>
      </c>
      <c r="AP3" s="82" t="s">
        <v>4554</v>
      </c>
    </row>
    <row r="4" spans="1:42">
      <c r="A4" s="83" t="s">
        <v>58</v>
      </c>
      <c r="B4" s="84">
        <v>12</v>
      </c>
      <c r="C4" s="85">
        <v>0</v>
      </c>
      <c r="D4" s="86">
        <v>1</v>
      </c>
      <c r="E4" s="86">
        <v>0</v>
      </c>
      <c r="F4" s="86">
        <v>0</v>
      </c>
      <c r="G4" s="86">
        <v>1</v>
      </c>
      <c r="H4" s="86">
        <f t="shared" ref="H4:H15" si="0">SUM(B4:G4)</f>
        <v>14</v>
      </c>
      <c r="I4" s="87">
        <v>159</v>
      </c>
      <c r="J4" s="88">
        <f t="shared" ref="J4:J10" si="1">B4/I4</f>
        <v>7.5471698113207544E-2</v>
      </c>
      <c r="K4" s="89">
        <v>88.97</v>
      </c>
      <c r="L4" s="90">
        <f t="shared" ref="L4:L10" si="2">K4/I4</f>
        <v>0.55955974842767298</v>
      </c>
      <c r="M4" s="91">
        <f t="shared" ref="M4:M11" si="3">K4/B4</f>
        <v>7.4141666666666666</v>
      </c>
      <c r="N4" s="87">
        <v>2</v>
      </c>
      <c r="O4" s="88">
        <f>C4/N4</f>
        <v>0</v>
      </c>
      <c r="P4" s="92">
        <v>0.12</v>
      </c>
      <c r="Q4" s="90">
        <f>P4/N4</f>
        <v>0.06</v>
      </c>
      <c r="R4" s="91" t="e">
        <f t="shared" ref="R4" si="4">P4/C4</f>
        <v>#DIV/0!</v>
      </c>
      <c r="S4" s="85">
        <v>1</v>
      </c>
      <c r="T4" s="93">
        <f t="shared" ref="T4:T16" si="5">(K4+P4)/S4</f>
        <v>89.09</v>
      </c>
      <c r="U4" s="94">
        <f t="shared" ref="U4:U16" si="6">S4/H4</f>
        <v>7.1428571428571425E-2</v>
      </c>
      <c r="V4" s="95">
        <v>9</v>
      </c>
      <c r="W4" s="96">
        <v>0</v>
      </c>
      <c r="X4" s="97">
        <v>0</v>
      </c>
      <c r="Y4" s="97">
        <v>1</v>
      </c>
      <c r="Z4" s="97">
        <v>0</v>
      </c>
      <c r="AA4" s="97">
        <v>0</v>
      </c>
      <c r="AB4" s="98">
        <v>10</v>
      </c>
      <c r="AC4" s="99">
        <f t="shared" ref="AC4:AC16" si="7">(B4-V4)/V4</f>
        <v>0.33333333333333331</v>
      </c>
      <c r="AD4" s="100" t="e">
        <f t="shared" ref="AD4:AD16" si="8">(D4-X4)/X4</f>
        <v>#DIV/0!</v>
      </c>
      <c r="AE4" s="100" t="e">
        <f t="shared" ref="AE4:AF16" si="9">(G4-AA4)/AA4</f>
        <v>#DIV/0!</v>
      </c>
      <c r="AF4" s="101">
        <f t="shared" si="9"/>
        <v>0.4</v>
      </c>
      <c r="AG4" s="102">
        <v>132</v>
      </c>
      <c r="AH4" s="103">
        <v>6.8181818181818177E-2</v>
      </c>
      <c r="AI4" s="104">
        <v>64.400000000000006</v>
      </c>
      <c r="AJ4" s="105">
        <v>0.48787878787878791</v>
      </c>
      <c r="AK4" s="106">
        <v>7.1555555555555559</v>
      </c>
      <c r="AL4" s="107">
        <f t="shared" ref="AL4:AP10" si="10">(I4-AG4)/AG4</f>
        <v>0.20454545454545456</v>
      </c>
      <c r="AM4" s="108">
        <f t="shared" si="10"/>
        <v>0.10691823899371074</v>
      </c>
      <c r="AN4" s="109">
        <f t="shared" si="10"/>
        <v>0.38152173913043463</v>
      </c>
      <c r="AO4" s="109">
        <f t="shared" si="10"/>
        <v>0.14692370795734205</v>
      </c>
      <c r="AP4" s="110">
        <f t="shared" si="10"/>
        <v>3.6141304347826024E-2</v>
      </c>
    </row>
    <row r="5" spans="1:42">
      <c r="A5" s="111" t="s">
        <v>364</v>
      </c>
      <c r="B5" s="112">
        <v>4</v>
      </c>
      <c r="C5" s="113">
        <v>0</v>
      </c>
      <c r="D5" s="114">
        <v>0</v>
      </c>
      <c r="E5" s="114">
        <v>0</v>
      </c>
      <c r="F5" s="114">
        <v>0</v>
      </c>
      <c r="G5" s="114">
        <v>1</v>
      </c>
      <c r="H5" s="114">
        <f t="shared" si="0"/>
        <v>5</v>
      </c>
      <c r="I5" s="87">
        <v>28</v>
      </c>
      <c r="J5" s="88">
        <f t="shared" si="1"/>
        <v>0.14285714285714285</v>
      </c>
      <c r="K5" s="115">
        <v>44.06</v>
      </c>
      <c r="L5" s="90">
        <f t="shared" si="2"/>
        <v>1.5735714285714286</v>
      </c>
      <c r="M5" s="116">
        <f t="shared" si="3"/>
        <v>11.015000000000001</v>
      </c>
      <c r="N5" s="87">
        <v>0</v>
      </c>
      <c r="O5" s="88"/>
      <c r="P5" s="115">
        <v>0</v>
      </c>
      <c r="Q5" s="90"/>
      <c r="R5" s="116"/>
      <c r="S5" s="113">
        <v>0</v>
      </c>
      <c r="T5" s="117" t="e">
        <f t="shared" si="5"/>
        <v>#DIV/0!</v>
      </c>
      <c r="U5" s="118">
        <f t="shared" si="6"/>
        <v>0</v>
      </c>
      <c r="V5" s="119">
        <v>2</v>
      </c>
      <c r="W5" s="120">
        <v>0</v>
      </c>
      <c r="X5" s="121">
        <v>0</v>
      </c>
      <c r="Y5" s="121">
        <v>0</v>
      </c>
      <c r="Z5" s="121">
        <v>0</v>
      </c>
      <c r="AA5" s="121">
        <v>0</v>
      </c>
      <c r="AB5" s="122">
        <v>2</v>
      </c>
      <c r="AC5" s="123">
        <f t="shared" si="7"/>
        <v>1</v>
      </c>
      <c r="AD5" s="124" t="e">
        <f t="shared" si="8"/>
        <v>#DIV/0!</v>
      </c>
      <c r="AE5" s="124" t="e">
        <f t="shared" si="9"/>
        <v>#DIV/0!</v>
      </c>
      <c r="AF5" s="118">
        <f t="shared" si="9"/>
        <v>1.5</v>
      </c>
      <c r="AG5" s="102">
        <v>22</v>
      </c>
      <c r="AH5" s="103">
        <v>9.0909090909090912E-2</v>
      </c>
      <c r="AI5" s="125">
        <v>36.22</v>
      </c>
      <c r="AJ5" s="105">
        <v>1.6463636363636363</v>
      </c>
      <c r="AK5" s="126">
        <v>18.11</v>
      </c>
      <c r="AL5" s="127">
        <f t="shared" si="10"/>
        <v>0.27272727272727271</v>
      </c>
      <c r="AM5" s="128">
        <f t="shared" si="10"/>
        <v>0.57142857142857129</v>
      </c>
      <c r="AN5" s="129">
        <f t="shared" si="10"/>
        <v>0.21645499723909453</v>
      </c>
      <c r="AO5" s="129">
        <f t="shared" si="10"/>
        <v>-4.4213930740711428E-2</v>
      </c>
      <c r="AP5" s="130">
        <f t="shared" si="10"/>
        <v>-0.39177250138045272</v>
      </c>
    </row>
    <row r="6" spans="1:42">
      <c r="A6" s="111" t="s">
        <v>4555</v>
      </c>
      <c r="B6" s="112">
        <v>0</v>
      </c>
      <c r="C6" s="113">
        <v>0</v>
      </c>
      <c r="D6" s="114">
        <v>0</v>
      </c>
      <c r="E6" s="114">
        <v>0</v>
      </c>
      <c r="F6" s="114">
        <v>0</v>
      </c>
      <c r="G6" s="114">
        <v>0</v>
      </c>
      <c r="H6" s="114">
        <f t="shared" si="0"/>
        <v>0</v>
      </c>
      <c r="I6" s="87">
        <v>11</v>
      </c>
      <c r="J6" s="88">
        <f t="shared" si="1"/>
        <v>0</v>
      </c>
      <c r="K6" s="115">
        <v>13.92</v>
      </c>
      <c r="L6" s="90">
        <f t="shared" si="2"/>
        <v>1.2654545454545454</v>
      </c>
      <c r="M6" s="116" t="e">
        <f t="shared" si="3"/>
        <v>#DIV/0!</v>
      </c>
      <c r="N6" s="87">
        <v>0</v>
      </c>
      <c r="O6" s="88"/>
      <c r="P6" s="115">
        <v>0</v>
      </c>
      <c r="Q6" s="90"/>
      <c r="R6" s="116"/>
      <c r="S6" s="113">
        <v>0</v>
      </c>
      <c r="T6" s="117" t="e">
        <f t="shared" si="5"/>
        <v>#DIV/0!</v>
      </c>
      <c r="U6" s="118" t="e">
        <f t="shared" si="6"/>
        <v>#DIV/0!</v>
      </c>
      <c r="V6" s="119">
        <v>0</v>
      </c>
      <c r="W6" s="120">
        <v>0</v>
      </c>
      <c r="X6" s="121">
        <v>1</v>
      </c>
      <c r="Y6" s="121">
        <v>0</v>
      </c>
      <c r="Z6" s="121">
        <v>0</v>
      </c>
      <c r="AA6" s="121">
        <v>1</v>
      </c>
      <c r="AB6" s="122">
        <v>2</v>
      </c>
      <c r="AC6" s="123" t="e">
        <f t="shared" si="7"/>
        <v>#DIV/0!</v>
      </c>
      <c r="AD6" s="124">
        <f t="shared" si="8"/>
        <v>-1</v>
      </c>
      <c r="AE6" s="124">
        <f t="shared" si="9"/>
        <v>-1</v>
      </c>
      <c r="AF6" s="118">
        <f t="shared" si="9"/>
        <v>-1</v>
      </c>
      <c r="AG6" s="102">
        <v>25</v>
      </c>
      <c r="AH6" s="103">
        <v>0</v>
      </c>
      <c r="AI6" s="125">
        <v>23.58</v>
      </c>
      <c r="AJ6" s="105">
        <v>0.94319999999999993</v>
      </c>
      <c r="AK6" s="126" t="e">
        <v>#DIV/0!</v>
      </c>
      <c r="AL6" s="127">
        <f t="shared" si="10"/>
        <v>-0.56000000000000005</v>
      </c>
      <c r="AM6" s="128" t="e">
        <f t="shared" si="10"/>
        <v>#DIV/0!</v>
      </c>
      <c r="AN6" s="129">
        <f t="shared" si="10"/>
        <v>-0.4096692111959287</v>
      </c>
      <c r="AO6" s="129">
        <f t="shared" si="10"/>
        <v>0.34166088364561648</v>
      </c>
      <c r="AP6" s="130" t="e">
        <f t="shared" si="10"/>
        <v>#DIV/0!</v>
      </c>
    </row>
    <row r="7" spans="1:42">
      <c r="A7" s="111" t="s">
        <v>397</v>
      </c>
      <c r="B7" s="112">
        <v>2</v>
      </c>
      <c r="C7" s="113">
        <v>0</v>
      </c>
      <c r="D7" s="114">
        <v>0</v>
      </c>
      <c r="E7" s="114">
        <v>1</v>
      </c>
      <c r="F7" s="114">
        <v>0</v>
      </c>
      <c r="G7" s="114">
        <v>1</v>
      </c>
      <c r="H7" s="114">
        <f t="shared" si="0"/>
        <v>4</v>
      </c>
      <c r="I7" s="87">
        <v>84</v>
      </c>
      <c r="J7" s="88">
        <f t="shared" si="1"/>
        <v>2.3809523809523808E-2</v>
      </c>
      <c r="K7" s="114">
        <v>138.34</v>
      </c>
      <c r="L7" s="90">
        <f t="shared" si="2"/>
        <v>1.6469047619047619</v>
      </c>
      <c r="M7" s="116">
        <f t="shared" si="3"/>
        <v>69.17</v>
      </c>
      <c r="N7" s="87">
        <v>0</v>
      </c>
      <c r="O7" s="88" t="e">
        <f>C7/N7</f>
        <v>#DIV/0!</v>
      </c>
      <c r="P7" s="114">
        <v>0</v>
      </c>
      <c r="Q7" s="90" t="e">
        <f>P7/N7</f>
        <v>#DIV/0!</v>
      </c>
      <c r="R7" s="116" t="e">
        <f>P7/C7</f>
        <v>#DIV/0!</v>
      </c>
      <c r="S7" s="113">
        <v>1</v>
      </c>
      <c r="T7" s="117">
        <f t="shared" si="5"/>
        <v>138.34</v>
      </c>
      <c r="U7" s="118">
        <f t="shared" si="6"/>
        <v>0.25</v>
      </c>
      <c r="V7" s="119">
        <v>8</v>
      </c>
      <c r="W7" s="120">
        <v>0</v>
      </c>
      <c r="X7" s="121">
        <v>0</v>
      </c>
      <c r="Y7" s="121">
        <v>2</v>
      </c>
      <c r="Z7" s="121">
        <v>1</v>
      </c>
      <c r="AA7" s="121">
        <v>0</v>
      </c>
      <c r="AB7" s="122">
        <v>11</v>
      </c>
      <c r="AC7" s="123">
        <f t="shared" si="7"/>
        <v>-0.75</v>
      </c>
      <c r="AD7" s="124" t="e">
        <f t="shared" si="8"/>
        <v>#DIV/0!</v>
      </c>
      <c r="AE7" s="124" t="e">
        <f t="shared" si="9"/>
        <v>#DIV/0!</v>
      </c>
      <c r="AF7" s="118">
        <f t="shared" si="9"/>
        <v>-0.63636363636363635</v>
      </c>
      <c r="AG7" s="102">
        <v>103</v>
      </c>
      <c r="AH7" s="103">
        <v>7.7669902912621352E-2</v>
      </c>
      <c r="AI7" s="131">
        <v>153.55000000000001</v>
      </c>
      <c r="AJ7" s="105">
        <v>1.4907766990291262</v>
      </c>
      <c r="AK7" s="126">
        <v>19.193750000000001</v>
      </c>
      <c r="AL7" s="127">
        <f t="shared" si="10"/>
        <v>-0.18446601941747573</v>
      </c>
      <c r="AM7" s="128">
        <f t="shared" si="10"/>
        <v>-0.69345238095238093</v>
      </c>
      <c r="AN7" s="129">
        <f t="shared" si="10"/>
        <v>-9.9055682188212354E-2</v>
      </c>
      <c r="AO7" s="129">
        <f t="shared" si="10"/>
        <v>0.10472934207873963</v>
      </c>
      <c r="AP7" s="130">
        <f t="shared" si="10"/>
        <v>2.6037772712471505</v>
      </c>
    </row>
    <row r="8" spans="1:42">
      <c r="A8" s="111" t="s">
        <v>28</v>
      </c>
      <c r="B8" s="112">
        <v>37</v>
      </c>
      <c r="C8" s="113">
        <v>0</v>
      </c>
      <c r="D8" s="114">
        <v>2</v>
      </c>
      <c r="E8" s="114">
        <v>0</v>
      </c>
      <c r="F8" s="114">
        <v>0</v>
      </c>
      <c r="G8" s="114">
        <v>2</v>
      </c>
      <c r="H8" s="114">
        <f t="shared" si="0"/>
        <v>41</v>
      </c>
      <c r="I8" s="87">
        <v>251</v>
      </c>
      <c r="J8" s="88">
        <f t="shared" si="1"/>
        <v>0.14741035856573706</v>
      </c>
      <c r="K8" s="114">
        <v>403.72</v>
      </c>
      <c r="L8" s="90">
        <f t="shared" si="2"/>
        <v>1.6084462151394423</v>
      </c>
      <c r="M8" s="116">
        <f t="shared" si="3"/>
        <v>10.911351351351351</v>
      </c>
      <c r="N8" s="87">
        <v>5</v>
      </c>
      <c r="O8" s="88">
        <f>C8/N8</f>
        <v>0</v>
      </c>
      <c r="P8" s="114">
        <v>0.67</v>
      </c>
      <c r="Q8" s="90">
        <f>P8/N8</f>
        <v>0.13400000000000001</v>
      </c>
      <c r="R8" s="116" t="e">
        <f>P8/C8</f>
        <v>#DIV/0!</v>
      </c>
      <c r="S8" s="113">
        <v>8</v>
      </c>
      <c r="T8" s="117">
        <f t="shared" si="5"/>
        <v>50.548750000000005</v>
      </c>
      <c r="U8" s="118">
        <f t="shared" si="6"/>
        <v>0.1951219512195122</v>
      </c>
      <c r="V8" s="119">
        <v>23</v>
      </c>
      <c r="W8" s="120">
        <v>0</v>
      </c>
      <c r="X8" s="121">
        <v>1</v>
      </c>
      <c r="Y8" s="121">
        <v>2</v>
      </c>
      <c r="Z8" s="121">
        <v>1</v>
      </c>
      <c r="AA8" s="121">
        <v>2</v>
      </c>
      <c r="AB8" s="122">
        <v>29</v>
      </c>
      <c r="AC8" s="123">
        <f t="shared" si="7"/>
        <v>0.60869565217391308</v>
      </c>
      <c r="AD8" s="124">
        <f t="shared" si="8"/>
        <v>1</v>
      </c>
      <c r="AE8" s="124">
        <f t="shared" si="9"/>
        <v>0</v>
      </c>
      <c r="AF8" s="118">
        <f t="shared" si="9"/>
        <v>0.41379310344827586</v>
      </c>
      <c r="AG8" s="102">
        <v>241</v>
      </c>
      <c r="AH8" s="103">
        <v>9.5435684647302899E-2</v>
      </c>
      <c r="AI8" s="131">
        <v>318.91000000000003</v>
      </c>
      <c r="AJ8" s="105">
        <v>1.3232780082987552</v>
      </c>
      <c r="AK8" s="126">
        <v>13.865652173913045</v>
      </c>
      <c r="AL8" s="127">
        <f t="shared" si="10"/>
        <v>4.1493775933609957E-2</v>
      </c>
      <c r="AM8" s="128">
        <f t="shared" si="10"/>
        <v>0.54460419192794063</v>
      </c>
      <c r="AN8" s="129">
        <f t="shared" si="10"/>
        <v>0.26593709824088302</v>
      </c>
      <c r="AO8" s="129">
        <f t="shared" si="10"/>
        <v>0.21550135727511083</v>
      </c>
      <c r="AP8" s="130">
        <f t="shared" si="10"/>
        <v>-0.21306612812053224</v>
      </c>
    </row>
    <row r="9" spans="1:42">
      <c r="A9" s="111" t="s">
        <v>35</v>
      </c>
      <c r="B9" s="112">
        <v>16</v>
      </c>
      <c r="C9" s="113">
        <v>0</v>
      </c>
      <c r="D9" s="114">
        <v>0</v>
      </c>
      <c r="E9" s="114">
        <v>0</v>
      </c>
      <c r="F9" s="114">
        <v>0</v>
      </c>
      <c r="G9" s="114">
        <v>3</v>
      </c>
      <c r="H9" s="114">
        <f t="shared" si="0"/>
        <v>19</v>
      </c>
      <c r="I9" s="87">
        <v>359</v>
      </c>
      <c r="J9" s="88">
        <f t="shared" si="1"/>
        <v>4.456824512534819E-2</v>
      </c>
      <c r="K9" s="114">
        <v>365.74</v>
      </c>
      <c r="L9" s="90">
        <f t="shared" si="2"/>
        <v>1.0187743732590528</v>
      </c>
      <c r="M9" s="116">
        <f t="shared" si="3"/>
        <v>22.858750000000001</v>
      </c>
      <c r="N9" s="87">
        <v>9</v>
      </c>
      <c r="O9" s="88">
        <f>C9/N9</f>
        <v>0</v>
      </c>
      <c r="P9" s="114">
        <v>5.71</v>
      </c>
      <c r="Q9" s="90">
        <f>P9/N9</f>
        <v>0.63444444444444448</v>
      </c>
      <c r="R9" s="116" t="e">
        <f>P9/C9</f>
        <v>#DIV/0!</v>
      </c>
      <c r="S9" s="113">
        <v>1</v>
      </c>
      <c r="T9" s="117">
        <f t="shared" si="5"/>
        <v>371.45</v>
      </c>
      <c r="U9" s="118">
        <f t="shared" si="6"/>
        <v>5.2631578947368418E-2</v>
      </c>
      <c r="V9" s="119">
        <v>9</v>
      </c>
      <c r="W9" s="120">
        <v>0</v>
      </c>
      <c r="X9" s="121">
        <v>0</v>
      </c>
      <c r="Y9" s="121">
        <v>1</v>
      </c>
      <c r="Z9" s="121">
        <v>2</v>
      </c>
      <c r="AA9" s="121">
        <v>1</v>
      </c>
      <c r="AB9" s="122">
        <v>13</v>
      </c>
      <c r="AC9" s="123">
        <f t="shared" si="7"/>
        <v>0.77777777777777779</v>
      </c>
      <c r="AD9" s="124" t="e">
        <f t="shared" si="8"/>
        <v>#DIV/0!</v>
      </c>
      <c r="AE9" s="124">
        <f t="shared" si="9"/>
        <v>2</v>
      </c>
      <c r="AF9" s="118">
        <f t="shared" si="9"/>
        <v>0.46153846153846156</v>
      </c>
      <c r="AG9" s="102">
        <v>359</v>
      </c>
      <c r="AH9" s="103">
        <v>2.5069637883008356E-2</v>
      </c>
      <c r="AI9" s="131">
        <v>349.74</v>
      </c>
      <c r="AJ9" s="105">
        <v>0.97420612813370477</v>
      </c>
      <c r="AK9" s="126">
        <v>38.86</v>
      </c>
      <c r="AL9" s="127">
        <f t="shared" si="10"/>
        <v>0</v>
      </c>
      <c r="AM9" s="128">
        <f t="shared" si="10"/>
        <v>0.77777777777777779</v>
      </c>
      <c r="AN9" s="129">
        <f t="shared" si="10"/>
        <v>4.5748270143535198E-2</v>
      </c>
      <c r="AO9" s="129">
        <f t="shared" si="10"/>
        <v>4.5748270143535073E-2</v>
      </c>
      <c r="AP9" s="130">
        <f t="shared" si="10"/>
        <v>-0.41176659804426141</v>
      </c>
    </row>
    <row r="10" spans="1:42">
      <c r="A10" s="111" t="s">
        <v>162</v>
      </c>
      <c r="B10" s="112">
        <v>7</v>
      </c>
      <c r="C10" s="113">
        <v>0</v>
      </c>
      <c r="D10" s="114">
        <v>0</v>
      </c>
      <c r="E10" s="114">
        <v>1</v>
      </c>
      <c r="F10" s="114">
        <v>0</v>
      </c>
      <c r="G10" s="114">
        <v>1</v>
      </c>
      <c r="H10" s="114">
        <f t="shared" si="0"/>
        <v>9</v>
      </c>
      <c r="I10" s="87">
        <v>162</v>
      </c>
      <c r="J10" s="88">
        <f t="shared" si="1"/>
        <v>4.3209876543209874E-2</v>
      </c>
      <c r="K10" s="114">
        <v>183.99</v>
      </c>
      <c r="L10" s="90">
        <f t="shared" si="2"/>
        <v>1.1357407407407407</v>
      </c>
      <c r="M10" s="116">
        <f t="shared" si="3"/>
        <v>26.284285714285716</v>
      </c>
      <c r="N10" s="87">
        <v>0</v>
      </c>
      <c r="O10" s="88" t="e">
        <f t="shared" ref="O10:O15" si="11">C10/N10</f>
        <v>#DIV/0!</v>
      </c>
      <c r="P10" s="114">
        <v>0</v>
      </c>
      <c r="Q10" s="90" t="e">
        <f t="shared" ref="Q10:Q15" si="12">P10/N10</f>
        <v>#DIV/0!</v>
      </c>
      <c r="R10" s="116" t="e">
        <f t="shared" ref="R10:R15" si="13">P10/C10</f>
        <v>#DIV/0!</v>
      </c>
      <c r="S10" s="113">
        <v>0</v>
      </c>
      <c r="T10" s="117" t="e">
        <f t="shared" si="5"/>
        <v>#DIV/0!</v>
      </c>
      <c r="U10" s="118">
        <f t="shared" si="6"/>
        <v>0</v>
      </c>
      <c r="V10" s="119">
        <v>6</v>
      </c>
      <c r="W10" s="120">
        <v>0</v>
      </c>
      <c r="X10" s="121">
        <v>0</v>
      </c>
      <c r="Y10" s="121">
        <v>1</v>
      </c>
      <c r="Z10" s="121">
        <v>0</v>
      </c>
      <c r="AA10" s="121">
        <v>0</v>
      </c>
      <c r="AB10" s="122">
        <v>7</v>
      </c>
      <c r="AC10" s="123">
        <f t="shared" si="7"/>
        <v>0.16666666666666666</v>
      </c>
      <c r="AD10" s="124" t="e">
        <f t="shared" si="8"/>
        <v>#DIV/0!</v>
      </c>
      <c r="AE10" s="124" t="e">
        <f t="shared" si="9"/>
        <v>#DIV/0!</v>
      </c>
      <c r="AF10" s="118">
        <f t="shared" si="9"/>
        <v>0.2857142857142857</v>
      </c>
      <c r="AG10" s="102">
        <v>162</v>
      </c>
      <c r="AH10" s="103">
        <v>3.7037037037037035E-2</v>
      </c>
      <c r="AI10" s="131">
        <v>126.38</v>
      </c>
      <c r="AJ10" s="105">
        <v>0.7801234567901234</v>
      </c>
      <c r="AK10" s="126">
        <v>21.063333333333333</v>
      </c>
      <c r="AL10" s="127">
        <f t="shared" si="10"/>
        <v>0</v>
      </c>
      <c r="AM10" s="128">
        <f t="shared" si="10"/>
        <v>0.16666666666666666</v>
      </c>
      <c r="AN10" s="129">
        <f t="shared" si="10"/>
        <v>0.45584744421585704</v>
      </c>
      <c r="AO10" s="129">
        <f t="shared" si="10"/>
        <v>0.45584744421585699</v>
      </c>
      <c r="AP10" s="130">
        <f t="shared" si="10"/>
        <v>0.24786923789930607</v>
      </c>
    </row>
    <row r="11" spans="1:42">
      <c r="A11" s="111" t="s">
        <v>4556</v>
      </c>
      <c r="B11" s="112">
        <v>1</v>
      </c>
      <c r="C11" s="113">
        <v>0</v>
      </c>
      <c r="D11" s="114">
        <v>8</v>
      </c>
      <c r="E11" s="114">
        <v>3</v>
      </c>
      <c r="F11" s="114">
        <v>0</v>
      </c>
      <c r="G11" s="114">
        <v>3</v>
      </c>
      <c r="H11" s="114">
        <f t="shared" si="0"/>
        <v>15</v>
      </c>
      <c r="I11" s="87">
        <v>84</v>
      </c>
      <c r="J11" s="88">
        <v>0</v>
      </c>
      <c r="K11" s="114">
        <v>40.340000000000003</v>
      </c>
      <c r="L11" s="90">
        <v>0</v>
      </c>
      <c r="M11" s="116">
        <f t="shared" si="3"/>
        <v>40.340000000000003</v>
      </c>
      <c r="N11" s="87">
        <v>0</v>
      </c>
      <c r="O11" s="88">
        <v>0</v>
      </c>
      <c r="P11" s="114">
        <v>0</v>
      </c>
      <c r="Q11" s="90">
        <v>0</v>
      </c>
      <c r="R11" s="116">
        <v>0</v>
      </c>
      <c r="S11" s="113">
        <v>1</v>
      </c>
      <c r="T11" s="117">
        <f t="shared" si="5"/>
        <v>40.340000000000003</v>
      </c>
      <c r="U11" s="118">
        <f t="shared" si="6"/>
        <v>6.6666666666666666E-2</v>
      </c>
      <c r="V11" s="119">
        <v>1</v>
      </c>
      <c r="W11" s="120">
        <v>0</v>
      </c>
      <c r="X11" s="121">
        <v>7</v>
      </c>
      <c r="Y11" s="121">
        <v>4</v>
      </c>
      <c r="Z11" s="121">
        <v>0</v>
      </c>
      <c r="AA11" s="121">
        <v>0</v>
      </c>
      <c r="AB11" s="122">
        <v>12</v>
      </c>
      <c r="AC11" s="123">
        <f t="shared" si="7"/>
        <v>0</v>
      </c>
      <c r="AD11" s="124">
        <f t="shared" si="8"/>
        <v>0.14285714285714285</v>
      </c>
      <c r="AE11" s="124" t="e">
        <f t="shared" si="9"/>
        <v>#DIV/0!</v>
      </c>
      <c r="AF11" s="118">
        <f t="shared" si="9"/>
        <v>0.25</v>
      </c>
      <c r="AG11" s="102">
        <v>0</v>
      </c>
      <c r="AH11" s="103">
        <v>0</v>
      </c>
      <c r="AI11" s="131">
        <v>0</v>
      </c>
      <c r="AJ11" s="105">
        <v>0</v>
      </c>
      <c r="AK11" s="126">
        <v>0</v>
      </c>
      <c r="AL11" s="127"/>
      <c r="AM11" s="128"/>
      <c r="AN11" s="129"/>
      <c r="AO11" s="129"/>
      <c r="AP11" s="130"/>
    </row>
    <row r="12" spans="1:42">
      <c r="A12" s="111" t="s">
        <v>279</v>
      </c>
      <c r="B12" s="112">
        <v>4</v>
      </c>
      <c r="C12" s="113">
        <v>1</v>
      </c>
      <c r="D12" s="114">
        <v>0</v>
      </c>
      <c r="E12" s="114">
        <v>0</v>
      </c>
      <c r="F12" s="114">
        <v>0</v>
      </c>
      <c r="G12" s="114">
        <v>1</v>
      </c>
      <c r="H12" s="114">
        <f t="shared" si="0"/>
        <v>6</v>
      </c>
      <c r="I12" s="87">
        <v>36</v>
      </c>
      <c r="J12" s="88">
        <f>B12/I12</f>
        <v>0.1111111111111111</v>
      </c>
      <c r="K12" s="114">
        <v>76.319999999999993</v>
      </c>
      <c r="L12" s="90">
        <f>K12/I12</f>
        <v>2.1199999999999997</v>
      </c>
      <c r="M12" s="116">
        <f>K12/B12</f>
        <v>19.079999999999998</v>
      </c>
      <c r="N12" s="87">
        <v>2</v>
      </c>
      <c r="O12" s="88">
        <f t="shared" si="11"/>
        <v>0.5</v>
      </c>
      <c r="P12" s="114">
        <v>0.79</v>
      </c>
      <c r="Q12" s="90">
        <f t="shared" si="12"/>
        <v>0.39500000000000002</v>
      </c>
      <c r="R12" s="116">
        <f t="shared" si="13"/>
        <v>0.79</v>
      </c>
      <c r="S12" s="113">
        <v>0</v>
      </c>
      <c r="T12" s="117" t="e">
        <f t="shared" si="5"/>
        <v>#DIV/0!</v>
      </c>
      <c r="U12" s="118">
        <f t="shared" si="6"/>
        <v>0</v>
      </c>
      <c r="V12" s="119">
        <v>0</v>
      </c>
      <c r="W12" s="120">
        <v>0</v>
      </c>
      <c r="X12" s="121">
        <v>0</v>
      </c>
      <c r="Y12" s="121">
        <v>0</v>
      </c>
      <c r="Z12" s="121">
        <v>0</v>
      </c>
      <c r="AA12" s="121">
        <v>0</v>
      </c>
      <c r="AB12" s="122">
        <v>0</v>
      </c>
      <c r="AC12" s="123" t="e">
        <f t="shared" si="7"/>
        <v>#DIV/0!</v>
      </c>
      <c r="AD12" s="124" t="e">
        <f t="shared" si="8"/>
        <v>#DIV/0!</v>
      </c>
      <c r="AE12" s="124" t="e">
        <f t="shared" si="9"/>
        <v>#DIV/0!</v>
      </c>
      <c r="AF12" s="118" t="e">
        <f t="shared" si="9"/>
        <v>#DIV/0!</v>
      </c>
      <c r="AG12" s="102">
        <v>32</v>
      </c>
      <c r="AH12" s="103">
        <v>0</v>
      </c>
      <c r="AI12" s="131">
        <v>79.8</v>
      </c>
      <c r="AJ12" s="105">
        <v>2.4937499999999999</v>
      </c>
      <c r="AK12" s="126" t="e">
        <v>#DIV/0!</v>
      </c>
      <c r="AL12" s="127">
        <f t="shared" ref="AL12:AP16" si="14">(I12-AG12)/AG12</f>
        <v>0.125</v>
      </c>
      <c r="AM12" s="128" t="e">
        <f t="shared" si="14"/>
        <v>#DIV/0!</v>
      </c>
      <c r="AN12" s="129">
        <f t="shared" si="14"/>
        <v>-4.3609022556391028E-2</v>
      </c>
      <c r="AO12" s="129">
        <f t="shared" si="14"/>
        <v>-0.14987468671679208</v>
      </c>
      <c r="AP12" s="130" t="e">
        <f t="shared" si="14"/>
        <v>#DIV/0!</v>
      </c>
    </row>
    <row r="13" spans="1:42">
      <c r="A13" s="111" t="s">
        <v>4557</v>
      </c>
      <c r="B13" s="112">
        <v>5</v>
      </c>
      <c r="C13" s="113">
        <v>0</v>
      </c>
      <c r="D13" s="114">
        <v>0</v>
      </c>
      <c r="E13" s="114">
        <v>0</v>
      </c>
      <c r="F13" s="114">
        <v>0</v>
      </c>
      <c r="G13" s="114">
        <v>1</v>
      </c>
      <c r="H13" s="114">
        <f t="shared" si="0"/>
        <v>6</v>
      </c>
      <c r="I13" s="87">
        <v>167</v>
      </c>
      <c r="J13" s="88">
        <f>B13/I13</f>
        <v>2.9940119760479042E-2</v>
      </c>
      <c r="K13" s="114">
        <v>231.97</v>
      </c>
      <c r="L13" s="90">
        <f>K13/I13</f>
        <v>1.3890419161676646</v>
      </c>
      <c r="M13" s="116">
        <f>K13/B13</f>
        <v>46.393999999999998</v>
      </c>
      <c r="N13" s="87">
        <v>9</v>
      </c>
      <c r="O13" s="88">
        <f t="shared" si="11"/>
        <v>0</v>
      </c>
      <c r="P13" s="114">
        <v>3.84</v>
      </c>
      <c r="Q13" s="90">
        <f t="shared" si="12"/>
        <v>0.42666666666666664</v>
      </c>
      <c r="R13" s="116" t="e">
        <f t="shared" si="13"/>
        <v>#DIV/0!</v>
      </c>
      <c r="S13" s="113">
        <v>0</v>
      </c>
      <c r="T13" s="117" t="e">
        <f t="shared" si="5"/>
        <v>#DIV/0!</v>
      </c>
      <c r="U13" s="118">
        <f t="shared" si="6"/>
        <v>0</v>
      </c>
      <c r="V13" s="119">
        <v>6</v>
      </c>
      <c r="W13" s="120">
        <v>0</v>
      </c>
      <c r="X13" s="121">
        <v>3</v>
      </c>
      <c r="Y13" s="121">
        <v>0</v>
      </c>
      <c r="Z13" s="121">
        <v>1</v>
      </c>
      <c r="AA13" s="121">
        <v>2</v>
      </c>
      <c r="AB13" s="122">
        <v>12</v>
      </c>
      <c r="AC13" s="123">
        <f t="shared" si="7"/>
        <v>-0.16666666666666666</v>
      </c>
      <c r="AD13" s="124">
        <f t="shared" si="8"/>
        <v>-1</v>
      </c>
      <c r="AE13" s="124">
        <f t="shared" si="9"/>
        <v>-0.5</v>
      </c>
      <c r="AF13" s="118">
        <f t="shared" si="9"/>
        <v>-0.5</v>
      </c>
      <c r="AG13" s="102">
        <v>116</v>
      </c>
      <c r="AH13" s="103">
        <v>5.1724137931034482E-2</v>
      </c>
      <c r="AI13" s="131">
        <v>189.93</v>
      </c>
      <c r="AJ13" s="105">
        <v>1.6373275862068966</v>
      </c>
      <c r="AK13" s="126">
        <v>31.655000000000001</v>
      </c>
      <c r="AL13" s="127">
        <f t="shared" si="14"/>
        <v>0.43965517241379309</v>
      </c>
      <c r="AM13" s="128">
        <f t="shared" si="14"/>
        <v>-0.42115768463073849</v>
      </c>
      <c r="AN13" s="129">
        <f t="shared" si="14"/>
        <v>0.22134470594429523</v>
      </c>
      <c r="AO13" s="129">
        <f t="shared" si="14"/>
        <v>-0.15164080305665723</v>
      </c>
      <c r="AP13" s="130">
        <f t="shared" si="14"/>
        <v>0.46561364713315423</v>
      </c>
    </row>
    <row r="14" spans="1:42">
      <c r="A14" s="132" t="s">
        <v>4558</v>
      </c>
      <c r="B14" s="112">
        <v>3</v>
      </c>
      <c r="C14" s="113">
        <v>0</v>
      </c>
      <c r="D14" s="114">
        <v>0</v>
      </c>
      <c r="E14" s="114">
        <v>1</v>
      </c>
      <c r="F14" s="114">
        <v>0</v>
      </c>
      <c r="G14" s="114">
        <v>0</v>
      </c>
      <c r="H14" s="114">
        <f t="shared" si="0"/>
        <v>4</v>
      </c>
      <c r="I14" s="87">
        <v>126</v>
      </c>
      <c r="J14" s="88">
        <f>B14/I14</f>
        <v>2.3809523809523808E-2</v>
      </c>
      <c r="K14" s="114">
        <v>153.79</v>
      </c>
      <c r="L14" s="90">
        <f>K14/I14</f>
        <v>1.2205555555555554</v>
      </c>
      <c r="M14" s="116">
        <f>K14/B14</f>
        <v>51.263333333333328</v>
      </c>
      <c r="N14" s="87">
        <v>0</v>
      </c>
      <c r="O14" s="88" t="e">
        <f t="shared" si="11"/>
        <v>#DIV/0!</v>
      </c>
      <c r="P14" s="114">
        <v>0</v>
      </c>
      <c r="Q14" s="90" t="e">
        <f t="shared" si="12"/>
        <v>#DIV/0!</v>
      </c>
      <c r="R14" s="116" t="e">
        <f t="shared" si="13"/>
        <v>#DIV/0!</v>
      </c>
      <c r="S14" s="113">
        <v>0</v>
      </c>
      <c r="T14" s="117" t="e">
        <f t="shared" si="5"/>
        <v>#DIV/0!</v>
      </c>
      <c r="U14" s="118">
        <f t="shared" si="6"/>
        <v>0</v>
      </c>
      <c r="V14" s="119">
        <v>2</v>
      </c>
      <c r="W14" s="120">
        <v>0</v>
      </c>
      <c r="X14" s="121">
        <v>2</v>
      </c>
      <c r="Y14" s="121">
        <v>0</v>
      </c>
      <c r="Z14" s="121">
        <v>1</v>
      </c>
      <c r="AA14" s="121">
        <v>0</v>
      </c>
      <c r="AB14" s="122">
        <v>5</v>
      </c>
      <c r="AC14" s="123">
        <f t="shared" si="7"/>
        <v>0.5</v>
      </c>
      <c r="AD14" s="124">
        <f t="shared" si="8"/>
        <v>-1</v>
      </c>
      <c r="AE14" s="124" t="e">
        <f t="shared" si="9"/>
        <v>#DIV/0!</v>
      </c>
      <c r="AF14" s="118">
        <f t="shared" si="9"/>
        <v>-0.2</v>
      </c>
      <c r="AG14" s="102">
        <v>134</v>
      </c>
      <c r="AH14" s="103">
        <v>1.4925373134328358E-2</v>
      </c>
      <c r="AI14" s="131">
        <v>163.85</v>
      </c>
      <c r="AJ14" s="105">
        <v>1.2227611940298506</v>
      </c>
      <c r="AK14" s="126">
        <v>81.924999999999997</v>
      </c>
      <c r="AL14" s="127">
        <f t="shared" si="14"/>
        <v>-5.9701492537313432E-2</v>
      </c>
      <c r="AM14" s="128">
        <f t="shared" si="14"/>
        <v>0.59523809523809523</v>
      </c>
      <c r="AN14" s="129">
        <f t="shared" si="14"/>
        <v>-6.1397619774183718E-2</v>
      </c>
      <c r="AO14" s="129">
        <f t="shared" si="14"/>
        <v>-1.8038178550842847E-3</v>
      </c>
      <c r="AP14" s="130">
        <f t="shared" si="14"/>
        <v>-0.37426507984945584</v>
      </c>
    </row>
    <row r="15" spans="1:42" ht="15" thickBot="1">
      <c r="A15" s="133" t="s">
        <v>4472</v>
      </c>
      <c r="B15" s="134">
        <v>83</v>
      </c>
      <c r="C15" s="135">
        <v>9</v>
      </c>
      <c r="D15" s="136">
        <v>7</v>
      </c>
      <c r="E15" s="136">
        <v>3</v>
      </c>
      <c r="F15" s="136">
        <v>1</v>
      </c>
      <c r="G15" s="136">
        <v>15</v>
      </c>
      <c r="H15" s="136">
        <f t="shared" si="0"/>
        <v>118</v>
      </c>
      <c r="I15" s="137">
        <v>1424</v>
      </c>
      <c r="J15" s="138">
        <f>B15/I15</f>
        <v>5.8286516853932581E-2</v>
      </c>
      <c r="K15" s="136">
        <v>2367.02</v>
      </c>
      <c r="L15" s="139">
        <f>K15/I15</f>
        <v>1.6622331460674158</v>
      </c>
      <c r="M15" s="140">
        <f>K15/B15</f>
        <v>28.51831325301205</v>
      </c>
      <c r="N15" s="137">
        <v>99</v>
      </c>
      <c r="O15" s="138">
        <f t="shared" si="11"/>
        <v>9.0909090909090912E-2</v>
      </c>
      <c r="P15" s="136">
        <v>66.17</v>
      </c>
      <c r="Q15" s="139">
        <f t="shared" si="12"/>
        <v>0.66838383838383841</v>
      </c>
      <c r="R15" s="140">
        <f t="shared" si="13"/>
        <v>7.3522222222222222</v>
      </c>
      <c r="S15" s="135">
        <v>5</v>
      </c>
      <c r="T15" s="141">
        <f t="shared" si="5"/>
        <v>486.63800000000003</v>
      </c>
      <c r="U15" s="142">
        <f t="shared" si="6"/>
        <v>4.2372881355932202E-2</v>
      </c>
      <c r="V15" s="143">
        <v>77</v>
      </c>
      <c r="W15" s="144">
        <v>10</v>
      </c>
      <c r="X15" s="145">
        <v>2</v>
      </c>
      <c r="Y15" s="145">
        <v>5</v>
      </c>
      <c r="Z15" s="145">
        <v>4</v>
      </c>
      <c r="AA15" s="145">
        <v>16</v>
      </c>
      <c r="AB15" s="146">
        <v>114</v>
      </c>
      <c r="AC15" s="147">
        <f t="shared" si="7"/>
        <v>7.792207792207792E-2</v>
      </c>
      <c r="AD15" s="148">
        <f t="shared" si="8"/>
        <v>2.5</v>
      </c>
      <c r="AE15" s="148">
        <f t="shared" si="9"/>
        <v>-6.25E-2</v>
      </c>
      <c r="AF15" s="142">
        <f t="shared" si="9"/>
        <v>3.5087719298245612E-2</v>
      </c>
      <c r="AG15" s="149">
        <v>1189</v>
      </c>
      <c r="AH15" s="150">
        <v>6.476030277544155E-2</v>
      </c>
      <c r="AI15" s="151">
        <v>1920.58</v>
      </c>
      <c r="AJ15" s="152">
        <v>1.6152901597981497</v>
      </c>
      <c r="AK15" s="152">
        <v>24.9425974025974</v>
      </c>
      <c r="AL15" s="153">
        <f t="shared" si="14"/>
        <v>0.19764507989907484</v>
      </c>
      <c r="AM15" s="154">
        <f t="shared" si="14"/>
        <v>-9.9965343645119012E-2</v>
      </c>
      <c r="AN15" s="155">
        <f t="shared" si="14"/>
        <v>0.23245061387705801</v>
      </c>
      <c r="AO15" s="155">
        <f t="shared" si="14"/>
        <v>2.9061643188077229E-2</v>
      </c>
      <c r="AP15" s="156">
        <f t="shared" si="14"/>
        <v>0.143357798416066</v>
      </c>
    </row>
    <row r="16" spans="1:42">
      <c r="B16" s="6">
        <f t="shared" ref="B16:I16" si="15">SUM(B4:B15)</f>
        <v>174</v>
      </c>
      <c r="C16" s="6">
        <f t="shared" si="15"/>
        <v>10</v>
      </c>
      <c r="D16" s="6">
        <f t="shared" si="15"/>
        <v>18</v>
      </c>
      <c r="E16" s="6">
        <f t="shared" si="15"/>
        <v>9</v>
      </c>
      <c r="F16" s="6">
        <f t="shared" si="15"/>
        <v>1</v>
      </c>
      <c r="G16" s="6">
        <f t="shared" si="15"/>
        <v>29</v>
      </c>
      <c r="H16" s="6">
        <f t="shared" si="15"/>
        <v>241</v>
      </c>
      <c r="I16" s="157">
        <f t="shared" si="15"/>
        <v>2891</v>
      </c>
      <c r="J16" s="158">
        <f>B16/I16</f>
        <v>6.0186786579038393E-2</v>
      </c>
      <c r="K16" s="6">
        <f>SUM(K4:K15)</f>
        <v>4108.18</v>
      </c>
      <c r="L16" s="24">
        <f>K16/I16</f>
        <v>1.4210238671739883</v>
      </c>
      <c r="M16" s="24">
        <f>K16/B16</f>
        <v>23.610229885057471</v>
      </c>
      <c r="N16" s="157">
        <f>SUM(N4:N15)</f>
        <v>126</v>
      </c>
      <c r="O16" s="159">
        <f>C16/N16</f>
        <v>7.9365079365079361E-2</v>
      </c>
      <c r="P16" s="6">
        <f>SUM(P4:P15)</f>
        <v>77.3</v>
      </c>
      <c r="Q16" s="24">
        <f>P16/N16</f>
        <v>0.61349206349206342</v>
      </c>
      <c r="R16" s="24">
        <f>P16/C16</f>
        <v>7.7299999999999995</v>
      </c>
      <c r="S16" s="6">
        <v>18</v>
      </c>
      <c r="T16" s="160">
        <f t="shared" si="5"/>
        <v>232.5266666666667</v>
      </c>
      <c r="U16" s="15">
        <f t="shared" si="6"/>
        <v>7.4688796680497924E-2</v>
      </c>
      <c r="V16" s="161">
        <v>143</v>
      </c>
      <c r="W16" s="161">
        <v>10</v>
      </c>
      <c r="X16" s="161">
        <v>16</v>
      </c>
      <c r="Y16" s="161">
        <v>16</v>
      </c>
      <c r="Z16" s="161">
        <v>10</v>
      </c>
      <c r="AA16" s="161">
        <v>22</v>
      </c>
      <c r="AB16" s="161">
        <v>217</v>
      </c>
      <c r="AC16" s="162">
        <f t="shared" si="7"/>
        <v>0.21678321678321677</v>
      </c>
      <c r="AD16" s="162">
        <f t="shared" si="8"/>
        <v>0.125</v>
      </c>
      <c r="AE16" s="162">
        <f t="shared" si="9"/>
        <v>0.31818181818181818</v>
      </c>
      <c r="AF16" s="162">
        <f t="shared" si="9"/>
        <v>0.11059907834101383</v>
      </c>
      <c r="AG16" s="163">
        <v>2515</v>
      </c>
      <c r="AH16" s="164">
        <v>5.6858846918489067E-2</v>
      </c>
      <c r="AI16" s="165">
        <v>3426.94</v>
      </c>
      <c r="AJ16" s="166">
        <v>1.3626003976143142</v>
      </c>
      <c r="AK16" s="166">
        <v>23.964615384615385</v>
      </c>
      <c r="AL16" s="167">
        <f t="shared" si="14"/>
        <v>0.14950298210735585</v>
      </c>
      <c r="AM16" s="168">
        <f t="shared" si="14"/>
        <v>5.8529847876094783E-2</v>
      </c>
      <c r="AN16" s="167">
        <f t="shared" si="14"/>
        <v>0.19878959071358127</v>
      </c>
      <c r="AO16" s="167">
        <f t="shared" si="14"/>
        <v>4.2876451277985748E-2</v>
      </c>
      <c r="AP16" s="164">
        <f t="shared" si="14"/>
        <v>-1.4787865103206267E-2</v>
      </c>
    </row>
    <row r="18" spans="1:39">
      <c r="A18" s="30" t="s">
        <v>1591</v>
      </c>
    </row>
    <row r="19" spans="1:39">
      <c r="A19" s="6" t="s">
        <v>4577</v>
      </c>
    </row>
    <row r="20" spans="1:39">
      <c r="A20" s="255" t="s">
        <v>4578</v>
      </c>
    </row>
    <row r="24" spans="1:39" ht="21.6" thickBot="1">
      <c r="B24" s="243" t="s">
        <v>475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169"/>
    </row>
    <row r="25" spans="1:39" ht="13.2" customHeight="1">
      <c r="A25" s="244" t="s">
        <v>8</v>
      </c>
      <c r="B25" s="218" t="s">
        <v>4544</v>
      </c>
      <c r="C25" s="219"/>
      <c r="D25" s="219"/>
      <c r="E25" s="219"/>
      <c r="F25" s="219"/>
      <c r="G25" s="220"/>
      <c r="H25" s="231" t="s">
        <v>25</v>
      </c>
      <c r="I25" s="225"/>
      <c r="J25" s="225"/>
      <c r="K25" s="226"/>
      <c r="L25" s="227"/>
      <c r="M25" s="228" t="s">
        <v>175</v>
      </c>
      <c r="N25" s="229"/>
      <c r="O25" s="229"/>
      <c r="P25" s="229"/>
      <c r="Q25" s="230"/>
      <c r="R25" s="231" t="s">
        <v>1501</v>
      </c>
      <c r="S25" s="225" t="s">
        <v>1571</v>
      </c>
      <c r="T25" s="221" t="s">
        <v>4545</v>
      </c>
      <c r="U25" s="234" t="s">
        <v>4575</v>
      </c>
      <c r="V25" s="235"/>
      <c r="W25" s="235"/>
      <c r="X25" s="235"/>
      <c r="Y25" s="235"/>
      <c r="Z25" s="235"/>
      <c r="AA25" s="236" t="s">
        <v>4546</v>
      </c>
      <c r="AB25" s="237"/>
      <c r="AC25" s="238"/>
      <c r="AD25" s="239" t="s">
        <v>4576</v>
      </c>
      <c r="AE25" s="240"/>
      <c r="AF25" s="240"/>
      <c r="AG25" s="241"/>
      <c r="AH25" s="241"/>
      <c r="AI25" s="239" t="s">
        <v>4546</v>
      </c>
      <c r="AJ25" s="240"/>
      <c r="AK25" s="240"/>
      <c r="AL25" s="240"/>
      <c r="AM25" s="242"/>
    </row>
    <row r="26" spans="1:39" ht="54" customHeight="1" thickBot="1">
      <c r="A26" s="245"/>
      <c r="B26" s="57" t="s">
        <v>25</v>
      </c>
      <c r="C26" s="58" t="s">
        <v>1568</v>
      </c>
      <c r="D26" s="60" t="s">
        <v>4548</v>
      </c>
      <c r="E26" s="60" t="s">
        <v>4549</v>
      </c>
      <c r="F26" s="60" t="s">
        <v>4550</v>
      </c>
      <c r="G26" s="170" t="s">
        <v>1581</v>
      </c>
      <c r="H26" s="61" t="s">
        <v>2447</v>
      </c>
      <c r="I26" s="62" t="s">
        <v>4551</v>
      </c>
      <c r="J26" s="63" t="s">
        <v>4552</v>
      </c>
      <c r="K26" s="63" t="s">
        <v>4553</v>
      </c>
      <c r="L26" s="64" t="s">
        <v>4554</v>
      </c>
      <c r="M26" s="61" t="s">
        <v>2447</v>
      </c>
      <c r="N26" s="62" t="s">
        <v>4551</v>
      </c>
      <c r="O26" s="63" t="s">
        <v>4552</v>
      </c>
      <c r="P26" s="63" t="s">
        <v>4553</v>
      </c>
      <c r="Q26" s="64" t="s">
        <v>4554</v>
      </c>
      <c r="R26" s="232"/>
      <c r="S26" s="233"/>
      <c r="T26" s="222"/>
      <c r="U26" s="171" t="s">
        <v>25</v>
      </c>
      <c r="V26" s="172" t="s">
        <v>1568</v>
      </c>
      <c r="W26" s="173" t="s">
        <v>4548</v>
      </c>
      <c r="X26" s="173" t="s">
        <v>4549</v>
      </c>
      <c r="Y26" s="173" t="s">
        <v>4550</v>
      </c>
      <c r="Z26" s="174" t="s">
        <v>1581</v>
      </c>
      <c r="AA26" s="66" t="s">
        <v>25</v>
      </c>
      <c r="AB26" s="69" t="s">
        <v>4550</v>
      </c>
      <c r="AC26" s="70" t="s">
        <v>1581</v>
      </c>
      <c r="AD26" s="75" t="s">
        <v>2447</v>
      </c>
      <c r="AE26" s="76" t="s">
        <v>4551</v>
      </c>
      <c r="AF26" s="77" t="s">
        <v>4552</v>
      </c>
      <c r="AG26" s="77" t="s">
        <v>4553</v>
      </c>
      <c r="AH26" s="175" t="s">
        <v>4554</v>
      </c>
      <c r="AI26" s="176" t="s">
        <v>2447</v>
      </c>
      <c r="AJ26" s="177" t="s">
        <v>4551</v>
      </c>
      <c r="AK26" s="178" t="s">
        <v>4552</v>
      </c>
      <c r="AL26" s="178" t="s">
        <v>4553</v>
      </c>
      <c r="AM26" s="179" t="s">
        <v>4554</v>
      </c>
    </row>
    <row r="27" spans="1:39">
      <c r="A27" s="180" t="s">
        <v>4559</v>
      </c>
      <c r="B27" s="84">
        <v>1</v>
      </c>
      <c r="C27" s="85">
        <v>0</v>
      </c>
      <c r="D27" s="86">
        <v>0</v>
      </c>
      <c r="E27" s="86">
        <v>0</v>
      </c>
      <c r="F27" s="86">
        <v>1</v>
      </c>
      <c r="G27" s="86">
        <f t="shared" ref="G27:G33" si="16">SUM(B27:F27)</f>
        <v>2</v>
      </c>
      <c r="H27" s="181">
        <v>63</v>
      </c>
      <c r="I27" s="182">
        <f>B27/H27</f>
        <v>1.5873015873015872E-2</v>
      </c>
      <c r="J27" s="92">
        <v>138.61000000000001</v>
      </c>
      <c r="K27" s="90">
        <f>J27/H27</f>
        <v>2.2001587301587304</v>
      </c>
      <c r="L27" s="91">
        <f t="shared" ref="L27:L34" si="17">J27/B27</f>
        <v>138.61000000000001</v>
      </c>
      <c r="M27" s="181">
        <v>0</v>
      </c>
      <c r="N27" s="182" t="e">
        <f t="shared" ref="N27:N34" si="18">C27/M27</f>
        <v>#DIV/0!</v>
      </c>
      <c r="O27" s="92">
        <v>0</v>
      </c>
      <c r="P27" s="90" t="e">
        <f>O27/M27</f>
        <v>#DIV/0!</v>
      </c>
      <c r="Q27" s="91" t="e">
        <f t="shared" ref="Q27:Q34" si="19">O27/C27</f>
        <v>#DIV/0!</v>
      </c>
      <c r="R27" s="84">
        <v>0</v>
      </c>
      <c r="S27" s="93" t="e">
        <f>(J27+O27)/R27</f>
        <v>#DIV/0!</v>
      </c>
      <c r="T27" s="94">
        <f t="shared" ref="T27:T34" si="20">R27/G27</f>
        <v>0</v>
      </c>
      <c r="U27" s="183">
        <v>0</v>
      </c>
      <c r="V27" s="184">
        <v>0</v>
      </c>
      <c r="W27" s="185">
        <v>0</v>
      </c>
      <c r="X27" s="185">
        <v>0</v>
      </c>
      <c r="Y27" s="185">
        <v>0</v>
      </c>
      <c r="Z27" s="186">
        <v>0</v>
      </c>
      <c r="AA27" s="187" t="e">
        <f t="shared" ref="AA27:AA34" si="21">(B27-U27)/U27</f>
        <v>#DIV/0!</v>
      </c>
      <c r="AB27" s="188" t="e">
        <f t="shared" ref="AB27:AC34" si="22">(F27-Y27)/Y27</f>
        <v>#DIV/0!</v>
      </c>
      <c r="AC27" s="94" t="e">
        <f t="shared" si="22"/>
        <v>#DIV/0!</v>
      </c>
      <c r="AD27" s="189">
        <v>62</v>
      </c>
      <c r="AE27" s="103">
        <v>0</v>
      </c>
      <c r="AF27" s="104">
        <v>112.81</v>
      </c>
      <c r="AG27" s="105">
        <v>1.8195161290322581</v>
      </c>
      <c r="AH27" s="106" t="e">
        <v>#DIV/0!</v>
      </c>
      <c r="AI27" s="190">
        <f>(H27-AD27)/AD27</f>
        <v>1.6129032258064516E-2</v>
      </c>
      <c r="AJ27" s="191" t="e">
        <f>(I27-AE27)/AE27</f>
        <v>#DIV/0!</v>
      </c>
      <c r="AK27" s="192">
        <f>(J27-AF27)/AF27</f>
        <v>0.22870312915521684</v>
      </c>
      <c r="AL27" s="192">
        <f>(K27-AG27)/AG27</f>
        <v>0.20919990488291182</v>
      </c>
      <c r="AM27" s="193" t="e">
        <f>(L27-AH27)/AH27</f>
        <v>#DIV/0!</v>
      </c>
    </row>
    <row r="28" spans="1:39">
      <c r="A28" s="111" t="s">
        <v>28</v>
      </c>
      <c r="B28" s="112">
        <v>0</v>
      </c>
      <c r="C28" s="113">
        <v>0</v>
      </c>
      <c r="D28" s="114">
        <v>0</v>
      </c>
      <c r="E28" s="114">
        <v>0</v>
      </c>
      <c r="F28" s="114">
        <v>1</v>
      </c>
      <c r="G28" s="114">
        <f t="shared" si="16"/>
        <v>1</v>
      </c>
      <c r="H28" s="181">
        <v>0</v>
      </c>
      <c r="I28" s="182">
        <v>0</v>
      </c>
      <c r="J28" s="115">
        <v>0</v>
      </c>
      <c r="K28" s="90" t="e">
        <f>J28/H28</f>
        <v>#DIV/0!</v>
      </c>
      <c r="L28" s="116" t="e">
        <f t="shared" si="17"/>
        <v>#DIV/0!</v>
      </c>
      <c r="M28" s="181">
        <v>0</v>
      </c>
      <c r="N28" s="182" t="e">
        <f t="shared" si="18"/>
        <v>#DIV/0!</v>
      </c>
      <c r="O28" s="115">
        <v>0</v>
      </c>
      <c r="P28" s="90" t="e">
        <f t="shared" ref="P28:P33" si="23">O28/M28</f>
        <v>#DIV/0!</v>
      </c>
      <c r="Q28" s="116" t="e">
        <f t="shared" si="19"/>
        <v>#DIV/0!</v>
      </c>
      <c r="R28" s="112">
        <v>0</v>
      </c>
      <c r="S28" s="117" t="e">
        <f t="shared" ref="S28:S34" si="24">(J28+O28)/R28</f>
        <v>#DIV/0!</v>
      </c>
      <c r="T28" s="118">
        <f t="shared" si="20"/>
        <v>0</v>
      </c>
      <c r="U28" s="194">
        <v>0</v>
      </c>
      <c r="V28" s="195">
        <v>0</v>
      </c>
      <c r="W28" s="196">
        <v>0</v>
      </c>
      <c r="X28" s="196">
        <v>0</v>
      </c>
      <c r="Y28" s="196">
        <v>0</v>
      </c>
      <c r="Z28" s="197">
        <v>0</v>
      </c>
      <c r="AA28" s="123" t="e">
        <f t="shared" si="21"/>
        <v>#DIV/0!</v>
      </c>
      <c r="AB28" s="124" t="e">
        <f t="shared" si="22"/>
        <v>#DIV/0!</v>
      </c>
      <c r="AC28" s="118" t="e">
        <f t="shared" si="22"/>
        <v>#DIV/0!</v>
      </c>
      <c r="AD28" s="189">
        <v>0</v>
      </c>
      <c r="AE28" s="103">
        <v>0</v>
      </c>
      <c r="AF28" s="125">
        <v>0</v>
      </c>
      <c r="AG28" s="105" t="e">
        <v>#DIV/0!</v>
      </c>
      <c r="AH28" s="126" t="e">
        <v>#DIV/0!</v>
      </c>
      <c r="AI28" s="127" t="e">
        <f t="shared" ref="AI28:AM34" si="25">(H28-AD28)/AD28</f>
        <v>#DIV/0!</v>
      </c>
      <c r="AJ28" s="128" t="e">
        <f t="shared" si="25"/>
        <v>#DIV/0!</v>
      </c>
      <c r="AK28" s="129" t="e">
        <f t="shared" si="25"/>
        <v>#DIV/0!</v>
      </c>
      <c r="AL28" s="129" t="e">
        <f t="shared" si="25"/>
        <v>#DIV/0!</v>
      </c>
      <c r="AM28" s="130" t="e">
        <f t="shared" si="25"/>
        <v>#DIV/0!</v>
      </c>
    </row>
    <row r="29" spans="1:39">
      <c r="A29" s="111" t="s">
        <v>35</v>
      </c>
      <c r="B29" s="112">
        <v>0</v>
      </c>
      <c r="C29" s="113">
        <v>0</v>
      </c>
      <c r="D29" s="114">
        <v>0</v>
      </c>
      <c r="E29" s="114">
        <v>0</v>
      </c>
      <c r="F29" s="114">
        <v>1</v>
      </c>
      <c r="G29" s="114">
        <f t="shared" si="16"/>
        <v>1</v>
      </c>
      <c r="H29" s="181">
        <v>17</v>
      </c>
      <c r="I29" s="182">
        <f t="shared" ref="I29:I34" si="26">B29/H29</f>
        <v>0</v>
      </c>
      <c r="J29" s="115">
        <v>27.33</v>
      </c>
      <c r="K29" s="90">
        <f t="shared" ref="K29:K32" si="27">J29/H29</f>
        <v>1.6076470588235292</v>
      </c>
      <c r="L29" s="116" t="e">
        <f t="shared" si="17"/>
        <v>#DIV/0!</v>
      </c>
      <c r="M29" s="181">
        <v>11</v>
      </c>
      <c r="N29" s="182">
        <f t="shared" si="18"/>
        <v>0</v>
      </c>
      <c r="O29" s="115">
        <v>7.83</v>
      </c>
      <c r="P29" s="90">
        <f t="shared" si="23"/>
        <v>0.71181818181818179</v>
      </c>
      <c r="Q29" s="116" t="e">
        <f t="shared" si="19"/>
        <v>#DIV/0!</v>
      </c>
      <c r="R29" s="112">
        <v>0</v>
      </c>
      <c r="S29" s="117" t="e">
        <f t="shared" si="24"/>
        <v>#DIV/0!</v>
      </c>
      <c r="T29" s="118">
        <f t="shared" si="20"/>
        <v>0</v>
      </c>
      <c r="U29" s="194">
        <v>0</v>
      </c>
      <c r="V29" s="195">
        <v>1</v>
      </c>
      <c r="W29" s="196">
        <v>0</v>
      </c>
      <c r="X29" s="196">
        <v>0</v>
      </c>
      <c r="Y29" s="196">
        <v>0</v>
      </c>
      <c r="Z29" s="197">
        <v>1</v>
      </c>
      <c r="AA29" s="123" t="e">
        <f t="shared" si="21"/>
        <v>#DIV/0!</v>
      </c>
      <c r="AB29" s="124" t="e">
        <f t="shared" si="22"/>
        <v>#DIV/0!</v>
      </c>
      <c r="AC29" s="118">
        <f t="shared" si="22"/>
        <v>0</v>
      </c>
      <c r="AD29" s="189">
        <v>29</v>
      </c>
      <c r="AE29" s="103">
        <v>0</v>
      </c>
      <c r="AF29" s="125">
        <v>50.14</v>
      </c>
      <c r="AG29" s="105">
        <v>1.7289655172413794</v>
      </c>
      <c r="AH29" s="126" t="e">
        <v>#DIV/0!</v>
      </c>
      <c r="AI29" s="127">
        <f t="shared" si="25"/>
        <v>-0.41379310344827586</v>
      </c>
      <c r="AJ29" s="128" t="e">
        <f t="shared" si="25"/>
        <v>#DIV/0!</v>
      </c>
      <c r="AK29" s="129">
        <f t="shared" si="25"/>
        <v>-0.45492620662145994</v>
      </c>
      <c r="AL29" s="129">
        <f t="shared" si="25"/>
        <v>-7.0168234824843523E-2</v>
      </c>
      <c r="AM29" s="130" t="e">
        <f t="shared" si="25"/>
        <v>#DIV/0!</v>
      </c>
    </row>
    <row r="30" spans="1:39">
      <c r="A30" s="111" t="s">
        <v>162</v>
      </c>
      <c r="B30" s="112">
        <v>0</v>
      </c>
      <c r="C30" s="113">
        <v>0</v>
      </c>
      <c r="D30" s="114">
        <v>0</v>
      </c>
      <c r="E30" s="114">
        <v>0</v>
      </c>
      <c r="F30" s="114">
        <v>0</v>
      </c>
      <c r="G30" s="114">
        <f t="shared" si="16"/>
        <v>0</v>
      </c>
      <c r="H30" s="181">
        <v>0</v>
      </c>
      <c r="I30" s="182" t="e">
        <f t="shared" si="26"/>
        <v>#DIV/0!</v>
      </c>
      <c r="J30" s="115">
        <v>0</v>
      </c>
      <c r="K30" s="90" t="e">
        <f t="shared" si="27"/>
        <v>#DIV/0!</v>
      </c>
      <c r="L30" s="116" t="e">
        <f t="shared" si="17"/>
        <v>#DIV/0!</v>
      </c>
      <c r="M30" s="181">
        <v>0</v>
      </c>
      <c r="N30" s="182" t="e">
        <f t="shared" si="18"/>
        <v>#DIV/0!</v>
      </c>
      <c r="O30" s="115">
        <v>0</v>
      </c>
      <c r="P30" s="90" t="e">
        <f t="shared" si="23"/>
        <v>#DIV/0!</v>
      </c>
      <c r="Q30" s="116" t="e">
        <f t="shared" si="19"/>
        <v>#DIV/0!</v>
      </c>
      <c r="R30" s="112">
        <v>0</v>
      </c>
      <c r="S30" s="117" t="e">
        <f t="shared" si="24"/>
        <v>#DIV/0!</v>
      </c>
      <c r="T30" s="118" t="e">
        <f t="shared" si="20"/>
        <v>#DIV/0!</v>
      </c>
      <c r="U30" s="194">
        <v>0</v>
      </c>
      <c r="V30" s="195">
        <v>0</v>
      </c>
      <c r="W30" s="196">
        <v>0</v>
      </c>
      <c r="X30" s="196">
        <v>0</v>
      </c>
      <c r="Y30" s="196">
        <v>0</v>
      </c>
      <c r="Z30" s="197">
        <v>0</v>
      </c>
      <c r="AA30" s="123" t="e">
        <f t="shared" si="21"/>
        <v>#DIV/0!</v>
      </c>
      <c r="AB30" s="124" t="e">
        <f t="shared" si="22"/>
        <v>#DIV/0!</v>
      </c>
      <c r="AC30" s="118" t="e">
        <f t="shared" si="22"/>
        <v>#DIV/0!</v>
      </c>
      <c r="AD30" s="189">
        <v>0</v>
      </c>
      <c r="AE30" s="103" t="e">
        <v>#DIV/0!</v>
      </c>
      <c r="AF30" s="125">
        <v>0</v>
      </c>
      <c r="AG30" s="105" t="e">
        <v>#DIV/0!</v>
      </c>
      <c r="AH30" s="126" t="e">
        <v>#DIV/0!</v>
      </c>
      <c r="AI30" s="127" t="e">
        <f t="shared" si="25"/>
        <v>#DIV/0!</v>
      </c>
      <c r="AJ30" s="128" t="e">
        <f t="shared" si="25"/>
        <v>#DIV/0!</v>
      </c>
      <c r="AK30" s="129" t="e">
        <f t="shared" si="25"/>
        <v>#DIV/0!</v>
      </c>
      <c r="AL30" s="129" t="e">
        <f t="shared" si="25"/>
        <v>#DIV/0!</v>
      </c>
      <c r="AM30" s="130" t="e">
        <f t="shared" si="25"/>
        <v>#DIV/0!</v>
      </c>
    </row>
    <row r="31" spans="1:39">
      <c r="A31" s="111" t="s">
        <v>279</v>
      </c>
      <c r="B31" s="112">
        <v>0</v>
      </c>
      <c r="C31" s="113">
        <v>0</v>
      </c>
      <c r="D31" s="114">
        <v>0</v>
      </c>
      <c r="E31" s="114">
        <v>0</v>
      </c>
      <c r="F31" s="114">
        <v>0</v>
      </c>
      <c r="G31" s="114">
        <f t="shared" si="16"/>
        <v>0</v>
      </c>
      <c r="H31" s="181">
        <v>0</v>
      </c>
      <c r="I31" s="182" t="e">
        <f t="shared" si="26"/>
        <v>#DIV/0!</v>
      </c>
      <c r="J31" s="115">
        <v>0</v>
      </c>
      <c r="K31" s="90" t="e">
        <f t="shared" si="27"/>
        <v>#DIV/0!</v>
      </c>
      <c r="L31" s="116" t="e">
        <f t="shared" si="17"/>
        <v>#DIV/0!</v>
      </c>
      <c r="M31" s="181">
        <v>0</v>
      </c>
      <c r="N31" s="182" t="e">
        <f t="shared" si="18"/>
        <v>#DIV/0!</v>
      </c>
      <c r="O31" s="115">
        <v>0</v>
      </c>
      <c r="P31" s="90" t="e">
        <f t="shared" si="23"/>
        <v>#DIV/0!</v>
      </c>
      <c r="Q31" s="116" t="e">
        <f t="shared" si="19"/>
        <v>#DIV/0!</v>
      </c>
      <c r="R31" s="112">
        <v>0</v>
      </c>
      <c r="S31" s="117" t="e">
        <f t="shared" si="24"/>
        <v>#DIV/0!</v>
      </c>
      <c r="T31" s="118" t="e">
        <f t="shared" si="20"/>
        <v>#DIV/0!</v>
      </c>
      <c r="U31" s="194">
        <v>0</v>
      </c>
      <c r="V31" s="195">
        <v>0</v>
      </c>
      <c r="W31" s="196">
        <v>0</v>
      </c>
      <c r="X31" s="196">
        <v>0</v>
      </c>
      <c r="Y31" s="196">
        <v>0</v>
      </c>
      <c r="Z31" s="197">
        <v>0</v>
      </c>
      <c r="AA31" s="123" t="e">
        <f t="shared" si="21"/>
        <v>#DIV/0!</v>
      </c>
      <c r="AB31" s="124" t="e">
        <f t="shared" si="22"/>
        <v>#DIV/0!</v>
      </c>
      <c r="AC31" s="118" t="e">
        <f t="shared" si="22"/>
        <v>#DIV/0!</v>
      </c>
      <c r="AD31" s="189">
        <v>0</v>
      </c>
      <c r="AE31" s="103" t="e">
        <v>#DIV/0!</v>
      </c>
      <c r="AF31" s="125">
        <v>0</v>
      </c>
      <c r="AG31" s="105" t="e">
        <v>#DIV/0!</v>
      </c>
      <c r="AH31" s="126" t="e">
        <v>#DIV/0!</v>
      </c>
      <c r="AI31" s="127" t="e">
        <f t="shared" si="25"/>
        <v>#DIV/0!</v>
      </c>
      <c r="AJ31" s="128" t="e">
        <f t="shared" si="25"/>
        <v>#DIV/0!</v>
      </c>
      <c r="AK31" s="129" t="e">
        <f t="shared" si="25"/>
        <v>#DIV/0!</v>
      </c>
      <c r="AL31" s="129" t="e">
        <f t="shared" si="25"/>
        <v>#DIV/0!</v>
      </c>
      <c r="AM31" s="130" t="e">
        <f t="shared" si="25"/>
        <v>#DIV/0!</v>
      </c>
    </row>
    <row r="32" spans="1:39">
      <c r="A32" s="132" t="s">
        <v>4558</v>
      </c>
      <c r="B32" s="112">
        <v>2</v>
      </c>
      <c r="C32" s="113">
        <v>0</v>
      </c>
      <c r="D32" s="114">
        <v>0</v>
      </c>
      <c r="E32" s="114">
        <v>0</v>
      </c>
      <c r="F32" s="114">
        <v>1</v>
      </c>
      <c r="G32" s="114">
        <f t="shared" si="16"/>
        <v>3</v>
      </c>
      <c r="H32" s="181">
        <v>68</v>
      </c>
      <c r="I32" s="182">
        <f t="shared" si="26"/>
        <v>2.9411764705882353E-2</v>
      </c>
      <c r="J32" s="115">
        <v>71.790000000000006</v>
      </c>
      <c r="K32" s="90">
        <f t="shared" si="27"/>
        <v>1.0557352941176472</v>
      </c>
      <c r="L32" s="116">
        <f t="shared" si="17"/>
        <v>35.895000000000003</v>
      </c>
      <c r="M32" s="181">
        <v>0</v>
      </c>
      <c r="N32" s="182" t="e">
        <f t="shared" si="18"/>
        <v>#DIV/0!</v>
      </c>
      <c r="O32" s="115">
        <v>0</v>
      </c>
      <c r="P32" s="90" t="e">
        <f t="shared" si="23"/>
        <v>#DIV/0!</v>
      </c>
      <c r="Q32" s="116" t="e">
        <f t="shared" si="19"/>
        <v>#DIV/0!</v>
      </c>
      <c r="R32" s="112">
        <v>0</v>
      </c>
      <c r="S32" s="117" t="e">
        <f t="shared" si="24"/>
        <v>#DIV/0!</v>
      </c>
      <c r="T32" s="118">
        <f t="shared" si="20"/>
        <v>0</v>
      </c>
      <c r="U32" s="194">
        <v>5</v>
      </c>
      <c r="V32" s="195">
        <v>0</v>
      </c>
      <c r="W32" s="196">
        <v>0</v>
      </c>
      <c r="X32" s="196">
        <v>0</v>
      </c>
      <c r="Y32" s="196">
        <v>1</v>
      </c>
      <c r="Z32" s="197">
        <v>6</v>
      </c>
      <c r="AA32" s="123">
        <f t="shared" si="21"/>
        <v>-0.6</v>
      </c>
      <c r="AB32" s="124">
        <f t="shared" si="22"/>
        <v>0</v>
      </c>
      <c r="AC32" s="118">
        <f t="shared" si="22"/>
        <v>-0.5</v>
      </c>
      <c r="AD32" s="189">
        <v>103</v>
      </c>
      <c r="AE32" s="103">
        <v>4.8543689320388349E-2</v>
      </c>
      <c r="AF32" s="125">
        <v>130.04</v>
      </c>
      <c r="AG32" s="105">
        <v>1.2625242718446601</v>
      </c>
      <c r="AH32" s="126">
        <v>26.007999999999999</v>
      </c>
      <c r="AI32" s="127">
        <f t="shared" si="25"/>
        <v>-0.33980582524271846</v>
      </c>
      <c r="AJ32" s="128">
        <f t="shared" si="25"/>
        <v>-0.39411764705882352</v>
      </c>
      <c r="AK32" s="129">
        <f t="shared" si="25"/>
        <v>-0.44793909566287288</v>
      </c>
      <c r="AL32" s="129">
        <f t="shared" si="25"/>
        <v>-0.16379010078346914</v>
      </c>
      <c r="AM32" s="130">
        <f t="shared" si="25"/>
        <v>0.38015226084281778</v>
      </c>
    </row>
    <row r="33" spans="1:39" ht="15" thickBot="1">
      <c r="A33" s="133" t="s">
        <v>4472</v>
      </c>
      <c r="B33" s="134">
        <v>2</v>
      </c>
      <c r="C33" s="135">
        <v>5</v>
      </c>
      <c r="D33" s="136">
        <v>0</v>
      </c>
      <c r="E33" s="136">
        <v>0</v>
      </c>
      <c r="F33" s="136">
        <v>0</v>
      </c>
      <c r="G33" s="136">
        <f t="shared" si="16"/>
        <v>7</v>
      </c>
      <c r="H33" s="198">
        <v>60</v>
      </c>
      <c r="I33" s="199">
        <f t="shared" si="26"/>
        <v>3.3333333333333333E-2</v>
      </c>
      <c r="J33" s="136">
        <v>113.96</v>
      </c>
      <c r="K33" s="139">
        <f>J33/H33</f>
        <v>1.8993333333333333</v>
      </c>
      <c r="L33" s="140">
        <f t="shared" si="17"/>
        <v>56.98</v>
      </c>
      <c r="M33" s="198">
        <v>58</v>
      </c>
      <c r="N33" s="199">
        <f t="shared" si="18"/>
        <v>8.6206896551724144E-2</v>
      </c>
      <c r="O33" s="136">
        <v>36.51</v>
      </c>
      <c r="P33" s="139">
        <f t="shared" si="23"/>
        <v>0.62948275862068959</v>
      </c>
      <c r="Q33" s="140">
        <f t="shared" si="19"/>
        <v>7.3019999999999996</v>
      </c>
      <c r="R33" s="134">
        <v>1</v>
      </c>
      <c r="S33" s="141">
        <f t="shared" si="24"/>
        <v>150.47</v>
      </c>
      <c r="T33" s="142">
        <f t="shared" si="20"/>
        <v>0.14285714285714285</v>
      </c>
      <c r="U33" s="200">
        <v>6</v>
      </c>
      <c r="V33" s="201">
        <v>1</v>
      </c>
      <c r="W33" s="202">
        <v>1</v>
      </c>
      <c r="X33" s="202">
        <v>0</v>
      </c>
      <c r="Y33" s="202">
        <v>8</v>
      </c>
      <c r="Z33" s="203">
        <v>16</v>
      </c>
      <c r="AA33" s="147">
        <f t="shared" si="21"/>
        <v>-0.66666666666666663</v>
      </c>
      <c r="AB33" s="148">
        <f t="shared" si="22"/>
        <v>-1</v>
      </c>
      <c r="AC33" s="142">
        <f t="shared" si="22"/>
        <v>-0.5625</v>
      </c>
      <c r="AD33" s="204">
        <v>142</v>
      </c>
      <c r="AE33" s="150">
        <v>4.2253521126760563E-2</v>
      </c>
      <c r="AF33" s="151">
        <v>304.70999999999998</v>
      </c>
      <c r="AG33" s="152">
        <v>2.1458450704225349</v>
      </c>
      <c r="AH33" s="152">
        <v>50.784999999999997</v>
      </c>
      <c r="AI33" s="153">
        <f t="shared" si="25"/>
        <v>-0.57746478873239437</v>
      </c>
      <c r="AJ33" s="154">
        <f t="shared" si="25"/>
        <v>-0.21111111111111111</v>
      </c>
      <c r="AK33" s="155">
        <f t="shared" si="25"/>
        <v>-0.62600505398575701</v>
      </c>
      <c r="AL33" s="155">
        <f t="shared" si="25"/>
        <v>-0.11487862776629133</v>
      </c>
      <c r="AM33" s="156">
        <f t="shared" si="25"/>
        <v>0.12198483804272917</v>
      </c>
    </row>
    <row r="34" spans="1:39">
      <c r="B34" s="6">
        <f>SUM(B27:B33)</f>
        <v>5</v>
      </c>
      <c r="C34" s="6">
        <f>SUM(C27:C33)</f>
        <v>5</v>
      </c>
      <c r="F34" s="6">
        <f>SUM(F27:F33)</f>
        <v>4</v>
      </c>
      <c r="G34" s="205">
        <f>SUM(G27:G33)</f>
        <v>14</v>
      </c>
      <c r="H34" s="7">
        <f>SUM(H27:H33)</f>
        <v>208</v>
      </c>
      <c r="I34" s="15">
        <f t="shared" si="26"/>
        <v>2.403846153846154E-2</v>
      </c>
      <c r="J34" s="6">
        <f>SUM(J27:J33)</f>
        <v>351.69</v>
      </c>
      <c r="K34" s="24">
        <f>J34/H34</f>
        <v>1.6908173076923076</v>
      </c>
      <c r="L34" s="24">
        <f t="shared" si="17"/>
        <v>70.337999999999994</v>
      </c>
      <c r="M34" s="7">
        <f>SUM(M27:M33)</f>
        <v>69</v>
      </c>
      <c r="N34" s="206">
        <f t="shared" si="18"/>
        <v>7.2463768115942032E-2</v>
      </c>
      <c r="O34" s="24">
        <f>SUM(O27:O33)</f>
        <v>44.339999999999996</v>
      </c>
      <c r="P34" s="24"/>
      <c r="Q34" s="24">
        <f t="shared" si="19"/>
        <v>8.8679999999999986</v>
      </c>
      <c r="R34" s="6">
        <v>3</v>
      </c>
      <c r="S34" s="24">
        <f t="shared" si="24"/>
        <v>132.01</v>
      </c>
      <c r="T34" s="158">
        <f t="shared" si="20"/>
        <v>0.21428571428571427</v>
      </c>
      <c r="U34" s="207">
        <v>11</v>
      </c>
      <c r="V34" s="207">
        <v>2</v>
      </c>
      <c r="W34" s="207"/>
      <c r="X34" s="207"/>
      <c r="Y34" s="207">
        <v>9</v>
      </c>
      <c r="Z34" s="208">
        <v>23</v>
      </c>
      <c r="AA34" s="162">
        <f t="shared" si="21"/>
        <v>-0.54545454545454541</v>
      </c>
      <c r="AB34" s="162">
        <f t="shared" si="22"/>
        <v>-0.55555555555555558</v>
      </c>
      <c r="AC34" s="162">
        <f t="shared" si="22"/>
        <v>-0.39130434782608697</v>
      </c>
      <c r="AD34" s="209">
        <v>336</v>
      </c>
      <c r="AE34" s="167">
        <v>3.273809523809524E-2</v>
      </c>
      <c r="AF34" s="165">
        <v>597.70000000000005</v>
      </c>
      <c r="AG34" s="166">
        <v>1.7788690476190478</v>
      </c>
      <c r="AH34" s="166">
        <v>54.336363636363643</v>
      </c>
      <c r="AI34" s="164">
        <f t="shared" si="25"/>
        <v>-0.38095238095238093</v>
      </c>
      <c r="AJ34" s="168">
        <f t="shared" si="25"/>
        <v>-0.26573426573426573</v>
      </c>
      <c r="AK34" s="164">
        <f t="shared" si="25"/>
        <v>-0.41159444537393347</v>
      </c>
      <c r="AL34" s="164">
        <f t="shared" si="25"/>
        <v>-4.9498719450200276E-2</v>
      </c>
      <c r="AM34" s="164">
        <f t="shared" si="25"/>
        <v>0.29449222017734622</v>
      </c>
    </row>
    <row r="36" spans="1:39">
      <c r="A36" s="30" t="s">
        <v>1591</v>
      </c>
    </row>
    <row r="37" spans="1:39">
      <c r="A37" s="255" t="s">
        <v>4579</v>
      </c>
    </row>
    <row r="39" spans="1:39">
      <c r="A39" s="31"/>
    </row>
    <row r="40" spans="1:39">
      <c r="A40" s="31"/>
    </row>
    <row r="41" spans="1:39" ht="18" thickBot="1">
      <c r="A41" s="210" t="s">
        <v>4571</v>
      </c>
    </row>
    <row r="42" spans="1:39" ht="22.8" customHeight="1">
      <c r="A42" s="216" t="s">
        <v>4560</v>
      </c>
      <c r="B42" s="218" t="s">
        <v>4544</v>
      </c>
      <c r="C42" s="219"/>
      <c r="D42" s="219"/>
      <c r="E42" s="219"/>
      <c r="F42" s="220"/>
      <c r="G42" s="224" t="s">
        <v>25</v>
      </c>
      <c r="H42" s="225"/>
      <c r="I42" s="225"/>
      <c r="J42" s="226"/>
      <c r="K42" s="227"/>
      <c r="L42" s="228" t="s">
        <v>175</v>
      </c>
      <c r="M42" s="229"/>
      <c r="N42" s="229"/>
      <c r="O42" s="229"/>
      <c r="P42" s="230"/>
      <c r="Q42" s="231" t="s">
        <v>1501</v>
      </c>
      <c r="R42" s="225" t="s">
        <v>1571</v>
      </c>
      <c r="S42" s="221" t="s">
        <v>4545</v>
      </c>
    </row>
    <row r="43" spans="1:39" ht="29.4" thickBot="1">
      <c r="A43" s="217"/>
      <c r="B43" s="57" t="s">
        <v>25</v>
      </c>
      <c r="C43" s="60" t="s">
        <v>1568</v>
      </c>
      <c r="D43" s="60" t="s">
        <v>1507</v>
      </c>
      <c r="E43" s="211" t="s">
        <v>4561</v>
      </c>
      <c r="F43" s="65" t="s">
        <v>1581</v>
      </c>
      <c r="G43" s="212" t="s">
        <v>2447</v>
      </c>
      <c r="H43" s="62" t="s">
        <v>4551</v>
      </c>
      <c r="I43" s="63" t="s">
        <v>4552</v>
      </c>
      <c r="J43" s="63" t="s">
        <v>4553</v>
      </c>
      <c r="K43" s="64" t="s">
        <v>4554</v>
      </c>
      <c r="L43" s="61" t="s">
        <v>2447</v>
      </c>
      <c r="M43" s="62" t="s">
        <v>4551</v>
      </c>
      <c r="N43" s="63" t="s">
        <v>4552</v>
      </c>
      <c r="O43" s="63" t="s">
        <v>4553</v>
      </c>
      <c r="P43" s="64" t="s">
        <v>4554</v>
      </c>
      <c r="Q43" s="232"/>
      <c r="R43" s="233"/>
      <c r="S43" s="222"/>
    </row>
    <row r="44" spans="1:39">
      <c r="A44" s="31" t="s">
        <v>4562</v>
      </c>
      <c r="B44" s="6">
        <v>5</v>
      </c>
      <c r="C44" s="6">
        <v>0</v>
      </c>
      <c r="D44" s="6">
        <f>F44-B44-C44</f>
        <v>2</v>
      </c>
      <c r="F44" s="6">
        <v>7</v>
      </c>
      <c r="G44" s="6">
        <v>228</v>
      </c>
      <c r="H44" s="15">
        <f t="shared" ref="H44:H54" si="28">B44/G44</f>
        <v>2.1929824561403508E-2</v>
      </c>
      <c r="I44" s="6">
        <v>87.06</v>
      </c>
      <c r="J44" s="24">
        <f t="shared" ref="J44:J54" si="29">I44/G44</f>
        <v>0.38184210526315793</v>
      </c>
      <c r="K44" s="24">
        <f t="shared" ref="K44:K54" si="30">I44/B44</f>
        <v>17.411999999999999</v>
      </c>
      <c r="M44" s="15"/>
      <c r="O44" s="24"/>
      <c r="Q44" s="6">
        <v>0</v>
      </c>
      <c r="R44" s="24" t="e">
        <f>(I44+N44)/Q44</f>
        <v>#DIV/0!</v>
      </c>
      <c r="S44" s="15">
        <f>Q44/F44</f>
        <v>0</v>
      </c>
    </row>
    <row r="45" spans="1:39">
      <c r="A45" s="31" t="s">
        <v>4563</v>
      </c>
      <c r="B45" s="6">
        <v>30</v>
      </c>
      <c r="D45" s="6">
        <v>3</v>
      </c>
      <c r="F45" s="6">
        <f>SUM(B45:D45)</f>
        <v>33</v>
      </c>
      <c r="G45" s="6">
        <v>517</v>
      </c>
      <c r="H45" s="15">
        <f t="shared" si="28"/>
        <v>5.8027079303675046E-2</v>
      </c>
      <c r="I45" s="6">
        <v>91.3</v>
      </c>
      <c r="J45" s="24">
        <f t="shared" si="29"/>
        <v>0.17659574468085107</v>
      </c>
      <c r="K45" s="24">
        <f t="shared" si="30"/>
        <v>3.0433333333333334</v>
      </c>
      <c r="M45" s="15"/>
      <c r="O45" s="24"/>
      <c r="Q45" s="6">
        <v>0</v>
      </c>
      <c r="R45" s="24" t="e">
        <f>(I45+N45)/Q45</f>
        <v>#DIV/0!</v>
      </c>
      <c r="S45" s="15">
        <f>Q45/F45</f>
        <v>0</v>
      </c>
    </row>
    <row r="46" spans="1:39">
      <c r="A46" s="31" t="s">
        <v>4564</v>
      </c>
      <c r="B46" s="6">
        <v>19</v>
      </c>
      <c r="C46" s="6">
        <v>0</v>
      </c>
      <c r="D46" s="6">
        <v>0</v>
      </c>
      <c r="E46" s="6">
        <v>6</v>
      </c>
      <c r="F46" s="6">
        <f>SUM(B46:D46)</f>
        <v>19</v>
      </c>
      <c r="G46" s="6">
        <v>790</v>
      </c>
      <c r="H46" s="15">
        <f t="shared" si="28"/>
        <v>2.4050632911392405E-2</v>
      </c>
      <c r="I46" s="6">
        <v>62.01</v>
      </c>
      <c r="J46" s="24">
        <f t="shared" si="29"/>
        <v>7.849367088607595E-2</v>
      </c>
      <c r="K46" s="24">
        <f t="shared" si="30"/>
        <v>3.2636842105263155</v>
      </c>
      <c r="M46" s="15"/>
      <c r="O46" s="24"/>
      <c r="Q46" s="6">
        <v>0</v>
      </c>
      <c r="R46" s="24" t="e">
        <f>(I46+N46)/Q46</f>
        <v>#DIV/0!</v>
      </c>
      <c r="S46" s="15">
        <f>Q46/F46</f>
        <v>0</v>
      </c>
    </row>
    <row r="47" spans="1:39">
      <c r="A47" s="31" t="s">
        <v>4565</v>
      </c>
      <c r="B47" s="6">
        <v>46</v>
      </c>
      <c r="C47" s="6">
        <v>0</v>
      </c>
      <c r="D47" s="6">
        <v>1</v>
      </c>
      <c r="E47" s="6">
        <v>11</v>
      </c>
      <c r="F47" s="6">
        <f>SUM(B47:D47)</f>
        <v>47</v>
      </c>
      <c r="G47" s="6">
        <v>1874</v>
      </c>
      <c r="H47" s="15">
        <f t="shared" si="28"/>
        <v>2.454642475987193E-2</v>
      </c>
      <c r="I47" s="6">
        <v>153.38</v>
      </c>
      <c r="J47" s="24">
        <f t="shared" si="29"/>
        <v>8.1846318036286017E-2</v>
      </c>
      <c r="K47" s="24">
        <f t="shared" si="30"/>
        <v>3.3343478260869563</v>
      </c>
      <c r="Q47" s="6">
        <v>0</v>
      </c>
      <c r="R47" s="24" t="e">
        <f t="shared" ref="R47:R53" si="31">(I47+N47)/Q47</f>
        <v>#DIV/0!</v>
      </c>
      <c r="S47" s="15">
        <f t="shared" ref="S47:S49" si="32">Q47/F47</f>
        <v>0</v>
      </c>
    </row>
    <row r="48" spans="1:39">
      <c r="A48" s="31" t="s">
        <v>4566</v>
      </c>
      <c r="B48" s="6">
        <v>72</v>
      </c>
      <c r="C48" s="6">
        <v>0</v>
      </c>
      <c r="D48" s="6">
        <v>1</v>
      </c>
      <c r="E48" s="6">
        <v>35</v>
      </c>
      <c r="F48" s="6">
        <f>SUM(B48:D48)</f>
        <v>73</v>
      </c>
      <c r="G48" s="6">
        <v>1403</v>
      </c>
      <c r="H48" s="159">
        <f t="shared" si="28"/>
        <v>5.1318602993585177E-2</v>
      </c>
      <c r="I48" s="6">
        <v>132.22999999999999</v>
      </c>
      <c r="J48" s="24">
        <f t="shared" si="29"/>
        <v>9.4248039914468992E-2</v>
      </c>
      <c r="K48" s="24">
        <f t="shared" si="30"/>
        <v>1.8365277777777775</v>
      </c>
      <c r="Q48" s="6">
        <v>0</v>
      </c>
      <c r="R48" s="24" t="e">
        <f t="shared" si="31"/>
        <v>#DIV/0!</v>
      </c>
      <c r="S48" s="15">
        <f t="shared" si="32"/>
        <v>0</v>
      </c>
    </row>
    <row r="49" spans="1:19">
      <c r="A49" s="31" t="s">
        <v>4567</v>
      </c>
      <c r="B49" s="6">
        <v>5</v>
      </c>
      <c r="C49" s="6">
        <v>0</v>
      </c>
      <c r="D49" s="6">
        <v>0</v>
      </c>
      <c r="F49" s="6">
        <f>SUM(B49:D49)</f>
        <v>5</v>
      </c>
      <c r="G49" s="6">
        <v>800</v>
      </c>
      <c r="H49" s="159">
        <f t="shared" si="28"/>
        <v>6.2500000000000003E-3</v>
      </c>
      <c r="I49" s="6">
        <v>175.29</v>
      </c>
      <c r="J49" s="24">
        <f t="shared" si="29"/>
        <v>0.21911249999999999</v>
      </c>
      <c r="K49" s="24">
        <f t="shared" si="30"/>
        <v>35.058</v>
      </c>
      <c r="Q49" s="6">
        <v>0</v>
      </c>
      <c r="R49" s="24" t="e">
        <f t="shared" si="31"/>
        <v>#DIV/0!</v>
      </c>
      <c r="S49" s="15">
        <f t="shared" si="32"/>
        <v>0</v>
      </c>
    </row>
    <row r="50" spans="1:19">
      <c r="A50" s="31" t="s">
        <v>4568</v>
      </c>
      <c r="B50" s="223" t="s">
        <v>4572</v>
      </c>
      <c r="C50" s="223"/>
      <c r="D50" s="223"/>
      <c r="E50" s="223"/>
      <c r="F50" s="223"/>
      <c r="G50" s="6">
        <v>198</v>
      </c>
      <c r="H50" s="159"/>
      <c r="I50" s="6">
        <v>50.72</v>
      </c>
      <c r="J50" s="24">
        <f t="shared" si="29"/>
        <v>0.25616161616161615</v>
      </c>
      <c r="K50" s="24"/>
      <c r="Q50" s="6">
        <v>0</v>
      </c>
      <c r="R50" s="24" t="e">
        <f t="shared" si="31"/>
        <v>#DIV/0!</v>
      </c>
      <c r="S50" s="15"/>
    </row>
    <row r="51" spans="1:19">
      <c r="A51" s="31" t="s">
        <v>4569</v>
      </c>
      <c r="B51" s="213">
        <v>6</v>
      </c>
      <c r="C51" s="213">
        <v>0</v>
      </c>
      <c r="D51" s="213">
        <v>1</v>
      </c>
      <c r="E51" s="213">
        <v>0</v>
      </c>
      <c r="F51" s="6">
        <f>SUM(B51:D51)</f>
        <v>7</v>
      </c>
      <c r="G51" s="214">
        <v>364</v>
      </c>
      <c r="H51" s="159">
        <f t="shared" si="28"/>
        <v>1.6483516483516484E-2</v>
      </c>
      <c r="I51" s="214">
        <v>46.82</v>
      </c>
      <c r="J51" s="24">
        <f t="shared" si="29"/>
        <v>0.12862637362637364</v>
      </c>
      <c r="K51" s="24">
        <f t="shared" si="30"/>
        <v>7.8033333333333337</v>
      </c>
      <c r="Q51" s="6">
        <v>0</v>
      </c>
      <c r="R51" s="24" t="e">
        <f t="shared" si="31"/>
        <v>#DIV/0!</v>
      </c>
      <c r="S51" s="15"/>
    </row>
    <row r="52" spans="1:19">
      <c r="A52" s="31" t="s">
        <v>4570</v>
      </c>
      <c r="B52" s="213">
        <v>3</v>
      </c>
      <c r="C52" s="213">
        <v>0</v>
      </c>
      <c r="D52" s="213">
        <v>0</v>
      </c>
      <c r="E52" s="213">
        <v>0</v>
      </c>
      <c r="F52" s="6">
        <f t="shared" ref="F52:F53" si="33">SUM(B52:D52)</f>
        <v>3</v>
      </c>
      <c r="G52" s="214">
        <v>175</v>
      </c>
      <c r="H52" s="215">
        <f t="shared" si="28"/>
        <v>1.7142857142857144E-2</v>
      </c>
      <c r="I52" s="214">
        <v>49.3</v>
      </c>
      <c r="J52" s="24">
        <f t="shared" si="29"/>
        <v>0.28171428571428569</v>
      </c>
      <c r="K52" s="24">
        <f t="shared" si="30"/>
        <v>16.433333333333334</v>
      </c>
      <c r="Q52" s="6">
        <v>0</v>
      </c>
      <c r="R52" s="24" t="e">
        <f t="shared" si="31"/>
        <v>#DIV/0!</v>
      </c>
      <c r="S52" s="15"/>
    </row>
    <row r="53" spans="1:19">
      <c r="A53" s="31" t="s">
        <v>4562</v>
      </c>
      <c r="B53" s="213">
        <v>6</v>
      </c>
      <c r="C53" s="213">
        <v>0</v>
      </c>
      <c r="D53" s="213">
        <v>0</v>
      </c>
      <c r="E53" s="213">
        <v>0</v>
      </c>
      <c r="F53" s="6">
        <f t="shared" si="33"/>
        <v>6</v>
      </c>
      <c r="G53" s="214">
        <v>36</v>
      </c>
      <c r="H53" s="215">
        <f t="shared" si="28"/>
        <v>0.16666666666666666</v>
      </c>
      <c r="I53" s="214">
        <v>19.23</v>
      </c>
      <c r="J53" s="24">
        <f t="shared" si="29"/>
        <v>0.53416666666666668</v>
      </c>
      <c r="K53" s="24">
        <f t="shared" si="30"/>
        <v>3.2050000000000001</v>
      </c>
      <c r="Q53" s="6">
        <v>2</v>
      </c>
      <c r="R53" s="24">
        <f t="shared" si="31"/>
        <v>9.6150000000000002</v>
      </c>
      <c r="S53" s="15"/>
    </row>
    <row r="54" spans="1:19">
      <c r="A54" s="31" t="s">
        <v>4563</v>
      </c>
      <c r="B54" s="213">
        <v>3</v>
      </c>
      <c r="C54" s="213">
        <v>0</v>
      </c>
      <c r="D54" s="213">
        <v>0</v>
      </c>
      <c r="E54" s="213">
        <v>0</v>
      </c>
      <c r="F54" s="6">
        <f>SUM(B54:E54)</f>
        <v>3</v>
      </c>
      <c r="G54" s="214">
        <v>217</v>
      </c>
      <c r="H54" s="215">
        <f t="shared" si="28"/>
        <v>1.3824884792626729E-2</v>
      </c>
      <c r="I54" s="214">
        <v>444.73</v>
      </c>
      <c r="J54" s="24">
        <f t="shared" si="29"/>
        <v>2.0494470046082949</v>
      </c>
      <c r="K54" s="24">
        <f t="shared" si="30"/>
        <v>148.24333333333334</v>
      </c>
      <c r="R54" s="24"/>
      <c r="S54" s="15"/>
    </row>
    <row r="55" spans="1:19">
      <c r="A55" s="31"/>
      <c r="B55" s="213"/>
      <c r="C55" s="213"/>
      <c r="D55" s="213"/>
      <c r="E55" s="213"/>
      <c r="G55" s="214"/>
      <c r="H55" s="215"/>
      <c r="I55" s="214"/>
      <c r="J55" s="24"/>
      <c r="K55" s="24"/>
      <c r="R55" s="24"/>
      <c r="S55" s="15"/>
    </row>
    <row r="56" spans="1:19">
      <c r="A56" s="30" t="s">
        <v>1591</v>
      </c>
      <c r="B56" s="213"/>
      <c r="C56" s="213"/>
      <c r="D56" s="213"/>
      <c r="E56" s="213"/>
      <c r="G56" s="214"/>
      <c r="H56" s="215"/>
      <c r="I56" s="214"/>
      <c r="J56" s="24"/>
      <c r="K56" s="24"/>
      <c r="R56" s="24"/>
      <c r="S56" s="15"/>
    </row>
    <row r="57" spans="1:19">
      <c r="A57" s="255" t="s">
        <v>4580</v>
      </c>
      <c r="B57" s="213"/>
      <c r="C57" s="213"/>
      <c r="D57" s="213"/>
      <c r="E57" s="213"/>
      <c r="G57" s="214"/>
      <c r="H57" s="215"/>
      <c r="I57" s="214"/>
      <c r="J57" s="24"/>
      <c r="K57" s="24"/>
      <c r="R57" s="24"/>
      <c r="S57" s="15"/>
    </row>
    <row r="59" spans="1:19" ht="18" thickBot="1">
      <c r="A59" s="210" t="s">
        <v>4573</v>
      </c>
    </row>
    <row r="60" spans="1:19" ht="22.8" customHeight="1">
      <c r="A60" s="216" t="s">
        <v>4560</v>
      </c>
      <c r="B60" s="218" t="s">
        <v>4544</v>
      </c>
      <c r="C60" s="219"/>
      <c r="D60" s="219"/>
      <c r="E60" s="219"/>
      <c r="F60" s="220"/>
      <c r="G60" s="224" t="s">
        <v>25</v>
      </c>
      <c r="H60" s="225"/>
      <c r="I60" s="225"/>
      <c r="J60" s="226"/>
      <c r="K60" s="227"/>
      <c r="L60" s="228" t="s">
        <v>175</v>
      </c>
      <c r="M60" s="229"/>
      <c r="N60" s="229"/>
      <c r="O60" s="229"/>
      <c r="P60" s="230"/>
      <c r="Q60" s="231" t="s">
        <v>1501</v>
      </c>
      <c r="R60" s="225" t="s">
        <v>1571</v>
      </c>
      <c r="S60" s="221" t="s">
        <v>4545</v>
      </c>
    </row>
    <row r="61" spans="1:19" ht="29.4" thickBot="1">
      <c r="A61" s="217"/>
      <c r="B61" s="57" t="s">
        <v>25</v>
      </c>
      <c r="C61" s="60" t="s">
        <v>1568</v>
      </c>
      <c r="D61" s="60" t="s">
        <v>1507</v>
      </c>
      <c r="E61" s="211" t="s">
        <v>4561</v>
      </c>
      <c r="F61" s="65" t="s">
        <v>1581</v>
      </c>
      <c r="G61" s="212" t="s">
        <v>2447</v>
      </c>
      <c r="H61" s="62" t="s">
        <v>4551</v>
      </c>
      <c r="I61" s="63" t="s">
        <v>4552</v>
      </c>
      <c r="J61" s="63" t="s">
        <v>4553</v>
      </c>
      <c r="K61" s="64" t="s">
        <v>4554</v>
      </c>
      <c r="L61" s="61" t="s">
        <v>2447</v>
      </c>
      <c r="M61" s="62" t="s">
        <v>4551</v>
      </c>
      <c r="N61" s="63" t="s">
        <v>4552</v>
      </c>
      <c r="O61" s="63" t="s">
        <v>4553</v>
      </c>
      <c r="P61" s="64" t="s">
        <v>4554</v>
      </c>
      <c r="Q61" s="232"/>
      <c r="R61" s="233"/>
      <c r="S61" s="222"/>
    </row>
    <row r="62" spans="1:19">
      <c r="A62" s="31" t="s">
        <v>4564</v>
      </c>
      <c r="B62" s="6">
        <v>9</v>
      </c>
      <c r="C62" s="6">
        <v>0</v>
      </c>
      <c r="D62" s="6">
        <v>0</v>
      </c>
      <c r="E62" s="6">
        <v>2</v>
      </c>
      <c r="F62" s="6">
        <f>SUM(B62:D62)</f>
        <v>9</v>
      </c>
      <c r="G62" s="6">
        <v>170</v>
      </c>
      <c r="H62" s="15">
        <f t="shared" ref="H62:H70" si="34">B62/G62</f>
        <v>5.2941176470588235E-2</v>
      </c>
      <c r="I62" s="6">
        <v>39.58</v>
      </c>
      <c r="J62" s="24">
        <f t="shared" ref="J62:J70" si="35">I62/G62</f>
        <v>0.23282352941176471</v>
      </c>
      <c r="K62" s="24">
        <f t="shared" ref="K62:K70" si="36">I62/B62</f>
        <v>4.3977777777777778</v>
      </c>
      <c r="M62" s="15"/>
      <c r="O62" s="24"/>
      <c r="Q62" s="6">
        <v>1</v>
      </c>
      <c r="R62" s="24">
        <f>(I62+N62)/Q62</f>
        <v>39.58</v>
      </c>
      <c r="S62" s="15">
        <f>Q62/F62</f>
        <v>0.1111111111111111</v>
      </c>
    </row>
    <row r="63" spans="1:19">
      <c r="A63" s="31" t="s">
        <v>4565</v>
      </c>
      <c r="B63" s="6">
        <v>11</v>
      </c>
      <c r="C63" s="6">
        <v>0</v>
      </c>
      <c r="D63" s="6">
        <v>1</v>
      </c>
      <c r="E63" s="6">
        <v>0</v>
      </c>
      <c r="F63" s="6">
        <f>SUM(B63:D63)</f>
        <v>12</v>
      </c>
      <c r="G63" s="6">
        <v>288</v>
      </c>
      <c r="H63" s="15">
        <f t="shared" si="34"/>
        <v>3.8194444444444448E-2</v>
      </c>
      <c r="I63" s="6">
        <v>36.130000000000003</v>
      </c>
      <c r="J63" s="24">
        <f t="shared" si="35"/>
        <v>0.1254513888888889</v>
      </c>
      <c r="K63" s="24">
        <f t="shared" si="36"/>
        <v>3.2845454545454547</v>
      </c>
      <c r="M63" s="15"/>
      <c r="O63" s="24"/>
      <c r="Q63" s="6">
        <v>0</v>
      </c>
      <c r="R63" s="24" t="e">
        <f t="shared" ref="R63:R70" si="37">(I63+N63)/Q63</f>
        <v>#DIV/0!</v>
      </c>
      <c r="S63" s="15">
        <f t="shared" ref="S63:S70" si="38">Q63/F63</f>
        <v>0</v>
      </c>
    </row>
    <row r="64" spans="1:19">
      <c r="A64" s="31" t="s">
        <v>4566</v>
      </c>
      <c r="B64" s="6">
        <v>83</v>
      </c>
      <c r="C64" s="6">
        <v>0</v>
      </c>
      <c r="D64" s="6">
        <v>3</v>
      </c>
      <c r="E64" s="6">
        <v>11</v>
      </c>
      <c r="F64" s="6">
        <f>SUM(B64:D64)</f>
        <v>86</v>
      </c>
      <c r="G64" s="6">
        <v>1428</v>
      </c>
      <c r="H64" s="15">
        <f t="shared" si="34"/>
        <v>5.812324929971989E-2</v>
      </c>
      <c r="I64" s="6">
        <v>919.12</v>
      </c>
      <c r="J64" s="24">
        <f t="shared" si="35"/>
        <v>0.64364145658263305</v>
      </c>
      <c r="K64" s="24">
        <f t="shared" si="36"/>
        <v>11.073734939759037</v>
      </c>
      <c r="Q64" s="6">
        <v>2</v>
      </c>
      <c r="R64" s="24">
        <f t="shared" si="37"/>
        <v>459.56</v>
      </c>
      <c r="S64" s="15">
        <f t="shared" si="38"/>
        <v>2.3255813953488372E-2</v>
      </c>
    </row>
    <row r="65" spans="1:19">
      <c r="A65" s="31" t="s">
        <v>4567</v>
      </c>
      <c r="B65" s="6">
        <v>112</v>
      </c>
      <c r="C65" s="6">
        <v>0</v>
      </c>
      <c r="D65" s="6">
        <v>0</v>
      </c>
      <c r="E65" s="6">
        <v>13</v>
      </c>
      <c r="F65" s="6">
        <f t="shared" ref="F65:F70" si="39">SUM(B65:D65)</f>
        <v>112</v>
      </c>
      <c r="G65" s="6">
        <v>2397</v>
      </c>
      <c r="H65" s="15">
        <f t="shared" si="34"/>
        <v>4.6725073007926575E-2</v>
      </c>
      <c r="I65" s="6">
        <v>1040.1400000000001</v>
      </c>
      <c r="J65" s="24">
        <f t="shared" si="35"/>
        <v>0.43393408427200669</v>
      </c>
      <c r="K65" s="24">
        <f t="shared" si="36"/>
        <v>9.2869642857142871</v>
      </c>
      <c r="Q65" s="6">
        <v>1</v>
      </c>
      <c r="R65" s="24">
        <f t="shared" si="37"/>
        <v>1040.1400000000001</v>
      </c>
      <c r="S65" s="15">
        <f t="shared" si="38"/>
        <v>8.9285714285714281E-3</v>
      </c>
    </row>
    <row r="66" spans="1:19">
      <c r="A66" s="31" t="s">
        <v>4568</v>
      </c>
      <c r="B66" s="6">
        <v>129</v>
      </c>
      <c r="C66" s="6">
        <v>1</v>
      </c>
      <c r="D66" s="6">
        <v>22</v>
      </c>
      <c r="E66" s="6">
        <v>2</v>
      </c>
      <c r="F66" s="6">
        <f t="shared" si="39"/>
        <v>152</v>
      </c>
      <c r="G66" s="6">
        <v>2109</v>
      </c>
      <c r="H66" s="15">
        <f t="shared" si="34"/>
        <v>6.1166429587482217E-2</v>
      </c>
      <c r="I66" s="6">
        <v>994.53</v>
      </c>
      <c r="J66" s="24">
        <f t="shared" si="35"/>
        <v>0.47156472261735416</v>
      </c>
      <c r="K66" s="24">
        <f t="shared" si="36"/>
        <v>7.7095348837209299</v>
      </c>
      <c r="Q66" s="6">
        <v>1</v>
      </c>
      <c r="R66" s="24">
        <f t="shared" si="37"/>
        <v>994.53</v>
      </c>
      <c r="S66" s="15">
        <f t="shared" si="38"/>
        <v>6.5789473684210523E-3</v>
      </c>
    </row>
    <row r="67" spans="1:19">
      <c r="A67" s="31" t="s">
        <v>4569</v>
      </c>
      <c r="B67" s="6">
        <v>153</v>
      </c>
      <c r="C67" s="6">
        <v>0</v>
      </c>
      <c r="D67" s="6">
        <v>10</v>
      </c>
      <c r="E67" s="6">
        <v>20</v>
      </c>
      <c r="F67" s="6">
        <f t="shared" si="39"/>
        <v>163</v>
      </c>
      <c r="G67" s="6">
        <v>2998</v>
      </c>
      <c r="H67" s="15">
        <f t="shared" si="34"/>
        <v>5.1034022681787861E-2</v>
      </c>
      <c r="I67" s="6">
        <v>1186.73</v>
      </c>
      <c r="J67" s="24">
        <f t="shared" si="35"/>
        <v>0.3958405603735824</v>
      </c>
      <c r="K67" s="24">
        <f t="shared" si="36"/>
        <v>7.7564052287581697</v>
      </c>
      <c r="Q67" s="6">
        <v>1</v>
      </c>
      <c r="R67" s="24">
        <f t="shared" si="37"/>
        <v>1186.73</v>
      </c>
      <c r="S67" s="15">
        <f t="shared" si="38"/>
        <v>6.1349693251533744E-3</v>
      </c>
    </row>
    <row r="68" spans="1:19">
      <c r="A68" s="31" t="s">
        <v>4570</v>
      </c>
      <c r="B68" s="6">
        <v>85</v>
      </c>
      <c r="C68" s="6">
        <v>0</v>
      </c>
      <c r="D68" s="6">
        <v>24</v>
      </c>
      <c r="E68" s="6">
        <v>15</v>
      </c>
      <c r="F68" s="6">
        <f t="shared" si="39"/>
        <v>109</v>
      </c>
      <c r="G68" s="6">
        <v>1696</v>
      </c>
      <c r="H68" s="15">
        <f t="shared" si="34"/>
        <v>5.011792452830189E-2</v>
      </c>
      <c r="I68" s="6">
        <v>1056.78</v>
      </c>
      <c r="J68" s="24">
        <f t="shared" si="35"/>
        <v>0.62310141509433958</v>
      </c>
      <c r="K68" s="24">
        <f t="shared" si="36"/>
        <v>12.432705882352941</v>
      </c>
      <c r="Q68" s="6">
        <v>1</v>
      </c>
      <c r="R68" s="24">
        <f t="shared" si="37"/>
        <v>1056.78</v>
      </c>
      <c r="S68" s="15">
        <f t="shared" si="38"/>
        <v>9.1743119266055051E-3</v>
      </c>
    </row>
    <row r="69" spans="1:19">
      <c r="A69" s="31" t="s">
        <v>4562</v>
      </c>
      <c r="B69" s="6">
        <v>53</v>
      </c>
      <c r="C69" s="6">
        <v>0</v>
      </c>
      <c r="D69" s="6">
        <v>18</v>
      </c>
      <c r="E69" s="6">
        <v>6</v>
      </c>
      <c r="F69" s="6">
        <f t="shared" si="39"/>
        <v>71</v>
      </c>
      <c r="G69" s="6">
        <v>1146</v>
      </c>
      <c r="H69" s="15">
        <f t="shared" si="34"/>
        <v>4.6247818499127402E-2</v>
      </c>
      <c r="I69" s="6">
        <v>871.89</v>
      </c>
      <c r="J69" s="24">
        <f t="shared" si="35"/>
        <v>0.76081151832460736</v>
      </c>
      <c r="K69" s="24">
        <f t="shared" si="36"/>
        <v>16.45075471698113</v>
      </c>
      <c r="Q69" s="6">
        <v>1</v>
      </c>
      <c r="R69" s="24">
        <f t="shared" si="37"/>
        <v>871.89</v>
      </c>
      <c r="S69" s="15">
        <f t="shared" si="38"/>
        <v>1.4084507042253521E-2</v>
      </c>
    </row>
    <row r="70" spans="1:19">
      <c r="A70" s="31" t="s">
        <v>4563</v>
      </c>
      <c r="B70" s="6">
        <v>77</v>
      </c>
      <c r="C70" s="6">
        <v>0</v>
      </c>
      <c r="D70" s="6">
        <v>14</v>
      </c>
      <c r="E70" s="6">
        <v>7</v>
      </c>
      <c r="F70" s="6">
        <f t="shared" si="39"/>
        <v>91</v>
      </c>
      <c r="G70" s="6">
        <v>1106</v>
      </c>
      <c r="H70" s="15">
        <f t="shared" si="34"/>
        <v>6.9620253164556958E-2</v>
      </c>
      <c r="I70" s="6">
        <v>1003.98</v>
      </c>
      <c r="J70" s="24">
        <f t="shared" si="35"/>
        <v>0.90775768535262202</v>
      </c>
      <c r="K70" s="24">
        <f t="shared" si="36"/>
        <v>13.0387012987013</v>
      </c>
      <c r="Q70" s="6">
        <v>1</v>
      </c>
      <c r="R70" s="24">
        <f t="shared" si="37"/>
        <v>1003.98</v>
      </c>
      <c r="S70" s="15">
        <f t="shared" si="38"/>
        <v>1.098901098901099E-2</v>
      </c>
    </row>
    <row r="71" spans="1:19">
      <c r="A71" s="31"/>
      <c r="H71" s="15"/>
      <c r="J71" s="24"/>
      <c r="K71" s="24"/>
      <c r="R71" s="24"/>
      <c r="S71" s="15"/>
    </row>
    <row r="73" spans="1:19" ht="18" thickBot="1">
      <c r="A73" s="210" t="s">
        <v>4574</v>
      </c>
    </row>
    <row r="74" spans="1:19" ht="22.8" customHeight="1">
      <c r="A74" s="216" t="s">
        <v>4560</v>
      </c>
      <c r="B74" s="218" t="s">
        <v>4544</v>
      </c>
      <c r="C74" s="219"/>
      <c r="D74" s="219"/>
      <c r="E74" s="219"/>
      <c r="F74" s="220"/>
    </row>
    <row r="75" spans="1:19" ht="29.4" thickBot="1">
      <c r="A75" s="217"/>
      <c r="B75" s="57" t="s">
        <v>25</v>
      </c>
      <c r="C75" s="60" t="s">
        <v>1568</v>
      </c>
      <c r="D75" s="60" t="s">
        <v>1507</v>
      </c>
      <c r="E75" s="211" t="s">
        <v>4561</v>
      </c>
      <c r="F75" s="65" t="s">
        <v>1581</v>
      </c>
    </row>
    <row r="76" spans="1:19">
      <c r="A76" s="31" t="s">
        <v>4564</v>
      </c>
      <c r="B76" s="6">
        <v>30</v>
      </c>
      <c r="C76" s="6">
        <v>0</v>
      </c>
      <c r="D76" s="6">
        <v>1</v>
      </c>
      <c r="E76" s="6">
        <v>9</v>
      </c>
      <c r="F76" s="6">
        <f>SUM(B76:D76)</f>
        <v>31</v>
      </c>
    </row>
    <row r="77" spans="1:19">
      <c r="A77" s="31" t="s">
        <v>4565</v>
      </c>
      <c r="B77" s="6">
        <v>82</v>
      </c>
      <c r="C77" s="6">
        <v>0</v>
      </c>
      <c r="D77" s="6">
        <v>7</v>
      </c>
      <c r="E77" s="6">
        <v>18</v>
      </c>
      <c r="F77" s="6">
        <f>SUM(B77:D77)</f>
        <v>89</v>
      </c>
    </row>
    <row r="78" spans="1:19">
      <c r="A78" s="31" t="s">
        <v>4566</v>
      </c>
      <c r="B78" s="6">
        <v>163</v>
      </c>
      <c r="C78" s="6">
        <v>0</v>
      </c>
      <c r="D78" s="6">
        <v>9</v>
      </c>
      <c r="E78" s="6">
        <v>49</v>
      </c>
      <c r="F78" s="6">
        <f>SUM(B78:D78)</f>
        <v>172</v>
      </c>
    </row>
    <row r="79" spans="1:19">
      <c r="A79" s="31" t="s">
        <v>4567</v>
      </c>
      <c r="B79" s="6">
        <f>F65+F49</f>
        <v>117</v>
      </c>
      <c r="C79" s="6">
        <f>C65+C49</f>
        <v>0</v>
      </c>
      <c r="D79" s="6">
        <f>D65+D49</f>
        <v>0</v>
      </c>
      <c r="E79" s="6">
        <v>16</v>
      </c>
      <c r="F79" s="6">
        <f>SUM(B79:D79)</f>
        <v>117</v>
      </c>
    </row>
    <row r="80" spans="1:19">
      <c r="A80" s="31" t="s">
        <v>4568</v>
      </c>
      <c r="B80" s="6">
        <v>129</v>
      </c>
      <c r="C80" s="6">
        <v>1</v>
      </c>
      <c r="D80" s="6">
        <v>22</v>
      </c>
      <c r="E80" s="6">
        <v>2</v>
      </c>
      <c r="F80" s="6">
        <f>SUM(B80:D80)</f>
        <v>152</v>
      </c>
    </row>
    <row r="81" spans="1:6">
      <c r="A81" s="31" t="s">
        <v>4569</v>
      </c>
      <c r="B81" s="6">
        <v>159</v>
      </c>
      <c r="C81" s="6">
        <v>0</v>
      </c>
      <c r="D81" s="6">
        <v>21</v>
      </c>
      <c r="E81" s="6">
        <v>20</v>
      </c>
      <c r="F81" s="6">
        <f>SUM(B81:E81)</f>
        <v>200</v>
      </c>
    </row>
    <row r="82" spans="1:6">
      <c r="A82" s="31" t="s">
        <v>4570</v>
      </c>
      <c r="B82" s="6">
        <f>B68+B52</f>
        <v>88</v>
      </c>
      <c r="C82" s="6">
        <f>C68+C52</f>
        <v>0</v>
      </c>
      <c r="D82" s="6">
        <f>D68+D52</f>
        <v>24</v>
      </c>
      <c r="E82" s="6">
        <f>E68+E52</f>
        <v>15</v>
      </c>
      <c r="F82" s="6">
        <f>F68+F52</f>
        <v>112</v>
      </c>
    </row>
    <row r="83" spans="1:6">
      <c r="A83" s="31" t="s">
        <v>4562</v>
      </c>
      <c r="B83" s="6">
        <f>B69+B53</f>
        <v>59</v>
      </c>
      <c r="C83" s="6">
        <f>C69+C53</f>
        <v>0</v>
      </c>
      <c r="D83" s="6">
        <f>D69+D53</f>
        <v>18</v>
      </c>
      <c r="E83" s="6">
        <f>E69+E53</f>
        <v>6</v>
      </c>
      <c r="F83" s="6">
        <f>F69+F53</f>
        <v>77</v>
      </c>
    </row>
    <row r="84" spans="1:6">
      <c r="A84" s="31" t="s">
        <v>4563</v>
      </c>
      <c r="B84" s="6">
        <f>B70+B54</f>
        <v>80</v>
      </c>
      <c r="C84" s="6">
        <f>C70+C54</f>
        <v>0</v>
      </c>
      <c r="D84" s="6">
        <f>D70+D54</f>
        <v>14</v>
      </c>
      <c r="E84" s="6">
        <f>E70+E54</f>
        <v>7</v>
      </c>
      <c r="F84" s="6">
        <f>F70+F54</f>
        <v>94</v>
      </c>
    </row>
  </sheetData>
  <mergeCells count="41">
    <mergeCell ref="AL2:AP2"/>
    <mergeCell ref="B1:P1"/>
    <mergeCell ref="A2:A3"/>
    <mergeCell ref="B2:H2"/>
    <mergeCell ref="I2:M2"/>
    <mergeCell ref="N2:R2"/>
    <mergeCell ref="S2:S3"/>
    <mergeCell ref="T2:T3"/>
    <mergeCell ref="U2:U3"/>
    <mergeCell ref="V2:AB2"/>
    <mergeCell ref="AC2:AF2"/>
    <mergeCell ref="AG2:AK2"/>
    <mergeCell ref="AD25:AH25"/>
    <mergeCell ref="AI25:AM25"/>
    <mergeCell ref="B24:N24"/>
    <mergeCell ref="A25:A26"/>
    <mergeCell ref="B25:G25"/>
    <mergeCell ref="H25:L25"/>
    <mergeCell ref="M25:Q25"/>
    <mergeCell ref="R25:R26"/>
    <mergeCell ref="R42:R43"/>
    <mergeCell ref="S25:S26"/>
    <mergeCell ref="T25:T26"/>
    <mergeCell ref="U25:Z25"/>
    <mergeCell ref="AA25:AC25"/>
    <mergeCell ref="A74:A75"/>
    <mergeCell ref="B74:F74"/>
    <mergeCell ref="S42:S43"/>
    <mergeCell ref="B50:F50"/>
    <mergeCell ref="A60:A61"/>
    <mergeCell ref="B60:F60"/>
    <mergeCell ref="G60:K60"/>
    <mergeCell ref="L60:P60"/>
    <mergeCell ref="Q60:Q61"/>
    <mergeCell ref="R60:R61"/>
    <mergeCell ref="S60:S61"/>
    <mergeCell ref="A42:A43"/>
    <mergeCell ref="B42:F42"/>
    <mergeCell ref="G42:K42"/>
    <mergeCell ref="L42:P42"/>
    <mergeCell ref="Q42:Q43"/>
  </mergeCells>
  <conditionalFormatting sqref="A1040">
    <cfRule type="expression" dxfId="189" priority="5">
      <formula>COUNTIF(#REF!,A1040)&gt;1</formula>
    </cfRule>
  </conditionalFormatting>
  <conditionalFormatting sqref="A1040">
    <cfRule type="expression" dxfId="188" priority="6">
      <formula>COUNTIF(#REF!,A1040)&gt;1</formula>
    </cfRule>
  </conditionalFormatting>
  <conditionalFormatting sqref="A1040">
    <cfRule type="expression" dxfId="187" priority="7">
      <formula>COUNTIF(#REF!,A1040)&gt;1</formula>
    </cfRule>
  </conditionalFormatting>
  <conditionalFormatting sqref="A1040">
    <cfRule type="expression" dxfId="186" priority="8">
      <formula>COUNTIF(#REF!,A1040)&gt;1</formula>
    </cfRule>
  </conditionalFormatting>
  <conditionalFormatting sqref="A1040">
    <cfRule type="expression" dxfId="185" priority="9">
      <formula>COUNTIF(#REF!,A1040)&gt;1</formula>
    </cfRule>
  </conditionalFormatting>
  <conditionalFormatting sqref="A1040">
    <cfRule type="expression" dxfId="184" priority="10">
      <formula>COUNTIF(#REF!,A1040)&gt;1</formula>
    </cfRule>
  </conditionalFormatting>
  <conditionalFormatting sqref="A1040">
    <cfRule type="expression" dxfId="183" priority="11">
      <formula>COUNTIF(#REF!,A1040)&gt;1</formula>
    </cfRule>
  </conditionalFormatting>
  <conditionalFormatting sqref="A1040">
    <cfRule type="expression" dxfId="182" priority="12">
      <formula>COUNTIF(#REF!,A1040)&gt;1</formula>
    </cfRule>
  </conditionalFormatting>
  <conditionalFormatting sqref="A1040">
    <cfRule type="expression" dxfId="181" priority="13">
      <formula>COUNTIF(#REF!,A1040)&gt;1</formula>
    </cfRule>
  </conditionalFormatting>
  <conditionalFormatting sqref="A1040">
    <cfRule type="expression" dxfId="180" priority="14">
      <formula>COUNTIF(#REF!,A1040)&gt;1</formula>
    </cfRule>
  </conditionalFormatting>
  <conditionalFormatting sqref="A1040">
    <cfRule type="expression" dxfId="179" priority="15">
      <formula>COUNTIF(#REF!,A1040)&gt;1</formula>
    </cfRule>
  </conditionalFormatting>
  <conditionalFormatting sqref="A1040">
    <cfRule type="expression" dxfId="178" priority="16">
      <formula>COUNTIF(#REF!,A1040)&gt;1</formula>
    </cfRule>
  </conditionalFormatting>
  <conditionalFormatting sqref="A1040">
    <cfRule type="expression" dxfId="177" priority="17">
      <formula>COUNTIF(#REF!,A1040)&gt;1</formula>
    </cfRule>
  </conditionalFormatting>
  <conditionalFormatting sqref="A1040">
    <cfRule type="expression" dxfId="176" priority="18">
      <formula>COUNTIF(#REF!,A1040)&gt;1</formula>
    </cfRule>
  </conditionalFormatting>
  <conditionalFormatting sqref="A1040">
    <cfRule type="expression" dxfId="175" priority="19">
      <formula>COUNTIF(#REF!,A1040)&gt;1</formula>
    </cfRule>
  </conditionalFormatting>
  <conditionalFormatting sqref="A1040">
    <cfRule type="expression" dxfId="174" priority="20">
      <formula>COUNTIF(#REF!,A1040)&gt;1</formula>
    </cfRule>
  </conditionalFormatting>
  <conditionalFormatting sqref="A1040">
    <cfRule type="expression" dxfId="173" priority="21">
      <formula>COUNTIF(#REF!,A1040)&gt;1</formula>
    </cfRule>
  </conditionalFormatting>
  <conditionalFormatting sqref="A1040">
    <cfRule type="expression" dxfId="172" priority="22">
      <formula>COUNTIF(#REF!,A1040)&gt;1</formula>
    </cfRule>
  </conditionalFormatting>
  <conditionalFormatting sqref="A1040">
    <cfRule type="expression" dxfId="171" priority="23">
      <formula>COUNTIF(#REF!,A1040)&gt;1</formula>
    </cfRule>
  </conditionalFormatting>
  <conditionalFormatting sqref="A1040">
    <cfRule type="expression" dxfId="170" priority="24">
      <formula>COUNTIF(#REF!,A1040)&gt;1</formula>
    </cfRule>
  </conditionalFormatting>
  <conditionalFormatting sqref="A1040">
    <cfRule type="expression" dxfId="169" priority="25">
      <formula>COUNTIF(#REF!,A1040)&gt;1</formula>
    </cfRule>
  </conditionalFormatting>
  <conditionalFormatting sqref="A1040">
    <cfRule type="expression" dxfId="168" priority="26">
      <formula>COUNTIF(#REF!,A1040)&gt;1</formula>
    </cfRule>
  </conditionalFormatting>
  <conditionalFormatting sqref="A1040">
    <cfRule type="expression" dxfId="167" priority="27">
      <formula>COUNTIF(#REF!,A1040)&gt;1</formula>
    </cfRule>
  </conditionalFormatting>
  <conditionalFormatting sqref="A1039">
    <cfRule type="expression" dxfId="166" priority="28">
      <formula>COUNTIF(#REF!,A1039)&gt;1</formula>
    </cfRule>
  </conditionalFormatting>
  <conditionalFormatting sqref="A1039">
    <cfRule type="expression" dxfId="165" priority="29">
      <formula>COUNTIF(#REF!,A1039)&gt;1</formula>
    </cfRule>
  </conditionalFormatting>
  <conditionalFormatting sqref="A1039">
    <cfRule type="expression" dxfId="164" priority="30">
      <formula>COUNTIF(#REF!,A1039)&gt;1</formula>
    </cfRule>
  </conditionalFormatting>
  <conditionalFormatting sqref="A1039">
    <cfRule type="expression" dxfId="163" priority="31">
      <formula>COUNTIF(#REF!,A1039)&gt;1</formula>
    </cfRule>
  </conditionalFormatting>
  <conditionalFormatting sqref="A1039">
    <cfRule type="expression" dxfId="162" priority="32">
      <formula>COUNTIF(#REF!,A1039)&gt;1</formula>
    </cfRule>
  </conditionalFormatting>
  <conditionalFormatting sqref="A1039">
    <cfRule type="expression" dxfId="161" priority="33">
      <formula>COUNTIF(#REF!,A1039)&gt;1</formula>
    </cfRule>
  </conditionalFormatting>
  <conditionalFormatting sqref="A1039">
    <cfRule type="expression" dxfId="160" priority="34">
      <formula>COUNTIF(#REF!,A1039)&gt;1</formula>
    </cfRule>
  </conditionalFormatting>
  <conditionalFormatting sqref="A1039">
    <cfRule type="expression" dxfId="159" priority="35">
      <formula>COUNTIF(#REF!,A1039)&gt;1</formula>
    </cfRule>
  </conditionalFormatting>
  <conditionalFormatting sqref="A1039">
    <cfRule type="expression" dxfId="158" priority="36">
      <formula>COUNTIF(#REF!,A1039)&gt;1</formula>
    </cfRule>
  </conditionalFormatting>
  <conditionalFormatting sqref="A1039">
    <cfRule type="expression" dxfId="157" priority="37">
      <formula>COUNTIF(#REF!,A1039)&gt;1</formula>
    </cfRule>
  </conditionalFormatting>
  <conditionalFormatting sqref="A1039">
    <cfRule type="expression" dxfId="156" priority="38">
      <formula>COUNTIF(#REF!,A1039)&gt;1</formula>
    </cfRule>
  </conditionalFormatting>
  <conditionalFormatting sqref="A1039">
    <cfRule type="expression" dxfId="155" priority="39">
      <formula>COUNTIF(#REF!,A1039)&gt;1</formula>
    </cfRule>
  </conditionalFormatting>
  <conditionalFormatting sqref="A1039">
    <cfRule type="expression" dxfId="154" priority="40">
      <formula>COUNTIF(#REF!,A1039)&gt;1</formula>
    </cfRule>
  </conditionalFormatting>
  <conditionalFormatting sqref="A1039">
    <cfRule type="expression" dxfId="153" priority="41">
      <formula>COUNTIF(#REF!,A1039)&gt;1</formula>
    </cfRule>
  </conditionalFormatting>
  <conditionalFormatting sqref="A1039">
    <cfRule type="expression" dxfId="152" priority="42">
      <formula>COUNTIF(#REF!,A1039)&gt;1</formula>
    </cfRule>
  </conditionalFormatting>
  <conditionalFormatting sqref="A1039">
    <cfRule type="expression" dxfId="151" priority="43">
      <formula>COUNTIF(#REF!,A1039)&gt;1</formula>
    </cfRule>
  </conditionalFormatting>
  <conditionalFormatting sqref="A1039">
    <cfRule type="expression" dxfId="150" priority="44">
      <formula>COUNTIF(#REF!,A1039)&gt;1</formula>
    </cfRule>
  </conditionalFormatting>
  <conditionalFormatting sqref="A1039">
    <cfRule type="expression" dxfId="149" priority="45">
      <formula>COUNTIF(#REF!,A1039)&gt;1</formula>
    </cfRule>
  </conditionalFormatting>
  <conditionalFormatting sqref="A1039">
    <cfRule type="expression" dxfId="148" priority="46">
      <formula>COUNTIF(#REF!,A1039)&gt;1</formula>
    </cfRule>
  </conditionalFormatting>
  <conditionalFormatting sqref="A1039">
    <cfRule type="expression" dxfId="147" priority="47">
      <formula>COUNTIF(#REF!,A1039)&gt;1</formula>
    </cfRule>
  </conditionalFormatting>
  <conditionalFormatting sqref="A1039">
    <cfRule type="expression" dxfId="146" priority="48">
      <formula>COUNTIF(#REF!,A1039)&gt;1</formula>
    </cfRule>
  </conditionalFormatting>
  <conditionalFormatting sqref="A1039">
    <cfRule type="expression" dxfId="145" priority="49">
      <formula>COUNTIF(#REF!,A1039)&gt;1</formula>
    </cfRule>
  </conditionalFormatting>
  <conditionalFormatting sqref="A1039">
    <cfRule type="expression" dxfId="144" priority="50">
      <formula>COUNTIF(#REF!,A1039)&gt;1</formula>
    </cfRule>
  </conditionalFormatting>
  <conditionalFormatting sqref="A1038">
    <cfRule type="expression" dxfId="143" priority="51">
      <formula>COUNTIF(#REF!,A1038)&gt;1</formula>
    </cfRule>
  </conditionalFormatting>
  <conditionalFormatting sqref="A1038">
    <cfRule type="expression" dxfId="142" priority="52">
      <formula>COUNTIF(#REF!,A1038)&gt;1</formula>
    </cfRule>
  </conditionalFormatting>
  <conditionalFormatting sqref="A1038">
    <cfRule type="expression" dxfId="141" priority="53">
      <formula>COUNTIF(#REF!,A1038)&gt;1</formula>
    </cfRule>
  </conditionalFormatting>
  <conditionalFormatting sqref="A1038">
    <cfRule type="expression" dxfId="140" priority="54">
      <formula>COUNTIF(#REF!,A1038)&gt;1</formula>
    </cfRule>
  </conditionalFormatting>
  <conditionalFormatting sqref="A1038">
    <cfRule type="expression" dxfId="139" priority="55">
      <formula>COUNTIF(#REF!,A1038)&gt;1</formula>
    </cfRule>
  </conditionalFormatting>
  <conditionalFormatting sqref="A1038">
    <cfRule type="expression" dxfId="138" priority="56">
      <formula>COUNTIF(#REF!,A1038)&gt;1</formula>
    </cfRule>
  </conditionalFormatting>
  <conditionalFormatting sqref="A1038">
    <cfRule type="expression" dxfId="137" priority="57">
      <formula>COUNTIF(#REF!,A1038)&gt;1</formula>
    </cfRule>
  </conditionalFormatting>
  <conditionalFormatting sqref="A1038">
    <cfRule type="expression" dxfId="136" priority="58">
      <formula>COUNTIF(#REF!,A1038)&gt;1</formula>
    </cfRule>
  </conditionalFormatting>
  <conditionalFormatting sqref="A1038">
    <cfRule type="expression" dxfId="135" priority="59">
      <formula>COUNTIF(#REF!,A1038)&gt;1</formula>
    </cfRule>
  </conditionalFormatting>
  <conditionalFormatting sqref="A1038">
    <cfRule type="expression" dxfId="134" priority="60">
      <formula>COUNTIF(#REF!,A1038)&gt;1</formula>
    </cfRule>
  </conditionalFormatting>
  <conditionalFormatting sqref="A1038">
    <cfRule type="expression" dxfId="133" priority="61">
      <formula>COUNTIF(#REF!,A1038)&gt;1</formula>
    </cfRule>
  </conditionalFormatting>
  <conditionalFormatting sqref="A1038">
    <cfRule type="expression" dxfId="132" priority="62">
      <formula>COUNTIF(#REF!,A1038)&gt;1</formula>
    </cfRule>
  </conditionalFormatting>
  <conditionalFormatting sqref="A1038">
    <cfRule type="expression" dxfId="131" priority="63">
      <formula>COUNTIF(#REF!,A1038)&gt;1</formula>
    </cfRule>
  </conditionalFormatting>
  <conditionalFormatting sqref="A1038">
    <cfRule type="expression" dxfId="130" priority="64">
      <formula>COUNTIF(#REF!,A1038)&gt;1</formula>
    </cfRule>
  </conditionalFormatting>
  <conditionalFormatting sqref="A1038">
    <cfRule type="expression" dxfId="129" priority="65">
      <formula>COUNTIF(#REF!,A1038)&gt;1</formula>
    </cfRule>
  </conditionalFormatting>
  <conditionalFormatting sqref="A1038">
    <cfRule type="expression" dxfId="128" priority="66">
      <formula>COUNTIF(#REF!,A1038)&gt;1</formula>
    </cfRule>
  </conditionalFormatting>
  <conditionalFormatting sqref="A1038">
    <cfRule type="expression" dxfId="127" priority="67">
      <formula>COUNTIF(#REF!,A1038)&gt;1</formula>
    </cfRule>
  </conditionalFormatting>
  <conditionalFormatting sqref="A1038">
    <cfRule type="expression" dxfId="126" priority="68">
      <formula>COUNTIF(#REF!,A1038)&gt;1</formula>
    </cfRule>
  </conditionalFormatting>
  <conditionalFormatting sqref="A1038">
    <cfRule type="expression" dxfId="125" priority="69">
      <formula>COUNTIF(#REF!,A1038)&gt;1</formula>
    </cfRule>
  </conditionalFormatting>
  <conditionalFormatting sqref="A1038">
    <cfRule type="expression" dxfId="124" priority="70">
      <formula>COUNTIF(#REF!,A1038)&gt;1</formula>
    </cfRule>
  </conditionalFormatting>
  <conditionalFormatting sqref="A1038">
    <cfRule type="expression" dxfId="123" priority="71">
      <formula>COUNTIF(#REF!,A1038)&gt;1</formula>
    </cfRule>
  </conditionalFormatting>
  <conditionalFormatting sqref="A1038">
    <cfRule type="expression" dxfId="122" priority="72">
      <formula>COUNTIF(#REF!,A1038)&gt;1</formula>
    </cfRule>
  </conditionalFormatting>
  <conditionalFormatting sqref="A1038">
    <cfRule type="expression" dxfId="121" priority="73">
      <formula>COUNTIF(#REF!,A1038)&gt;1</formula>
    </cfRule>
  </conditionalFormatting>
  <conditionalFormatting sqref="A1037">
    <cfRule type="expression" dxfId="120" priority="74">
      <formula>COUNTIF(#REF!,A1037)&gt;1</formula>
    </cfRule>
  </conditionalFormatting>
  <conditionalFormatting sqref="A1037">
    <cfRule type="expression" dxfId="119" priority="75">
      <formula>COUNTIF(#REF!,A1037)&gt;1</formula>
    </cfRule>
  </conditionalFormatting>
  <conditionalFormatting sqref="A1037">
    <cfRule type="expression" dxfId="118" priority="76">
      <formula>COUNTIF(#REF!,A1037)&gt;1</formula>
    </cfRule>
  </conditionalFormatting>
  <conditionalFormatting sqref="A1037">
    <cfRule type="expression" dxfId="117" priority="77">
      <formula>COUNTIF(#REF!,A1037)&gt;1</formula>
    </cfRule>
  </conditionalFormatting>
  <conditionalFormatting sqref="A1037">
    <cfRule type="expression" dxfId="116" priority="78">
      <formula>COUNTIF(#REF!,A1037)&gt;1</formula>
    </cfRule>
  </conditionalFormatting>
  <conditionalFormatting sqref="A1037">
    <cfRule type="expression" dxfId="115" priority="79">
      <formula>COUNTIF(#REF!,A1037)&gt;1</formula>
    </cfRule>
  </conditionalFormatting>
  <conditionalFormatting sqref="A1037">
    <cfRule type="expression" dxfId="114" priority="80">
      <formula>COUNTIF(#REF!,A1037)&gt;1</formula>
    </cfRule>
  </conditionalFormatting>
  <conditionalFormatting sqref="A1037">
    <cfRule type="expression" dxfId="113" priority="81">
      <formula>COUNTIF(#REF!,A1037)&gt;1</formula>
    </cfRule>
  </conditionalFormatting>
  <conditionalFormatting sqref="A1037">
    <cfRule type="expression" dxfId="112" priority="82">
      <formula>COUNTIF(#REF!,A1037)&gt;1</formula>
    </cfRule>
  </conditionalFormatting>
  <conditionalFormatting sqref="A1037">
    <cfRule type="expression" dxfId="111" priority="83">
      <formula>COUNTIF(#REF!,A1037)&gt;1</formula>
    </cfRule>
  </conditionalFormatting>
  <conditionalFormatting sqref="A1037">
    <cfRule type="expression" dxfId="110" priority="84">
      <formula>COUNTIF(#REF!,A1037)&gt;1</formula>
    </cfRule>
  </conditionalFormatting>
  <conditionalFormatting sqref="A1037">
    <cfRule type="expression" dxfId="109" priority="85">
      <formula>COUNTIF(#REF!,A1037)&gt;1</formula>
    </cfRule>
  </conditionalFormatting>
  <conditionalFormatting sqref="A1037">
    <cfRule type="expression" dxfId="108" priority="86">
      <formula>COUNTIF(#REF!,A1037)&gt;1</formula>
    </cfRule>
  </conditionalFormatting>
  <conditionalFormatting sqref="A1037">
    <cfRule type="expression" dxfId="107" priority="87">
      <formula>COUNTIF(#REF!,A1037)&gt;1</formula>
    </cfRule>
  </conditionalFormatting>
  <conditionalFormatting sqref="A1037">
    <cfRule type="expression" dxfId="106" priority="88">
      <formula>COUNTIF(#REF!,A1037)&gt;1</formula>
    </cfRule>
  </conditionalFormatting>
  <conditionalFormatting sqref="A1037">
    <cfRule type="expression" dxfId="105" priority="89">
      <formula>COUNTIF(#REF!,A1037)&gt;1</formula>
    </cfRule>
  </conditionalFormatting>
  <conditionalFormatting sqref="A1037">
    <cfRule type="expression" dxfId="104" priority="90">
      <formula>COUNTIF(#REF!,A1037)&gt;1</formula>
    </cfRule>
  </conditionalFormatting>
  <conditionalFormatting sqref="A1037">
    <cfRule type="expression" dxfId="103" priority="91">
      <formula>COUNTIF(#REF!,A1037)&gt;1</formula>
    </cfRule>
  </conditionalFormatting>
  <conditionalFormatting sqref="A1037">
    <cfRule type="expression" dxfId="102" priority="92">
      <formula>COUNTIF(#REF!,A1037)&gt;1</formula>
    </cfRule>
  </conditionalFormatting>
  <conditionalFormatting sqref="A1037">
    <cfRule type="expression" dxfId="101" priority="93">
      <formula>COUNTIF(#REF!,A1037)&gt;1</formula>
    </cfRule>
  </conditionalFormatting>
  <conditionalFormatting sqref="A1037">
    <cfRule type="expression" dxfId="100" priority="94">
      <formula>COUNTIF(#REF!,A1037)&gt;1</formula>
    </cfRule>
  </conditionalFormatting>
  <conditionalFormatting sqref="A1037">
    <cfRule type="expression" dxfId="99" priority="95">
      <formula>COUNTIF(#REF!,A1037)&gt;1</formula>
    </cfRule>
  </conditionalFormatting>
  <conditionalFormatting sqref="A1037">
    <cfRule type="expression" dxfId="98" priority="96">
      <formula>COUNTIF(#REF!,A1037)&gt;1</formula>
    </cfRule>
  </conditionalFormatting>
  <conditionalFormatting sqref="A1036">
    <cfRule type="expression" dxfId="97" priority="97">
      <formula>COUNTIF(#REF!,A1036)&gt;1</formula>
    </cfRule>
  </conditionalFormatting>
  <conditionalFormatting sqref="A1036">
    <cfRule type="expression" dxfId="96" priority="98">
      <formula>COUNTIF(#REF!,A1036)&gt;1</formula>
    </cfRule>
  </conditionalFormatting>
  <conditionalFormatting sqref="A1036">
    <cfRule type="expression" dxfId="95" priority="99">
      <formula>COUNTIF(#REF!,A1036)&gt;1</formula>
    </cfRule>
  </conditionalFormatting>
  <conditionalFormatting sqref="A1036">
    <cfRule type="expression" dxfId="94" priority="100">
      <formula>COUNTIF(#REF!,A1036)&gt;1</formula>
    </cfRule>
  </conditionalFormatting>
  <conditionalFormatting sqref="A1036">
    <cfRule type="expression" dxfId="93" priority="101">
      <formula>COUNTIF(#REF!,A1036)&gt;1</formula>
    </cfRule>
  </conditionalFormatting>
  <conditionalFormatting sqref="A1036">
    <cfRule type="expression" dxfId="92" priority="102">
      <formula>COUNTIF(#REF!,A1036)&gt;1</formula>
    </cfRule>
  </conditionalFormatting>
  <conditionalFormatting sqref="A1036">
    <cfRule type="expression" dxfId="91" priority="103">
      <formula>COUNTIF(#REF!,A1036)&gt;1</formula>
    </cfRule>
  </conditionalFormatting>
  <conditionalFormatting sqref="A1036">
    <cfRule type="expression" dxfId="90" priority="104">
      <formula>COUNTIF(#REF!,A1036)&gt;1</formula>
    </cfRule>
  </conditionalFormatting>
  <conditionalFormatting sqref="A1036">
    <cfRule type="expression" dxfId="89" priority="105">
      <formula>COUNTIF(#REF!,A1036)&gt;1</formula>
    </cfRule>
  </conditionalFormatting>
  <conditionalFormatting sqref="A1036">
    <cfRule type="expression" dxfId="88" priority="106">
      <formula>COUNTIF(#REF!,A1036)&gt;1</formula>
    </cfRule>
  </conditionalFormatting>
  <conditionalFormatting sqref="A1036">
    <cfRule type="expression" dxfId="87" priority="107">
      <formula>COUNTIF(#REF!,A1036)&gt;1</formula>
    </cfRule>
  </conditionalFormatting>
  <conditionalFormatting sqref="A1036">
    <cfRule type="expression" dxfId="86" priority="108">
      <formula>COUNTIF(#REF!,A1036)&gt;1</formula>
    </cfRule>
  </conditionalFormatting>
  <conditionalFormatting sqref="A1036">
    <cfRule type="expression" dxfId="85" priority="109">
      <formula>COUNTIF(#REF!,A1036)&gt;1</formula>
    </cfRule>
  </conditionalFormatting>
  <conditionalFormatting sqref="A1036">
    <cfRule type="expression" dxfId="84" priority="110">
      <formula>COUNTIF(#REF!,A1036)&gt;1</formula>
    </cfRule>
  </conditionalFormatting>
  <conditionalFormatting sqref="A1036">
    <cfRule type="expression" dxfId="83" priority="111">
      <formula>COUNTIF(#REF!,A1036)&gt;1</formula>
    </cfRule>
  </conditionalFormatting>
  <conditionalFormatting sqref="A1036">
    <cfRule type="expression" dxfId="82" priority="112">
      <formula>COUNTIF(#REF!,A1036)&gt;1</formula>
    </cfRule>
  </conditionalFormatting>
  <conditionalFormatting sqref="A1036">
    <cfRule type="expression" dxfId="81" priority="113">
      <formula>COUNTIF(#REF!,A1036)&gt;1</formula>
    </cfRule>
  </conditionalFormatting>
  <conditionalFormatting sqref="A1036">
    <cfRule type="expression" dxfId="80" priority="114">
      <formula>COUNTIF(#REF!,A1036)&gt;1</formula>
    </cfRule>
  </conditionalFormatting>
  <conditionalFormatting sqref="A1036">
    <cfRule type="expression" dxfId="79" priority="115">
      <formula>COUNTIF(#REF!,A1036)&gt;1</formula>
    </cfRule>
  </conditionalFormatting>
  <conditionalFormatting sqref="A1036">
    <cfRule type="expression" dxfId="78" priority="116">
      <formula>COUNTIF(#REF!,A1036)&gt;1</formula>
    </cfRule>
  </conditionalFormatting>
  <conditionalFormatting sqref="A1036">
    <cfRule type="expression" dxfId="77" priority="117">
      <formula>COUNTIF(#REF!,A1036)&gt;1</formula>
    </cfRule>
  </conditionalFormatting>
  <conditionalFormatting sqref="A1036">
    <cfRule type="expression" dxfId="76" priority="118">
      <formula>COUNTIF(#REF!,A1036)&gt;1</formula>
    </cfRule>
  </conditionalFormatting>
  <conditionalFormatting sqref="A1036">
    <cfRule type="expression" dxfId="75" priority="119">
      <formula>COUNTIF(#REF!,A1036)&gt;1</formula>
    </cfRule>
  </conditionalFormatting>
  <conditionalFormatting sqref="A1018">
    <cfRule type="expression" dxfId="74" priority="120">
      <formula>COUNTIF(#REF!,A1018)&gt;1</formula>
    </cfRule>
  </conditionalFormatting>
  <conditionalFormatting sqref="A1018">
    <cfRule type="expression" dxfId="73" priority="121">
      <formula>COUNTIF(#REF!,A1018)&gt;1</formula>
    </cfRule>
  </conditionalFormatting>
  <conditionalFormatting sqref="A1018">
    <cfRule type="expression" dxfId="72" priority="122">
      <formula>COUNTIF(#REF!,A1018)&gt;1</formula>
    </cfRule>
  </conditionalFormatting>
  <conditionalFormatting sqref="A1018">
    <cfRule type="expression" dxfId="71" priority="123">
      <formula>COUNTIF(#REF!,A1018)&gt;1</formula>
    </cfRule>
  </conditionalFormatting>
  <conditionalFormatting sqref="A1018">
    <cfRule type="expression" dxfId="70" priority="124">
      <formula>COUNTIF(#REF!,A1018)&gt;1</formula>
    </cfRule>
  </conditionalFormatting>
  <conditionalFormatting sqref="A1018">
    <cfRule type="expression" dxfId="69" priority="125">
      <formula>COUNTIF(#REF!,A1018)&gt;1</formula>
    </cfRule>
  </conditionalFormatting>
  <conditionalFormatting sqref="A1018">
    <cfRule type="expression" dxfId="68" priority="126">
      <formula>COUNTIF(#REF!,A1018)&gt;1</formula>
    </cfRule>
  </conditionalFormatting>
  <conditionalFormatting sqref="A1018">
    <cfRule type="expression" dxfId="67" priority="127">
      <formula>COUNTIF(#REF!,A1018)&gt;1</formula>
    </cfRule>
  </conditionalFormatting>
  <conditionalFormatting sqref="A1018">
    <cfRule type="expression" dxfId="66" priority="128">
      <formula>COUNTIF(#REF!,A1018)&gt;1</formula>
    </cfRule>
  </conditionalFormatting>
  <conditionalFormatting sqref="A1018">
    <cfRule type="expression" dxfId="65" priority="129">
      <formula>COUNTIF(#REF!,A1018)&gt;1</formula>
    </cfRule>
  </conditionalFormatting>
  <conditionalFormatting sqref="A1018">
    <cfRule type="expression" dxfId="64" priority="130">
      <formula>COUNTIF(#REF!,A1018)&gt;1</formula>
    </cfRule>
  </conditionalFormatting>
  <conditionalFormatting sqref="A1018">
    <cfRule type="expression" dxfId="63" priority="131">
      <formula>COUNTIF(#REF!,A1018)&gt;1</formula>
    </cfRule>
  </conditionalFormatting>
  <conditionalFormatting sqref="A1018">
    <cfRule type="expression" dxfId="62" priority="132">
      <formula>COUNTIF(#REF!,A1018)&gt;1</formula>
    </cfRule>
  </conditionalFormatting>
  <conditionalFormatting sqref="A1018">
    <cfRule type="expression" dxfId="61" priority="133">
      <formula>COUNTIF(#REF!,A1018)&gt;1</formula>
    </cfRule>
  </conditionalFormatting>
  <conditionalFormatting sqref="A1018">
    <cfRule type="expression" dxfId="60" priority="134">
      <formula>COUNTIF(#REF!,A1018)&gt;1</formula>
    </cfRule>
  </conditionalFormatting>
  <conditionalFormatting sqref="A1018">
    <cfRule type="expression" dxfId="59" priority="135">
      <formula>COUNTIF(#REF!,A1018)&gt;1</formula>
    </cfRule>
  </conditionalFormatting>
  <conditionalFormatting sqref="A1018">
    <cfRule type="expression" dxfId="58" priority="136">
      <formula>COUNTIF(#REF!,A1018)&gt;1</formula>
    </cfRule>
  </conditionalFormatting>
  <conditionalFormatting sqref="A1018">
    <cfRule type="expression" dxfId="57" priority="137">
      <formula>COUNTIF(#REF!,A1018)&gt;1</formula>
    </cfRule>
  </conditionalFormatting>
  <conditionalFormatting sqref="A1018">
    <cfRule type="expression" dxfId="56" priority="138">
      <formula>COUNTIF(#REF!,A1018)&gt;1</formula>
    </cfRule>
  </conditionalFormatting>
  <conditionalFormatting sqref="A1018">
    <cfRule type="expression" dxfId="55" priority="139">
      <formula>COUNTIF(#REF!,A1018)&gt;1</formula>
    </cfRule>
  </conditionalFormatting>
  <conditionalFormatting sqref="A1018">
    <cfRule type="expression" dxfId="54" priority="140">
      <formula>COUNTIF(#REF!,A1018)&gt;1</formula>
    </cfRule>
  </conditionalFormatting>
  <conditionalFormatting sqref="A1018">
    <cfRule type="expression" dxfId="53" priority="141">
      <formula>COUNTIF(#REF!,A1018)&gt;1</formula>
    </cfRule>
  </conditionalFormatting>
  <conditionalFormatting sqref="A1018">
    <cfRule type="expression" dxfId="52" priority="142">
      <formula>COUNTIF(#REF!,A1018)&gt;1</formula>
    </cfRule>
  </conditionalFormatting>
  <conditionalFormatting sqref="A1017">
    <cfRule type="expression" dxfId="51" priority="143">
      <formula>COUNTIF(#REF!,A1017)&gt;1</formula>
    </cfRule>
  </conditionalFormatting>
  <conditionalFormatting sqref="A1017">
    <cfRule type="expression" dxfId="50" priority="144">
      <formula>COUNTIF(#REF!,A1017)&gt;1</formula>
    </cfRule>
  </conditionalFormatting>
  <conditionalFormatting sqref="A1017">
    <cfRule type="expression" dxfId="49" priority="145">
      <formula>COUNTIF(#REF!,A1017)&gt;1</formula>
    </cfRule>
  </conditionalFormatting>
  <conditionalFormatting sqref="A1017">
    <cfRule type="expression" dxfId="48" priority="146">
      <formula>COUNTIF(#REF!,A1017)&gt;1</formula>
    </cfRule>
  </conditionalFormatting>
  <conditionalFormatting sqref="A1017">
    <cfRule type="expression" dxfId="47" priority="147">
      <formula>COUNTIF(#REF!,A1017)&gt;1</formula>
    </cfRule>
  </conditionalFormatting>
  <conditionalFormatting sqref="A1017">
    <cfRule type="expression" dxfId="46" priority="148">
      <formula>COUNTIF(#REF!,A1017)&gt;1</formula>
    </cfRule>
  </conditionalFormatting>
  <conditionalFormatting sqref="A1017">
    <cfRule type="expression" dxfId="45" priority="149">
      <formula>COUNTIF(#REF!,A1017)&gt;1</formula>
    </cfRule>
  </conditionalFormatting>
  <conditionalFormatting sqref="A1017">
    <cfRule type="expression" dxfId="44" priority="150">
      <formula>COUNTIF(#REF!,A1017)&gt;1</formula>
    </cfRule>
  </conditionalFormatting>
  <conditionalFormatting sqref="A1017">
    <cfRule type="expression" dxfId="43" priority="151">
      <formula>COUNTIF(#REF!,A1017)&gt;1</formula>
    </cfRule>
  </conditionalFormatting>
  <conditionalFormatting sqref="A1017">
    <cfRule type="expression" dxfId="42" priority="152">
      <formula>COUNTIF(#REF!,A1017)&gt;1</formula>
    </cfRule>
  </conditionalFormatting>
  <conditionalFormatting sqref="A1017">
    <cfRule type="expression" dxfId="41" priority="153">
      <formula>COUNTIF(#REF!,A1017)&gt;1</formula>
    </cfRule>
  </conditionalFormatting>
  <conditionalFormatting sqref="A1017">
    <cfRule type="expression" dxfId="40" priority="154">
      <formula>COUNTIF(#REF!,A1017)&gt;1</formula>
    </cfRule>
  </conditionalFormatting>
  <conditionalFormatting sqref="A1017">
    <cfRule type="expression" dxfId="39" priority="155">
      <formula>COUNTIF(#REF!,A1017)&gt;1</formula>
    </cfRule>
  </conditionalFormatting>
  <conditionalFormatting sqref="A1017">
    <cfRule type="expression" dxfId="38" priority="156">
      <formula>COUNTIF(#REF!,A1017)&gt;1</formula>
    </cfRule>
  </conditionalFormatting>
  <conditionalFormatting sqref="A1017">
    <cfRule type="expression" dxfId="37" priority="157">
      <formula>COUNTIF(#REF!,A1017)&gt;1</formula>
    </cfRule>
  </conditionalFormatting>
  <conditionalFormatting sqref="A1017">
    <cfRule type="expression" dxfId="36" priority="158">
      <formula>COUNTIF(#REF!,A1017)&gt;1</formula>
    </cfRule>
  </conditionalFormatting>
  <conditionalFormatting sqref="A1017">
    <cfRule type="expression" dxfId="35" priority="159">
      <formula>COUNTIF(#REF!,A1017)&gt;1</formula>
    </cfRule>
  </conditionalFormatting>
  <conditionalFormatting sqref="A1017">
    <cfRule type="expression" dxfId="34" priority="160">
      <formula>COUNTIF(#REF!,A1017)&gt;1</formula>
    </cfRule>
  </conditionalFormatting>
  <conditionalFormatting sqref="A1017">
    <cfRule type="expression" dxfId="33" priority="161">
      <formula>COUNTIF(#REF!,A1017)&gt;1</formula>
    </cfRule>
  </conditionalFormatting>
  <conditionalFormatting sqref="A1017">
    <cfRule type="expression" dxfId="32" priority="162">
      <formula>COUNTIF(#REF!,A1017)&gt;1</formula>
    </cfRule>
  </conditionalFormatting>
  <conditionalFormatting sqref="A1017">
    <cfRule type="expression" dxfId="31" priority="163">
      <formula>COUNTIF(#REF!,A1017)&gt;1</formula>
    </cfRule>
  </conditionalFormatting>
  <conditionalFormatting sqref="A1017">
    <cfRule type="expression" dxfId="30" priority="164">
      <formula>COUNTIF(#REF!,A1017)&gt;1</formula>
    </cfRule>
  </conditionalFormatting>
  <conditionalFormatting sqref="A1017">
    <cfRule type="expression" dxfId="29" priority="165">
      <formula>COUNTIF(#REF!,A1017)&gt;1</formula>
    </cfRule>
  </conditionalFormatting>
  <conditionalFormatting sqref="A1016">
    <cfRule type="expression" dxfId="28" priority="166">
      <formula>COUNTIF(#REF!,A1016)&gt;1</formula>
    </cfRule>
  </conditionalFormatting>
  <conditionalFormatting sqref="A1016">
    <cfRule type="expression" dxfId="27" priority="167">
      <formula>COUNTIF(#REF!,A1016)&gt;1</formula>
    </cfRule>
  </conditionalFormatting>
  <conditionalFormatting sqref="A1016">
    <cfRule type="expression" dxfId="26" priority="168">
      <formula>COUNTIF(#REF!,A1016)&gt;1</formula>
    </cfRule>
  </conditionalFormatting>
  <conditionalFormatting sqref="A1016">
    <cfRule type="expression" dxfId="25" priority="169">
      <formula>COUNTIF(#REF!,A1016)&gt;1</formula>
    </cfRule>
  </conditionalFormatting>
  <conditionalFormatting sqref="A1016">
    <cfRule type="expression" dxfId="24" priority="170">
      <formula>COUNTIF(#REF!,A1016)&gt;1</formula>
    </cfRule>
  </conditionalFormatting>
  <conditionalFormatting sqref="A1016">
    <cfRule type="expression" dxfId="23" priority="171">
      <formula>COUNTIF(#REF!,A1016)&gt;1</formula>
    </cfRule>
  </conditionalFormatting>
  <conditionalFormatting sqref="A1016">
    <cfRule type="expression" dxfId="22" priority="172">
      <formula>COUNTIF(#REF!,A1016)&gt;1</formula>
    </cfRule>
  </conditionalFormatting>
  <conditionalFormatting sqref="A1016">
    <cfRule type="expression" dxfId="21" priority="173">
      <formula>COUNTIF(#REF!,A1016)&gt;1</formula>
    </cfRule>
  </conditionalFormatting>
  <conditionalFormatting sqref="A1016">
    <cfRule type="expression" dxfId="20" priority="174">
      <formula>COUNTIF(#REF!,A1016)&gt;1</formula>
    </cfRule>
  </conditionalFormatting>
  <conditionalFormatting sqref="A1016">
    <cfRule type="expression" dxfId="19" priority="175">
      <formula>COUNTIF(#REF!,A1016)&gt;1</formula>
    </cfRule>
  </conditionalFormatting>
  <conditionalFormatting sqref="A1016">
    <cfRule type="expression" dxfId="18" priority="176">
      <formula>COUNTIF(#REF!,A1016)&gt;1</formula>
    </cfRule>
  </conditionalFormatting>
  <conditionalFormatting sqref="A1016">
    <cfRule type="expression" dxfId="17" priority="177">
      <formula>COUNTIF(#REF!,A1016)&gt;1</formula>
    </cfRule>
  </conditionalFormatting>
  <conditionalFormatting sqref="A1016">
    <cfRule type="expression" dxfId="16" priority="178">
      <formula>COUNTIF(#REF!,A1016)&gt;1</formula>
    </cfRule>
  </conditionalFormatting>
  <conditionalFormatting sqref="A1016">
    <cfRule type="expression" dxfId="15" priority="179">
      <formula>COUNTIF(#REF!,A1016)&gt;1</formula>
    </cfRule>
  </conditionalFormatting>
  <conditionalFormatting sqref="A1016">
    <cfRule type="expression" dxfId="14" priority="180">
      <formula>COUNTIF(#REF!,A1016)&gt;1</formula>
    </cfRule>
  </conditionalFormatting>
  <conditionalFormatting sqref="A1016">
    <cfRule type="expression" dxfId="13" priority="181">
      <formula>COUNTIF(#REF!,A1016)&gt;1</formula>
    </cfRule>
  </conditionalFormatting>
  <conditionalFormatting sqref="A1016">
    <cfRule type="expression" dxfId="12" priority="182">
      <formula>COUNTIF(#REF!,A1016)&gt;1</formula>
    </cfRule>
  </conditionalFormatting>
  <conditionalFormatting sqref="A1016">
    <cfRule type="expression" dxfId="11" priority="183">
      <formula>COUNTIF(#REF!,A1016)&gt;1</formula>
    </cfRule>
  </conditionalFormatting>
  <conditionalFormatting sqref="A1016">
    <cfRule type="expression" dxfId="10" priority="184">
      <formula>COUNTIF(#REF!,A1016)&gt;1</formula>
    </cfRule>
  </conditionalFormatting>
  <conditionalFormatting sqref="A1016">
    <cfRule type="expression" dxfId="9" priority="185">
      <formula>COUNTIF(#REF!,A1016)&gt;1</formula>
    </cfRule>
  </conditionalFormatting>
  <conditionalFormatting sqref="A1016">
    <cfRule type="expression" dxfId="8" priority="186">
      <formula>COUNTIF(#REF!,A1016)&gt;1</formula>
    </cfRule>
  </conditionalFormatting>
  <conditionalFormatting sqref="A1016">
    <cfRule type="expression" dxfId="7" priority="187">
      <formula>COUNTIF(#REF!,A1016)&gt;1</formula>
    </cfRule>
  </conditionalFormatting>
  <conditionalFormatting sqref="A1016">
    <cfRule type="expression" dxfId="6" priority="188">
      <formula>COUNTIF(#REF!,A1016)&gt;1</formula>
    </cfRule>
  </conditionalFormatting>
  <conditionalFormatting sqref="A1012 A1020 A1023:A1024 A1026:A1028 A1041">
    <cfRule type="expression" dxfId="5" priority="189">
      <formula>COUNTIF(A:A,A1012)&gt;1</formula>
    </cfRule>
  </conditionalFormatting>
  <conditionalFormatting sqref="A1019:A1035 A1041:A1042 A1007:A1015">
    <cfRule type="expression" dxfId="4" priority="190">
      <formula>COUNTIF(C1007:C3950,C1007)&gt;1</formula>
    </cfRule>
  </conditionalFormatting>
  <conditionalFormatting sqref="AC4:AF16 AA27:AC3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A34:AC3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3F87-DD94-4158-81A0-A4FA8908462B}">
  <dimension ref="A1:J24"/>
  <sheetViews>
    <sheetView workbookViewId="0">
      <selection activeCell="I1" sqref="I1"/>
    </sheetView>
  </sheetViews>
  <sheetFormatPr defaultRowHeight="14.4"/>
  <cols>
    <col min="1" max="1" width="20.88671875" customWidth="1"/>
    <col min="7" max="7" width="12.77734375" customWidth="1"/>
  </cols>
  <sheetData>
    <row r="1" spans="1:10" s="6" customFormat="1" ht="15" thickBot="1">
      <c r="A1" s="37" t="s">
        <v>4462</v>
      </c>
      <c r="B1" s="38" t="s">
        <v>4463</v>
      </c>
      <c r="C1" s="38" t="s">
        <v>4464</v>
      </c>
      <c r="D1" s="38" t="s">
        <v>4465</v>
      </c>
      <c r="E1" s="39" t="s">
        <v>4466</v>
      </c>
      <c r="F1" s="39" t="s">
        <v>9</v>
      </c>
      <c r="G1" s="39" t="s">
        <v>4467</v>
      </c>
      <c r="H1" s="38" t="s">
        <v>4468</v>
      </c>
      <c r="I1" s="38" t="s">
        <v>4469</v>
      </c>
      <c r="J1" s="38" t="s">
        <v>4</v>
      </c>
    </row>
    <row r="2" spans="1:10" ht="15" thickBot="1">
      <c r="A2" s="56" t="s">
        <v>4482</v>
      </c>
      <c r="B2" s="40" t="s">
        <v>4483</v>
      </c>
      <c r="C2" s="40" t="s">
        <v>250</v>
      </c>
      <c r="D2" s="40" t="s">
        <v>4476</v>
      </c>
      <c r="E2" s="40" t="s">
        <v>4478</v>
      </c>
      <c r="F2" s="40"/>
      <c r="G2" s="40" t="s">
        <v>4484</v>
      </c>
      <c r="H2" s="40" t="s">
        <v>4472</v>
      </c>
      <c r="I2" s="40" t="s">
        <v>4479</v>
      </c>
      <c r="J2" s="40" t="s">
        <v>4473</v>
      </c>
    </row>
    <row r="3" spans="1:10" ht="15" thickBot="1">
      <c r="A3" s="49" t="s">
        <v>4485</v>
      </c>
      <c r="B3" s="47" t="s">
        <v>4486</v>
      </c>
      <c r="C3" s="44" t="s">
        <v>4487</v>
      </c>
      <c r="D3" s="43" t="s">
        <v>1556</v>
      </c>
      <c r="E3" s="43" t="s">
        <v>1103</v>
      </c>
      <c r="F3" s="43"/>
      <c r="G3" s="43" t="s">
        <v>4484</v>
      </c>
      <c r="H3" s="43" t="s">
        <v>28</v>
      </c>
      <c r="I3" s="43" t="s">
        <v>1506</v>
      </c>
      <c r="J3" s="44" t="s">
        <v>4473</v>
      </c>
    </row>
    <row r="4" spans="1:10" ht="15" thickBot="1">
      <c r="A4" s="46" t="s">
        <v>4488</v>
      </c>
      <c r="B4" s="50">
        <v>5516981203203</v>
      </c>
      <c r="C4" s="44" t="s">
        <v>4489</v>
      </c>
      <c r="D4" s="42" t="s">
        <v>1556</v>
      </c>
      <c r="E4" s="42" t="s">
        <v>4478</v>
      </c>
      <c r="F4" s="44"/>
      <c r="G4" s="43" t="s">
        <v>4490</v>
      </c>
      <c r="H4" s="43" t="s">
        <v>28</v>
      </c>
      <c r="I4" s="43" t="s">
        <v>1506</v>
      </c>
      <c r="J4" s="44" t="s">
        <v>4473</v>
      </c>
    </row>
    <row r="5" spans="1:10" ht="15" thickBot="1">
      <c r="A5" s="45" t="s">
        <v>4491</v>
      </c>
      <c r="B5" s="43">
        <v>5511976718374</v>
      </c>
      <c r="C5" s="43" t="s">
        <v>4492</v>
      </c>
      <c r="D5" s="42" t="s">
        <v>1556</v>
      </c>
      <c r="E5" s="42" t="s">
        <v>4478</v>
      </c>
      <c r="F5" s="43"/>
      <c r="G5" s="43" t="s">
        <v>4493</v>
      </c>
      <c r="H5" s="43" t="s">
        <v>28</v>
      </c>
      <c r="I5" s="43" t="s">
        <v>1506</v>
      </c>
      <c r="J5" s="43" t="s">
        <v>4480</v>
      </c>
    </row>
    <row r="6" spans="1:10" ht="15" thickBot="1">
      <c r="A6" s="46" t="s">
        <v>4494</v>
      </c>
      <c r="B6" s="48">
        <v>5544999213111</v>
      </c>
      <c r="C6" s="51" t="s">
        <v>4495</v>
      </c>
      <c r="D6" s="42" t="s">
        <v>1556</v>
      </c>
      <c r="E6" s="42" t="s">
        <v>4478</v>
      </c>
      <c r="F6" s="44"/>
      <c r="G6" s="43" t="s">
        <v>4496</v>
      </c>
      <c r="H6" s="43" t="s">
        <v>28</v>
      </c>
      <c r="I6" s="43" t="s">
        <v>1506</v>
      </c>
      <c r="J6" s="43" t="s">
        <v>4480</v>
      </c>
    </row>
    <row r="7" spans="1:10" ht="15" thickBot="1">
      <c r="A7" s="45" t="s">
        <v>670</v>
      </c>
      <c r="B7" s="43" t="s">
        <v>4497</v>
      </c>
      <c r="C7" s="43" t="s">
        <v>4498</v>
      </c>
      <c r="D7" s="43" t="s">
        <v>4481</v>
      </c>
      <c r="E7" s="43" t="s">
        <v>4477</v>
      </c>
      <c r="F7" s="43"/>
      <c r="G7" s="43" t="s">
        <v>4499</v>
      </c>
      <c r="H7" s="43" t="s">
        <v>169</v>
      </c>
      <c r="I7" s="43" t="s">
        <v>1506</v>
      </c>
      <c r="J7" s="43" t="s">
        <v>4473</v>
      </c>
    </row>
    <row r="8" spans="1:10" ht="15" thickBot="1">
      <c r="A8" s="41" t="s">
        <v>4500</v>
      </c>
      <c r="B8" s="44" t="s">
        <v>4501</v>
      </c>
      <c r="C8" s="52" t="s">
        <v>4502</v>
      </c>
      <c r="D8" s="42" t="s">
        <v>1556</v>
      </c>
      <c r="E8" s="42" t="s">
        <v>4475</v>
      </c>
      <c r="F8" s="44"/>
      <c r="G8" s="43" t="s">
        <v>4499</v>
      </c>
      <c r="H8" s="43" t="s">
        <v>28</v>
      </c>
      <c r="I8" s="43" t="s">
        <v>1506</v>
      </c>
      <c r="J8" s="44" t="s">
        <v>4473</v>
      </c>
    </row>
    <row r="9" spans="1:10" ht="15" thickBot="1">
      <c r="A9" s="45" t="s">
        <v>4503</v>
      </c>
      <c r="B9" s="43">
        <v>5516981486473</v>
      </c>
      <c r="C9" s="53" t="s">
        <v>4504</v>
      </c>
      <c r="D9" s="42" t="s">
        <v>1556</v>
      </c>
      <c r="E9" s="43" t="s">
        <v>4471</v>
      </c>
      <c r="F9" s="44"/>
      <c r="G9" s="43" t="s">
        <v>4505</v>
      </c>
      <c r="H9" s="43" t="s">
        <v>28</v>
      </c>
      <c r="I9" s="43" t="s">
        <v>1506</v>
      </c>
      <c r="J9" s="44" t="s">
        <v>4480</v>
      </c>
    </row>
    <row r="10" spans="1:10" ht="15" thickBot="1">
      <c r="A10" s="45" t="s">
        <v>871</v>
      </c>
      <c r="B10" s="54">
        <v>447340161956</v>
      </c>
      <c r="C10" s="53" t="s">
        <v>873</v>
      </c>
      <c r="D10" s="42" t="s">
        <v>1556</v>
      </c>
      <c r="E10" s="42" t="s">
        <v>4478</v>
      </c>
      <c r="F10" s="44"/>
      <c r="G10" s="43" t="s">
        <v>4505</v>
      </c>
      <c r="H10" s="43" t="s">
        <v>58</v>
      </c>
      <c r="I10" s="43" t="s">
        <v>1506</v>
      </c>
      <c r="J10" s="44" t="s">
        <v>4480</v>
      </c>
    </row>
    <row r="11" spans="1:10" ht="15" thickBot="1">
      <c r="A11" s="45" t="s">
        <v>932</v>
      </c>
      <c r="B11" s="43">
        <v>5511965843030</v>
      </c>
      <c r="C11" s="43" t="s">
        <v>934</v>
      </c>
      <c r="D11" s="43" t="s">
        <v>1556</v>
      </c>
      <c r="E11" s="43" t="s">
        <v>4478</v>
      </c>
      <c r="F11" s="43"/>
      <c r="G11" s="43" t="s">
        <v>4506</v>
      </c>
      <c r="H11" s="43" t="s">
        <v>28</v>
      </c>
      <c r="I11" s="43" t="s">
        <v>1506</v>
      </c>
      <c r="J11" s="44" t="s">
        <v>4473</v>
      </c>
    </row>
    <row r="12" spans="1:10" ht="15" thickBot="1">
      <c r="A12" s="45" t="s">
        <v>828</v>
      </c>
      <c r="B12" s="43" t="s">
        <v>4507</v>
      </c>
      <c r="C12" s="43" t="s">
        <v>829</v>
      </c>
      <c r="D12" s="43" t="s">
        <v>4476</v>
      </c>
      <c r="E12" s="43" t="s">
        <v>341</v>
      </c>
      <c r="F12" s="43"/>
      <c r="G12" s="43" t="s">
        <v>4506</v>
      </c>
      <c r="H12" s="43" t="s">
        <v>4508</v>
      </c>
      <c r="I12" s="43" t="s">
        <v>4509</v>
      </c>
      <c r="J12" s="43" t="s">
        <v>4480</v>
      </c>
    </row>
    <row r="13" spans="1:10" ht="15" thickBot="1">
      <c r="A13" s="55" t="s">
        <v>4510</v>
      </c>
      <c r="B13" s="44" t="s">
        <v>4511</v>
      </c>
      <c r="C13" s="44" t="s">
        <v>4512</v>
      </c>
      <c r="D13" s="43" t="s">
        <v>1556</v>
      </c>
      <c r="E13" s="43" t="s">
        <v>1103</v>
      </c>
      <c r="F13" s="43"/>
      <c r="G13" s="52" t="s">
        <v>4513</v>
      </c>
      <c r="H13" s="44" t="s">
        <v>4472</v>
      </c>
      <c r="I13" s="43" t="s">
        <v>1506</v>
      </c>
      <c r="J13" s="44" t="s">
        <v>4480</v>
      </c>
    </row>
    <row r="14" spans="1:10" ht="15" thickBot="1">
      <c r="A14" s="41" t="s">
        <v>851</v>
      </c>
      <c r="B14" s="42">
        <v>27712596033</v>
      </c>
      <c r="C14" s="42" t="s">
        <v>852</v>
      </c>
      <c r="D14" s="42" t="s">
        <v>4470</v>
      </c>
      <c r="E14" s="42" t="s">
        <v>4478</v>
      </c>
      <c r="F14" s="43"/>
      <c r="G14" s="42" t="s">
        <v>4514</v>
      </c>
      <c r="H14" s="42" t="s">
        <v>279</v>
      </c>
      <c r="I14" s="43" t="s">
        <v>1506</v>
      </c>
      <c r="J14" s="43" t="s">
        <v>4473</v>
      </c>
    </row>
    <row r="15" spans="1:10" ht="15" thickBot="1">
      <c r="A15" s="41" t="s">
        <v>4515</v>
      </c>
      <c r="B15" s="42"/>
      <c r="C15" s="42" t="s">
        <v>4516</v>
      </c>
      <c r="D15" s="42" t="s">
        <v>4470</v>
      </c>
      <c r="E15" s="42" t="s">
        <v>4475</v>
      </c>
      <c r="F15" s="43"/>
      <c r="G15" s="42" t="s">
        <v>4514</v>
      </c>
      <c r="H15" s="42" t="s">
        <v>35</v>
      </c>
      <c r="I15" s="43" t="s">
        <v>1506</v>
      </c>
      <c r="J15" s="43" t="s">
        <v>4473</v>
      </c>
    </row>
    <row r="16" spans="1:10" ht="15" thickBot="1">
      <c r="A16" s="41" t="s">
        <v>4517</v>
      </c>
      <c r="B16" s="42">
        <v>18058575482</v>
      </c>
      <c r="C16" s="42" t="s">
        <v>4518</v>
      </c>
      <c r="D16" s="42" t="s">
        <v>4470</v>
      </c>
      <c r="E16" s="42" t="s">
        <v>4474</v>
      </c>
      <c r="F16" s="43"/>
      <c r="G16" s="42" t="s">
        <v>4519</v>
      </c>
      <c r="H16" s="42" t="s">
        <v>4472</v>
      </c>
      <c r="I16" s="43" t="s">
        <v>1506</v>
      </c>
      <c r="J16" s="43" t="s">
        <v>4480</v>
      </c>
    </row>
    <row r="17" spans="1:10" ht="15" thickBot="1">
      <c r="A17" s="41" t="s">
        <v>4520</v>
      </c>
      <c r="B17" s="42">
        <v>17038501924</v>
      </c>
      <c r="C17" s="42" t="s">
        <v>4521</v>
      </c>
      <c r="D17" s="42" t="s">
        <v>4470</v>
      </c>
      <c r="E17" s="42" t="s">
        <v>4474</v>
      </c>
      <c r="F17" s="43"/>
      <c r="G17" s="42" t="s">
        <v>4522</v>
      </c>
      <c r="H17" s="42" t="s">
        <v>4472</v>
      </c>
      <c r="I17" s="43" t="s">
        <v>1506</v>
      </c>
      <c r="J17" s="43" t="s">
        <v>4473</v>
      </c>
    </row>
    <row r="18" spans="1:10" ht="15" thickBot="1">
      <c r="A18" s="41" t="s">
        <v>4523</v>
      </c>
      <c r="B18" s="42">
        <v>61447617872</v>
      </c>
      <c r="C18" s="42" t="s">
        <v>4524</v>
      </c>
      <c r="D18" s="42" t="s">
        <v>4470</v>
      </c>
      <c r="E18" s="42" t="s">
        <v>4471</v>
      </c>
      <c r="F18" s="43"/>
      <c r="G18" s="42" t="s">
        <v>4525</v>
      </c>
      <c r="H18" s="42" t="s">
        <v>397</v>
      </c>
      <c r="I18" s="43" t="s">
        <v>1506</v>
      </c>
      <c r="J18" s="43" t="s">
        <v>4473</v>
      </c>
    </row>
    <row r="19" spans="1:10" ht="15" thickBot="1">
      <c r="A19" s="41" t="s">
        <v>557</v>
      </c>
      <c r="B19" s="42">
        <v>19142747520</v>
      </c>
      <c r="C19" s="42" t="s">
        <v>559</v>
      </c>
      <c r="D19" s="42" t="s">
        <v>4470</v>
      </c>
      <c r="E19" s="42" t="s">
        <v>4471</v>
      </c>
      <c r="F19" s="43"/>
      <c r="G19" s="42" t="s">
        <v>4525</v>
      </c>
      <c r="H19" s="42" t="s">
        <v>4472</v>
      </c>
      <c r="I19" s="43" t="s">
        <v>1506</v>
      </c>
      <c r="J19" s="43" t="s">
        <v>4473</v>
      </c>
    </row>
    <row r="20" spans="1:10" ht="15" thickBot="1">
      <c r="A20" s="41" t="s">
        <v>264</v>
      </c>
      <c r="B20" s="42">
        <v>7194804434</v>
      </c>
      <c r="C20" s="42" t="s">
        <v>267</v>
      </c>
      <c r="D20" s="42" t="s">
        <v>4470</v>
      </c>
      <c r="E20" s="42" t="s">
        <v>4471</v>
      </c>
      <c r="F20" s="43"/>
      <c r="G20" s="42" t="s">
        <v>4506</v>
      </c>
      <c r="H20" s="42" t="s">
        <v>4472</v>
      </c>
      <c r="I20" s="43" t="s">
        <v>1506</v>
      </c>
      <c r="J20" s="43" t="s">
        <v>4473</v>
      </c>
    </row>
    <row r="21" spans="1:10" ht="15" thickBot="1">
      <c r="A21" s="41" t="s">
        <v>4526</v>
      </c>
      <c r="B21" s="42">
        <v>573106733205</v>
      </c>
      <c r="C21" s="42" t="s">
        <v>4527</v>
      </c>
      <c r="D21" s="42" t="s">
        <v>4470</v>
      </c>
      <c r="E21" s="42" t="s">
        <v>4471</v>
      </c>
      <c r="F21" s="43"/>
      <c r="G21" s="42" t="s">
        <v>4528</v>
      </c>
      <c r="H21" s="42" t="s">
        <v>364</v>
      </c>
      <c r="I21" s="43" t="s">
        <v>1508</v>
      </c>
      <c r="J21" s="43" t="s">
        <v>4473</v>
      </c>
    </row>
    <row r="22" spans="1:10" ht="15" thickBot="1">
      <c r="A22" s="41" t="s">
        <v>4529</v>
      </c>
      <c r="B22" s="42">
        <v>13105600890</v>
      </c>
      <c r="C22" s="42" t="s">
        <v>4530</v>
      </c>
      <c r="D22" s="42" t="s">
        <v>4470</v>
      </c>
      <c r="E22" s="42" t="s">
        <v>4471</v>
      </c>
      <c r="F22" s="43"/>
      <c r="G22" s="42" t="s">
        <v>4514</v>
      </c>
      <c r="H22" s="42" t="s">
        <v>4531</v>
      </c>
      <c r="I22" s="43" t="s">
        <v>1508</v>
      </c>
      <c r="J22" s="43" t="s">
        <v>4473</v>
      </c>
    </row>
    <row r="23" spans="1:10" ht="15" thickBot="1">
      <c r="A23" s="41" t="s">
        <v>4532</v>
      </c>
      <c r="B23" s="42">
        <v>17703011854</v>
      </c>
      <c r="C23" s="42" t="s">
        <v>4533</v>
      </c>
      <c r="D23" s="42" t="s">
        <v>4470</v>
      </c>
      <c r="E23" s="42" t="s">
        <v>4534</v>
      </c>
      <c r="F23" s="43"/>
      <c r="G23" s="42" t="s">
        <v>4528</v>
      </c>
      <c r="H23" s="42" t="s">
        <v>4472</v>
      </c>
      <c r="I23" s="43" t="s">
        <v>1508</v>
      </c>
      <c r="J23" s="43" t="s">
        <v>4473</v>
      </c>
    </row>
    <row r="24" spans="1:10" ht="15" thickBot="1">
      <c r="A24" s="45" t="s">
        <v>4535</v>
      </c>
      <c r="B24" s="43" t="s">
        <v>4536</v>
      </c>
      <c r="C24" s="43" t="s">
        <v>4537</v>
      </c>
      <c r="D24" s="43" t="s">
        <v>1556</v>
      </c>
      <c r="E24" s="43" t="s">
        <v>4478</v>
      </c>
      <c r="F24" s="43"/>
      <c r="G24" s="52" t="s">
        <v>4538</v>
      </c>
      <c r="H24" s="43" t="s">
        <v>28</v>
      </c>
      <c r="I24" s="43" t="s">
        <v>1506</v>
      </c>
      <c r="J24" s="43" t="s">
        <v>4480</v>
      </c>
    </row>
  </sheetData>
  <autoFilter ref="A1:J24" xr:uid="{DFD43F87-DD94-4158-81A0-A4FA8908462B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A314-0B77-40C3-9B90-59248451D0D6}">
  <dimension ref="A1:O465"/>
  <sheetViews>
    <sheetView topLeftCell="A237" workbookViewId="0">
      <selection activeCell="K6" sqref="K6:K240"/>
    </sheetView>
  </sheetViews>
  <sheetFormatPr defaultRowHeight="14.4"/>
  <cols>
    <col min="1" max="1" width="30.77734375" style="2" customWidth="1"/>
    <col min="2" max="9" width="10.77734375" style="2" bestFit="1" customWidth="1"/>
    <col min="10" max="15" width="11.77734375" style="2" bestFit="1" customWidth="1"/>
    <col min="16" max="16384" width="8.88671875" style="2"/>
  </cols>
  <sheetData>
    <row r="1" spans="1:15">
      <c r="A1" s="2" t="s">
        <v>1592</v>
      </c>
      <c r="B1" s="2" t="s">
        <v>41</v>
      </c>
      <c r="C1" s="2" t="s">
        <v>41</v>
      </c>
      <c r="D1" s="2" t="s">
        <v>41</v>
      </c>
      <c r="E1" s="2" t="s">
        <v>41</v>
      </c>
      <c r="F1" s="2" t="s">
        <v>41</v>
      </c>
      <c r="G1" s="2" t="s">
        <v>41</v>
      </c>
      <c r="H1" s="2" t="s">
        <v>41</v>
      </c>
      <c r="I1" s="2" t="s">
        <v>41</v>
      </c>
      <c r="J1" s="2" t="s">
        <v>41</v>
      </c>
      <c r="K1" s="2" t="s">
        <v>41</v>
      </c>
      <c r="L1" s="2" t="s">
        <v>41</v>
      </c>
      <c r="M1" s="2" t="s">
        <v>41</v>
      </c>
      <c r="N1" s="2" t="s">
        <v>41</v>
      </c>
      <c r="O1" s="2" t="s">
        <v>41</v>
      </c>
    </row>
    <row r="2" spans="1:15">
      <c r="A2" s="2" t="s">
        <v>1593</v>
      </c>
      <c r="B2" s="2" t="s">
        <v>1594</v>
      </c>
      <c r="C2" s="2" t="s">
        <v>1595</v>
      </c>
      <c r="D2" s="2" t="s">
        <v>1596</v>
      </c>
      <c r="E2" s="2" t="s">
        <v>1597</v>
      </c>
      <c r="F2" s="2" t="s">
        <v>1598</v>
      </c>
      <c r="G2" s="2" t="s">
        <v>1599</v>
      </c>
      <c r="H2" s="2" t="s">
        <v>1600</v>
      </c>
      <c r="I2" s="2" t="s">
        <v>1601</v>
      </c>
      <c r="J2" s="2" t="s">
        <v>1602</v>
      </c>
      <c r="K2" s="2" t="s">
        <v>1603</v>
      </c>
      <c r="L2" s="2" t="s">
        <v>1604</v>
      </c>
      <c r="M2" s="2" t="s">
        <v>1605</v>
      </c>
      <c r="N2" s="2" t="s">
        <v>1606</v>
      </c>
      <c r="O2" s="2" t="s">
        <v>1607</v>
      </c>
    </row>
    <row r="3" spans="1:15" hidden="1">
      <c r="A3" s="2" t="s">
        <v>1608</v>
      </c>
      <c r="B3" s="2" t="s">
        <v>1609</v>
      </c>
      <c r="C3" s="2" t="s">
        <v>1610</v>
      </c>
      <c r="D3" s="2" t="s">
        <v>1611</v>
      </c>
      <c r="E3" s="2" t="s">
        <v>1612</v>
      </c>
      <c r="F3" s="2" t="s">
        <v>1613</v>
      </c>
      <c r="G3" s="2" t="s">
        <v>1614</v>
      </c>
      <c r="H3" s="2" t="s">
        <v>1615</v>
      </c>
      <c r="I3" s="2" t="s">
        <v>1616</v>
      </c>
      <c r="J3" s="2" t="s">
        <v>1617</v>
      </c>
      <c r="K3" s="36" t="s">
        <v>1618</v>
      </c>
      <c r="L3" s="2" t="s">
        <v>1619</v>
      </c>
      <c r="M3" s="2" t="s">
        <v>1620</v>
      </c>
      <c r="N3" s="2" t="s">
        <v>1621</v>
      </c>
      <c r="O3" s="2" t="s">
        <v>1622</v>
      </c>
    </row>
    <row r="4" spans="1:15" hidden="1">
      <c r="A4" s="2" t="s">
        <v>1623</v>
      </c>
      <c r="B4" s="2" t="s">
        <v>1609</v>
      </c>
      <c r="C4" s="2" t="s">
        <v>1610</v>
      </c>
      <c r="D4" s="2" t="s">
        <v>1624</v>
      </c>
      <c r="E4" s="2" t="s">
        <v>1612</v>
      </c>
      <c r="F4" s="2" t="s">
        <v>1625</v>
      </c>
      <c r="G4" s="2" t="s">
        <v>1626</v>
      </c>
      <c r="H4" s="2" t="s">
        <v>1627</v>
      </c>
      <c r="I4" s="2" t="s">
        <v>1616</v>
      </c>
      <c r="J4" s="2" t="s">
        <v>1628</v>
      </c>
      <c r="K4" s="36" t="s">
        <v>1629</v>
      </c>
      <c r="L4" s="2" t="s">
        <v>1630</v>
      </c>
      <c r="M4" s="2" t="s">
        <v>1620</v>
      </c>
      <c r="N4" s="2" t="s">
        <v>1631</v>
      </c>
      <c r="O4" s="2" t="s">
        <v>1632</v>
      </c>
    </row>
    <row r="5" spans="1:15" hidden="1">
      <c r="A5" s="2" t="s">
        <v>1633</v>
      </c>
      <c r="B5" s="2" t="s">
        <v>1609</v>
      </c>
      <c r="C5" s="2" t="s">
        <v>1634</v>
      </c>
      <c r="D5" s="2" t="s">
        <v>1611</v>
      </c>
      <c r="E5" s="2" t="s">
        <v>1635</v>
      </c>
      <c r="F5" s="2" t="s">
        <v>1636</v>
      </c>
      <c r="G5" s="2" t="s">
        <v>1637</v>
      </c>
      <c r="H5" s="2" t="s">
        <v>1638</v>
      </c>
      <c r="I5" s="2" t="s">
        <v>1616</v>
      </c>
      <c r="J5" s="2" t="s">
        <v>1639</v>
      </c>
      <c r="K5" s="36" t="s">
        <v>1640</v>
      </c>
      <c r="L5" s="2" t="s">
        <v>1641</v>
      </c>
      <c r="M5" s="2" t="s">
        <v>1620</v>
      </c>
      <c r="N5" s="2" t="s">
        <v>1642</v>
      </c>
      <c r="O5" s="2" t="s">
        <v>1643</v>
      </c>
    </row>
    <row r="6" spans="1:15">
      <c r="A6" s="2" t="s">
        <v>1644</v>
      </c>
      <c r="B6" s="2" t="s">
        <v>1609</v>
      </c>
      <c r="C6" s="2" t="s">
        <v>1634</v>
      </c>
      <c r="D6" s="2" t="s">
        <v>1645</v>
      </c>
      <c r="E6" s="2" t="s">
        <v>1646</v>
      </c>
      <c r="F6" s="2" t="s">
        <v>1647</v>
      </c>
      <c r="G6" s="2" t="s">
        <v>1648</v>
      </c>
      <c r="H6" s="2" t="s">
        <v>1649</v>
      </c>
      <c r="I6" s="2" t="s">
        <v>1616</v>
      </c>
      <c r="J6" s="2" t="s">
        <v>1650</v>
      </c>
      <c r="K6" s="2" t="s">
        <v>1651</v>
      </c>
      <c r="L6" s="2" t="s">
        <v>1652</v>
      </c>
      <c r="M6" s="2" t="s">
        <v>1620</v>
      </c>
      <c r="N6" s="2" t="s">
        <v>1653</v>
      </c>
      <c r="O6" s="2" t="s">
        <v>1654</v>
      </c>
    </row>
    <row r="7" spans="1:15" hidden="1">
      <c r="A7" s="2" t="s">
        <v>1655</v>
      </c>
      <c r="B7" s="2" t="s">
        <v>1609</v>
      </c>
      <c r="C7" s="2" t="s">
        <v>1610</v>
      </c>
      <c r="D7" s="2" t="s">
        <v>1656</v>
      </c>
      <c r="E7" s="2" t="s">
        <v>1612</v>
      </c>
      <c r="F7" s="2" t="s">
        <v>1657</v>
      </c>
      <c r="G7" s="2" t="s">
        <v>1658</v>
      </c>
      <c r="H7" s="2" t="s">
        <v>1659</v>
      </c>
      <c r="I7" s="2" t="s">
        <v>1616</v>
      </c>
      <c r="J7" s="2" t="s">
        <v>1660</v>
      </c>
      <c r="K7" s="36" t="s">
        <v>1661</v>
      </c>
      <c r="L7" s="2" t="s">
        <v>1662</v>
      </c>
      <c r="M7" s="2" t="s">
        <v>1620</v>
      </c>
      <c r="N7" s="2" t="s">
        <v>1663</v>
      </c>
      <c r="O7" s="2" t="s">
        <v>1664</v>
      </c>
    </row>
    <row r="8" spans="1:15" hidden="1">
      <c r="A8" s="2" t="s">
        <v>1665</v>
      </c>
      <c r="B8" s="2" t="s">
        <v>1609</v>
      </c>
      <c r="C8" s="2" t="s">
        <v>1634</v>
      </c>
      <c r="D8" s="2" t="s">
        <v>1666</v>
      </c>
      <c r="E8" s="2" t="s">
        <v>1667</v>
      </c>
      <c r="F8" s="2" t="s">
        <v>1668</v>
      </c>
      <c r="G8" s="2" t="s">
        <v>1669</v>
      </c>
      <c r="H8" s="2" t="s">
        <v>1670</v>
      </c>
      <c r="I8" s="2" t="s">
        <v>1616</v>
      </c>
      <c r="J8" s="2" t="s">
        <v>1671</v>
      </c>
      <c r="K8" s="36" t="s">
        <v>1672</v>
      </c>
      <c r="L8" s="2" t="s">
        <v>1673</v>
      </c>
      <c r="M8" s="2" t="s">
        <v>1620</v>
      </c>
      <c r="N8" s="2" t="s">
        <v>1674</v>
      </c>
      <c r="O8" s="2" t="s">
        <v>1675</v>
      </c>
    </row>
    <row r="9" spans="1:15" hidden="1">
      <c r="A9" s="2" t="s">
        <v>1633</v>
      </c>
      <c r="B9" s="2" t="s">
        <v>1609</v>
      </c>
      <c r="C9" s="2" t="s">
        <v>1634</v>
      </c>
      <c r="D9" s="2" t="s">
        <v>1611</v>
      </c>
      <c r="E9" s="2" t="s">
        <v>1676</v>
      </c>
      <c r="F9" s="2" t="s">
        <v>1677</v>
      </c>
      <c r="G9" s="2" t="s">
        <v>1678</v>
      </c>
      <c r="H9" s="2" t="s">
        <v>1679</v>
      </c>
      <c r="I9" s="2" t="s">
        <v>1616</v>
      </c>
      <c r="J9" s="2" t="s">
        <v>1680</v>
      </c>
      <c r="K9" s="36" t="s">
        <v>1681</v>
      </c>
      <c r="L9" s="2" t="s">
        <v>1682</v>
      </c>
      <c r="M9" s="2" t="s">
        <v>1620</v>
      </c>
      <c r="N9" s="2" t="s">
        <v>1683</v>
      </c>
      <c r="O9" s="2" t="s">
        <v>1684</v>
      </c>
    </row>
    <row r="10" spans="1:15">
      <c r="A10" s="2" t="s">
        <v>1644</v>
      </c>
      <c r="B10" s="2" t="s">
        <v>1609</v>
      </c>
      <c r="C10" s="2" t="s">
        <v>1634</v>
      </c>
      <c r="D10" s="2" t="s">
        <v>1685</v>
      </c>
      <c r="E10" s="2" t="s">
        <v>1646</v>
      </c>
      <c r="F10" s="2" t="s">
        <v>1686</v>
      </c>
      <c r="G10" s="2" t="s">
        <v>1687</v>
      </c>
      <c r="H10" s="2" t="s">
        <v>1688</v>
      </c>
      <c r="I10" s="2" t="s">
        <v>1616</v>
      </c>
      <c r="J10" s="2" t="s">
        <v>1689</v>
      </c>
      <c r="K10" s="2" t="s">
        <v>1690</v>
      </c>
      <c r="L10" s="2" t="s">
        <v>1691</v>
      </c>
      <c r="M10" s="2" t="s">
        <v>1620</v>
      </c>
      <c r="N10" s="2" t="s">
        <v>1692</v>
      </c>
      <c r="O10" s="2" t="s">
        <v>1693</v>
      </c>
    </row>
    <row r="11" spans="1:15" hidden="1">
      <c r="A11" s="2" t="s">
        <v>1694</v>
      </c>
      <c r="B11" s="2" t="s">
        <v>1609</v>
      </c>
      <c r="C11" s="2" t="s">
        <v>1634</v>
      </c>
      <c r="D11" s="2" t="s">
        <v>1695</v>
      </c>
      <c r="E11" s="2" t="s">
        <v>1696</v>
      </c>
      <c r="F11" s="36" t="s">
        <v>1697</v>
      </c>
      <c r="G11" s="2" t="s">
        <v>1698</v>
      </c>
      <c r="H11" s="2" t="s">
        <v>1699</v>
      </c>
      <c r="I11" s="2" t="s">
        <v>1616</v>
      </c>
      <c r="J11" s="2" t="s">
        <v>1700</v>
      </c>
      <c r="K11" s="36" t="s">
        <v>1701</v>
      </c>
      <c r="L11" s="2" t="s">
        <v>1702</v>
      </c>
      <c r="M11" s="2" t="s">
        <v>1620</v>
      </c>
      <c r="N11" s="2" t="s">
        <v>1703</v>
      </c>
      <c r="O11" s="2" t="s">
        <v>1704</v>
      </c>
    </row>
    <row r="12" spans="1:15" hidden="1">
      <c r="A12" s="2" t="s">
        <v>1633</v>
      </c>
      <c r="B12" s="2" t="s">
        <v>1609</v>
      </c>
      <c r="C12" s="2" t="s">
        <v>1634</v>
      </c>
      <c r="D12" s="2" t="s">
        <v>1611</v>
      </c>
      <c r="E12" s="2" t="s">
        <v>1705</v>
      </c>
      <c r="F12" s="2" t="s">
        <v>1706</v>
      </c>
      <c r="G12" s="2" t="s">
        <v>1707</v>
      </c>
      <c r="H12" s="2" t="s">
        <v>1708</v>
      </c>
      <c r="I12" s="2" t="s">
        <v>1616</v>
      </c>
      <c r="J12" s="2" t="s">
        <v>1709</v>
      </c>
      <c r="K12" s="36" t="s">
        <v>1710</v>
      </c>
      <c r="L12" s="2" t="s">
        <v>1711</v>
      </c>
      <c r="M12" s="2" t="s">
        <v>1620</v>
      </c>
      <c r="N12" s="2" t="s">
        <v>1712</v>
      </c>
      <c r="O12" s="2" t="s">
        <v>1713</v>
      </c>
    </row>
    <row r="13" spans="1:15" hidden="1">
      <c r="A13" s="2" t="s">
        <v>1633</v>
      </c>
      <c r="B13" s="2" t="s">
        <v>1609</v>
      </c>
      <c r="C13" s="2" t="s">
        <v>1634</v>
      </c>
      <c r="D13" s="2" t="s">
        <v>1611</v>
      </c>
      <c r="E13" s="2" t="s">
        <v>1714</v>
      </c>
      <c r="F13" s="2" t="s">
        <v>1715</v>
      </c>
      <c r="G13" s="2" t="s">
        <v>1716</v>
      </c>
      <c r="H13" s="2" t="s">
        <v>1717</v>
      </c>
      <c r="I13" s="2" t="s">
        <v>1616</v>
      </c>
      <c r="J13" s="2" t="s">
        <v>1718</v>
      </c>
      <c r="K13" s="36" t="s">
        <v>1719</v>
      </c>
      <c r="L13" s="2" t="s">
        <v>1720</v>
      </c>
      <c r="M13" s="2" t="s">
        <v>1620</v>
      </c>
      <c r="N13" s="2" t="s">
        <v>1721</v>
      </c>
      <c r="O13" s="2" t="s">
        <v>1722</v>
      </c>
    </row>
    <row r="14" spans="1:15" hidden="1">
      <c r="A14" s="2" t="s">
        <v>1633</v>
      </c>
      <c r="B14" s="2" t="s">
        <v>1609</v>
      </c>
      <c r="C14" s="2" t="s">
        <v>1634</v>
      </c>
      <c r="D14" s="2" t="s">
        <v>1611</v>
      </c>
      <c r="E14" s="2" t="s">
        <v>1723</v>
      </c>
      <c r="F14" s="2" t="s">
        <v>1724</v>
      </c>
      <c r="G14" s="2" t="s">
        <v>1725</v>
      </c>
      <c r="H14" s="2" t="s">
        <v>1726</v>
      </c>
      <c r="I14" s="2" t="s">
        <v>1616</v>
      </c>
      <c r="J14" s="2" t="s">
        <v>1727</v>
      </c>
      <c r="K14" s="36" t="s">
        <v>1728</v>
      </c>
      <c r="L14" s="2" t="s">
        <v>1729</v>
      </c>
      <c r="M14" s="2" t="s">
        <v>1620</v>
      </c>
      <c r="N14" s="2" t="s">
        <v>1730</v>
      </c>
      <c r="O14" s="2" t="s">
        <v>1731</v>
      </c>
    </row>
    <row r="15" spans="1:15" hidden="1">
      <c r="A15" s="2" t="s">
        <v>1732</v>
      </c>
      <c r="B15" s="2" t="s">
        <v>1609</v>
      </c>
      <c r="C15" s="2" t="s">
        <v>1634</v>
      </c>
      <c r="D15" s="2" t="s">
        <v>1656</v>
      </c>
      <c r="E15" s="2" t="s">
        <v>1705</v>
      </c>
      <c r="F15" s="2" t="s">
        <v>1733</v>
      </c>
      <c r="G15" s="2" t="s">
        <v>1734</v>
      </c>
      <c r="H15" s="2" t="s">
        <v>1735</v>
      </c>
      <c r="I15" s="2" t="s">
        <v>1616</v>
      </c>
      <c r="J15" s="2" t="s">
        <v>1736</v>
      </c>
      <c r="K15" s="36" t="s">
        <v>1737</v>
      </c>
      <c r="L15" s="2" t="s">
        <v>1738</v>
      </c>
      <c r="M15" s="2" t="s">
        <v>1620</v>
      </c>
      <c r="N15" s="2" t="s">
        <v>1739</v>
      </c>
      <c r="O15" s="2" t="s">
        <v>1740</v>
      </c>
    </row>
    <row r="16" spans="1:15" hidden="1">
      <c r="A16" s="2" t="s">
        <v>1623</v>
      </c>
      <c r="B16" s="2" t="s">
        <v>1609</v>
      </c>
      <c r="C16" s="2" t="s">
        <v>1610</v>
      </c>
      <c r="D16" s="2" t="s">
        <v>1741</v>
      </c>
      <c r="E16" s="2" t="s">
        <v>1612</v>
      </c>
      <c r="F16" s="2" t="s">
        <v>1742</v>
      </c>
      <c r="G16" s="2" t="s">
        <v>1743</v>
      </c>
      <c r="H16" s="2" t="s">
        <v>1744</v>
      </c>
      <c r="I16" s="2" t="s">
        <v>1616</v>
      </c>
      <c r="J16" s="2" t="s">
        <v>1700</v>
      </c>
      <c r="K16" s="36" t="s">
        <v>1745</v>
      </c>
      <c r="L16" s="2" t="s">
        <v>1746</v>
      </c>
      <c r="M16" s="2" t="s">
        <v>1620</v>
      </c>
      <c r="N16" s="2" t="s">
        <v>1620</v>
      </c>
      <c r="O16" s="2" t="s">
        <v>1747</v>
      </c>
    </row>
    <row r="17" spans="1:15">
      <c r="A17" s="2" t="s">
        <v>1748</v>
      </c>
      <c r="B17" s="2" t="s">
        <v>1609</v>
      </c>
      <c r="C17" s="2" t="s">
        <v>1634</v>
      </c>
      <c r="D17" s="2" t="s">
        <v>1645</v>
      </c>
      <c r="E17" s="2" t="s">
        <v>1646</v>
      </c>
      <c r="F17" s="2" t="s">
        <v>1749</v>
      </c>
      <c r="G17" s="2" t="s">
        <v>1750</v>
      </c>
      <c r="H17" s="2" t="s">
        <v>1751</v>
      </c>
      <c r="I17" s="2" t="s">
        <v>1616</v>
      </c>
      <c r="J17" s="2" t="s">
        <v>1752</v>
      </c>
      <c r="K17" s="2" t="s">
        <v>1753</v>
      </c>
      <c r="L17" s="2" t="s">
        <v>1754</v>
      </c>
      <c r="M17" s="2" t="s">
        <v>1620</v>
      </c>
      <c r="N17" s="2" t="s">
        <v>1755</v>
      </c>
      <c r="O17" s="2" t="s">
        <v>1756</v>
      </c>
    </row>
    <row r="18" spans="1:15">
      <c r="A18" s="2" t="s">
        <v>1644</v>
      </c>
      <c r="B18" s="2" t="s">
        <v>1609</v>
      </c>
      <c r="C18" s="2" t="s">
        <v>1634</v>
      </c>
      <c r="D18" s="2" t="s">
        <v>1611</v>
      </c>
      <c r="E18" s="2" t="s">
        <v>1646</v>
      </c>
      <c r="F18" s="2" t="s">
        <v>1757</v>
      </c>
      <c r="G18" s="2" t="s">
        <v>1758</v>
      </c>
      <c r="H18" s="2" t="s">
        <v>1759</v>
      </c>
      <c r="I18" s="2" t="s">
        <v>1616</v>
      </c>
      <c r="J18" s="2" t="s">
        <v>1760</v>
      </c>
      <c r="K18" s="2" t="s">
        <v>1761</v>
      </c>
      <c r="L18" s="2" t="s">
        <v>1762</v>
      </c>
      <c r="M18" s="2" t="s">
        <v>1620</v>
      </c>
      <c r="N18" s="2" t="s">
        <v>1761</v>
      </c>
      <c r="O18" s="2" t="s">
        <v>1763</v>
      </c>
    </row>
    <row r="19" spans="1:15">
      <c r="A19" s="2" t="s">
        <v>1748</v>
      </c>
      <c r="B19" s="2" t="s">
        <v>1609</v>
      </c>
      <c r="C19" s="2" t="s">
        <v>1634</v>
      </c>
      <c r="D19" s="2" t="s">
        <v>1611</v>
      </c>
      <c r="E19" s="2" t="s">
        <v>1646</v>
      </c>
      <c r="F19" s="2" t="s">
        <v>1764</v>
      </c>
      <c r="G19" s="2" t="s">
        <v>1765</v>
      </c>
      <c r="H19" s="2" t="s">
        <v>1766</v>
      </c>
      <c r="I19" s="2" t="s">
        <v>1616</v>
      </c>
      <c r="J19" s="2" t="s">
        <v>1767</v>
      </c>
      <c r="K19" s="2" t="s">
        <v>1768</v>
      </c>
      <c r="L19" s="2" t="s">
        <v>1738</v>
      </c>
      <c r="M19" s="2" t="s">
        <v>1620</v>
      </c>
      <c r="N19" s="2" t="s">
        <v>1769</v>
      </c>
      <c r="O19" s="2" t="s">
        <v>1770</v>
      </c>
    </row>
    <row r="20" spans="1:15" hidden="1">
      <c r="A20" s="2" t="s">
        <v>1623</v>
      </c>
      <c r="B20" s="2" t="s">
        <v>1609</v>
      </c>
      <c r="C20" s="2" t="s">
        <v>1610</v>
      </c>
      <c r="D20" s="2" t="s">
        <v>1771</v>
      </c>
      <c r="E20" s="2" t="s">
        <v>1612</v>
      </c>
      <c r="F20" s="2" t="s">
        <v>1772</v>
      </c>
      <c r="G20" s="2" t="s">
        <v>1773</v>
      </c>
      <c r="H20" s="2" t="s">
        <v>1774</v>
      </c>
      <c r="I20" s="2" t="s">
        <v>1616</v>
      </c>
      <c r="J20" s="2" t="s">
        <v>1775</v>
      </c>
      <c r="K20" s="36" t="s">
        <v>1776</v>
      </c>
      <c r="L20" s="2" t="s">
        <v>1746</v>
      </c>
      <c r="M20" s="2" t="s">
        <v>1620</v>
      </c>
      <c r="N20" s="2" t="s">
        <v>1620</v>
      </c>
      <c r="O20" s="2" t="s">
        <v>1747</v>
      </c>
    </row>
    <row r="21" spans="1:15">
      <c r="A21" s="2" t="s">
        <v>1644</v>
      </c>
      <c r="B21" s="2" t="s">
        <v>1609</v>
      </c>
      <c r="C21" s="2" t="s">
        <v>1634</v>
      </c>
      <c r="D21" s="2" t="s">
        <v>1741</v>
      </c>
      <c r="E21" s="2" t="s">
        <v>1646</v>
      </c>
      <c r="F21" s="2" t="s">
        <v>1777</v>
      </c>
      <c r="G21" s="2" t="s">
        <v>1778</v>
      </c>
      <c r="H21" s="2" t="s">
        <v>1779</v>
      </c>
      <c r="I21" s="2" t="s">
        <v>1616</v>
      </c>
      <c r="J21" s="2" t="s">
        <v>1780</v>
      </c>
      <c r="K21" s="2" t="s">
        <v>1781</v>
      </c>
      <c r="L21" s="2" t="s">
        <v>1746</v>
      </c>
      <c r="M21" s="2" t="s">
        <v>1620</v>
      </c>
      <c r="N21" s="2" t="s">
        <v>1620</v>
      </c>
      <c r="O21" s="2" t="s">
        <v>1747</v>
      </c>
    </row>
    <row r="22" spans="1:15" hidden="1">
      <c r="A22" s="2" t="s">
        <v>1782</v>
      </c>
      <c r="B22" s="2" t="s">
        <v>1609</v>
      </c>
      <c r="C22" s="2" t="s">
        <v>1634</v>
      </c>
      <c r="D22" s="2" t="s">
        <v>1741</v>
      </c>
      <c r="E22" s="2" t="s">
        <v>1783</v>
      </c>
      <c r="F22" s="2" t="s">
        <v>1784</v>
      </c>
      <c r="G22" s="2" t="s">
        <v>1785</v>
      </c>
      <c r="H22" s="2" t="s">
        <v>1786</v>
      </c>
      <c r="I22" s="2" t="s">
        <v>1616</v>
      </c>
      <c r="J22" s="2" t="s">
        <v>1689</v>
      </c>
      <c r="K22" s="2" t="s">
        <v>1787</v>
      </c>
      <c r="L22" s="2" t="s">
        <v>1746</v>
      </c>
      <c r="M22" s="2" t="s">
        <v>1620</v>
      </c>
      <c r="N22" s="2" t="s">
        <v>1620</v>
      </c>
      <c r="O22" s="2" t="s">
        <v>1747</v>
      </c>
    </row>
    <row r="23" spans="1:15" hidden="1">
      <c r="A23" s="2" t="s">
        <v>1788</v>
      </c>
      <c r="B23" s="2" t="s">
        <v>1609</v>
      </c>
      <c r="C23" s="2" t="s">
        <v>1634</v>
      </c>
      <c r="D23" s="2" t="s">
        <v>1771</v>
      </c>
      <c r="E23" s="2" t="s">
        <v>1705</v>
      </c>
      <c r="F23" s="2" t="s">
        <v>1789</v>
      </c>
      <c r="G23" s="2" t="s">
        <v>1790</v>
      </c>
      <c r="H23" s="2" t="s">
        <v>1791</v>
      </c>
      <c r="I23" s="2" t="s">
        <v>1616</v>
      </c>
      <c r="J23" s="2" t="s">
        <v>1792</v>
      </c>
      <c r="K23" s="2" t="s">
        <v>1793</v>
      </c>
      <c r="L23" s="2" t="s">
        <v>1746</v>
      </c>
      <c r="M23" s="2" t="s">
        <v>1620</v>
      </c>
      <c r="N23" s="2" t="s">
        <v>1620</v>
      </c>
      <c r="O23" s="2" t="s">
        <v>1747</v>
      </c>
    </row>
    <row r="24" spans="1:15" hidden="1">
      <c r="A24" s="2" t="s">
        <v>1794</v>
      </c>
      <c r="B24" s="2" t="s">
        <v>1609</v>
      </c>
      <c r="C24" s="2" t="s">
        <v>1634</v>
      </c>
      <c r="D24" s="2" t="s">
        <v>1645</v>
      </c>
      <c r="E24" s="2" t="s">
        <v>1795</v>
      </c>
      <c r="F24" s="2" t="s">
        <v>1789</v>
      </c>
      <c r="G24" s="2" t="s">
        <v>1796</v>
      </c>
      <c r="H24" s="2" t="s">
        <v>1797</v>
      </c>
      <c r="I24" s="2" t="s">
        <v>1616</v>
      </c>
      <c r="J24" s="2" t="s">
        <v>1798</v>
      </c>
      <c r="K24" s="2" t="s">
        <v>1799</v>
      </c>
      <c r="L24" s="2" t="s">
        <v>1762</v>
      </c>
      <c r="M24" s="2" t="s">
        <v>1620</v>
      </c>
      <c r="N24" s="2" t="s">
        <v>1799</v>
      </c>
      <c r="O24" s="2" t="s">
        <v>1800</v>
      </c>
    </row>
    <row r="25" spans="1:15" hidden="1">
      <c r="A25" s="2" t="s">
        <v>1732</v>
      </c>
      <c r="B25" s="2" t="s">
        <v>1609</v>
      </c>
      <c r="C25" s="2" t="s">
        <v>1634</v>
      </c>
      <c r="D25" s="2" t="s">
        <v>1656</v>
      </c>
      <c r="E25" s="2" t="s">
        <v>1635</v>
      </c>
      <c r="F25" s="2" t="s">
        <v>1801</v>
      </c>
      <c r="G25" s="2" t="s">
        <v>1802</v>
      </c>
      <c r="H25" s="2" t="s">
        <v>1803</v>
      </c>
      <c r="I25" s="2" t="s">
        <v>1616</v>
      </c>
      <c r="J25" s="2" t="s">
        <v>1718</v>
      </c>
      <c r="K25" s="36" t="s">
        <v>1804</v>
      </c>
      <c r="L25" s="2" t="s">
        <v>1762</v>
      </c>
      <c r="M25" s="2" t="s">
        <v>1620</v>
      </c>
      <c r="N25" s="2" t="s">
        <v>1804</v>
      </c>
      <c r="O25" s="2" t="s">
        <v>1805</v>
      </c>
    </row>
    <row r="26" spans="1:15" hidden="1">
      <c r="A26" s="2" t="s">
        <v>1694</v>
      </c>
      <c r="B26" s="2" t="s">
        <v>1609</v>
      </c>
      <c r="C26" s="2" t="s">
        <v>1634</v>
      </c>
      <c r="D26" s="2" t="s">
        <v>1806</v>
      </c>
      <c r="E26" s="2" t="s">
        <v>1696</v>
      </c>
      <c r="F26" s="2" t="s">
        <v>1801</v>
      </c>
      <c r="G26" s="2" t="s">
        <v>1807</v>
      </c>
      <c r="H26" s="2" t="s">
        <v>1808</v>
      </c>
      <c r="I26" s="2" t="s">
        <v>1616</v>
      </c>
      <c r="J26" s="2" t="s">
        <v>1809</v>
      </c>
      <c r="K26" s="36" t="s">
        <v>1810</v>
      </c>
      <c r="L26" s="2" t="s">
        <v>1754</v>
      </c>
      <c r="M26" s="2" t="s">
        <v>1620</v>
      </c>
      <c r="N26" s="2" t="s">
        <v>1811</v>
      </c>
      <c r="O26" s="2" t="s">
        <v>1812</v>
      </c>
    </row>
    <row r="27" spans="1:15" hidden="1">
      <c r="A27" s="2" t="s">
        <v>1782</v>
      </c>
      <c r="B27" s="2" t="s">
        <v>1609</v>
      </c>
      <c r="C27" s="2" t="s">
        <v>1634</v>
      </c>
      <c r="D27" s="2" t="s">
        <v>1741</v>
      </c>
      <c r="E27" s="2" t="s">
        <v>1705</v>
      </c>
      <c r="F27" s="2" t="s">
        <v>1801</v>
      </c>
      <c r="G27" s="2" t="s">
        <v>1813</v>
      </c>
      <c r="H27" s="2" t="s">
        <v>1814</v>
      </c>
      <c r="I27" s="2" t="s">
        <v>1616</v>
      </c>
      <c r="J27" s="2" t="s">
        <v>1815</v>
      </c>
      <c r="K27" s="2" t="s">
        <v>1816</v>
      </c>
      <c r="L27" s="2" t="s">
        <v>1817</v>
      </c>
      <c r="M27" s="2" t="s">
        <v>1620</v>
      </c>
      <c r="N27" s="2" t="s">
        <v>1818</v>
      </c>
      <c r="O27" s="2" t="s">
        <v>1819</v>
      </c>
    </row>
    <row r="28" spans="1:15" hidden="1">
      <c r="A28" s="2" t="s">
        <v>1794</v>
      </c>
      <c r="B28" s="2" t="s">
        <v>1609</v>
      </c>
      <c r="C28" s="2" t="s">
        <v>1634</v>
      </c>
      <c r="D28" s="2" t="s">
        <v>1611</v>
      </c>
      <c r="E28" s="2" t="s">
        <v>1795</v>
      </c>
      <c r="F28" s="2" t="s">
        <v>1801</v>
      </c>
      <c r="G28" s="2" t="s">
        <v>1820</v>
      </c>
      <c r="H28" s="2" t="s">
        <v>1821</v>
      </c>
      <c r="I28" s="2" t="s">
        <v>1616</v>
      </c>
      <c r="J28" s="2" t="s">
        <v>1822</v>
      </c>
      <c r="K28" s="2" t="s">
        <v>1823</v>
      </c>
      <c r="L28" s="2" t="s">
        <v>1762</v>
      </c>
      <c r="M28" s="2" t="s">
        <v>1620</v>
      </c>
      <c r="N28" s="2" t="s">
        <v>1823</v>
      </c>
      <c r="O28" s="2" t="s">
        <v>1805</v>
      </c>
    </row>
    <row r="29" spans="1:15">
      <c r="A29" s="2" t="s">
        <v>1644</v>
      </c>
      <c r="B29" s="2" t="s">
        <v>1609</v>
      </c>
      <c r="C29" s="2" t="s">
        <v>1634</v>
      </c>
      <c r="D29" s="2" t="s">
        <v>1656</v>
      </c>
      <c r="E29" s="2" t="s">
        <v>1646</v>
      </c>
      <c r="F29" s="2" t="s">
        <v>1824</v>
      </c>
      <c r="G29" s="2" t="s">
        <v>1825</v>
      </c>
      <c r="H29" s="2" t="s">
        <v>1826</v>
      </c>
      <c r="I29" s="2" t="s">
        <v>1616</v>
      </c>
      <c r="J29" s="2" t="s">
        <v>1827</v>
      </c>
      <c r="K29" s="2" t="s">
        <v>1828</v>
      </c>
      <c r="L29" s="2" t="s">
        <v>1746</v>
      </c>
      <c r="M29" s="2" t="s">
        <v>1620</v>
      </c>
      <c r="N29" s="2" t="s">
        <v>1620</v>
      </c>
      <c r="O29" s="2" t="s">
        <v>1747</v>
      </c>
    </row>
    <row r="30" spans="1:15" hidden="1">
      <c r="A30" s="2" t="s">
        <v>1829</v>
      </c>
      <c r="B30" s="2" t="s">
        <v>1609</v>
      </c>
      <c r="C30" s="2" t="s">
        <v>1634</v>
      </c>
      <c r="D30" s="2" t="s">
        <v>1741</v>
      </c>
      <c r="E30" s="2" t="s">
        <v>1783</v>
      </c>
      <c r="F30" s="2" t="s">
        <v>1830</v>
      </c>
      <c r="G30" s="2" t="s">
        <v>1831</v>
      </c>
      <c r="H30" s="2" t="s">
        <v>1832</v>
      </c>
      <c r="I30" s="2" t="s">
        <v>1616</v>
      </c>
      <c r="J30" s="2" t="s">
        <v>1833</v>
      </c>
      <c r="K30" s="36" t="s">
        <v>1834</v>
      </c>
      <c r="L30" s="2" t="s">
        <v>1817</v>
      </c>
      <c r="M30" s="2" t="s">
        <v>1620</v>
      </c>
      <c r="N30" s="2" t="s">
        <v>1835</v>
      </c>
      <c r="O30" s="2" t="s">
        <v>1836</v>
      </c>
    </row>
    <row r="31" spans="1:15" hidden="1">
      <c r="A31" s="2" t="s">
        <v>1633</v>
      </c>
      <c r="B31" s="2" t="s">
        <v>1609</v>
      </c>
      <c r="C31" s="2" t="s">
        <v>1634</v>
      </c>
      <c r="D31" s="2" t="s">
        <v>1611</v>
      </c>
      <c r="E31" s="2" t="s">
        <v>1837</v>
      </c>
      <c r="F31" s="2" t="s">
        <v>1838</v>
      </c>
      <c r="G31" s="2" t="s">
        <v>1839</v>
      </c>
      <c r="H31" s="2" t="s">
        <v>1840</v>
      </c>
      <c r="I31" s="2" t="s">
        <v>1616</v>
      </c>
      <c r="J31" s="2" t="s">
        <v>1841</v>
      </c>
      <c r="K31" s="36" t="s">
        <v>1842</v>
      </c>
      <c r="L31" s="2" t="s">
        <v>1762</v>
      </c>
      <c r="M31" s="2" t="s">
        <v>1620</v>
      </c>
      <c r="N31" s="2" t="s">
        <v>1842</v>
      </c>
      <c r="O31" s="2" t="s">
        <v>1843</v>
      </c>
    </row>
    <row r="32" spans="1:15">
      <c r="A32" s="2" t="s">
        <v>1748</v>
      </c>
      <c r="B32" s="2" t="s">
        <v>1609</v>
      </c>
      <c r="C32" s="2" t="s">
        <v>1634</v>
      </c>
      <c r="D32" s="2" t="s">
        <v>1741</v>
      </c>
      <c r="E32" s="2" t="s">
        <v>1646</v>
      </c>
      <c r="F32" s="2" t="s">
        <v>1838</v>
      </c>
      <c r="G32" s="2" t="s">
        <v>1844</v>
      </c>
      <c r="H32" s="2" t="s">
        <v>1845</v>
      </c>
      <c r="I32" s="2" t="s">
        <v>1616</v>
      </c>
      <c r="J32" s="2" t="s">
        <v>1846</v>
      </c>
      <c r="K32" s="2" t="s">
        <v>1847</v>
      </c>
      <c r="L32" s="2" t="s">
        <v>1738</v>
      </c>
      <c r="M32" s="2" t="s">
        <v>1620</v>
      </c>
      <c r="N32" s="2" t="s">
        <v>1848</v>
      </c>
      <c r="O32" s="2" t="s">
        <v>1849</v>
      </c>
    </row>
    <row r="33" spans="1:15">
      <c r="A33" s="2" t="s">
        <v>1748</v>
      </c>
      <c r="B33" s="2" t="s">
        <v>1609</v>
      </c>
      <c r="C33" s="2" t="s">
        <v>1634</v>
      </c>
      <c r="D33" s="2" t="s">
        <v>1850</v>
      </c>
      <c r="E33" s="2" t="s">
        <v>1646</v>
      </c>
      <c r="F33" s="2" t="s">
        <v>1838</v>
      </c>
      <c r="G33" s="2" t="s">
        <v>1851</v>
      </c>
      <c r="H33" s="2" t="s">
        <v>1852</v>
      </c>
      <c r="I33" s="2" t="s">
        <v>1616</v>
      </c>
      <c r="J33" s="2" t="s">
        <v>1853</v>
      </c>
      <c r="K33" s="2" t="s">
        <v>1854</v>
      </c>
      <c r="L33" s="2" t="s">
        <v>1754</v>
      </c>
      <c r="M33" s="2" t="s">
        <v>1620</v>
      </c>
      <c r="N33" s="2" t="s">
        <v>1855</v>
      </c>
      <c r="O33" s="2" t="s">
        <v>1856</v>
      </c>
    </row>
    <row r="34" spans="1:15" hidden="1">
      <c r="A34" s="2" t="s">
        <v>1794</v>
      </c>
      <c r="B34" s="2" t="s">
        <v>1609</v>
      </c>
      <c r="C34" s="2" t="s">
        <v>1634</v>
      </c>
      <c r="D34" s="2" t="s">
        <v>1741</v>
      </c>
      <c r="E34" s="2" t="s">
        <v>1795</v>
      </c>
      <c r="F34" s="2" t="s">
        <v>1838</v>
      </c>
      <c r="G34" s="2" t="s">
        <v>1857</v>
      </c>
      <c r="H34" s="2" t="s">
        <v>1858</v>
      </c>
      <c r="I34" s="2" t="s">
        <v>1616</v>
      </c>
      <c r="J34" s="2" t="s">
        <v>1859</v>
      </c>
      <c r="K34" s="2" t="s">
        <v>1860</v>
      </c>
      <c r="L34" s="2" t="s">
        <v>1746</v>
      </c>
      <c r="M34" s="2" t="s">
        <v>1620</v>
      </c>
      <c r="N34" s="2" t="s">
        <v>1620</v>
      </c>
      <c r="O34" s="2" t="s">
        <v>1747</v>
      </c>
    </row>
    <row r="35" spans="1:15" hidden="1">
      <c r="A35" s="2" t="s">
        <v>1861</v>
      </c>
      <c r="B35" s="2" t="s">
        <v>1609</v>
      </c>
      <c r="C35" s="2" t="s">
        <v>1634</v>
      </c>
      <c r="D35" s="2" t="s">
        <v>1611</v>
      </c>
      <c r="E35" s="2" t="s">
        <v>1705</v>
      </c>
      <c r="F35" s="2" t="s">
        <v>1862</v>
      </c>
      <c r="G35" s="2" t="s">
        <v>1863</v>
      </c>
      <c r="H35" s="2" t="s">
        <v>1864</v>
      </c>
      <c r="I35" s="2" t="s">
        <v>1616</v>
      </c>
      <c r="J35" s="2" t="s">
        <v>1865</v>
      </c>
      <c r="K35" s="2" t="s">
        <v>1866</v>
      </c>
      <c r="L35" s="2" t="s">
        <v>1762</v>
      </c>
      <c r="M35" s="2" t="s">
        <v>1620</v>
      </c>
      <c r="N35" s="2" t="s">
        <v>1866</v>
      </c>
      <c r="O35" s="2" t="s">
        <v>1867</v>
      </c>
    </row>
    <row r="36" spans="1:15" hidden="1">
      <c r="A36" s="2" t="s">
        <v>1861</v>
      </c>
      <c r="B36" s="2" t="s">
        <v>1609</v>
      </c>
      <c r="C36" s="2" t="s">
        <v>1634</v>
      </c>
      <c r="D36" s="2" t="s">
        <v>1611</v>
      </c>
      <c r="E36" s="2" t="s">
        <v>1783</v>
      </c>
      <c r="F36" s="2" t="s">
        <v>1862</v>
      </c>
      <c r="G36" s="2" t="s">
        <v>1868</v>
      </c>
      <c r="H36" s="2" t="s">
        <v>1869</v>
      </c>
      <c r="I36" s="2" t="s">
        <v>1616</v>
      </c>
      <c r="J36" s="2" t="s">
        <v>1870</v>
      </c>
      <c r="K36" s="2" t="s">
        <v>1871</v>
      </c>
      <c r="L36" s="2" t="s">
        <v>1762</v>
      </c>
      <c r="M36" s="2" t="s">
        <v>1620</v>
      </c>
      <c r="N36" s="2" t="s">
        <v>1871</v>
      </c>
      <c r="O36" s="2" t="s">
        <v>1867</v>
      </c>
    </row>
    <row r="37" spans="1:15">
      <c r="A37" s="2" t="s">
        <v>1748</v>
      </c>
      <c r="B37" s="2" t="s">
        <v>1609</v>
      </c>
      <c r="C37" s="2" t="s">
        <v>1634</v>
      </c>
      <c r="D37" s="2" t="s">
        <v>1872</v>
      </c>
      <c r="E37" s="2" t="s">
        <v>1646</v>
      </c>
      <c r="F37" s="2" t="s">
        <v>1873</v>
      </c>
      <c r="G37" s="2" t="s">
        <v>1874</v>
      </c>
      <c r="H37" s="2" t="s">
        <v>1875</v>
      </c>
      <c r="I37" s="2" t="s">
        <v>1616</v>
      </c>
      <c r="J37" s="2" t="s">
        <v>1876</v>
      </c>
      <c r="K37" s="2" t="s">
        <v>1877</v>
      </c>
      <c r="L37" s="2" t="s">
        <v>1746</v>
      </c>
      <c r="M37" s="2" t="s">
        <v>1620</v>
      </c>
      <c r="N37" s="2" t="s">
        <v>1620</v>
      </c>
      <c r="O37" s="2" t="s">
        <v>1747</v>
      </c>
    </row>
    <row r="38" spans="1:15" hidden="1">
      <c r="A38" s="2" t="s">
        <v>1878</v>
      </c>
      <c r="B38" s="2" t="s">
        <v>1609</v>
      </c>
      <c r="C38" s="2" t="s">
        <v>1634</v>
      </c>
      <c r="D38" s="2" t="s">
        <v>1879</v>
      </c>
      <c r="E38" s="2" t="s">
        <v>1880</v>
      </c>
      <c r="F38" s="2" t="s">
        <v>1873</v>
      </c>
      <c r="G38" s="2" t="s">
        <v>1881</v>
      </c>
      <c r="H38" s="2" t="s">
        <v>1882</v>
      </c>
      <c r="I38" s="2" t="s">
        <v>1616</v>
      </c>
      <c r="J38" s="2" t="s">
        <v>1883</v>
      </c>
      <c r="K38" s="36" t="s">
        <v>1884</v>
      </c>
      <c r="L38" s="2" t="s">
        <v>1746</v>
      </c>
      <c r="M38" s="2" t="s">
        <v>1620</v>
      </c>
      <c r="N38" s="2" t="s">
        <v>1620</v>
      </c>
      <c r="O38" s="2" t="s">
        <v>1747</v>
      </c>
    </row>
    <row r="39" spans="1:15" hidden="1">
      <c r="A39" s="2" t="s">
        <v>1788</v>
      </c>
      <c r="B39" s="2" t="s">
        <v>1609</v>
      </c>
      <c r="C39" s="2" t="s">
        <v>1634</v>
      </c>
      <c r="D39" s="2" t="s">
        <v>1771</v>
      </c>
      <c r="E39" s="2" t="s">
        <v>1783</v>
      </c>
      <c r="F39" s="2" t="s">
        <v>1885</v>
      </c>
      <c r="G39" s="2" t="s">
        <v>1886</v>
      </c>
      <c r="H39" s="2" t="s">
        <v>1887</v>
      </c>
      <c r="I39" s="2" t="s">
        <v>1616</v>
      </c>
      <c r="J39" s="2" t="s">
        <v>1888</v>
      </c>
      <c r="K39" s="2" t="s">
        <v>1860</v>
      </c>
      <c r="L39" s="2" t="s">
        <v>1762</v>
      </c>
      <c r="M39" s="2" t="s">
        <v>1620</v>
      </c>
      <c r="N39" s="2" t="s">
        <v>1860</v>
      </c>
      <c r="O39" s="2" t="s">
        <v>1889</v>
      </c>
    </row>
    <row r="40" spans="1:15">
      <c r="A40" s="2" t="s">
        <v>1644</v>
      </c>
      <c r="B40" s="2" t="s">
        <v>1609</v>
      </c>
      <c r="C40" s="2" t="s">
        <v>1634</v>
      </c>
      <c r="D40" s="2" t="s">
        <v>1890</v>
      </c>
      <c r="E40" s="2" t="s">
        <v>1646</v>
      </c>
      <c r="F40" s="2" t="s">
        <v>1891</v>
      </c>
      <c r="G40" s="2" t="s">
        <v>1892</v>
      </c>
      <c r="H40" s="2" t="s">
        <v>1893</v>
      </c>
      <c r="I40" s="2" t="s">
        <v>1616</v>
      </c>
      <c r="J40" s="2" t="s">
        <v>1752</v>
      </c>
      <c r="K40" s="2" t="s">
        <v>1894</v>
      </c>
      <c r="L40" s="2" t="s">
        <v>1762</v>
      </c>
      <c r="M40" s="2" t="s">
        <v>1620</v>
      </c>
      <c r="N40" s="2" t="s">
        <v>1894</v>
      </c>
      <c r="O40" s="2" t="s">
        <v>1895</v>
      </c>
    </row>
    <row r="41" spans="1:15" hidden="1">
      <c r="A41" s="2" t="s">
        <v>1829</v>
      </c>
      <c r="B41" s="2" t="s">
        <v>1609</v>
      </c>
      <c r="C41" s="2" t="s">
        <v>1634</v>
      </c>
      <c r="D41" s="2" t="s">
        <v>1741</v>
      </c>
      <c r="E41" s="2" t="s">
        <v>1837</v>
      </c>
      <c r="F41" s="2" t="s">
        <v>1896</v>
      </c>
      <c r="G41" s="2" t="s">
        <v>1897</v>
      </c>
      <c r="H41" s="2" t="s">
        <v>1898</v>
      </c>
      <c r="I41" s="2" t="s">
        <v>1616</v>
      </c>
      <c r="J41" s="2" t="s">
        <v>1899</v>
      </c>
      <c r="K41" s="36" t="s">
        <v>1900</v>
      </c>
      <c r="L41" s="2" t="s">
        <v>1630</v>
      </c>
      <c r="M41" s="2" t="s">
        <v>1620</v>
      </c>
      <c r="N41" s="2" t="s">
        <v>1901</v>
      </c>
      <c r="O41" s="2" t="s">
        <v>1902</v>
      </c>
    </row>
    <row r="42" spans="1:15" hidden="1">
      <c r="A42" s="2" t="s">
        <v>1903</v>
      </c>
      <c r="B42" s="2" t="s">
        <v>1609</v>
      </c>
      <c r="C42" s="2" t="s">
        <v>1634</v>
      </c>
      <c r="D42" s="2" t="s">
        <v>1904</v>
      </c>
      <c r="E42" s="2" t="s">
        <v>1783</v>
      </c>
      <c r="F42" s="2" t="s">
        <v>1905</v>
      </c>
      <c r="G42" s="2" t="s">
        <v>1906</v>
      </c>
      <c r="H42" s="2" t="s">
        <v>1907</v>
      </c>
      <c r="I42" s="2" t="s">
        <v>1616</v>
      </c>
      <c r="J42" s="2" t="s">
        <v>1908</v>
      </c>
      <c r="K42" s="36" t="s">
        <v>1909</v>
      </c>
      <c r="L42" s="2" t="s">
        <v>1762</v>
      </c>
      <c r="M42" s="2" t="s">
        <v>1620</v>
      </c>
      <c r="N42" s="2" t="s">
        <v>1909</v>
      </c>
      <c r="O42" s="2" t="s">
        <v>1910</v>
      </c>
    </row>
    <row r="43" spans="1:15" hidden="1">
      <c r="A43" s="2" t="s">
        <v>1911</v>
      </c>
      <c r="B43" s="2" t="s">
        <v>1609</v>
      </c>
      <c r="C43" s="2" t="s">
        <v>1634</v>
      </c>
      <c r="D43" s="2" t="s">
        <v>1624</v>
      </c>
      <c r="E43" s="2" t="s">
        <v>1705</v>
      </c>
      <c r="F43" s="2" t="s">
        <v>1912</v>
      </c>
      <c r="G43" s="2" t="s">
        <v>1913</v>
      </c>
      <c r="H43" s="2" t="s">
        <v>1914</v>
      </c>
      <c r="I43" s="2" t="s">
        <v>1616</v>
      </c>
      <c r="J43" s="2" t="s">
        <v>1915</v>
      </c>
      <c r="K43" s="36" t="s">
        <v>1916</v>
      </c>
      <c r="L43" s="2" t="s">
        <v>1762</v>
      </c>
      <c r="M43" s="2" t="s">
        <v>1620</v>
      </c>
      <c r="N43" s="2" t="s">
        <v>1916</v>
      </c>
      <c r="O43" s="2" t="s">
        <v>1756</v>
      </c>
    </row>
    <row r="44" spans="1:15">
      <c r="A44" s="2" t="s">
        <v>1748</v>
      </c>
      <c r="B44" s="2" t="s">
        <v>1609</v>
      </c>
      <c r="C44" s="2" t="s">
        <v>1634</v>
      </c>
      <c r="D44" s="2" t="s">
        <v>1771</v>
      </c>
      <c r="E44" s="2" t="s">
        <v>1646</v>
      </c>
      <c r="F44" s="2" t="s">
        <v>1912</v>
      </c>
      <c r="G44" s="2" t="s">
        <v>1917</v>
      </c>
      <c r="H44" s="2" t="s">
        <v>1918</v>
      </c>
      <c r="I44" s="2" t="s">
        <v>1616</v>
      </c>
      <c r="J44" s="2" t="s">
        <v>1919</v>
      </c>
      <c r="K44" s="2" t="s">
        <v>1920</v>
      </c>
      <c r="L44" s="2" t="s">
        <v>1817</v>
      </c>
      <c r="M44" s="2" t="s">
        <v>1620</v>
      </c>
      <c r="N44" s="2" t="s">
        <v>1921</v>
      </c>
      <c r="O44" s="2" t="s">
        <v>1922</v>
      </c>
    </row>
    <row r="45" spans="1:15" hidden="1">
      <c r="A45" s="2" t="s">
        <v>1923</v>
      </c>
      <c r="B45" s="2" t="s">
        <v>1609</v>
      </c>
      <c r="C45" s="2" t="s">
        <v>1634</v>
      </c>
      <c r="D45" s="2" t="s">
        <v>1872</v>
      </c>
      <c r="E45" s="2" t="s">
        <v>1795</v>
      </c>
      <c r="F45" s="2" t="s">
        <v>1924</v>
      </c>
      <c r="G45" s="2" t="s">
        <v>1925</v>
      </c>
      <c r="H45" s="2" t="s">
        <v>1926</v>
      </c>
      <c r="I45" s="2" t="s">
        <v>1616</v>
      </c>
      <c r="J45" s="2" t="s">
        <v>1927</v>
      </c>
      <c r="K45" s="2" t="s">
        <v>1928</v>
      </c>
      <c r="L45" s="2" t="s">
        <v>1746</v>
      </c>
      <c r="M45" s="2" t="s">
        <v>1620</v>
      </c>
      <c r="N45" s="2" t="s">
        <v>1620</v>
      </c>
      <c r="O45" s="2" t="s">
        <v>1747</v>
      </c>
    </row>
    <row r="46" spans="1:15" hidden="1">
      <c r="A46" s="2" t="s">
        <v>1929</v>
      </c>
      <c r="B46" s="2" t="s">
        <v>1609</v>
      </c>
      <c r="C46" s="2" t="s">
        <v>1634</v>
      </c>
      <c r="D46" s="2" t="s">
        <v>1656</v>
      </c>
      <c r="E46" s="2" t="s">
        <v>1705</v>
      </c>
      <c r="F46" s="2" t="s">
        <v>1930</v>
      </c>
      <c r="G46" s="2" t="s">
        <v>1715</v>
      </c>
      <c r="H46" s="2" t="s">
        <v>1931</v>
      </c>
      <c r="I46" s="2" t="s">
        <v>1616</v>
      </c>
      <c r="J46" s="2" t="s">
        <v>1932</v>
      </c>
      <c r="K46" s="2" t="s">
        <v>1933</v>
      </c>
      <c r="L46" s="2" t="s">
        <v>1746</v>
      </c>
      <c r="M46" s="2" t="s">
        <v>1620</v>
      </c>
      <c r="N46" s="2" t="s">
        <v>1620</v>
      </c>
      <c r="O46" s="2" t="s">
        <v>1747</v>
      </c>
    </row>
    <row r="47" spans="1:15" hidden="1">
      <c r="A47" s="2" t="s">
        <v>1934</v>
      </c>
      <c r="B47" s="2" t="s">
        <v>1609</v>
      </c>
      <c r="C47" s="2" t="s">
        <v>1634</v>
      </c>
      <c r="D47" s="2" t="s">
        <v>1771</v>
      </c>
      <c r="E47" s="2" t="s">
        <v>1723</v>
      </c>
      <c r="F47" s="2" t="s">
        <v>1935</v>
      </c>
      <c r="G47" s="2" t="s">
        <v>1936</v>
      </c>
      <c r="H47" s="2" t="s">
        <v>1937</v>
      </c>
      <c r="I47" s="2" t="s">
        <v>1616</v>
      </c>
      <c r="J47" s="2" t="s">
        <v>1938</v>
      </c>
      <c r="K47" s="36" t="s">
        <v>1939</v>
      </c>
      <c r="L47" s="2" t="s">
        <v>1754</v>
      </c>
      <c r="M47" s="2" t="s">
        <v>1620</v>
      </c>
      <c r="N47" s="2" t="s">
        <v>1940</v>
      </c>
      <c r="O47" s="2" t="s">
        <v>1941</v>
      </c>
    </row>
    <row r="48" spans="1:15" hidden="1">
      <c r="A48" s="2" t="s">
        <v>1829</v>
      </c>
      <c r="B48" s="2" t="s">
        <v>1609</v>
      </c>
      <c r="C48" s="2" t="s">
        <v>1634</v>
      </c>
      <c r="D48" s="2" t="s">
        <v>1741</v>
      </c>
      <c r="E48" s="2" t="s">
        <v>1723</v>
      </c>
      <c r="F48" s="2" t="s">
        <v>1935</v>
      </c>
      <c r="G48" s="2" t="s">
        <v>1942</v>
      </c>
      <c r="H48" s="2" t="s">
        <v>1943</v>
      </c>
      <c r="I48" s="2" t="s">
        <v>1616</v>
      </c>
      <c r="J48" s="2" t="s">
        <v>1944</v>
      </c>
      <c r="K48" s="36" t="s">
        <v>1945</v>
      </c>
      <c r="L48" s="2" t="s">
        <v>1762</v>
      </c>
      <c r="M48" s="2" t="s">
        <v>1620</v>
      </c>
      <c r="N48" s="2" t="s">
        <v>1945</v>
      </c>
      <c r="O48" s="2" t="s">
        <v>1819</v>
      </c>
    </row>
    <row r="49" spans="1:15" hidden="1">
      <c r="A49" s="2" t="s">
        <v>1732</v>
      </c>
      <c r="B49" s="2" t="s">
        <v>1609</v>
      </c>
      <c r="C49" s="2" t="s">
        <v>1634</v>
      </c>
      <c r="D49" s="2" t="s">
        <v>1656</v>
      </c>
      <c r="E49" s="2" t="s">
        <v>1676</v>
      </c>
      <c r="F49" s="2" t="s">
        <v>1946</v>
      </c>
      <c r="G49" s="2" t="s">
        <v>1947</v>
      </c>
      <c r="H49" s="2" t="s">
        <v>1948</v>
      </c>
      <c r="I49" s="2" t="s">
        <v>1616</v>
      </c>
      <c r="J49" s="2" t="s">
        <v>1949</v>
      </c>
      <c r="K49" s="36" t="s">
        <v>1950</v>
      </c>
      <c r="L49" s="2" t="s">
        <v>1762</v>
      </c>
      <c r="M49" s="2" t="s">
        <v>1620</v>
      </c>
      <c r="N49" s="2" t="s">
        <v>1950</v>
      </c>
      <c r="O49" s="2" t="s">
        <v>1836</v>
      </c>
    </row>
    <row r="50" spans="1:15" hidden="1">
      <c r="A50" s="2" t="s">
        <v>1878</v>
      </c>
      <c r="B50" s="2" t="s">
        <v>1609</v>
      </c>
      <c r="C50" s="2" t="s">
        <v>1634</v>
      </c>
      <c r="D50" s="2" t="s">
        <v>1951</v>
      </c>
      <c r="E50" s="2" t="s">
        <v>1880</v>
      </c>
      <c r="F50" s="2" t="s">
        <v>1946</v>
      </c>
      <c r="G50" s="2" t="s">
        <v>1952</v>
      </c>
      <c r="H50" s="2" t="s">
        <v>1953</v>
      </c>
      <c r="I50" s="2" t="s">
        <v>1616</v>
      </c>
      <c r="J50" s="2" t="s">
        <v>1954</v>
      </c>
      <c r="K50" s="36" t="s">
        <v>1955</v>
      </c>
      <c r="L50" s="2" t="s">
        <v>1746</v>
      </c>
      <c r="M50" s="2" t="s">
        <v>1620</v>
      </c>
      <c r="N50" s="2" t="s">
        <v>1620</v>
      </c>
      <c r="O50" s="2" t="s">
        <v>1747</v>
      </c>
    </row>
    <row r="51" spans="1:15" hidden="1">
      <c r="A51" s="2" t="s">
        <v>1934</v>
      </c>
      <c r="B51" s="2" t="s">
        <v>1609</v>
      </c>
      <c r="C51" s="2" t="s">
        <v>1634</v>
      </c>
      <c r="D51" s="2" t="s">
        <v>1771</v>
      </c>
      <c r="E51" s="2" t="s">
        <v>1956</v>
      </c>
      <c r="F51" s="2" t="s">
        <v>1957</v>
      </c>
      <c r="G51" s="2" t="s">
        <v>1958</v>
      </c>
      <c r="H51" s="2" t="s">
        <v>1959</v>
      </c>
      <c r="I51" s="2" t="s">
        <v>1616</v>
      </c>
      <c r="J51" s="2" t="s">
        <v>1960</v>
      </c>
      <c r="K51" s="36" t="s">
        <v>1961</v>
      </c>
      <c r="L51" s="2" t="s">
        <v>1746</v>
      </c>
      <c r="M51" s="2" t="s">
        <v>1620</v>
      </c>
      <c r="N51" s="2" t="s">
        <v>1620</v>
      </c>
      <c r="O51" s="2" t="s">
        <v>1747</v>
      </c>
    </row>
    <row r="52" spans="1:15" hidden="1">
      <c r="A52" s="2" t="s">
        <v>1694</v>
      </c>
      <c r="B52" s="2" t="s">
        <v>1609</v>
      </c>
      <c r="C52" s="2" t="s">
        <v>1634</v>
      </c>
      <c r="D52" s="2" t="s">
        <v>1962</v>
      </c>
      <c r="E52" s="2" t="s">
        <v>1696</v>
      </c>
      <c r="F52" s="2" t="s">
        <v>1957</v>
      </c>
      <c r="G52" s="2" t="s">
        <v>1963</v>
      </c>
      <c r="H52" s="2" t="s">
        <v>1964</v>
      </c>
      <c r="I52" s="2" t="s">
        <v>1616</v>
      </c>
      <c r="J52" s="2" t="s">
        <v>1965</v>
      </c>
      <c r="K52" s="36" t="s">
        <v>1966</v>
      </c>
      <c r="L52" s="2" t="s">
        <v>1746</v>
      </c>
      <c r="M52" s="2" t="s">
        <v>1620</v>
      </c>
      <c r="N52" s="2" t="s">
        <v>1620</v>
      </c>
      <c r="O52" s="2" t="s">
        <v>1747</v>
      </c>
    </row>
    <row r="53" spans="1:15">
      <c r="A53" s="2" t="s">
        <v>1748</v>
      </c>
      <c r="B53" s="2" t="s">
        <v>1609</v>
      </c>
      <c r="C53" s="2" t="s">
        <v>1634</v>
      </c>
      <c r="D53" s="2" t="s">
        <v>1967</v>
      </c>
      <c r="E53" s="2" t="s">
        <v>1646</v>
      </c>
      <c r="F53" s="2" t="s">
        <v>1957</v>
      </c>
      <c r="G53" s="2" t="s">
        <v>1968</v>
      </c>
      <c r="H53" s="2" t="s">
        <v>1969</v>
      </c>
      <c r="I53" s="2" t="s">
        <v>1616</v>
      </c>
      <c r="J53" s="2" t="s">
        <v>1970</v>
      </c>
      <c r="K53" s="2" t="s">
        <v>1971</v>
      </c>
      <c r="L53" s="2" t="s">
        <v>1746</v>
      </c>
      <c r="M53" s="2" t="s">
        <v>1620</v>
      </c>
      <c r="N53" s="2" t="s">
        <v>1620</v>
      </c>
      <c r="O53" s="2" t="s">
        <v>1747</v>
      </c>
    </row>
    <row r="54" spans="1:15" hidden="1">
      <c r="A54" s="2" t="s">
        <v>1861</v>
      </c>
      <c r="B54" s="2" t="s">
        <v>1609</v>
      </c>
      <c r="C54" s="2" t="s">
        <v>1634</v>
      </c>
      <c r="D54" s="2" t="s">
        <v>1611</v>
      </c>
      <c r="E54" s="2" t="s">
        <v>1635</v>
      </c>
      <c r="F54" s="2" t="s">
        <v>1972</v>
      </c>
      <c r="G54" s="2" t="s">
        <v>1973</v>
      </c>
      <c r="H54" s="2" t="s">
        <v>1974</v>
      </c>
      <c r="I54" s="2" t="s">
        <v>1616</v>
      </c>
      <c r="J54" s="2" t="s">
        <v>1833</v>
      </c>
      <c r="K54" s="2" t="s">
        <v>1975</v>
      </c>
      <c r="L54" s="2" t="s">
        <v>1746</v>
      </c>
      <c r="M54" s="2" t="s">
        <v>1620</v>
      </c>
      <c r="N54" s="2" t="s">
        <v>1620</v>
      </c>
      <c r="O54" s="2" t="s">
        <v>1747</v>
      </c>
    </row>
    <row r="55" spans="1:15" hidden="1">
      <c r="A55" s="2" t="s">
        <v>1976</v>
      </c>
      <c r="B55" s="2" t="s">
        <v>1609</v>
      </c>
      <c r="C55" s="2" t="s">
        <v>1634</v>
      </c>
      <c r="D55" s="2" t="s">
        <v>1977</v>
      </c>
      <c r="E55" s="2" t="s">
        <v>1705</v>
      </c>
      <c r="F55" s="2" t="s">
        <v>1972</v>
      </c>
      <c r="G55" s="2" t="s">
        <v>1777</v>
      </c>
      <c r="H55" s="2" t="s">
        <v>1978</v>
      </c>
      <c r="I55" s="2" t="s">
        <v>1616</v>
      </c>
      <c r="J55" s="2" t="s">
        <v>1979</v>
      </c>
      <c r="K55" s="36" t="s">
        <v>1980</v>
      </c>
      <c r="L55" s="2" t="s">
        <v>1746</v>
      </c>
      <c r="M55" s="2" t="s">
        <v>1620</v>
      </c>
      <c r="N55" s="2" t="s">
        <v>1620</v>
      </c>
      <c r="O55" s="2" t="s">
        <v>1747</v>
      </c>
    </row>
    <row r="56" spans="1:15">
      <c r="A56" s="2" t="s">
        <v>1748</v>
      </c>
      <c r="B56" s="2" t="s">
        <v>1609</v>
      </c>
      <c r="C56" s="2" t="s">
        <v>1634</v>
      </c>
      <c r="D56" s="2" t="s">
        <v>1656</v>
      </c>
      <c r="E56" s="2" t="s">
        <v>1646</v>
      </c>
      <c r="F56" s="2" t="s">
        <v>1972</v>
      </c>
      <c r="G56" s="2" t="s">
        <v>1981</v>
      </c>
      <c r="H56" s="2" t="s">
        <v>1982</v>
      </c>
      <c r="I56" s="2" t="s">
        <v>1616</v>
      </c>
      <c r="J56" s="2" t="s">
        <v>1983</v>
      </c>
      <c r="K56" s="2" t="s">
        <v>1984</v>
      </c>
      <c r="L56" s="2" t="s">
        <v>1817</v>
      </c>
      <c r="M56" s="2" t="s">
        <v>1620</v>
      </c>
      <c r="N56" s="2" t="s">
        <v>1985</v>
      </c>
      <c r="O56" s="2" t="s">
        <v>1986</v>
      </c>
    </row>
    <row r="57" spans="1:15">
      <c r="A57" s="2" t="s">
        <v>1748</v>
      </c>
      <c r="B57" s="2" t="s">
        <v>1609</v>
      </c>
      <c r="C57" s="2" t="s">
        <v>1634</v>
      </c>
      <c r="D57" s="2" t="s">
        <v>1904</v>
      </c>
      <c r="E57" s="2" t="s">
        <v>1646</v>
      </c>
      <c r="F57" s="2" t="s">
        <v>1972</v>
      </c>
      <c r="G57" s="2" t="s">
        <v>1724</v>
      </c>
      <c r="H57" s="2" t="s">
        <v>1987</v>
      </c>
      <c r="I57" s="2" t="s">
        <v>1616</v>
      </c>
      <c r="J57" s="2" t="s">
        <v>1988</v>
      </c>
      <c r="K57" s="2" t="s">
        <v>1989</v>
      </c>
      <c r="L57" s="2" t="s">
        <v>1746</v>
      </c>
      <c r="M57" s="2" t="s">
        <v>1620</v>
      </c>
      <c r="N57" s="2" t="s">
        <v>1620</v>
      </c>
      <c r="O57" s="2" t="s">
        <v>1747</v>
      </c>
    </row>
    <row r="58" spans="1:15">
      <c r="A58" s="2" t="s">
        <v>1644</v>
      </c>
      <c r="B58" s="2" t="s">
        <v>1609</v>
      </c>
      <c r="C58" s="2" t="s">
        <v>1634</v>
      </c>
      <c r="D58" s="2" t="s">
        <v>1990</v>
      </c>
      <c r="E58" s="2" t="s">
        <v>1646</v>
      </c>
      <c r="F58" s="2" t="s">
        <v>1972</v>
      </c>
      <c r="G58" s="2" t="s">
        <v>1991</v>
      </c>
      <c r="H58" s="2" t="s">
        <v>1992</v>
      </c>
      <c r="I58" s="2" t="s">
        <v>1616</v>
      </c>
      <c r="J58" s="2" t="s">
        <v>1993</v>
      </c>
      <c r="K58" s="2" t="s">
        <v>1994</v>
      </c>
      <c r="L58" s="2" t="s">
        <v>1746</v>
      </c>
      <c r="M58" s="2" t="s">
        <v>1620</v>
      </c>
      <c r="N58" s="2" t="s">
        <v>1620</v>
      </c>
      <c r="O58" s="2" t="s">
        <v>1747</v>
      </c>
    </row>
    <row r="59" spans="1:15">
      <c r="A59" s="2" t="s">
        <v>1748</v>
      </c>
      <c r="B59" s="2" t="s">
        <v>1609</v>
      </c>
      <c r="C59" s="2" t="s">
        <v>1634</v>
      </c>
      <c r="D59" s="2" t="s">
        <v>1995</v>
      </c>
      <c r="E59" s="2" t="s">
        <v>1646</v>
      </c>
      <c r="F59" s="2" t="s">
        <v>1996</v>
      </c>
      <c r="G59" s="2" t="s">
        <v>1997</v>
      </c>
      <c r="H59" s="2" t="s">
        <v>1998</v>
      </c>
      <c r="I59" s="2" t="s">
        <v>1616</v>
      </c>
      <c r="J59" s="2" t="s">
        <v>1954</v>
      </c>
      <c r="K59" s="2" t="s">
        <v>1999</v>
      </c>
      <c r="L59" s="2" t="s">
        <v>1762</v>
      </c>
      <c r="M59" s="2" t="s">
        <v>1620</v>
      </c>
      <c r="N59" s="2" t="s">
        <v>1999</v>
      </c>
      <c r="O59" s="2" t="s">
        <v>2000</v>
      </c>
    </row>
    <row r="60" spans="1:15">
      <c r="A60" s="2" t="s">
        <v>1748</v>
      </c>
      <c r="B60" s="2" t="s">
        <v>1609</v>
      </c>
      <c r="C60" s="2" t="s">
        <v>1634</v>
      </c>
      <c r="D60" s="2" t="s">
        <v>2001</v>
      </c>
      <c r="E60" s="2" t="s">
        <v>1646</v>
      </c>
      <c r="F60" s="2" t="s">
        <v>1996</v>
      </c>
      <c r="G60" s="2" t="s">
        <v>2002</v>
      </c>
      <c r="H60" s="2" t="s">
        <v>2003</v>
      </c>
      <c r="I60" s="2" t="s">
        <v>1616</v>
      </c>
      <c r="J60" s="2" t="s">
        <v>2004</v>
      </c>
      <c r="K60" s="2" t="s">
        <v>2005</v>
      </c>
      <c r="L60" s="2" t="s">
        <v>1746</v>
      </c>
      <c r="M60" s="2" t="s">
        <v>1620</v>
      </c>
      <c r="N60" s="2" t="s">
        <v>1620</v>
      </c>
      <c r="O60" s="2" t="s">
        <v>1747</v>
      </c>
    </row>
    <row r="61" spans="1:15">
      <c r="A61" s="2" t="s">
        <v>1748</v>
      </c>
      <c r="B61" s="2" t="s">
        <v>1609</v>
      </c>
      <c r="C61" s="2" t="s">
        <v>1634</v>
      </c>
      <c r="D61" s="2" t="s">
        <v>2006</v>
      </c>
      <c r="E61" s="2" t="s">
        <v>1646</v>
      </c>
      <c r="F61" s="2" t="s">
        <v>1996</v>
      </c>
      <c r="G61" s="2" t="s">
        <v>2007</v>
      </c>
      <c r="H61" s="2" t="s">
        <v>2008</v>
      </c>
      <c r="I61" s="2" t="s">
        <v>1616</v>
      </c>
      <c r="J61" s="2" t="s">
        <v>2009</v>
      </c>
      <c r="K61" s="2" t="s">
        <v>2010</v>
      </c>
      <c r="L61" s="2" t="s">
        <v>1746</v>
      </c>
      <c r="M61" s="2" t="s">
        <v>1620</v>
      </c>
      <c r="N61" s="2" t="s">
        <v>1620</v>
      </c>
      <c r="O61" s="2" t="s">
        <v>1747</v>
      </c>
    </row>
    <row r="62" spans="1:15" hidden="1">
      <c r="A62" s="2" t="s">
        <v>1976</v>
      </c>
      <c r="B62" s="2" t="s">
        <v>1609</v>
      </c>
      <c r="C62" s="2" t="s">
        <v>1634</v>
      </c>
      <c r="D62" s="2" t="s">
        <v>2011</v>
      </c>
      <c r="E62" s="2" t="s">
        <v>1783</v>
      </c>
      <c r="F62" s="2" t="s">
        <v>2012</v>
      </c>
      <c r="G62" s="2" t="s">
        <v>2013</v>
      </c>
      <c r="H62" s="2" t="s">
        <v>2014</v>
      </c>
      <c r="I62" s="2" t="s">
        <v>1616</v>
      </c>
      <c r="J62" s="2" t="s">
        <v>2015</v>
      </c>
      <c r="K62" s="36" t="s">
        <v>2016</v>
      </c>
      <c r="L62" s="2" t="s">
        <v>1762</v>
      </c>
      <c r="M62" s="2" t="s">
        <v>1620</v>
      </c>
      <c r="N62" s="2" t="s">
        <v>2016</v>
      </c>
      <c r="O62" s="2" t="s">
        <v>1856</v>
      </c>
    </row>
    <row r="63" spans="1:15">
      <c r="A63" s="2" t="s">
        <v>1748</v>
      </c>
      <c r="B63" s="2" t="s">
        <v>1609</v>
      </c>
      <c r="C63" s="2" t="s">
        <v>1634</v>
      </c>
      <c r="D63" s="2" t="s">
        <v>1685</v>
      </c>
      <c r="E63" s="2" t="s">
        <v>1646</v>
      </c>
      <c r="F63" s="2" t="s">
        <v>2012</v>
      </c>
      <c r="G63" s="2" t="s">
        <v>2017</v>
      </c>
      <c r="H63" s="2" t="s">
        <v>2018</v>
      </c>
      <c r="I63" s="2" t="s">
        <v>1616</v>
      </c>
      <c r="J63" s="2" t="s">
        <v>2019</v>
      </c>
      <c r="K63" s="2" t="s">
        <v>2020</v>
      </c>
      <c r="L63" s="2" t="s">
        <v>1746</v>
      </c>
      <c r="M63" s="2" t="s">
        <v>1620</v>
      </c>
      <c r="N63" s="2" t="s">
        <v>1620</v>
      </c>
      <c r="O63" s="2" t="s">
        <v>1747</v>
      </c>
    </row>
    <row r="64" spans="1:15">
      <c r="A64" s="2" t="s">
        <v>1748</v>
      </c>
      <c r="B64" s="2" t="s">
        <v>1609</v>
      </c>
      <c r="C64" s="2" t="s">
        <v>1634</v>
      </c>
      <c r="D64" s="2" t="s">
        <v>2021</v>
      </c>
      <c r="E64" s="2" t="s">
        <v>1646</v>
      </c>
      <c r="F64" s="2" t="s">
        <v>2012</v>
      </c>
      <c r="G64" s="2" t="s">
        <v>2022</v>
      </c>
      <c r="H64" s="2" t="s">
        <v>2023</v>
      </c>
      <c r="I64" s="2" t="s">
        <v>1616</v>
      </c>
      <c r="J64" s="2" t="s">
        <v>1767</v>
      </c>
      <c r="K64" s="2" t="s">
        <v>1955</v>
      </c>
      <c r="L64" s="2" t="s">
        <v>1738</v>
      </c>
      <c r="M64" s="2" t="s">
        <v>1620</v>
      </c>
      <c r="N64" s="2" t="s">
        <v>2024</v>
      </c>
      <c r="O64" s="2" t="s">
        <v>2025</v>
      </c>
    </row>
    <row r="65" spans="1:15">
      <c r="A65" s="2" t="s">
        <v>1748</v>
      </c>
      <c r="B65" s="2" t="s">
        <v>1609</v>
      </c>
      <c r="C65" s="2" t="s">
        <v>1634</v>
      </c>
      <c r="D65" s="2" t="s">
        <v>2026</v>
      </c>
      <c r="E65" s="2" t="s">
        <v>1646</v>
      </c>
      <c r="F65" s="2" t="s">
        <v>2012</v>
      </c>
      <c r="G65" s="2" t="s">
        <v>2027</v>
      </c>
      <c r="H65" s="2" t="s">
        <v>2028</v>
      </c>
      <c r="I65" s="2" t="s">
        <v>1616</v>
      </c>
      <c r="J65" s="2" t="s">
        <v>1919</v>
      </c>
      <c r="K65" s="2" t="s">
        <v>2029</v>
      </c>
      <c r="L65" s="2" t="s">
        <v>1746</v>
      </c>
      <c r="M65" s="2" t="s">
        <v>1620</v>
      </c>
      <c r="N65" s="2" t="s">
        <v>1620</v>
      </c>
      <c r="O65" s="2" t="s">
        <v>1747</v>
      </c>
    </row>
    <row r="66" spans="1:15" hidden="1">
      <c r="A66" s="2" t="s">
        <v>1633</v>
      </c>
      <c r="B66" s="2" t="s">
        <v>1609</v>
      </c>
      <c r="C66" s="2" t="s">
        <v>1634</v>
      </c>
      <c r="D66" s="2" t="s">
        <v>1611</v>
      </c>
      <c r="E66" s="2" t="s">
        <v>1783</v>
      </c>
      <c r="F66" s="2" t="s">
        <v>2030</v>
      </c>
      <c r="G66" s="2" t="s">
        <v>2031</v>
      </c>
      <c r="H66" s="2" t="s">
        <v>2032</v>
      </c>
      <c r="I66" s="2" t="s">
        <v>1616</v>
      </c>
      <c r="J66" s="2" t="s">
        <v>2033</v>
      </c>
      <c r="K66" s="36" t="s">
        <v>2034</v>
      </c>
      <c r="L66" s="2" t="s">
        <v>1817</v>
      </c>
      <c r="M66" s="2" t="s">
        <v>1620</v>
      </c>
      <c r="N66" s="2" t="s">
        <v>2035</v>
      </c>
      <c r="O66" s="2" t="s">
        <v>2036</v>
      </c>
    </row>
    <row r="67" spans="1:15" hidden="1">
      <c r="A67" s="2" t="s">
        <v>1829</v>
      </c>
      <c r="B67" s="2" t="s">
        <v>1609</v>
      </c>
      <c r="C67" s="2" t="s">
        <v>1634</v>
      </c>
      <c r="D67" s="2" t="s">
        <v>1741</v>
      </c>
      <c r="E67" s="2" t="s">
        <v>1676</v>
      </c>
      <c r="F67" s="2" t="s">
        <v>2030</v>
      </c>
      <c r="G67" s="2" t="s">
        <v>2037</v>
      </c>
      <c r="H67" s="2" t="s">
        <v>2038</v>
      </c>
      <c r="I67" s="2" t="s">
        <v>1616</v>
      </c>
      <c r="J67" s="2" t="s">
        <v>2039</v>
      </c>
      <c r="K67" s="36" t="s">
        <v>2040</v>
      </c>
      <c r="L67" s="2" t="s">
        <v>1762</v>
      </c>
      <c r="M67" s="2" t="s">
        <v>1620</v>
      </c>
      <c r="N67" s="2" t="s">
        <v>2040</v>
      </c>
      <c r="O67" s="2" t="s">
        <v>2041</v>
      </c>
    </row>
    <row r="68" spans="1:15">
      <c r="A68" s="2" t="s">
        <v>1748</v>
      </c>
      <c r="B68" s="2" t="s">
        <v>1609</v>
      </c>
      <c r="C68" s="2" t="s">
        <v>1634</v>
      </c>
      <c r="D68" s="2" t="s">
        <v>2042</v>
      </c>
      <c r="E68" s="2" t="s">
        <v>1646</v>
      </c>
      <c r="F68" s="2" t="s">
        <v>2030</v>
      </c>
      <c r="G68" s="2" t="s">
        <v>1789</v>
      </c>
      <c r="H68" s="2" t="s">
        <v>2043</v>
      </c>
      <c r="I68" s="2" t="s">
        <v>1616</v>
      </c>
      <c r="J68" s="2" t="s">
        <v>2044</v>
      </c>
      <c r="K68" s="2" t="s">
        <v>2045</v>
      </c>
      <c r="L68" s="2" t="s">
        <v>1746</v>
      </c>
      <c r="M68" s="2" t="s">
        <v>1620</v>
      </c>
      <c r="N68" s="2" t="s">
        <v>1620</v>
      </c>
      <c r="O68" s="2" t="s">
        <v>1747</v>
      </c>
    </row>
    <row r="69" spans="1:15">
      <c r="A69" s="2" t="s">
        <v>1748</v>
      </c>
      <c r="B69" s="2" t="s">
        <v>1609</v>
      </c>
      <c r="C69" s="2" t="s">
        <v>1634</v>
      </c>
      <c r="D69" s="2" t="s">
        <v>2046</v>
      </c>
      <c r="E69" s="2" t="s">
        <v>1646</v>
      </c>
      <c r="F69" s="2" t="s">
        <v>2030</v>
      </c>
      <c r="G69" s="2" t="s">
        <v>2047</v>
      </c>
      <c r="H69" s="2" t="s">
        <v>2048</v>
      </c>
      <c r="I69" s="2" t="s">
        <v>1616</v>
      </c>
      <c r="J69" s="2" t="s">
        <v>2049</v>
      </c>
      <c r="K69" s="2" t="s">
        <v>2050</v>
      </c>
      <c r="L69" s="2" t="s">
        <v>1762</v>
      </c>
      <c r="M69" s="2" t="s">
        <v>1620</v>
      </c>
      <c r="N69" s="2" t="s">
        <v>2050</v>
      </c>
      <c r="O69" s="2" t="s">
        <v>2041</v>
      </c>
    </row>
    <row r="70" spans="1:15">
      <c r="A70" s="2" t="s">
        <v>1748</v>
      </c>
      <c r="B70" s="2" t="s">
        <v>1609</v>
      </c>
      <c r="C70" s="2" t="s">
        <v>1634</v>
      </c>
      <c r="D70" s="2" t="s">
        <v>2051</v>
      </c>
      <c r="E70" s="2" t="s">
        <v>1646</v>
      </c>
      <c r="F70" s="2" t="s">
        <v>2030</v>
      </c>
      <c r="G70" s="2" t="s">
        <v>2052</v>
      </c>
      <c r="H70" s="2" t="s">
        <v>2053</v>
      </c>
      <c r="I70" s="2" t="s">
        <v>1616</v>
      </c>
      <c r="J70" s="2" t="s">
        <v>1919</v>
      </c>
      <c r="K70" s="2" t="s">
        <v>2054</v>
      </c>
      <c r="L70" s="2" t="s">
        <v>1746</v>
      </c>
      <c r="M70" s="2" t="s">
        <v>1620</v>
      </c>
      <c r="N70" s="2" t="s">
        <v>1620</v>
      </c>
      <c r="O70" s="2" t="s">
        <v>1747</v>
      </c>
    </row>
    <row r="71" spans="1:15">
      <c r="A71" s="2" t="s">
        <v>1748</v>
      </c>
      <c r="B71" s="2" t="s">
        <v>1609</v>
      </c>
      <c r="C71" s="2" t="s">
        <v>1634</v>
      </c>
      <c r="D71" s="2" t="s">
        <v>2055</v>
      </c>
      <c r="E71" s="2" t="s">
        <v>1646</v>
      </c>
      <c r="F71" s="2" t="s">
        <v>2030</v>
      </c>
      <c r="G71" s="2" t="s">
        <v>2056</v>
      </c>
      <c r="H71" s="2" t="s">
        <v>2057</v>
      </c>
      <c r="I71" s="2" t="s">
        <v>1616</v>
      </c>
      <c r="J71" s="2" t="s">
        <v>1883</v>
      </c>
      <c r="K71" s="2" t="s">
        <v>2058</v>
      </c>
      <c r="L71" s="2" t="s">
        <v>1817</v>
      </c>
      <c r="M71" s="2" t="s">
        <v>1620</v>
      </c>
      <c r="N71" s="2" t="s">
        <v>2059</v>
      </c>
      <c r="O71" s="2" t="s">
        <v>2036</v>
      </c>
    </row>
    <row r="72" spans="1:15" hidden="1">
      <c r="A72" s="2" t="s">
        <v>1923</v>
      </c>
      <c r="B72" s="2" t="s">
        <v>1609</v>
      </c>
      <c r="C72" s="2" t="s">
        <v>1634</v>
      </c>
      <c r="D72" s="2" t="s">
        <v>1741</v>
      </c>
      <c r="E72" s="2" t="s">
        <v>1795</v>
      </c>
      <c r="F72" s="2" t="s">
        <v>2030</v>
      </c>
      <c r="G72" s="2" t="s">
        <v>1973</v>
      </c>
      <c r="H72" s="2" t="s">
        <v>2060</v>
      </c>
      <c r="I72" s="2" t="s">
        <v>1616</v>
      </c>
      <c r="J72" s="2" t="s">
        <v>2061</v>
      </c>
      <c r="K72" s="2" t="s">
        <v>2062</v>
      </c>
      <c r="L72" s="2" t="s">
        <v>1746</v>
      </c>
      <c r="M72" s="2" t="s">
        <v>1620</v>
      </c>
      <c r="N72" s="2" t="s">
        <v>1620</v>
      </c>
      <c r="O72" s="2" t="s">
        <v>1747</v>
      </c>
    </row>
    <row r="73" spans="1:15" hidden="1">
      <c r="A73" s="2" t="s">
        <v>1923</v>
      </c>
      <c r="B73" s="2" t="s">
        <v>1609</v>
      </c>
      <c r="C73" s="2" t="s">
        <v>1634</v>
      </c>
      <c r="D73" s="2" t="s">
        <v>1995</v>
      </c>
      <c r="E73" s="2" t="s">
        <v>1795</v>
      </c>
      <c r="F73" s="2" t="s">
        <v>2030</v>
      </c>
      <c r="G73" s="2" t="s">
        <v>1764</v>
      </c>
      <c r="H73" s="2" t="s">
        <v>2063</v>
      </c>
      <c r="I73" s="2" t="s">
        <v>1616</v>
      </c>
      <c r="J73" s="2" t="s">
        <v>2064</v>
      </c>
      <c r="K73" s="2" t="s">
        <v>2065</v>
      </c>
      <c r="L73" s="2" t="s">
        <v>1746</v>
      </c>
      <c r="M73" s="2" t="s">
        <v>1620</v>
      </c>
      <c r="N73" s="2" t="s">
        <v>1620</v>
      </c>
      <c r="O73" s="2" t="s">
        <v>1747</v>
      </c>
    </row>
    <row r="74" spans="1:15" hidden="1">
      <c r="A74" s="2" t="s">
        <v>1923</v>
      </c>
      <c r="B74" s="2" t="s">
        <v>1609</v>
      </c>
      <c r="C74" s="2" t="s">
        <v>1634</v>
      </c>
      <c r="D74" s="2" t="s">
        <v>1645</v>
      </c>
      <c r="E74" s="2" t="s">
        <v>1795</v>
      </c>
      <c r="F74" s="2" t="s">
        <v>2030</v>
      </c>
      <c r="G74" s="2" t="s">
        <v>2066</v>
      </c>
      <c r="H74" s="2" t="s">
        <v>2067</v>
      </c>
      <c r="I74" s="2" t="s">
        <v>1616</v>
      </c>
      <c r="J74" s="2" t="s">
        <v>2068</v>
      </c>
      <c r="K74" s="2" t="s">
        <v>2069</v>
      </c>
      <c r="L74" s="2" t="s">
        <v>1746</v>
      </c>
      <c r="M74" s="2" t="s">
        <v>1620</v>
      </c>
      <c r="N74" s="2" t="s">
        <v>1620</v>
      </c>
      <c r="O74" s="2" t="s">
        <v>1747</v>
      </c>
    </row>
    <row r="75" spans="1:15" hidden="1">
      <c r="A75" s="2" t="s">
        <v>1878</v>
      </c>
      <c r="B75" s="2" t="s">
        <v>1609</v>
      </c>
      <c r="C75" s="2" t="s">
        <v>1634</v>
      </c>
      <c r="D75" s="2" t="s">
        <v>1872</v>
      </c>
      <c r="E75" s="2" t="s">
        <v>1880</v>
      </c>
      <c r="F75" s="2" t="s">
        <v>2030</v>
      </c>
      <c r="G75" s="2" t="s">
        <v>2070</v>
      </c>
      <c r="H75" s="2" t="s">
        <v>2071</v>
      </c>
      <c r="I75" s="2" t="s">
        <v>1616</v>
      </c>
      <c r="J75" s="2" t="s">
        <v>2072</v>
      </c>
      <c r="K75" s="36" t="s">
        <v>2073</v>
      </c>
      <c r="L75" s="2" t="s">
        <v>1746</v>
      </c>
      <c r="M75" s="2" t="s">
        <v>1620</v>
      </c>
      <c r="N75" s="2" t="s">
        <v>1620</v>
      </c>
      <c r="O75" s="2" t="s">
        <v>1747</v>
      </c>
    </row>
    <row r="76" spans="1:15" hidden="1">
      <c r="A76" s="2" t="s">
        <v>1934</v>
      </c>
      <c r="B76" s="2" t="s">
        <v>1609</v>
      </c>
      <c r="C76" s="2" t="s">
        <v>1634</v>
      </c>
      <c r="D76" s="2" t="s">
        <v>1771</v>
      </c>
      <c r="E76" s="2" t="s">
        <v>1676</v>
      </c>
      <c r="F76" s="2" t="s">
        <v>2074</v>
      </c>
      <c r="G76" s="2" t="s">
        <v>2075</v>
      </c>
      <c r="H76" s="2" t="s">
        <v>2076</v>
      </c>
      <c r="I76" s="2" t="s">
        <v>1616</v>
      </c>
      <c r="J76" s="2" t="s">
        <v>2077</v>
      </c>
      <c r="K76" s="36" t="s">
        <v>2078</v>
      </c>
      <c r="L76" s="2" t="s">
        <v>1746</v>
      </c>
      <c r="M76" s="2" t="s">
        <v>1620</v>
      </c>
      <c r="N76" s="2" t="s">
        <v>1620</v>
      </c>
      <c r="O76" s="2" t="s">
        <v>1747</v>
      </c>
    </row>
    <row r="77" spans="1:15" hidden="1">
      <c r="A77" s="2" t="s">
        <v>1934</v>
      </c>
      <c r="B77" s="2" t="s">
        <v>1609</v>
      </c>
      <c r="C77" s="2" t="s">
        <v>1634</v>
      </c>
      <c r="D77" s="2" t="s">
        <v>1771</v>
      </c>
      <c r="E77" s="2" t="s">
        <v>1783</v>
      </c>
      <c r="F77" s="2" t="s">
        <v>2074</v>
      </c>
      <c r="G77" s="2" t="s">
        <v>1784</v>
      </c>
      <c r="H77" s="2" t="s">
        <v>1986</v>
      </c>
      <c r="I77" s="2" t="s">
        <v>1616</v>
      </c>
      <c r="J77" s="2" t="s">
        <v>2079</v>
      </c>
      <c r="K77" s="36" t="s">
        <v>2080</v>
      </c>
      <c r="L77" s="2" t="s">
        <v>1746</v>
      </c>
      <c r="M77" s="2" t="s">
        <v>1620</v>
      </c>
      <c r="N77" s="2" t="s">
        <v>1620</v>
      </c>
      <c r="O77" s="2" t="s">
        <v>1747</v>
      </c>
    </row>
    <row r="78" spans="1:15" hidden="1">
      <c r="A78" s="2" t="s">
        <v>1903</v>
      </c>
      <c r="B78" s="2" t="s">
        <v>1609</v>
      </c>
      <c r="C78" s="2" t="s">
        <v>1634</v>
      </c>
      <c r="D78" s="2" t="s">
        <v>1904</v>
      </c>
      <c r="E78" s="2" t="s">
        <v>1676</v>
      </c>
      <c r="F78" s="2" t="s">
        <v>2074</v>
      </c>
      <c r="G78" s="2" t="s">
        <v>1862</v>
      </c>
      <c r="H78" s="2" t="s">
        <v>2081</v>
      </c>
      <c r="I78" s="2" t="s">
        <v>1616</v>
      </c>
      <c r="J78" s="2" t="s">
        <v>2082</v>
      </c>
      <c r="K78" s="36" t="s">
        <v>2083</v>
      </c>
      <c r="L78" s="2" t="s">
        <v>1746</v>
      </c>
      <c r="M78" s="2" t="s">
        <v>1620</v>
      </c>
      <c r="N78" s="2" t="s">
        <v>1620</v>
      </c>
      <c r="O78" s="2" t="s">
        <v>1747</v>
      </c>
    </row>
    <row r="79" spans="1:15" hidden="1">
      <c r="A79" s="2" t="s">
        <v>1976</v>
      </c>
      <c r="B79" s="2" t="s">
        <v>1609</v>
      </c>
      <c r="C79" s="2" t="s">
        <v>1634</v>
      </c>
      <c r="D79" s="2" t="s">
        <v>2084</v>
      </c>
      <c r="E79" s="2" t="s">
        <v>1705</v>
      </c>
      <c r="F79" s="2" t="s">
        <v>2074</v>
      </c>
      <c r="G79" s="2" t="s">
        <v>2031</v>
      </c>
      <c r="H79" s="2" t="s">
        <v>2085</v>
      </c>
      <c r="I79" s="2" t="s">
        <v>1616</v>
      </c>
      <c r="J79" s="2" t="s">
        <v>1908</v>
      </c>
      <c r="K79" s="36" t="s">
        <v>2086</v>
      </c>
      <c r="L79" s="2" t="s">
        <v>1817</v>
      </c>
      <c r="M79" s="2" t="s">
        <v>1620</v>
      </c>
      <c r="N79" s="2" t="s">
        <v>2087</v>
      </c>
      <c r="O79" s="2" t="s">
        <v>1959</v>
      </c>
    </row>
    <row r="80" spans="1:15" hidden="1">
      <c r="A80" s="2" t="s">
        <v>1976</v>
      </c>
      <c r="B80" s="2" t="s">
        <v>1609</v>
      </c>
      <c r="C80" s="2" t="s">
        <v>1634</v>
      </c>
      <c r="D80" s="2" t="s">
        <v>1872</v>
      </c>
      <c r="E80" s="2" t="s">
        <v>1676</v>
      </c>
      <c r="F80" s="2" t="s">
        <v>2074</v>
      </c>
      <c r="G80" s="2" t="s">
        <v>1946</v>
      </c>
      <c r="H80" s="2" t="s">
        <v>2088</v>
      </c>
      <c r="I80" s="2" t="s">
        <v>1616</v>
      </c>
      <c r="J80" s="2" t="s">
        <v>2089</v>
      </c>
      <c r="K80" s="36" t="s">
        <v>2090</v>
      </c>
      <c r="L80" s="2" t="s">
        <v>1762</v>
      </c>
      <c r="M80" s="2" t="s">
        <v>1620</v>
      </c>
      <c r="N80" s="2" t="s">
        <v>2090</v>
      </c>
      <c r="O80" s="2" t="s">
        <v>1849</v>
      </c>
    </row>
    <row r="81" spans="1:15">
      <c r="A81" s="2" t="s">
        <v>1748</v>
      </c>
      <c r="B81" s="2" t="s">
        <v>1609</v>
      </c>
      <c r="C81" s="2" t="s">
        <v>1634</v>
      </c>
      <c r="D81" s="2" t="s">
        <v>2091</v>
      </c>
      <c r="E81" s="2" t="s">
        <v>1646</v>
      </c>
      <c r="F81" s="2" t="s">
        <v>2074</v>
      </c>
      <c r="G81" s="2" t="s">
        <v>2002</v>
      </c>
      <c r="H81" s="2" t="s">
        <v>2092</v>
      </c>
      <c r="I81" s="2" t="s">
        <v>1616</v>
      </c>
      <c r="J81" s="2" t="s">
        <v>1988</v>
      </c>
      <c r="K81" s="2" t="s">
        <v>2093</v>
      </c>
      <c r="L81" s="2" t="s">
        <v>1746</v>
      </c>
      <c r="M81" s="2" t="s">
        <v>1620</v>
      </c>
      <c r="N81" s="2" t="s">
        <v>1620</v>
      </c>
      <c r="O81" s="2" t="s">
        <v>1747</v>
      </c>
    </row>
    <row r="82" spans="1:15">
      <c r="A82" s="2" t="s">
        <v>1748</v>
      </c>
      <c r="B82" s="2" t="s">
        <v>1609</v>
      </c>
      <c r="C82" s="2" t="s">
        <v>1634</v>
      </c>
      <c r="D82" s="2" t="s">
        <v>2094</v>
      </c>
      <c r="E82" s="2" t="s">
        <v>1646</v>
      </c>
      <c r="F82" s="2" t="s">
        <v>2074</v>
      </c>
      <c r="G82" s="2" t="s">
        <v>1838</v>
      </c>
      <c r="H82" s="2" t="s">
        <v>2095</v>
      </c>
      <c r="I82" s="2" t="s">
        <v>1616</v>
      </c>
      <c r="J82" s="2" t="s">
        <v>1883</v>
      </c>
      <c r="K82" s="2" t="s">
        <v>2096</v>
      </c>
      <c r="L82" s="2" t="s">
        <v>1746</v>
      </c>
      <c r="M82" s="2" t="s">
        <v>1620</v>
      </c>
      <c r="N82" s="2" t="s">
        <v>1620</v>
      </c>
      <c r="O82" s="2" t="s">
        <v>1747</v>
      </c>
    </row>
    <row r="83" spans="1:15">
      <c r="A83" s="2" t="s">
        <v>1748</v>
      </c>
      <c r="B83" s="2" t="s">
        <v>1609</v>
      </c>
      <c r="C83" s="2" t="s">
        <v>1634</v>
      </c>
      <c r="D83" s="2" t="s">
        <v>1890</v>
      </c>
      <c r="E83" s="2" t="s">
        <v>1646</v>
      </c>
      <c r="F83" s="2" t="s">
        <v>2074</v>
      </c>
      <c r="G83" s="2" t="s">
        <v>2097</v>
      </c>
      <c r="H83" s="2" t="s">
        <v>2098</v>
      </c>
      <c r="I83" s="2" t="s">
        <v>1616</v>
      </c>
      <c r="J83" s="2" t="s">
        <v>2099</v>
      </c>
      <c r="K83" s="2" t="s">
        <v>2100</v>
      </c>
      <c r="L83" s="2" t="s">
        <v>1746</v>
      </c>
      <c r="M83" s="2" t="s">
        <v>1620</v>
      </c>
      <c r="N83" s="2" t="s">
        <v>1620</v>
      </c>
      <c r="O83" s="2" t="s">
        <v>1747</v>
      </c>
    </row>
    <row r="84" spans="1:15">
      <c r="A84" s="2" t="s">
        <v>1748</v>
      </c>
      <c r="B84" s="2" t="s">
        <v>1609</v>
      </c>
      <c r="C84" s="2" t="s">
        <v>1634</v>
      </c>
      <c r="D84" s="2" t="s">
        <v>2101</v>
      </c>
      <c r="E84" s="2" t="s">
        <v>1646</v>
      </c>
      <c r="F84" s="2" t="s">
        <v>2074</v>
      </c>
      <c r="G84" s="2" t="s">
        <v>1838</v>
      </c>
      <c r="H84" s="2" t="s">
        <v>2095</v>
      </c>
      <c r="I84" s="2" t="s">
        <v>1616</v>
      </c>
      <c r="J84" s="2" t="s">
        <v>1993</v>
      </c>
      <c r="K84" s="2" t="s">
        <v>2082</v>
      </c>
      <c r="L84" s="2" t="s">
        <v>1746</v>
      </c>
      <c r="M84" s="2" t="s">
        <v>1620</v>
      </c>
      <c r="N84" s="2" t="s">
        <v>1620</v>
      </c>
      <c r="O84" s="2" t="s">
        <v>1747</v>
      </c>
    </row>
    <row r="85" spans="1:15">
      <c r="A85" s="2" t="s">
        <v>1748</v>
      </c>
      <c r="B85" s="2" t="s">
        <v>1609</v>
      </c>
      <c r="C85" s="2" t="s">
        <v>1634</v>
      </c>
      <c r="D85" s="2" t="s">
        <v>2102</v>
      </c>
      <c r="E85" s="2" t="s">
        <v>1646</v>
      </c>
      <c r="F85" s="2" t="s">
        <v>2074</v>
      </c>
      <c r="G85" s="2" t="s">
        <v>2103</v>
      </c>
      <c r="H85" s="2" t="s">
        <v>2104</v>
      </c>
      <c r="I85" s="2" t="s">
        <v>1616</v>
      </c>
      <c r="J85" s="2" t="s">
        <v>2105</v>
      </c>
      <c r="K85" s="2" t="s">
        <v>2106</v>
      </c>
      <c r="L85" s="2" t="s">
        <v>1746</v>
      </c>
      <c r="M85" s="2" t="s">
        <v>1620</v>
      </c>
      <c r="N85" s="2" t="s">
        <v>1620</v>
      </c>
      <c r="O85" s="2" t="s">
        <v>1747</v>
      </c>
    </row>
    <row r="86" spans="1:15">
      <c r="A86" s="2" t="s">
        <v>1748</v>
      </c>
      <c r="B86" s="2" t="s">
        <v>1609</v>
      </c>
      <c r="C86" s="2" t="s">
        <v>1634</v>
      </c>
      <c r="D86" s="2" t="s">
        <v>2107</v>
      </c>
      <c r="E86" s="2" t="s">
        <v>1646</v>
      </c>
      <c r="F86" s="2" t="s">
        <v>2074</v>
      </c>
      <c r="G86" s="2" t="s">
        <v>1891</v>
      </c>
      <c r="H86" s="2" t="s">
        <v>2108</v>
      </c>
      <c r="I86" s="2" t="s">
        <v>1616</v>
      </c>
      <c r="J86" s="2" t="s">
        <v>1660</v>
      </c>
      <c r="K86" s="2" t="s">
        <v>2109</v>
      </c>
      <c r="L86" s="2" t="s">
        <v>1746</v>
      </c>
      <c r="M86" s="2" t="s">
        <v>1620</v>
      </c>
      <c r="N86" s="2" t="s">
        <v>1620</v>
      </c>
      <c r="O86" s="2" t="s">
        <v>1747</v>
      </c>
    </row>
    <row r="87" spans="1:15">
      <c r="A87" s="2" t="s">
        <v>1644</v>
      </c>
      <c r="B87" s="2" t="s">
        <v>1609</v>
      </c>
      <c r="C87" s="2" t="s">
        <v>1634</v>
      </c>
      <c r="D87" s="2" t="s">
        <v>2110</v>
      </c>
      <c r="E87" s="2" t="s">
        <v>1646</v>
      </c>
      <c r="F87" s="2" t="s">
        <v>2074</v>
      </c>
      <c r="G87" s="2" t="s">
        <v>2111</v>
      </c>
      <c r="H87" s="2" t="s">
        <v>2112</v>
      </c>
      <c r="I87" s="2" t="s">
        <v>1616</v>
      </c>
      <c r="J87" s="2" t="s">
        <v>2113</v>
      </c>
      <c r="K87" s="2" t="s">
        <v>2114</v>
      </c>
      <c r="L87" s="2" t="s">
        <v>1746</v>
      </c>
      <c r="M87" s="2" t="s">
        <v>1620</v>
      </c>
      <c r="N87" s="2" t="s">
        <v>1620</v>
      </c>
      <c r="O87" s="2" t="s">
        <v>1747</v>
      </c>
    </row>
    <row r="88" spans="1:15">
      <c r="A88" s="2" t="s">
        <v>1644</v>
      </c>
      <c r="B88" s="2" t="s">
        <v>1609</v>
      </c>
      <c r="C88" s="2" t="s">
        <v>1634</v>
      </c>
      <c r="D88" s="2" t="s">
        <v>2115</v>
      </c>
      <c r="E88" s="2" t="s">
        <v>1646</v>
      </c>
      <c r="F88" s="2" t="s">
        <v>2074</v>
      </c>
      <c r="G88" s="2" t="s">
        <v>1784</v>
      </c>
      <c r="H88" s="2" t="s">
        <v>1986</v>
      </c>
      <c r="I88" s="2" t="s">
        <v>1616</v>
      </c>
      <c r="J88" s="2" t="s">
        <v>1775</v>
      </c>
      <c r="K88" s="2" t="s">
        <v>2116</v>
      </c>
      <c r="L88" s="2" t="s">
        <v>1762</v>
      </c>
      <c r="M88" s="2" t="s">
        <v>1620</v>
      </c>
      <c r="N88" s="2" t="s">
        <v>2116</v>
      </c>
      <c r="O88" s="2" t="s">
        <v>1849</v>
      </c>
    </row>
    <row r="89" spans="1:15" hidden="1">
      <c r="A89" s="2" t="s">
        <v>1923</v>
      </c>
      <c r="B89" s="2" t="s">
        <v>1609</v>
      </c>
      <c r="C89" s="2" t="s">
        <v>1634</v>
      </c>
      <c r="D89" s="2" t="s">
        <v>1904</v>
      </c>
      <c r="E89" s="2" t="s">
        <v>1795</v>
      </c>
      <c r="F89" s="2" t="s">
        <v>2074</v>
      </c>
      <c r="G89" s="2" t="s">
        <v>2117</v>
      </c>
      <c r="H89" s="2" t="s">
        <v>2000</v>
      </c>
      <c r="I89" s="2" t="s">
        <v>1616</v>
      </c>
      <c r="J89" s="2" t="s">
        <v>2118</v>
      </c>
      <c r="K89" s="2" t="s">
        <v>2119</v>
      </c>
      <c r="L89" s="2" t="s">
        <v>1746</v>
      </c>
      <c r="M89" s="2" t="s">
        <v>1620</v>
      </c>
      <c r="N89" s="2" t="s">
        <v>1620</v>
      </c>
      <c r="O89" s="2" t="s">
        <v>1747</v>
      </c>
    </row>
    <row r="90" spans="1:15" hidden="1">
      <c r="A90" s="2" t="s">
        <v>1788</v>
      </c>
      <c r="B90" s="2" t="s">
        <v>1609</v>
      </c>
      <c r="C90" s="2" t="s">
        <v>1634</v>
      </c>
      <c r="D90" s="2" t="s">
        <v>1771</v>
      </c>
      <c r="E90" s="2" t="s">
        <v>1635</v>
      </c>
      <c r="F90" s="2" t="s">
        <v>2120</v>
      </c>
      <c r="G90" s="2" t="s">
        <v>1801</v>
      </c>
      <c r="H90" s="2" t="s">
        <v>2121</v>
      </c>
      <c r="I90" s="2" t="s">
        <v>1616</v>
      </c>
      <c r="J90" s="2" t="s">
        <v>2122</v>
      </c>
      <c r="K90" s="2" t="s">
        <v>2123</v>
      </c>
      <c r="L90" s="2" t="s">
        <v>1746</v>
      </c>
      <c r="M90" s="2" t="s">
        <v>1620</v>
      </c>
      <c r="N90" s="2" t="s">
        <v>1620</v>
      </c>
      <c r="O90" s="2" t="s">
        <v>1747</v>
      </c>
    </row>
    <row r="91" spans="1:15" hidden="1">
      <c r="A91" s="2" t="s">
        <v>1694</v>
      </c>
      <c r="B91" s="2" t="s">
        <v>1609</v>
      </c>
      <c r="C91" s="2" t="s">
        <v>1634</v>
      </c>
      <c r="D91" s="2" t="s">
        <v>2124</v>
      </c>
      <c r="E91" s="2" t="s">
        <v>1696</v>
      </c>
      <c r="F91" s="2" t="s">
        <v>2120</v>
      </c>
      <c r="G91" s="2" t="s">
        <v>2125</v>
      </c>
      <c r="H91" s="2" t="s">
        <v>1704</v>
      </c>
      <c r="I91" s="2" t="s">
        <v>1616</v>
      </c>
      <c r="J91" s="2" t="s">
        <v>2126</v>
      </c>
      <c r="K91" s="36" t="s">
        <v>2127</v>
      </c>
      <c r="L91" s="2" t="s">
        <v>1746</v>
      </c>
      <c r="M91" s="2" t="s">
        <v>1620</v>
      </c>
      <c r="N91" s="2" t="s">
        <v>1620</v>
      </c>
      <c r="O91" s="2" t="s">
        <v>1747</v>
      </c>
    </row>
    <row r="92" spans="1:15" hidden="1">
      <c r="A92" s="2" t="s">
        <v>1782</v>
      </c>
      <c r="B92" s="2" t="s">
        <v>1609</v>
      </c>
      <c r="C92" s="2" t="s">
        <v>1634</v>
      </c>
      <c r="D92" s="2" t="s">
        <v>1741</v>
      </c>
      <c r="E92" s="2" t="s">
        <v>1676</v>
      </c>
      <c r="F92" s="2" t="s">
        <v>2120</v>
      </c>
      <c r="G92" s="2" t="s">
        <v>1749</v>
      </c>
      <c r="H92" s="2" t="s">
        <v>2128</v>
      </c>
      <c r="I92" s="2" t="s">
        <v>1616</v>
      </c>
      <c r="J92" s="2" t="s">
        <v>1780</v>
      </c>
      <c r="K92" s="2" t="s">
        <v>2129</v>
      </c>
      <c r="L92" s="2" t="s">
        <v>1746</v>
      </c>
      <c r="M92" s="2" t="s">
        <v>1620</v>
      </c>
      <c r="N92" s="2" t="s">
        <v>1620</v>
      </c>
      <c r="O92" s="2" t="s">
        <v>1747</v>
      </c>
    </row>
    <row r="93" spans="1:15" hidden="1">
      <c r="A93" s="2" t="s">
        <v>1782</v>
      </c>
      <c r="B93" s="2" t="s">
        <v>1609</v>
      </c>
      <c r="C93" s="2" t="s">
        <v>1634</v>
      </c>
      <c r="D93" s="2" t="s">
        <v>1741</v>
      </c>
      <c r="E93" s="2" t="s">
        <v>1635</v>
      </c>
      <c r="F93" s="2" t="s">
        <v>2120</v>
      </c>
      <c r="G93" s="2" t="s">
        <v>1764</v>
      </c>
      <c r="H93" s="2" t="s">
        <v>1856</v>
      </c>
      <c r="I93" s="2" t="s">
        <v>1616</v>
      </c>
      <c r="J93" s="2" t="s">
        <v>2130</v>
      </c>
      <c r="K93" s="2" t="s">
        <v>2131</v>
      </c>
      <c r="L93" s="2" t="s">
        <v>1762</v>
      </c>
      <c r="M93" s="2" t="s">
        <v>1620</v>
      </c>
      <c r="N93" s="2" t="s">
        <v>2131</v>
      </c>
      <c r="O93" s="2" t="s">
        <v>1986</v>
      </c>
    </row>
    <row r="94" spans="1:15" hidden="1">
      <c r="A94" s="2" t="s">
        <v>1976</v>
      </c>
      <c r="B94" s="2" t="s">
        <v>1609</v>
      </c>
      <c r="C94" s="2" t="s">
        <v>1634</v>
      </c>
      <c r="D94" s="2" t="s">
        <v>2011</v>
      </c>
      <c r="E94" s="2" t="s">
        <v>1705</v>
      </c>
      <c r="F94" s="2" t="s">
        <v>2120</v>
      </c>
      <c r="G94" s="2" t="s">
        <v>1733</v>
      </c>
      <c r="H94" s="2" t="s">
        <v>2132</v>
      </c>
      <c r="I94" s="2" t="s">
        <v>1616</v>
      </c>
      <c r="J94" s="2" t="s">
        <v>2133</v>
      </c>
      <c r="K94" s="36" t="s">
        <v>2134</v>
      </c>
      <c r="L94" s="2" t="s">
        <v>1746</v>
      </c>
      <c r="M94" s="2" t="s">
        <v>1620</v>
      </c>
      <c r="N94" s="2" t="s">
        <v>1620</v>
      </c>
      <c r="O94" s="2" t="s">
        <v>1747</v>
      </c>
    </row>
    <row r="95" spans="1:15" hidden="1">
      <c r="A95" s="2" t="s">
        <v>1976</v>
      </c>
      <c r="B95" s="2" t="s">
        <v>1609</v>
      </c>
      <c r="C95" s="2" t="s">
        <v>1634</v>
      </c>
      <c r="D95" s="2" t="s">
        <v>2135</v>
      </c>
      <c r="E95" s="2" t="s">
        <v>1705</v>
      </c>
      <c r="F95" s="2" t="s">
        <v>2120</v>
      </c>
      <c r="G95" s="2" t="s">
        <v>2136</v>
      </c>
      <c r="H95" s="2" t="s">
        <v>1931</v>
      </c>
      <c r="I95" s="2" t="s">
        <v>1616</v>
      </c>
      <c r="J95" s="2" t="s">
        <v>2137</v>
      </c>
      <c r="K95" s="36" t="s">
        <v>2138</v>
      </c>
      <c r="L95" s="2" t="s">
        <v>1746</v>
      </c>
      <c r="M95" s="2" t="s">
        <v>1620</v>
      </c>
      <c r="N95" s="2" t="s">
        <v>1620</v>
      </c>
      <c r="O95" s="2" t="s">
        <v>1747</v>
      </c>
    </row>
    <row r="96" spans="1:15" hidden="1">
      <c r="A96" s="2" t="s">
        <v>1976</v>
      </c>
      <c r="B96" s="2" t="s">
        <v>1609</v>
      </c>
      <c r="C96" s="2" t="s">
        <v>1634</v>
      </c>
      <c r="D96" s="2" t="s">
        <v>2055</v>
      </c>
      <c r="E96" s="2" t="s">
        <v>1676</v>
      </c>
      <c r="F96" s="2" t="s">
        <v>2120</v>
      </c>
      <c r="G96" s="2" t="s">
        <v>1801</v>
      </c>
      <c r="H96" s="2" t="s">
        <v>2121</v>
      </c>
      <c r="I96" s="2" t="s">
        <v>1616</v>
      </c>
      <c r="J96" s="2" t="s">
        <v>2139</v>
      </c>
      <c r="K96" s="36" t="s">
        <v>2140</v>
      </c>
      <c r="L96" s="2" t="s">
        <v>1746</v>
      </c>
      <c r="M96" s="2" t="s">
        <v>1620</v>
      </c>
      <c r="N96" s="2" t="s">
        <v>1620</v>
      </c>
      <c r="O96" s="2" t="s">
        <v>1747</v>
      </c>
    </row>
    <row r="97" spans="1:15" hidden="1">
      <c r="A97" s="2" t="s">
        <v>1976</v>
      </c>
      <c r="B97" s="2" t="s">
        <v>1609</v>
      </c>
      <c r="C97" s="2" t="s">
        <v>1634</v>
      </c>
      <c r="D97" s="2" t="s">
        <v>2141</v>
      </c>
      <c r="E97" s="2" t="s">
        <v>1676</v>
      </c>
      <c r="F97" s="2" t="s">
        <v>2120</v>
      </c>
      <c r="G97" s="2" t="s">
        <v>2030</v>
      </c>
      <c r="H97" s="2" t="s">
        <v>2142</v>
      </c>
      <c r="I97" s="2" t="s">
        <v>1616</v>
      </c>
      <c r="J97" s="2" t="s">
        <v>2143</v>
      </c>
      <c r="K97" s="36" t="s">
        <v>2144</v>
      </c>
      <c r="L97" s="2" t="s">
        <v>1746</v>
      </c>
      <c r="M97" s="2" t="s">
        <v>1620</v>
      </c>
      <c r="N97" s="2" t="s">
        <v>1620</v>
      </c>
      <c r="O97" s="2" t="s">
        <v>1747</v>
      </c>
    </row>
    <row r="98" spans="1:15">
      <c r="A98" s="2" t="s">
        <v>1748</v>
      </c>
      <c r="B98" s="2" t="s">
        <v>1609</v>
      </c>
      <c r="C98" s="2" t="s">
        <v>1634</v>
      </c>
      <c r="D98" s="2" t="s">
        <v>2084</v>
      </c>
      <c r="E98" s="2" t="s">
        <v>1646</v>
      </c>
      <c r="F98" s="2" t="s">
        <v>2120</v>
      </c>
      <c r="G98" s="2" t="s">
        <v>2052</v>
      </c>
      <c r="H98" s="2" t="s">
        <v>2145</v>
      </c>
      <c r="I98" s="2" t="s">
        <v>1616</v>
      </c>
      <c r="J98" s="2" t="s">
        <v>2146</v>
      </c>
      <c r="K98" s="2" t="s">
        <v>2147</v>
      </c>
      <c r="L98" s="2" t="s">
        <v>1817</v>
      </c>
      <c r="M98" s="2" t="s">
        <v>1620</v>
      </c>
      <c r="N98" s="2" t="s">
        <v>1639</v>
      </c>
      <c r="O98" s="2" t="s">
        <v>2148</v>
      </c>
    </row>
    <row r="99" spans="1:15">
      <c r="A99" s="2" t="s">
        <v>1748</v>
      </c>
      <c r="B99" s="2" t="s">
        <v>1609</v>
      </c>
      <c r="C99" s="2" t="s">
        <v>1634</v>
      </c>
      <c r="D99" s="2" t="s">
        <v>2141</v>
      </c>
      <c r="E99" s="2" t="s">
        <v>1646</v>
      </c>
      <c r="F99" s="2" t="s">
        <v>2120</v>
      </c>
      <c r="G99" s="2" t="s">
        <v>2149</v>
      </c>
      <c r="H99" s="2" t="s">
        <v>2150</v>
      </c>
      <c r="I99" s="2" t="s">
        <v>1616</v>
      </c>
      <c r="J99" s="2" t="s">
        <v>2151</v>
      </c>
      <c r="K99" s="2" t="s">
        <v>2152</v>
      </c>
      <c r="L99" s="2" t="s">
        <v>1762</v>
      </c>
      <c r="M99" s="2" t="s">
        <v>1620</v>
      </c>
      <c r="N99" s="2" t="s">
        <v>2152</v>
      </c>
      <c r="O99" s="2" t="s">
        <v>1986</v>
      </c>
    </row>
    <row r="100" spans="1:15">
      <c r="A100" s="2" t="s">
        <v>1748</v>
      </c>
      <c r="B100" s="2" t="s">
        <v>1609</v>
      </c>
      <c r="C100" s="2" t="s">
        <v>1634</v>
      </c>
      <c r="D100" s="2" t="s">
        <v>1977</v>
      </c>
      <c r="E100" s="2" t="s">
        <v>1646</v>
      </c>
      <c r="F100" s="2" t="s">
        <v>2120</v>
      </c>
      <c r="G100" s="2" t="s">
        <v>1973</v>
      </c>
      <c r="H100" s="2" t="s">
        <v>2153</v>
      </c>
      <c r="I100" s="2" t="s">
        <v>1616</v>
      </c>
      <c r="J100" s="2" t="s">
        <v>2154</v>
      </c>
      <c r="K100" s="2" t="s">
        <v>2155</v>
      </c>
      <c r="L100" s="2" t="s">
        <v>1746</v>
      </c>
      <c r="M100" s="2" t="s">
        <v>1620</v>
      </c>
      <c r="N100" s="2" t="s">
        <v>1620</v>
      </c>
      <c r="O100" s="2" t="s">
        <v>1747</v>
      </c>
    </row>
    <row r="101" spans="1:15" hidden="1">
      <c r="A101" s="2" t="s">
        <v>1923</v>
      </c>
      <c r="B101" s="2" t="s">
        <v>1609</v>
      </c>
      <c r="C101" s="2" t="s">
        <v>1634</v>
      </c>
      <c r="D101" s="2" t="s">
        <v>1771</v>
      </c>
      <c r="E101" s="2" t="s">
        <v>1795</v>
      </c>
      <c r="F101" s="2" t="s">
        <v>2120</v>
      </c>
      <c r="G101" s="2" t="s">
        <v>2156</v>
      </c>
      <c r="H101" s="2" t="s">
        <v>2041</v>
      </c>
      <c r="I101" s="2" t="s">
        <v>1616</v>
      </c>
      <c r="J101" s="2" t="s">
        <v>2157</v>
      </c>
      <c r="K101" s="2" t="s">
        <v>2158</v>
      </c>
      <c r="L101" s="2" t="s">
        <v>1746</v>
      </c>
      <c r="M101" s="2" t="s">
        <v>1620</v>
      </c>
      <c r="N101" s="2" t="s">
        <v>1620</v>
      </c>
      <c r="O101" s="2" t="s">
        <v>1747</v>
      </c>
    </row>
    <row r="102" spans="1:15" hidden="1">
      <c r="A102" s="2" t="s">
        <v>1923</v>
      </c>
      <c r="B102" s="2" t="s">
        <v>1609</v>
      </c>
      <c r="C102" s="2" t="s">
        <v>1634</v>
      </c>
      <c r="D102" s="2" t="s">
        <v>2011</v>
      </c>
      <c r="E102" s="2" t="s">
        <v>1795</v>
      </c>
      <c r="F102" s="2" t="s">
        <v>2120</v>
      </c>
      <c r="G102" s="2" t="s">
        <v>2159</v>
      </c>
      <c r="H102" s="2" t="s">
        <v>2160</v>
      </c>
      <c r="I102" s="2" t="s">
        <v>1616</v>
      </c>
      <c r="J102" s="2" t="s">
        <v>2161</v>
      </c>
      <c r="K102" s="2" t="s">
        <v>2162</v>
      </c>
      <c r="L102" s="2" t="s">
        <v>1746</v>
      </c>
      <c r="M102" s="2" t="s">
        <v>1620</v>
      </c>
      <c r="N102" s="2" t="s">
        <v>1620</v>
      </c>
      <c r="O102" s="2" t="s">
        <v>1747</v>
      </c>
    </row>
    <row r="103" spans="1:15" hidden="1">
      <c r="A103" s="2" t="s">
        <v>1923</v>
      </c>
      <c r="B103" s="2" t="s">
        <v>1609</v>
      </c>
      <c r="C103" s="2" t="s">
        <v>1634</v>
      </c>
      <c r="D103" s="2" t="s">
        <v>1656</v>
      </c>
      <c r="E103" s="2" t="s">
        <v>1795</v>
      </c>
      <c r="F103" s="2" t="s">
        <v>2120</v>
      </c>
      <c r="G103" s="2" t="s">
        <v>1905</v>
      </c>
      <c r="H103" s="2" t="s">
        <v>2163</v>
      </c>
      <c r="I103" s="2" t="s">
        <v>1616</v>
      </c>
      <c r="J103" s="2" t="s">
        <v>2164</v>
      </c>
      <c r="K103" s="2" t="s">
        <v>2165</v>
      </c>
      <c r="L103" s="2" t="s">
        <v>1746</v>
      </c>
      <c r="M103" s="2" t="s">
        <v>1620</v>
      </c>
      <c r="N103" s="2" t="s">
        <v>1620</v>
      </c>
      <c r="O103" s="2" t="s">
        <v>1747</v>
      </c>
    </row>
    <row r="104" spans="1:15" hidden="1">
      <c r="A104" s="2" t="s">
        <v>1923</v>
      </c>
      <c r="B104" s="2" t="s">
        <v>1609</v>
      </c>
      <c r="C104" s="2" t="s">
        <v>1634</v>
      </c>
      <c r="D104" s="2" t="s">
        <v>1611</v>
      </c>
      <c r="E104" s="2" t="s">
        <v>1795</v>
      </c>
      <c r="F104" s="2" t="s">
        <v>2120</v>
      </c>
      <c r="G104" s="2" t="s">
        <v>2166</v>
      </c>
      <c r="H104" s="2" t="s">
        <v>2167</v>
      </c>
      <c r="I104" s="2" t="s">
        <v>1616</v>
      </c>
      <c r="J104" s="2" t="s">
        <v>2168</v>
      </c>
      <c r="K104" s="2" t="s">
        <v>2169</v>
      </c>
      <c r="L104" s="2" t="s">
        <v>1746</v>
      </c>
      <c r="M104" s="2" t="s">
        <v>1620</v>
      </c>
      <c r="N104" s="2" t="s">
        <v>1620</v>
      </c>
      <c r="O104" s="2" t="s">
        <v>1747</v>
      </c>
    </row>
    <row r="105" spans="1:15" hidden="1">
      <c r="A105" s="2" t="s">
        <v>1794</v>
      </c>
      <c r="B105" s="2" t="s">
        <v>1609</v>
      </c>
      <c r="C105" s="2" t="s">
        <v>1634</v>
      </c>
      <c r="D105" s="2" t="s">
        <v>1656</v>
      </c>
      <c r="E105" s="2" t="s">
        <v>1795</v>
      </c>
      <c r="F105" s="2" t="s">
        <v>2120</v>
      </c>
      <c r="G105" s="2" t="s">
        <v>1749</v>
      </c>
      <c r="H105" s="2" t="s">
        <v>2128</v>
      </c>
      <c r="I105" s="2" t="s">
        <v>1616</v>
      </c>
      <c r="J105" s="2" t="s">
        <v>2137</v>
      </c>
      <c r="K105" s="2" t="s">
        <v>2170</v>
      </c>
      <c r="L105" s="2" t="s">
        <v>1746</v>
      </c>
      <c r="M105" s="2" t="s">
        <v>1620</v>
      </c>
      <c r="N105" s="2" t="s">
        <v>1620</v>
      </c>
      <c r="O105" s="2" t="s">
        <v>1747</v>
      </c>
    </row>
    <row r="106" spans="1:15" hidden="1">
      <c r="A106" s="2" t="s">
        <v>1878</v>
      </c>
      <c r="B106" s="2" t="s">
        <v>1609</v>
      </c>
      <c r="C106" s="2" t="s">
        <v>1634</v>
      </c>
      <c r="D106" s="2" t="s">
        <v>2094</v>
      </c>
      <c r="E106" s="2" t="s">
        <v>1880</v>
      </c>
      <c r="F106" s="2" t="s">
        <v>2120</v>
      </c>
      <c r="G106" s="2" t="s">
        <v>1935</v>
      </c>
      <c r="H106" s="2" t="s">
        <v>2171</v>
      </c>
      <c r="I106" s="2" t="s">
        <v>1616</v>
      </c>
      <c r="J106" s="2" t="s">
        <v>2172</v>
      </c>
      <c r="K106" s="36" t="s">
        <v>1817</v>
      </c>
      <c r="L106" s="2" t="s">
        <v>1746</v>
      </c>
      <c r="M106" s="2" t="s">
        <v>1620</v>
      </c>
      <c r="N106" s="2" t="s">
        <v>1620</v>
      </c>
      <c r="O106" s="2" t="s">
        <v>1747</v>
      </c>
    </row>
    <row r="107" spans="1:15" hidden="1">
      <c r="A107" s="2" t="s">
        <v>1878</v>
      </c>
      <c r="B107" s="2" t="s">
        <v>1609</v>
      </c>
      <c r="C107" s="2" t="s">
        <v>1634</v>
      </c>
      <c r="D107" s="2" t="s">
        <v>2006</v>
      </c>
      <c r="E107" s="2" t="s">
        <v>1880</v>
      </c>
      <c r="F107" s="2" t="s">
        <v>2120</v>
      </c>
      <c r="G107" s="2" t="s">
        <v>2136</v>
      </c>
      <c r="H107" s="2" t="s">
        <v>1931</v>
      </c>
      <c r="I107" s="2" t="s">
        <v>1616</v>
      </c>
      <c r="J107" s="2" t="s">
        <v>1700</v>
      </c>
      <c r="K107" s="36" t="s">
        <v>2173</v>
      </c>
      <c r="L107" s="2" t="s">
        <v>1754</v>
      </c>
      <c r="M107" s="2" t="s">
        <v>1620</v>
      </c>
      <c r="N107" s="2" t="s">
        <v>2174</v>
      </c>
      <c r="O107" s="2" t="s">
        <v>2175</v>
      </c>
    </row>
    <row r="108" spans="1:15" hidden="1">
      <c r="A108" s="2" t="s">
        <v>1934</v>
      </c>
      <c r="B108" s="2" t="s">
        <v>1609</v>
      </c>
      <c r="C108" s="2" t="s">
        <v>1634</v>
      </c>
      <c r="D108" s="2" t="s">
        <v>1771</v>
      </c>
      <c r="E108" s="2" t="s">
        <v>1635</v>
      </c>
      <c r="F108" s="2" t="s">
        <v>2176</v>
      </c>
      <c r="G108" s="2" t="s">
        <v>1885</v>
      </c>
      <c r="H108" s="2" t="s">
        <v>2177</v>
      </c>
      <c r="I108" s="2" t="s">
        <v>1616</v>
      </c>
      <c r="J108" s="2" t="s">
        <v>1865</v>
      </c>
      <c r="K108" s="36" t="s">
        <v>2178</v>
      </c>
      <c r="L108" s="2" t="s">
        <v>1746</v>
      </c>
      <c r="M108" s="2" t="s">
        <v>1620</v>
      </c>
      <c r="N108" s="2" t="s">
        <v>1620</v>
      </c>
      <c r="O108" s="2" t="s">
        <v>1747</v>
      </c>
    </row>
    <row r="109" spans="1:15" hidden="1">
      <c r="A109" s="2" t="s">
        <v>1903</v>
      </c>
      <c r="B109" s="2" t="s">
        <v>1609</v>
      </c>
      <c r="C109" s="2" t="s">
        <v>1634</v>
      </c>
      <c r="D109" s="2" t="s">
        <v>1904</v>
      </c>
      <c r="E109" s="2" t="s">
        <v>1635</v>
      </c>
      <c r="F109" s="2" t="s">
        <v>2176</v>
      </c>
      <c r="G109" s="2" t="s">
        <v>2030</v>
      </c>
      <c r="H109" s="2" t="s">
        <v>2179</v>
      </c>
      <c r="I109" s="2" t="s">
        <v>1616</v>
      </c>
      <c r="J109" s="2" t="s">
        <v>2180</v>
      </c>
      <c r="K109" s="36" t="s">
        <v>2181</v>
      </c>
      <c r="L109" s="2" t="s">
        <v>1762</v>
      </c>
      <c r="M109" s="2" t="s">
        <v>1620</v>
      </c>
      <c r="N109" s="2" t="s">
        <v>2181</v>
      </c>
      <c r="O109" s="2" t="s">
        <v>2095</v>
      </c>
    </row>
    <row r="110" spans="1:15" hidden="1">
      <c r="A110" s="2" t="s">
        <v>1903</v>
      </c>
      <c r="B110" s="2" t="s">
        <v>1609</v>
      </c>
      <c r="C110" s="2" t="s">
        <v>1634</v>
      </c>
      <c r="D110" s="2" t="s">
        <v>1904</v>
      </c>
      <c r="E110" s="2" t="s">
        <v>1837</v>
      </c>
      <c r="F110" s="2" t="s">
        <v>2176</v>
      </c>
      <c r="G110" s="2" t="s">
        <v>2056</v>
      </c>
      <c r="H110" s="2" t="s">
        <v>2182</v>
      </c>
      <c r="I110" s="2" t="s">
        <v>1616</v>
      </c>
      <c r="J110" s="2" t="s">
        <v>2183</v>
      </c>
      <c r="K110" s="36" t="s">
        <v>2184</v>
      </c>
      <c r="L110" s="2" t="s">
        <v>1746</v>
      </c>
      <c r="M110" s="2" t="s">
        <v>1620</v>
      </c>
      <c r="N110" s="2" t="s">
        <v>1620</v>
      </c>
      <c r="O110" s="2" t="s">
        <v>1747</v>
      </c>
    </row>
    <row r="111" spans="1:15" hidden="1">
      <c r="A111" s="2" t="s">
        <v>1911</v>
      </c>
      <c r="B111" s="2" t="s">
        <v>1609</v>
      </c>
      <c r="C111" s="2" t="s">
        <v>1634</v>
      </c>
      <c r="D111" s="2" t="s">
        <v>1624</v>
      </c>
      <c r="E111" s="2" t="s">
        <v>1723</v>
      </c>
      <c r="F111" s="2" t="s">
        <v>2176</v>
      </c>
      <c r="G111" s="2" t="s">
        <v>2185</v>
      </c>
      <c r="H111" s="2" t="s">
        <v>2186</v>
      </c>
      <c r="I111" s="2" t="s">
        <v>1616</v>
      </c>
      <c r="J111" s="2" t="s">
        <v>2187</v>
      </c>
      <c r="K111" s="36" t="s">
        <v>2188</v>
      </c>
      <c r="L111" s="2" t="s">
        <v>1746</v>
      </c>
      <c r="M111" s="2" t="s">
        <v>1620</v>
      </c>
      <c r="N111" s="2" t="s">
        <v>1620</v>
      </c>
      <c r="O111" s="2" t="s">
        <v>1747</v>
      </c>
    </row>
    <row r="112" spans="1:15" hidden="1">
      <c r="A112" s="2" t="s">
        <v>1861</v>
      </c>
      <c r="B112" s="2" t="s">
        <v>1609</v>
      </c>
      <c r="C112" s="2" t="s">
        <v>1634</v>
      </c>
      <c r="D112" s="2" t="s">
        <v>1611</v>
      </c>
      <c r="E112" s="2" t="s">
        <v>1676</v>
      </c>
      <c r="F112" s="2" t="s">
        <v>2176</v>
      </c>
      <c r="G112" s="2" t="s">
        <v>1905</v>
      </c>
      <c r="H112" s="2" t="s">
        <v>2189</v>
      </c>
      <c r="I112" s="2" t="s">
        <v>1616</v>
      </c>
      <c r="J112" s="2" t="s">
        <v>2089</v>
      </c>
      <c r="K112" s="2" t="s">
        <v>2190</v>
      </c>
      <c r="L112" s="2" t="s">
        <v>1746</v>
      </c>
      <c r="M112" s="2" t="s">
        <v>1620</v>
      </c>
      <c r="N112" s="2" t="s">
        <v>1620</v>
      </c>
      <c r="O112" s="2" t="s">
        <v>1747</v>
      </c>
    </row>
    <row r="113" spans="1:15" hidden="1">
      <c r="A113" s="2" t="s">
        <v>1788</v>
      </c>
      <c r="B113" s="2" t="s">
        <v>1609</v>
      </c>
      <c r="C113" s="2" t="s">
        <v>1634</v>
      </c>
      <c r="D113" s="2" t="s">
        <v>1771</v>
      </c>
      <c r="E113" s="2" t="s">
        <v>1676</v>
      </c>
      <c r="F113" s="2" t="s">
        <v>2176</v>
      </c>
      <c r="G113" s="2" t="s">
        <v>1912</v>
      </c>
      <c r="H113" s="2" t="s">
        <v>2191</v>
      </c>
      <c r="I113" s="2" t="s">
        <v>1616</v>
      </c>
      <c r="J113" s="2" t="s">
        <v>2192</v>
      </c>
      <c r="K113" s="2" t="s">
        <v>2193</v>
      </c>
      <c r="L113" s="2" t="s">
        <v>1746</v>
      </c>
      <c r="M113" s="2" t="s">
        <v>1620</v>
      </c>
      <c r="N113" s="2" t="s">
        <v>1620</v>
      </c>
      <c r="O113" s="2" t="s">
        <v>1747</v>
      </c>
    </row>
    <row r="114" spans="1:15" hidden="1">
      <c r="A114" s="2" t="s">
        <v>1976</v>
      </c>
      <c r="B114" s="2" t="s">
        <v>1609</v>
      </c>
      <c r="C114" s="2" t="s">
        <v>1634</v>
      </c>
      <c r="D114" s="2" t="s">
        <v>2194</v>
      </c>
      <c r="E114" s="2" t="s">
        <v>1705</v>
      </c>
      <c r="F114" s="2" t="s">
        <v>2176</v>
      </c>
      <c r="G114" s="2" t="s">
        <v>1772</v>
      </c>
      <c r="H114" s="2" t="s">
        <v>2014</v>
      </c>
      <c r="I114" s="2" t="s">
        <v>1616</v>
      </c>
      <c r="J114" s="2" t="s">
        <v>2195</v>
      </c>
      <c r="K114" s="36" t="s">
        <v>2196</v>
      </c>
      <c r="L114" s="2" t="s">
        <v>1746</v>
      </c>
      <c r="M114" s="2" t="s">
        <v>1620</v>
      </c>
      <c r="N114" s="2" t="s">
        <v>1620</v>
      </c>
      <c r="O114" s="2" t="s">
        <v>1747</v>
      </c>
    </row>
    <row r="115" spans="1:15" hidden="1">
      <c r="A115" s="2" t="s">
        <v>1976</v>
      </c>
      <c r="B115" s="2" t="s">
        <v>1609</v>
      </c>
      <c r="C115" s="2" t="s">
        <v>1634</v>
      </c>
      <c r="D115" s="2" t="s">
        <v>1872</v>
      </c>
      <c r="E115" s="2" t="s">
        <v>1705</v>
      </c>
      <c r="F115" s="2" t="s">
        <v>2176</v>
      </c>
      <c r="G115" s="2" t="s">
        <v>1838</v>
      </c>
      <c r="H115" s="2" t="s">
        <v>1849</v>
      </c>
      <c r="I115" s="2" t="s">
        <v>1616</v>
      </c>
      <c r="J115" s="2" t="s">
        <v>2197</v>
      </c>
      <c r="K115" s="36" t="s">
        <v>1736</v>
      </c>
      <c r="L115" s="2" t="s">
        <v>1746</v>
      </c>
      <c r="M115" s="2" t="s">
        <v>1620</v>
      </c>
      <c r="N115" s="2" t="s">
        <v>1620</v>
      </c>
      <c r="O115" s="2" t="s">
        <v>1747</v>
      </c>
    </row>
    <row r="116" spans="1:15" hidden="1">
      <c r="A116" s="2" t="s">
        <v>1976</v>
      </c>
      <c r="B116" s="2" t="s">
        <v>1609</v>
      </c>
      <c r="C116" s="2" t="s">
        <v>1634</v>
      </c>
      <c r="D116" s="2" t="s">
        <v>2055</v>
      </c>
      <c r="E116" s="2" t="s">
        <v>1705</v>
      </c>
      <c r="F116" s="2" t="s">
        <v>2176</v>
      </c>
      <c r="G116" s="2" t="s">
        <v>1830</v>
      </c>
      <c r="H116" s="2" t="s">
        <v>2198</v>
      </c>
      <c r="I116" s="2" t="s">
        <v>1616</v>
      </c>
      <c r="J116" s="2" t="s">
        <v>2099</v>
      </c>
      <c r="K116" s="36" t="s">
        <v>2187</v>
      </c>
      <c r="L116" s="2" t="s">
        <v>1746</v>
      </c>
      <c r="M116" s="2" t="s">
        <v>1620</v>
      </c>
      <c r="N116" s="2" t="s">
        <v>1620</v>
      </c>
      <c r="O116" s="2" t="s">
        <v>1747</v>
      </c>
    </row>
    <row r="117" spans="1:15" hidden="1">
      <c r="A117" s="2" t="s">
        <v>1976</v>
      </c>
      <c r="B117" s="2" t="s">
        <v>1609</v>
      </c>
      <c r="C117" s="2" t="s">
        <v>1634</v>
      </c>
      <c r="D117" s="2" t="s">
        <v>2199</v>
      </c>
      <c r="E117" s="2" t="s">
        <v>1705</v>
      </c>
      <c r="F117" s="2" t="s">
        <v>2176</v>
      </c>
      <c r="G117" s="2" t="s">
        <v>1930</v>
      </c>
      <c r="H117" s="2" t="s">
        <v>2200</v>
      </c>
      <c r="I117" s="2" t="s">
        <v>1616</v>
      </c>
      <c r="J117" s="2" t="s">
        <v>2201</v>
      </c>
      <c r="K117" s="36" t="s">
        <v>2202</v>
      </c>
      <c r="L117" s="2" t="s">
        <v>1746</v>
      </c>
      <c r="M117" s="2" t="s">
        <v>1620</v>
      </c>
      <c r="N117" s="2" t="s">
        <v>1620</v>
      </c>
      <c r="O117" s="2" t="s">
        <v>1747</v>
      </c>
    </row>
    <row r="118" spans="1:15" hidden="1">
      <c r="A118" s="2" t="s">
        <v>1976</v>
      </c>
      <c r="B118" s="2" t="s">
        <v>1609</v>
      </c>
      <c r="C118" s="2" t="s">
        <v>1634</v>
      </c>
      <c r="D118" s="2" t="s">
        <v>1977</v>
      </c>
      <c r="E118" s="2" t="s">
        <v>1676</v>
      </c>
      <c r="F118" s="2" t="s">
        <v>2176</v>
      </c>
      <c r="G118" s="2" t="s">
        <v>2030</v>
      </c>
      <c r="H118" s="2" t="s">
        <v>2179</v>
      </c>
      <c r="I118" s="2" t="s">
        <v>1616</v>
      </c>
      <c r="J118" s="2" t="s">
        <v>2203</v>
      </c>
      <c r="K118" s="36" t="s">
        <v>2204</v>
      </c>
      <c r="L118" s="2" t="s">
        <v>1746</v>
      </c>
      <c r="M118" s="2" t="s">
        <v>1620</v>
      </c>
      <c r="N118" s="2" t="s">
        <v>1620</v>
      </c>
      <c r="O118" s="2" t="s">
        <v>1747</v>
      </c>
    </row>
    <row r="119" spans="1:15" hidden="1">
      <c r="A119" s="2" t="s">
        <v>1976</v>
      </c>
      <c r="B119" s="2" t="s">
        <v>1609</v>
      </c>
      <c r="C119" s="2" t="s">
        <v>1634</v>
      </c>
      <c r="D119" s="2" t="s">
        <v>2084</v>
      </c>
      <c r="E119" s="2" t="s">
        <v>1783</v>
      </c>
      <c r="F119" s="2" t="s">
        <v>2176</v>
      </c>
      <c r="G119" s="2" t="s">
        <v>2002</v>
      </c>
      <c r="H119" s="2" t="s">
        <v>2205</v>
      </c>
      <c r="I119" s="2" t="s">
        <v>1616</v>
      </c>
      <c r="J119" s="2" t="s">
        <v>1833</v>
      </c>
      <c r="K119" s="36" t="s">
        <v>2206</v>
      </c>
      <c r="L119" s="2" t="s">
        <v>1746</v>
      </c>
      <c r="M119" s="2" t="s">
        <v>1620</v>
      </c>
      <c r="N119" s="2" t="s">
        <v>1620</v>
      </c>
      <c r="O119" s="2" t="s">
        <v>1747</v>
      </c>
    </row>
    <row r="120" spans="1:15" hidden="1">
      <c r="A120" s="2" t="s">
        <v>1976</v>
      </c>
      <c r="B120" s="2" t="s">
        <v>1609</v>
      </c>
      <c r="C120" s="2" t="s">
        <v>1634</v>
      </c>
      <c r="D120" s="2" t="s">
        <v>1872</v>
      </c>
      <c r="E120" s="2" t="s">
        <v>1783</v>
      </c>
      <c r="F120" s="2" t="s">
        <v>2176</v>
      </c>
      <c r="G120" s="2" t="s">
        <v>1957</v>
      </c>
      <c r="H120" s="2" t="s">
        <v>2207</v>
      </c>
      <c r="I120" s="2" t="s">
        <v>1616</v>
      </c>
      <c r="J120" s="2" t="s">
        <v>2208</v>
      </c>
      <c r="K120" s="36" t="s">
        <v>1938</v>
      </c>
      <c r="L120" s="2" t="s">
        <v>1746</v>
      </c>
      <c r="M120" s="2" t="s">
        <v>1620</v>
      </c>
      <c r="N120" s="2" t="s">
        <v>1620</v>
      </c>
      <c r="O120" s="2" t="s">
        <v>1747</v>
      </c>
    </row>
    <row r="121" spans="1:15">
      <c r="A121" s="2" t="s">
        <v>1748</v>
      </c>
      <c r="B121" s="2" t="s">
        <v>1609</v>
      </c>
      <c r="C121" s="2" t="s">
        <v>1634</v>
      </c>
      <c r="D121" s="2" t="s">
        <v>1666</v>
      </c>
      <c r="E121" s="2" t="s">
        <v>1646</v>
      </c>
      <c r="F121" s="2" t="s">
        <v>2176</v>
      </c>
      <c r="G121" s="2" t="s">
        <v>1896</v>
      </c>
      <c r="H121" s="2" t="s">
        <v>2209</v>
      </c>
      <c r="I121" s="2" t="s">
        <v>1616</v>
      </c>
      <c r="J121" s="2" t="s">
        <v>2210</v>
      </c>
      <c r="K121" s="2" t="s">
        <v>2211</v>
      </c>
      <c r="L121" s="2" t="s">
        <v>1746</v>
      </c>
      <c r="M121" s="2" t="s">
        <v>1620</v>
      </c>
      <c r="N121" s="2" t="s">
        <v>1620</v>
      </c>
      <c r="O121" s="2" t="s">
        <v>1747</v>
      </c>
    </row>
    <row r="122" spans="1:15">
      <c r="A122" s="2" t="s">
        <v>1748</v>
      </c>
      <c r="B122" s="2" t="s">
        <v>1609</v>
      </c>
      <c r="C122" s="2" t="s">
        <v>1634</v>
      </c>
      <c r="D122" s="2" t="s">
        <v>2212</v>
      </c>
      <c r="E122" s="2" t="s">
        <v>1646</v>
      </c>
      <c r="F122" s="2" t="s">
        <v>2176</v>
      </c>
      <c r="G122" s="2" t="s">
        <v>1789</v>
      </c>
      <c r="H122" s="2" t="s">
        <v>2213</v>
      </c>
      <c r="I122" s="2" t="s">
        <v>1616</v>
      </c>
      <c r="J122" s="2" t="s">
        <v>2214</v>
      </c>
      <c r="K122" s="2" t="s">
        <v>2215</v>
      </c>
      <c r="L122" s="2" t="s">
        <v>1746</v>
      </c>
      <c r="M122" s="2" t="s">
        <v>1620</v>
      </c>
      <c r="N122" s="2" t="s">
        <v>1620</v>
      </c>
      <c r="O122" s="2" t="s">
        <v>1747</v>
      </c>
    </row>
    <row r="123" spans="1:15">
      <c r="A123" s="2" t="s">
        <v>1748</v>
      </c>
      <c r="B123" s="2" t="s">
        <v>1609</v>
      </c>
      <c r="C123" s="2" t="s">
        <v>1634</v>
      </c>
      <c r="D123" s="2" t="s">
        <v>1624</v>
      </c>
      <c r="E123" s="2" t="s">
        <v>1646</v>
      </c>
      <c r="F123" s="2" t="s">
        <v>2176</v>
      </c>
      <c r="G123" s="2" t="s">
        <v>2159</v>
      </c>
      <c r="H123" s="2" t="s">
        <v>1858</v>
      </c>
      <c r="I123" s="2" t="s">
        <v>1616</v>
      </c>
      <c r="J123" s="2" t="s">
        <v>2009</v>
      </c>
      <c r="K123" s="2" t="s">
        <v>2216</v>
      </c>
      <c r="L123" s="2" t="s">
        <v>1762</v>
      </c>
      <c r="M123" s="2" t="s">
        <v>1620</v>
      </c>
      <c r="N123" s="2" t="s">
        <v>2216</v>
      </c>
      <c r="O123" s="2" t="s">
        <v>2095</v>
      </c>
    </row>
    <row r="124" spans="1:15">
      <c r="A124" s="2" t="s">
        <v>1748</v>
      </c>
      <c r="B124" s="2" t="s">
        <v>1609</v>
      </c>
      <c r="C124" s="2" t="s">
        <v>1634</v>
      </c>
      <c r="D124" s="2" t="s">
        <v>2217</v>
      </c>
      <c r="E124" s="2" t="s">
        <v>1646</v>
      </c>
      <c r="F124" s="2" t="s">
        <v>2176</v>
      </c>
      <c r="G124" s="2" t="s">
        <v>2218</v>
      </c>
      <c r="H124" s="2" t="s">
        <v>2219</v>
      </c>
      <c r="I124" s="2" t="s">
        <v>1616</v>
      </c>
      <c r="J124" s="2" t="s">
        <v>2220</v>
      </c>
      <c r="K124" s="2" t="s">
        <v>2221</v>
      </c>
      <c r="L124" s="2" t="s">
        <v>1746</v>
      </c>
      <c r="M124" s="2" t="s">
        <v>1620</v>
      </c>
      <c r="N124" s="2" t="s">
        <v>1620</v>
      </c>
      <c r="O124" s="2" t="s">
        <v>1747</v>
      </c>
    </row>
    <row r="125" spans="1:15" hidden="1">
      <c r="A125" s="2" t="s">
        <v>1923</v>
      </c>
      <c r="B125" s="2" t="s">
        <v>1609</v>
      </c>
      <c r="C125" s="2" t="s">
        <v>1634</v>
      </c>
      <c r="D125" s="2" t="s">
        <v>2046</v>
      </c>
      <c r="E125" s="2" t="s">
        <v>1795</v>
      </c>
      <c r="F125" s="2" t="s">
        <v>2176</v>
      </c>
      <c r="G125" s="2" t="s">
        <v>1873</v>
      </c>
      <c r="H125" s="2" t="s">
        <v>2222</v>
      </c>
      <c r="I125" s="2" t="s">
        <v>1616</v>
      </c>
      <c r="J125" s="2" t="s">
        <v>2122</v>
      </c>
      <c r="K125" s="2" t="s">
        <v>2223</v>
      </c>
      <c r="L125" s="2" t="s">
        <v>1746</v>
      </c>
      <c r="M125" s="2" t="s">
        <v>1620</v>
      </c>
      <c r="N125" s="2" t="s">
        <v>1620</v>
      </c>
      <c r="O125" s="2" t="s">
        <v>1747</v>
      </c>
    </row>
    <row r="126" spans="1:15" hidden="1">
      <c r="A126" s="2" t="s">
        <v>1923</v>
      </c>
      <c r="B126" s="2" t="s">
        <v>1609</v>
      </c>
      <c r="C126" s="2" t="s">
        <v>1634</v>
      </c>
      <c r="D126" s="2" t="s">
        <v>1850</v>
      </c>
      <c r="E126" s="2" t="s">
        <v>1795</v>
      </c>
      <c r="F126" s="2" t="s">
        <v>2176</v>
      </c>
      <c r="G126" s="2" t="s">
        <v>2224</v>
      </c>
      <c r="H126" s="2" t="s">
        <v>2225</v>
      </c>
      <c r="I126" s="2" t="s">
        <v>1616</v>
      </c>
      <c r="J126" s="2" t="s">
        <v>2215</v>
      </c>
      <c r="K126" s="2" t="s">
        <v>2226</v>
      </c>
      <c r="L126" s="2" t="s">
        <v>1746</v>
      </c>
      <c r="M126" s="2" t="s">
        <v>1620</v>
      </c>
      <c r="N126" s="2" t="s">
        <v>1620</v>
      </c>
      <c r="O126" s="2" t="s">
        <v>1747</v>
      </c>
    </row>
    <row r="127" spans="1:15" hidden="1">
      <c r="A127" s="2" t="s">
        <v>1878</v>
      </c>
      <c r="B127" s="2" t="s">
        <v>1609</v>
      </c>
      <c r="C127" s="2" t="s">
        <v>1634</v>
      </c>
      <c r="D127" s="2" t="s">
        <v>2055</v>
      </c>
      <c r="E127" s="2" t="s">
        <v>1880</v>
      </c>
      <c r="F127" s="2" t="s">
        <v>2176</v>
      </c>
      <c r="G127" s="2" t="s">
        <v>2037</v>
      </c>
      <c r="H127" s="2" t="s">
        <v>2227</v>
      </c>
      <c r="I127" s="2" t="s">
        <v>1616</v>
      </c>
      <c r="J127" s="2" t="s">
        <v>2228</v>
      </c>
      <c r="K127" s="36" t="s">
        <v>2105</v>
      </c>
      <c r="L127" s="2" t="s">
        <v>1746</v>
      </c>
      <c r="M127" s="2" t="s">
        <v>1620</v>
      </c>
      <c r="N127" s="2" t="s">
        <v>1620</v>
      </c>
      <c r="O127" s="2" t="s">
        <v>1747</v>
      </c>
    </row>
    <row r="128" spans="1:15" hidden="1">
      <c r="A128" s="2" t="s">
        <v>1903</v>
      </c>
      <c r="B128" s="2" t="s">
        <v>1609</v>
      </c>
      <c r="C128" s="2" t="s">
        <v>1634</v>
      </c>
      <c r="D128" s="2" t="s">
        <v>1904</v>
      </c>
      <c r="E128" s="2" t="s">
        <v>1705</v>
      </c>
      <c r="F128" s="2" t="s">
        <v>2229</v>
      </c>
      <c r="G128" s="2" t="s">
        <v>2230</v>
      </c>
      <c r="H128" s="2" t="s">
        <v>2231</v>
      </c>
      <c r="I128" s="2" t="s">
        <v>1616</v>
      </c>
      <c r="J128" s="2" t="s">
        <v>2232</v>
      </c>
      <c r="K128" s="36" t="s">
        <v>2233</v>
      </c>
      <c r="L128" s="2" t="s">
        <v>1746</v>
      </c>
      <c r="M128" s="2" t="s">
        <v>1620</v>
      </c>
      <c r="N128" s="2" t="s">
        <v>1620</v>
      </c>
      <c r="O128" s="2" t="s">
        <v>1747</v>
      </c>
    </row>
    <row r="129" spans="1:15" hidden="1">
      <c r="A129" s="2" t="s">
        <v>1911</v>
      </c>
      <c r="B129" s="2" t="s">
        <v>1609</v>
      </c>
      <c r="C129" s="2" t="s">
        <v>1634</v>
      </c>
      <c r="D129" s="2" t="s">
        <v>1624</v>
      </c>
      <c r="E129" s="2" t="s">
        <v>1635</v>
      </c>
      <c r="F129" s="2" t="s">
        <v>2229</v>
      </c>
      <c r="G129" s="2" t="s">
        <v>2234</v>
      </c>
      <c r="H129" s="2" t="s">
        <v>2235</v>
      </c>
      <c r="I129" s="2" t="s">
        <v>1616</v>
      </c>
      <c r="J129" s="2" t="s">
        <v>1680</v>
      </c>
      <c r="K129" s="36" t="s">
        <v>2236</v>
      </c>
      <c r="L129" s="2" t="s">
        <v>1746</v>
      </c>
      <c r="M129" s="2" t="s">
        <v>1620</v>
      </c>
      <c r="N129" s="2" t="s">
        <v>1620</v>
      </c>
      <c r="O129" s="2" t="s">
        <v>1747</v>
      </c>
    </row>
    <row r="130" spans="1:15" hidden="1">
      <c r="A130" s="2" t="s">
        <v>1976</v>
      </c>
      <c r="B130" s="2" t="s">
        <v>1609</v>
      </c>
      <c r="C130" s="2" t="s">
        <v>1634</v>
      </c>
      <c r="D130" s="2" t="s">
        <v>2084</v>
      </c>
      <c r="E130" s="2" t="s">
        <v>1676</v>
      </c>
      <c r="F130" s="2" t="s">
        <v>2229</v>
      </c>
      <c r="G130" s="2" t="s">
        <v>1935</v>
      </c>
      <c r="H130" s="2" t="s">
        <v>1941</v>
      </c>
      <c r="I130" s="2" t="s">
        <v>1616</v>
      </c>
      <c r="J130" s="2" t="s">
        <v>2237</v>
      </c>
      <c r="K130" s="36" t="s">
        <v>2238</v>
      </c>
      <c r="L130" s="2" t="s">
        <v>1746</v>
      </c>
      <c r="M130" s="2" t="s">
        <v>1620</v>
      </c>
      <c r="N130" s="2" t="s">
        <v>1620</v>
      </c>
      <c r="O130" s="2" t="s">
        <v>1747</v>
      </c>
    </row>
    <row r="131" spans="1:15" hidden="1">
      <c r="A131" s="2" t="s">
        <v>1976</v>
      </c>
      <c r="B131" s="2" t="s">
        <v>1609</v>
      </c>
      <c r="C131" s="2" t="s">
        <v>1634</v>
      </c>
      <c r="D131" s="2" t="s">
        <v>2011</v>
      </c>
      <c r="E131" s="2" t="s">
        <v>1676</v>
      </c>
      <c r="F131" s="2" t="s">
        <v>2229</v>
      </c>
      <c r="G131" s="2" t="s">
        <v>1824</v>
      </c>
      <c r="H131" s="2" t="s">
        <v>2000</v>
      </c>
      <c r="I131" s="2" t="s">
        <v>1616</v>
      </c>
      <c r="J131" s="2" t="s">
        <v>2239</v>
      </c>
      <c r="K131" s="36" t="s">
        <v>2240</v>
      </c>
      <c r="L131" s="2" t="s">
        <v>1746</v>
      </c>
      <c r="M131" s="2" t="s">
        <v>1620</v>
      </c>
      <c r="N131" s="2" t="s">
        <v>1620</v>
      </c>
      <c r="O131" s="2" t="s">
        <v>1747</v>
      </c>
    </row>
    <row r="132" spans="1:15" hidden="1">
      <c r="A132" s="2" t="s">
        <v>1976</v>
      </c>
      <c r="B132" s="2" t="s">
        <v>1609</v>
      </c>
      <c r="C132" s="2" t="s">
        <v>1634</v>
      </c>
      <c r="D132" s="2" t="s">
        <v>2241</v>
      </c>
      <c r="E132" s="2" t="s">
        <v>1783</v>
      </c>
      <c r="F132" s="2" t="s">
        <v>2229</v>
      </c>
      <c r="G132" s="2" t="s">
        <v>1912</v>
      </c>
      <c r="H132" s="2" t="s">
        <v>2242</v>
      </c>
      <c r="I132" s="2" t="s">
        <v>1616</v>
      </c>
      <c r="J132" s="2" t="s">
        <v>2243</v>
      </c>
      <c r="K132" s="36" t="s">
        <v>2244</v>
      </c>
      <c r="L132" s="2" t="s">
        <v>1746</v>
      </c>
      <c r="M132" s="2" t="s">
        <v>1620</v>
      </c>
      <c r="N132" s="2" t="s">
        <v>1620</v>
      </c>
      <c r="O132" s="2" t="s">
        <v>1747</v>
      </c>
    </row>
    <row r="133" spans="1:15" hidden="1">
      <c r="A133" s="2" t="s">
        <v>1976</v>
      </c>
      <c r="B133" s="2" t="s">
        <v>1609</v>
      </c>
      <c r="C133" s="2" t="s">
        <v>1634</v>
      </c>
      <c r="D133" s="2" t="s">
        <v>2026</v>
      </c>
      <c r="E133" s="2" t="s">
        <v>1783</v>
      </c>
      <c r="F133" s="2" t="s">
        <v>2229</v>
      </c>
      <c r="G133" s="2" t="s">
        <v>1935</v>
      </c>
      <c r="H133" s="2" t="s">
        <v>1941</v>
      </c>
      <c r="I133" s="2" t="s">
        <v>1616</v>
      </c>
      <c r="J133" s="2" t="s">
        <v>2245</v>
      </c>
      <c r="K133" s="36" t="s">
        <v>2246</v>
      </c>
      <c r="L133" s="2" t="s">
        <v>1762</v>
      </c>
      <c r="M133" s="2" t="s">
        <v>1620</v>
      </c>
      <c r="N133" s="2" t="s">
        <v>2246</v>
      </c>
      <c r="O133" s="2" t="s">
        <v>1959</v>
      </c>
    </row>
    <row r="134" spans="1:15">
      <c r="A134" s="2" t="s">
        <v>1748</v>
      </c>
      <c r="B134" s="2" t="s">
        <v>1609</v>
      </c>
      <c r="C134" s="2" t="s">
        <v>1634</v>
      </c>
      <c r="D134" s="2" t="s">
        <v>2247</v>
      </c>
      <c r="E134" s="2" t="s">
        <v>1646</v>
      </c>
      <c r="F134" s="2" t="s">
        <v>2229</v>
      </c>
      <c r="G134" s="2" t="s">
        <v>1830</v>
      </c>
      <c r="H134" s="2" t="s">
        <v>2248</v>
      </c>
      <c r="I134" s="2" t="s">
        <v>1616</v>
      </c>
      <c r="J134" s="2" t="s">
        <v>1617</v>
      </c>
      <c r="K134" s="2" t="s">
        <v>2059</v>
      </c>
      <c r="L134" s="2" t="s">
        <v>1746</v>
      </c>
      <c r="M134" s="2" t="s">
        <v>1620</v>
      </c>
      <c r="N134" s="2" t="s">
        <v>1620</v>
      </c>
      <c r="O134" s="2" t="s">
        <v>1747</v>
      </c>
    </row>
    <row r="135" spans="1:15">
      <c r="A135" s="2" t="s">
        <v>1748</v>
      </c>
      <c r="B135" s="2" t="s">
        <v>1609</v>
      </c>
      <c r="C135" s="2" t="s">
        <v>1634</v>
      </c>
      <c r="D135" s="2" t="s">
        <v>2249</v>
      </c>
      <c r="E135" s="2" t="s">
        <v>1646</v>
      </c>
      <c r="F135" s="2" t="s">
        <v>2229</v>
      </c>
      <c r="G135" s="2" t="s">
        <v>1996</v>
      </c>
      <c r="H135" s="2" t="s">
        <v>1959</v>
      </c>
      <c r="I135" s="2" t="s">
        <v>1616</v>
      </c>
      <c r="J135" s="2" t="s">
        <v>1700</v>
      </c>
      <c r="K135" s="2" t="s">
        <v>1932</v>
      </c>
      <c r="L135" s="2" t="s">
        <v>1817</v>
      </c>
      <c r="M135" s="2" t="s">
        <v>1620</v>
      </c>
      <c r="N135" s="2" t="s">
        <v>2250</v>
      </c>
      <c r="O135" s="2" t="s">
        <v>2251</v>
      </c>
    </row>
    <row r="136" spans="1:15">
      <c r="A136" s="2" t="s">
        <v>1748</v>
      </c>
      <c r="B136" s="2" t="s">
        <v>1609</v>
      </c>
      <c r="C136" s="2" t="s">
        <v>1634</v>
      </c>
      <c r="D136" s="2" t="s">
        <v>2252</v>
      </c>
      <c r="E136" s="2" t="s">
        <v>1646</v>
      </c>
      <c r="F136" s="2" t="s">
        <v>2229</v>
      </c>
      <c r="G136" s="2" t="s">
        <v>2149</v>
      </c>
      <c r="H136" s="2" t="s">
        <v>2253</v>
      </c>
      <c r="I136" s="2" t="s">
        <v>1616</v>
      </c>
      <c r="J136" s="2" t="s">
        <v>2254</v>
      </c>
      <c r="K136" s="2" t="s">
        <v>2255</v>
      </c>
      <c r="L136" s="2" t="s">
        <v>1746</v>
      </c>
      <c r="M136" s="2" t="s">
        <v>1620</v>
      </c>
      <c r="N136" s="2" t="s">
        <v>1620</v>
      </c>
      <c r="O136" s="2" t="s">
        <v>1747</v>
      </c>
    </row>
    <row r="137" spans="1:15">
      <c r="A137" s="2" t="s">
        <v>1748</v>
      </c>
      <c r="B137" s="2" t="s">
        <v>1609</v>
      </c>
      <c r="C137" s="2" t="s">
        <v>1634</v>
      </c>
      <c r="D137" s="2" t="s">
        <v>2256</v>
      </c>
      <c r="E137" s="2" t="s">
        <v>1646</v>
      </c>
      <c r="F137" s="2" t="s">
        <v>2229</v>
      </c>
      <c r="G137" s="2" t="s">
        <v>1789</v>
      </c>
      <c r="H137" s="2" t="s">
        <v>2257</v>
      </c>
      <c r="I137" s="2" t="s">
        <v>1616</v>
      </c>
      <c r="J137" s="2" t="s">
        <v>2105</v>
      </c>
      <c r="K137" s="2" t="s">
        <v>2237</v>
      </c>
      <c r="L137" s="2" t="s">
        <v>1746</v>
      </c>
      <c r="M137" s="2" t="s">
        <v>1620</v>
      </c>
      <c r="N137" s="2" t="s">
        <v>1620</v>
      </c>
      <c r="O137" s="2" t="s">
        <v>1747</v>
      </c>
    </row>
    <row r="138" spans="1:15">
      <c r="A138" s="2" t="s">
        <v>1748</v>
      </c>
      <c r="B138" s="2" t="s">
        <v>1609</v>
      </c>
      <c r="C138" s="2" t="s">
        <v>1634</v>
      </c>
      <c r="D138" s="2" t="s">
        <v>1962</v>
      </c>
      <c r="E138" s="2" t="s">
        <v>1646</v>
      </c>
      <c r="F138" s="2" t="s">
        <v>2229</v>
      </c>
      <c r="G138" s="2" t="s">
        <v>2136</v>
      </c>
      <c r="H138" s="2" t="s">
        <v>2258</v>
      </c>
      <c r="I138" s="2" t="s">
        <v>1616</v>
      </c>
      <c r="J138" s="2" t="s">
        <v>1660</v>
      </c>
      <c r="K138" s="2" t="s">
        <v>2130</v>
      </c>
      <c r="L138" s="2" t="s">
        <v>1746</v>
      </c>
      <c r="M138" s="2" t="s">
        <v>1620</v>
      </c>
      <c r="N138" s="2" t="s">
        <v>1620</v>
      </c>
      <c r="O138" s="2" t="s">
        <v>1747</v>
      </c>
    </row>
    <row r="139" spans="1:15">
      <c r="A139" s="2" t="s">
        <v>1748</v>
      </c>
      <c r="B139" s="2" t="s">
        <v>1609</v>
      </c>
      <c r="C139" s="2" t="s">
        <v>1634</v>
      </c>
      <c r="D139" s="2" t="s">
        <v>2259</v>
      </c>
      <c r="E139" s="2" t="s">
        <v>1646</v>
      </c>
      <c r="F139" s="2" t="s">
        <v>2229</v>
      </c>
      <c r="G139" s="2" t="s">
        <v>1935</v>
      </c>
      <c r="H139" s="2" t="s">
        <v>1941</v>
      </c>
      <c r="I139" s="2" t="s">
        <v>1616</v>
      </c>
      <c r="J139" s="2" t="s">
        <v>2260</v>
      </c>
      <c r="K139" s="2" t="s">
        <v>2261</v>
      </c>
      <c r="L139" s="2" t="s">
        <v>1746</v>
      </c>
      <c r="M139" s="2" t="s">
        <v>1620</v>
      </c>
      <c r="N139" s="2" t="s">
        <v>1620</v>
      </c>
      <c r="O139" s="2" t="s">
        <v>1747</v>
      </c>
    </row>
    <row r="140" spans="1:15">
      <c r="A140" s="2" t="s">
        <v>1748</v>
      </c>
      <c r="B140" s="2" t="s">
        <v>1609</v>
      </c>
      <c r="C140" s="2" t="s">
        <v>1634</v>
      </c>
      <c r="D140" s="2" t="s">
        <v>1951</v>
      </c>
      <c r="E140" s="2" t="s">
        <v>1646</v>
      </c>
      <c r="F140" s="2" t="s">
        <v>2229</v>
      </c>
      <c r="G140" s="2" t="s">
        <v>1862</v>
      </c>
      <c r="H140" s="2" t="s">
        <v>2098</v>
      </c>
      <c r="I140" s="2" t="s">
        <v>1616</v>
      </c>
      <c r="J140" s="2" t="s">
        <v>1993</v>
      </c>
      <c r="K140" s="2" t="s">
        <v>2262</v>
      </c>
      <c r="L140" s="2" t="s">
        <v>1746</v>
      </c>
      <c r="M140" s="2" t="s">
        <v>1620</v>
      </c>
      <c r="N140" s="2" t="s">
        <v>1620</v>
      </c>
      <c r="O140" s="2" t="s">
        <v>1747</v>
      </c>
    </row>
    <row r="141" spans="1:15">
      <c r="A141" s="2" t="s">
        <v>1748</v>
      </c>
      <c r="B141" s="2" t="s">
        <v>1609</v>
      </c>
      <c r="C141" s="2" t="s">
        <v>1634</v>
      </c>
      <c r="D141" s="2" t="s">
        <v>2263</v>
      </c>
      <c r="E141" s="2" t="s">
        <v>1646</v>
      </c>
      <c r="F141" s="2" t="s">
        <v>2229</v>
      </c>
      <c r="G141" s="2" t="s">
        <v>2264</v>
      </c>
      <c r="H141" s="2" t="s">
        <v>1819</v>
      </c>
      <c r="I141" s="2" t="s">
        <v>1616</v>
      </c>
      <c r="J141" s="2" t="s">
        <v>1827</v>
      </c>
      <c r="K141" s="2" t="s">
        <v>2265</v>
      </c>
      <c r="L141" s="2" t="s">
        <v>1746</v>
      </c>
      <c r="M141" s="2" t="s">
        <v>1620</v>
      </c>
      <c r="N141" s="2" t="s">
        <v>1620</v>
      </c>
      <c r="O141" s="2" t="s">
        <v>1747</v>
      </c>
    </row>
    <row r="142" spans="1:15" hidden="1">
      <c r="A142" s="2" t="s">
        <v>1923</v>
      </c>
      <c r="B142" s="2" t="s">
        <v>1609</v>
      </c>
      <c r="C142" s="2" t="s">
        <v>1634</v>
      </c>
      <c r="D142" s="2" t="s">
        <v>2042</v>
      </c>
      <c r="E142" s="2" t="s">
        <v>1795</v>
      </c>
      <c r="F142" s="2" t="s">
        <v>2229</v>
      </c>
      <c r="G142" s="2" t="s">
        <v>1930</v>
      </c>
      <c r="H142" s="2" t="s">
        <v>1986</v>
      </c>
      <c r="I142" s="2" t="s">
        <v>1616</v>
      </c>
      <c r="J142" s="2" t="s">
        <v>2208</v>
      </c>
      <c r="K142" s="2" t="s">
        <v>1792</v>
      </c>
      <c r="L142" s="2" t="s">
        <v>1746</v>
      </c>
      <c r="M142" s="2" t="s">
        <v>1620</v>
      </c>
      <c r="N142" s="2" t="s">
        <v>1620</v>
      </c>
      <c r="O142" s="2" t="s">
        <v>1747</v>
      </c>
    </row>
    <row r="143" spans="1:15" hidden="1">
      <c r="A143" s="2" t="s">
        <v>1923</v>
      </c>
      <c r="B143" s="2" t="s">
        <v>1609</v>
      </c>
      <c r="C143" s="2" t="s">
        <v>1634</v>
      </c>
      <c r="D143" s="2" t="s">
        <v>2102</v>
      </c>
      <c r="E143" s="2" t="s">
        <v>1795</v>
      </c>
      <c r="F143" s="2" t="s">
        <v>2229</v>
      </c>
      <c r="G143" s="2" t="s">
        <v>1924</v>
      </c>
      <c r="H143" s="2" t="s">
        <v>2266</v>
      </c>
      <c r="I143" s="2" t="s">
        <v>1616</v>
      </c>
      <c r="J143" s="2" t="s">
        <v>2267</v>
      </c>
      <c r="K143" s="2" t="s">
        <v>2268</v>
      </c>
      <c r="L143" s="2" t="s">
        <v>1746</v>
      </c>
      <c r="M143" s="2" t="s">
        <v>1620</v>
      </c>
      <c r="N143" s="2" t="s">
        <v>1620</v>
      </c>
      <c r="O143" s="2" t="s">
        <v>1747</v>
      </c>
    </row>
    <row r="144" spans="1:15" hidden="1">
      <c r="A144" s="2" t="s">
        <v>1923</v>
      </c>
      <c r="B144" s="2" t="s">
        <v>1609</v>
      </c>
      <c r="C144" s="2" t="s">
        <v>1634</v>
      </c>
      <c r="D144" s="2" t="s">
        <v>2141</v>
      </c>
      <c r="E144" s="2" t="s">
        <v>1795</v>
      </c>
      <c r="F144" s="2" t="s">
        <v>2229</v>
      </c>
      <c r="G144" s="2" t="s">
        <v>1935</v>
      </c>
      <c r="H144" s="2" t="s">
        <v>1941</v>
      </c>
      <c r="I144" s="2" t="s">
        <v>1616</v>
      </c>
      <c r="J144" s="2" t="s">
        <v>2269</v>
      </c>
      <c r="K144" s="2" t="s">
        <v>2050</v>
      </c>
      <c r="L144" s="2" t="s">
        <v>1746</v>
      </c>
      <c r="M144" s="2" t="s">
        <v>1620</v>
      </c>
      <c r="N144" s="2" t="s">
        <v>1620</v>
      </c>
      <c r="O144" s="2" t="s">
        <v>1747</v>
      </c>
    </row>
    <row r="145" spans="1:15" hidden="1">
      <c r="A145" s="2" t="s">
        <v>1794</v>
      </c>
      <c r="B145" s="2" t="s">
        <v>1609</v>
      </c>
      <c r="C145" s="2" t="s">
        <v>1634</v>
      </c>
      <c r="D145" s="2" t="s">
        <v>1685</v>
      </c>
      <c r="E145" s="2" t="s">
        <v>1795</v>
      </c>
      <c r="F145" s="2" t="s">
        <v>2229</v>
      </c>
      <c r="G145" s="2" t="s">
        <v>1772</v>
      </c>
      <c r="H145" s="2" t="s">
        <v>1836</v>
      </c>
      <c r="I145" s="2" t="s">
        <v>1616</v>
      </c>
      <c r="J145" s="2" t="s">
        <v>2269</v>
      </c>
      <c r="K145" s="2" t="s">
        <v>2270</v>
      </c>
      <c r="L145" s="2" t="s">
        <v>1746</v>
      </c>
      <c r="M145" s="2" t="s">
        <v>1620</v>
      </c>
      <c r="N145" s="2" t="s">
        <v>1620</v>
      </c>
      <c r="O145" s="2" t="s">
        <v>1747</v>
      </c>
    </row>
    <row r="146" spans="1:15" hidden="1">
      <c r="A146" s="2" t="s">
        <v>1878</v>
      </c>
      <c r="B146" s="2" t="s">
        <v>1609</v>
      </c>
      <c r="C146" s="2" t="s">
        <v>1634</v>
      </c>
      <c r="D146" s="2" t="s">
        <v>2271</v>
      </c>
      <c r="E146" s="2" t="s">
        <v>1880</v>
      </c>
      <c r="F146" s="2" t="s">
        <v>2229</v>
      </c>
      <c r="G146" s="2" t="s">
        <v>1784</v>
      </c>
      <c r="H146" s="2" t="s">
        <v>1770</v>
      </c>
      <c r="I146" s="2" t="s">
        <v>1616</v>
      </c>
      <c r="J146" s="2" t="s">
        <v>2272</v>
      </c>
      <c r="K146" s="36" t="s">
        <v>1899</v>
      </c>
      <c r="L146" s="2" t="s">
        <v>1762</v>
      </c>
      <c r="M146" s="2" t="s">
        <v>1620</v>
      </c>
      <c r="N146" s="2" t="s">
        <v>1899</v>
      </c>
      <c r="O146" s="2" t="s">
        <v>1959</v>
      </c>
    </row>
    <row r="147" spans="1:15" hidden="1">
      <c r="A147" s="2" t="s">
        <v>1934</v>
      </c>
      <c r="B147" s="2" t="s">
        <v>1609</v>
      </c>
      <c r="C147" s="2" t="s">
        <v>1634</v>
      </c>
      <c r="D147" s="2" t="s">
        <v>1771</v>
      </c>
      <c r="E147" s="2" t="s">
        <v>1714</v>
      </c>
      <c r="F147" s="2" t="s">
        <v>2273</v>
      </c>
      <c r="G147" s="2" t="s">
        <v>1996</v>
      </c>
      <c r="H147" s="2" t="s">
        <v>2189</v>
      </c>
      <c r="I147" s="2" t="s">
        <v>1616</v>
      </c>
      <c r="J147" s="2" t="s">
        <v>2274</v>
      </c>
      <c r="K147" s="36" t="s">
        <v>2275</v>
      </c>
      <c r="L147" s="2" t="s">
        <v>1746</v>
      </c>
      <c r="M147" s="2" t="s">
        <v>1620</v>
      </c>
      <c r="N147" s="2" t="s">
        <v>1620</v>
      </c>
      <c r="O147" s="2" t="s">
        <v>1747</v>
      </c>
    </row>
    <row r="148" spans="1:15" hidden="1">
      <c r="A148" s="2" t="s">
        <v>1934</v>
      </c>
      <c r="B148" s="2" t="s">
        <v>1609</v>
      </c>
      <c r="C148" s="2" t="s">
        <v>1634</v>
      </c>
      <c r="D148" s="2" t="s">
        <v>1771</v>
      </c>
      <c r="E148" s="2" t="s">
        <v>1837</v>
      </c>
      <c r="F148" s="2" t="s">
        <v>2273</v>
      </c>
      <c r="G148" s="2" t="s">
        <v>2276</v>
      </c>
      <c r="H148" s="2" t="s">
        <v>1849</v>
      </c>
      <c r="I148" s="2" t="s">
        <v>1616</v>
      </c>
      <c r="J148" s="2" t="s">
        <v>1965</v>
      </c>
      <c r="K148" s="36" t="s">
        <v>2277</v>
      </c>
      <c r="L148" s="2" t="s">
        <v>1746</v>
      </c>
      <c r="M148" s="2" t="s">
        <v>1620</v>
      </c>
      <c r="N148" s="2" t="s">
        <v>1620</v>
      </c>
      <c r="O148" s="2" t="s">
        <v>1747</v>
      </c>
    </row>
    <row r="149" spans="1:15" hidden="1">
      <c r="A149" s="2" t="s">
        <v>1732</v>
      </c>
      <c r="B149" s="2" t="s">
        <v>1609</v>
      </c>
      <c r="C149" s="2" t="s">
        <v>1634</v>
      </c>
      <c r="D149" s="2" t="s">
        <v>1656</v>
      </c>
      <c r="E149" s="2" t="s">
        <v>1837</v>
      </c>
      <c r="F149" s="2" t="s">
        <v>2273</v>
      </c>
      <c r="G149" s="2" t="s">
        <v>1838</v>
      </c>
      <c r="H149" s="2" t="s">
        <v>2258</v>
      </c>
      <c r="I149" s="2" t="s">
        <v>1616</v>
      </c>
      <c r="J149" s="2" t="s">
        <v>1671</v>
      </c>
      <c r="K149" s="36" t="s">
        <v>2278</v>
      </c>
      <c r="L149" s="2" t="s">
        <v>1746</v>
      </c>
      <c r="M149" s="2" t="s">
        <v>1620</v>
      </c>
      <c r="N149" s="2" t="s">
        <v>1620</v>
      </c>
      <c r="O149" s="2" t="s">
        <v>1747</v>
      </c>
    </row>
    <row r="150" spans="1:15" hidden="1">
      <c r="A150" s="2" t="s">
        <v>1911</v>
      </c>
      <c r="B150" s="2" t="s">
        <v>1609</v>
      </c>
      <c r="C150" s="2" t="s">
        <v>1634</v>
      </c>
      <c r="D150" s="2" t="s">
        <v>1624</v>
      </c>
      <c r="E150" s="2" t="s">
        <v>1837</v>
      </c>
      <c r="F150" s="2" t="s">
        <v>2273</v>
      </c>
      <c r="G150" s="2" t="s">
        <v>1789</v>
      </c>
      <c r="H150" s="2" t="s">
        <v>2279</v>
      </c>
      <c r="I150" s="2" t="s">
        <v>1616</v>
      </c>
      <c r="J150" s="2" t="s">
        <v>2280</v>
      </c>
      <c r="K150" s="36" t="s">
        <v>2170</v>
      </c>
      <c r="L150" s="2" t="s">
        <v>1746</v>
      </c>
      <c r="M150" s="2" t="s">
        <v>1620</v>
      </c>
      <c r="N150" s="2" t="s">
        <v>1620</v>
      </c>
      <c r="O150" s="2" t="s">
        <v>1747</v>
      </c>
    </row>
    <row r="151" spans="1:15" hidden="1">
      <c r="A151" s="2" t="s">
        <v>1788</v>
      </c>
      <c r="B151" s="2" t="s">
        <v>1609</v>
      </c>
      <c r="C151" s="2" t="s">
        <v>1634</v>
      </c>
      <c r="D151" s="2" t="s">
        <v>2259</v>
      </c>
      <c r="E151" s="2" t="s">
        <v>1705</v>
      </c>
      <c r="F151" s="2" t="s">
        <v>2273</v>
      </c>
      <c r="G151" s="2" t="s">
        <v>1912</v>
      </c>
      <c r="H151" s="2" t="s">
        <v>1922</v>
      </c>
      <c r="I151" s="2" t="s">
        <v>1616</v>
      </c>
      <c r="J151" s="2" t="s">
        <v>2281</v>
      </c>
      <c r="K151" s="2" t="s">
        <v>2282</v>
      </c>
      <c r="L151" s="2" t="s">
        <v>1746</v>
      </c>
      <c r="M151" s="2" t="s">
        <v>1620</v>
      </c>
      <c r="N151" s="2" t="s">
        <v>1620</v>
      </c>
      <c r="O151" s="2" t="s">
        <v>1747</v>
      </c>
    </row>
    <row r="152" spans="1:15" hidden="1">
      <c r="A152" s="2" t="s">
        <v>1929</v>
      </c>
      <c r="B152" s="2" t="s">
        <v>1609</v>
      </c>
      <c r="C152" s="2" t="s">
        <v>1634</v>
      </c>
      <c r="D152" s="2" t="s">
        <v>1656</v>
      </c>
      <c r="E152" s="2" t="s">
        <v>1635</v>
      </c>
      <c r="F152" s="2" t="s">
        <v>2273</v>
      </c>
      <c r="G152" s="2" t="s">
        <v>1824</v>
      </c>
      <c r="H152" s="2" t="s">
        <v>2283</v>
      </c>
      <c r="I152" s="2" t="s">
        <v>1616</v>
      </c>
      <c r="J152" s="2" t="s">
        <v>2284</v>
      </c>
      <c r="K152" s="2" t="s">
        <v>1899</v>
      </c>
      <c r="L152" s="2" t="s">
        <v>1746</v>
      </c>
      <c r="M152" s="2" t="s">
        <v>1620</v>
      </c>
      <c r="N152" s="2" t="s">
        <v>1620</v>
      </c>
      <c r="O152" s="2" t="s">
        <v>1747</v>
      </c>
    </row>
    <row r="153" spans="1:15" hidden="1">
      <c r="A153" s="2" t="s">
        <v>1829</v>
      </c>
      <c r="B153" s="2" t="s">
        <v>1609</v>
      </c>
      <c r="C153" s="2" t="s">
        <v>1634</v>
      </c>
      <c r="D153" s="2" t="s">
        <v>1741</v>
      </c>
      <c r="E153" s="2" t="s">
        <v>1635</v>
      </c>
      <c r="F153" s="2" t="s">
        <v>2273</v>
      </c>
      <c r="G153" s="2" t="s">
        <v>2120</v>
      </c>
      <c r="H153" s="2" t="s">
        <v>2148</v>
      </c>
      <c r="I153" s="2" t="s">
        <v>1616</v>
      </c>
      <c r="J153" s="2" t="s">
        <v>2285</v>
      </c>
      <c r="K153" s="36" t="s">
        <v>1908</v>
      </c>
      <c r="L153" s="2" t="s">
        <v>1817</v>
      </c>
      <c r="M153" s="2" t="s">
        <v>1620</v>
      </c>
      <c r="N153" s="2" t="s">
        <v>2285</v>
      </c>
      <c r="O153" s="2" t="s">
        <v>2286</v>
      </c>
    </row>
    <row r="154" spans="1:15" hidden="1">
      <c r="A154" s="2" t="s">
        <v>1976</v>
      </c>
      <c r="B154" s="2" t="s">
        <v>1609</v>
      </c>
      <c r="C154" s="2" t="s">
        <v>1634</v>
      </c>
      <c r="D154" s="2" t="s">
        <v>2101</v>
      </c>
      <c r="E154" s="2" t="s">
        <v>1705</v>
      </c>
      <c r="F154" s="2" t="s">
        <v>2273</v>
      </c>
      <c r="G154" s="2" t="s">
        <v>1957</v>
      </c>
      <c r="H154" s="2" t="s">
        <v>2222</v>
      </c>
      <c r="I154" s="2" t="s">
        <v>1616</v>
      </c>
      <c r="J154" s="2" t="s">
        <v>2152</v>
      </c>
      <c r="K154" s="36" t="s">
        <v>2010</v>
      </c>
      <c r="L154" s="2" t="s">
        <v>1762</v>
      </c>
      <c r="M154" s="2" t="s">
        <v>1620</v>
      </c>
      <c r="N154" s="2" t="s">
        <v>2010</v>
      </c>
      <c r="O154" s="2" t="s">
        <v>2025</v>
      </c>
    </row>
    <row r="155" spans="1:15" hidden="1">
      <c r="A155" s="2" t="s">
        <v>1976</v>
      </c>
      <c r="B155" s="2" t="s">
        <v>1609</v>
      </c>
      <c r="C155" s="2" t="s">
        <v>1634</v>
      </c>
      <c r="D155" s="2" t="s">
        <v>2287</v>
      </c>
      <c r="E155" s="2" t="s">
        <v>1705</v>
      </c>
      <c r="F155" s="2" t="s">
        <v>2273</v>
      </c>
      <c r="G155" s="2" t="s">
        <v>1972</v>
      </c>
      <c r="H155" s="2" t="s">
        <v>1986</v>
      </c>
      <c r="I155" s="2" t="s">
        <v>1616</v>
      </c>
      <c r="J155" s="2" t="s">
        <v>2288</v>
      </c>
      <c r="K155" s="36" t="s">
        <v>2289</v>
      </c>
      <c r="L155" s="2" t="s">
        <v>1746</v>
      </c>
      <c r="M155" s="2" t="s">
        <v>1620</v>
      </c>
      <c r="N155" s="2" t="s">
        <v>1620</v>
      </c>
      <c r="O155" s="2" t="s">
        <v>1747</v>
      </c>
    </row>
    <row r="156" spans="1:15" hidden="1">
      <c r="A156" s="2" t="s">
        <v>1976</v>
      </c>
      <c r="B156" s="2" t="s">
        <v>1609</v>
      </c>
      <c r="C156" s="2" t="s">
        <v>1634</v>
      </c>
      <c r="D156" s="2" t="s">
        <v>2263</v>
      </c>
      <c r="E156" s="2" t="s">
        <v>1705</v>
      </c>
      <c r="F156" s="2" t="s">
        <v>2273</v>
      </c>
      <c r="G156" s="2" t="s">
        <v>2276</v>
      </c>
      <c r="H156" s="2" t="s">
        <v>1849</v>
      </c>
      <c r="I156" s="2" t="s">
        <v>1616</v>
      </c>
      <c r="J156" s="2" t="s">
        <v>2290</v>
      </c>
      <c r="K156" s="36" t="s">
        <v>2291</v>
      </c>
      <c r="L156" s="2" t="s">
        <v>1746</v>
      </c>
      <c r="M156" s="2" t="s">
        <v>1620</v>
      </c>
      <c r="N156" s="2" t="s">
        <v>1620</v>
      </c>
      <c r="O156" s="2" t="s">
        <v>1747</v>
      </c>
    </row>
    <row r="157" spans="1:15" hidden="1">
      <c r="A157" s="2" t="s">
        <v>1976</v>
      </c>
      <c r="B157" s="2" t="s">
        <v>1609</v>
      </c>
      <c r="C157" s="2" t="s">
        <v>1634</v>
      </c>
      <c r="D157" s="2" t="s">
        <v>2141</v>
      </c>
      <c r="E157" s="2" t="s">
        <v>1635</v>
      </c>
      <c r="F157" s="2" t="s">
        <v>2273</v>
      </c>
      <c r="G157" s="2" t="s">
        <v>2030</v>
      </c>
      <c r="H157" s="2" t="s">
        <v>2036</v>
      </c>
      <c r="I157" s="2" t="s">
        <v>1616</v>
      </c>
      <c r="J157" s="2" t="s">
        <v>2284</v>
      </c>
      <c r="K157" s="36" t="s">
        <v>1822</v>
      </c>
      <c r="L157" s="2" t="s">
        <v>1746</v>
      </c>
      <c r="M157" s="2" t="s">
        <v>1620</v>
      </c>
      <c r="N157" s="2" t="s">
        <v>1620</v>
      </c>
      <c r="O157" s="2" t="s">
        <v>1747</v>
      </c>
    </row>
    <row r="158" spans="1:15" hidden="1">
      <c r="A158" s="2" t="s">
        <v>1976</v>
      </c>
      <c r="B158" s="2" t="s">
        <v>1609</v>
      </c>
      <c r="C158" s="2" t="s">
        <v>1634</v>
      </c>
      <c r="D158" s="2" t="s">
        <v>2199</v>
      </c>
      <c r="E158" s="2" t="s">
        <v>1635</v>
      </c>
      <c r="F158" s="2" t="s">
        <v>2273</v>
      </c>
      <c r="G158" s="2" t="s">
        <v>2074</v>
      </c>
      <c r="H158" s="2" t="s">
        <v>1959</v>
      </c>
      <c r="I158" s="2" t="s">
        <v>1616</v>
      </c>
      <c r="J158" s="2" t="s">
        <v>2272</v>
      </c>
      <c r="K158" s="36" t="s">
        <v>2292</v>
      </c>
      <c r="L158" s="2" t="s">
        <v>1746</v>
      </c>
      <c r="M158" s="2" t="s">
        <v>1620</v>
      </c>
      <c r="N158" s="2" t="s">
        <v>1620</v>
      </c>
      <c r="O158" s="2" t="s">
        <v>1747</v>
      </c>
    </row>
    <row r="159" spans="1:15" hidden="1">
      <c r="A159" s="2" t="s">
        <v>1976</v>
      </c>
      <c r="B159" s="2" t="s">
        <v>1609</v>
      </c>
      <c r="C159" s="2" t="s">
        <v>1634</v>
      </c>
      <c r="D159" s="2" t="s">
        <v>2293</v>
      </c>
      <c r="E159" s="2" t="s">
        <v>1783</v>
      </c>
      <c r="F159" s="2" t="s">
        <v>2273</v>
      </c>
      <c r="G159" s="2" t="s">
        <v>1996</v>
      </c>
      <c r="H159" s="2" t="s">
        <v>2189</v>
      </c>
      <c r="I159" s="2" t="s">
        <v>1616</v>
      </c>
      <c r="J159" s="2" t="s">
        <v>2288</v>
      </c>
      <c r="K159" s="36" t="s">
        <v>2289</v>
      </c>
      <c r="L159" s="2" t="s">
        <v>1746</v>
      </c>
      <c r="M159" s="2" t="s">
        <v>1620</v>
      </c>
      <c r="N159" s="2" t="s">
        <v>1620</v>
      </c>
      <c r="O159" s="2" t="s">
        <v>1747</v>
      </c>
    </row>
    <row r="160" spans="1:15" hidden="1">
      <c r="A160" s="2" t="s">
        <v>1976</v>
      </c>
      <c r="B160" s="2" t="s">
        <v>1609</v>
      </c>
      <c r="C160" s="2" t="s">
        <v>1634</v>
      </c>
      <c r="D160" s="2" t="s">
        <v>2141</v>
      </c>
      <c r="E160" s="2" t="s">
        <v>1837</v>
      </c>
      <c r="F160" s="2" t="s">
        <v>2273</v>
      </c>
      <c r="G160" s="2" t="s">
        <v>1957</v>
      </c>
      <c r="H160" s="2" t="s">
        <v>2222</v>
      </c>
      <c r="I160" s="2" t="s">
        <v>1616</v>
      </c>
      <c r="J160" s="2" t="s">
        <v>2294</v>
      </c>
      <c r="K160" s="36" t="s">
        <v>2295</v>
      </c>
      <c r="L160" s="2" t="s">
        <v>1762</v>
      </c>
      <c r="M160" s="2" t="s">
        <v>1620</v>
      </c>
      <c r="N160" s="2" t="s">
        <v>2295</v>
      </c>
      <c r="O160" s="2" t="s">
        <v>2025</v>
      </c>
    </row>
    <row r="161" spans="1:15">
      <c r="A161" s="2" t="s">
        <v>1748</v>
      </c>
      <c r="B161" s="2" t="s">
        <v>1609</v>
      </c>
      <c r="C161" s="2" t="s">
        <v>1634</v>
      </c>
      <c r="D161" s="2" t="s">
        <v>2296</v>
      </c>
      <c r="E161" s="2" t="s">
        <v>1646</v>
      </c>
      <c r="F161" s="2" t="s">
        <v>2273</v>
      </c>
      <c r="G161" s="2" t="s">
        <v>1896</v>
      </c>
      <c r="H161" s="2" t="s">
        <v>2297</v>
      </c>
      <c r="I161" s="2" t="s">
        <v>1616</v>
      </c>
      <c r="J161" s="2" t="s">
        <v>2298</v>
      </c>
      <c r="K161" s="2" t="s">
        <v>2099</v>
      </c>
      <c r="L161" s="2" t="s">
        <v>1746</v>
      </c>
      <c r="M161" s="2" t="s">
        <v>1620</v>
      </c>
      <c r="N161" s="2" t="s">
        <v>1620</v>
      </c>
      <c r="O161" s="2" t="s">
        <v>1747</v>
      </c>
    </row>
    <row r="162" spans="1:15">
      <c r="A162" s="2" t="s">
        <v>1748</v>
      </c>
      <c r="B162" s="2" t="s">
        <v>1609</v>
      </c>
      <c r="C162" s="2" t="s">
        <v>1634</v>
      </c>
      <c r="D162" s="2" t="s">
        <v>2299</v>
      </c>
      <c r="E162" s="2" t="s">
        <v>1646</v>
      </c>
      <c r="F162" s="2" t="s">
        <v>2273</v>
      </c>
      <c r="G162" s="2" t="s">
        <v>2012</v>
      </c>
      <c r="H162" s="2" t="s">
        <v>2095</v>
      </c>
      <c r="I162" s="2" t="s">
        <v>1616</v>
      </c>
      <c r="J162" s="2" t="s">
        <v>2300</v>
      </c>
      <c r="K162" s="2" t="s">
        <v>2220</v>
      </c>
      <c r="L162" s="2" t="s">
        <v>1746</v>
      </c>
      <c r="M162" s="2" t="s">
        <v>1620</v>
      </c>
      <c r="N162" s="2" t="s">
        <v>1620</v>
      </c>
      <c r="O162" s="2" t="s">
        <v>1747</v>
      </c>
    </row>
    <row r="163" spans="1:15">
      <c r="A163" s="2" t="s">
        <v>1748</v>
      </c>
      <c r="B163" s="2" t="s">
        <v>1609</v>
      </c>
      <c r="C163" s="2" t="s">
        <v>1634</v>
      </c>
      <c r="D163" s="2" t="s">
        <v>1990</v>
      </c>
      <c r="E163" s="2" t="s">
        <v>1646</v>
      </c>
      <c r="F163" s="2" t="s">
        <v>2273</v>
      </c>
      <c r="G163" s="2" t="s">
        <v>1924</v>
      </c>
      <c r="H163" s="2" t="s">
        <v>1856</v>
      </c>
      <c r="I163" s="2" t="s">
        <v>1616</v>
      </c>
      <c r="J163" s="2" t="s">
        <v>2301</v>
      </c>
      <c r="K163" s="2" t="s">
        <v>2019</v>
      </c>
      <c r="L163" s="2" t="s">
        <v>1746</v>
      </c>
      <c r="M163" s="2" t="s">
        <v>1620</v>
      </c>
      <c r="N163" s="2" t="s">
        <v>1620</v>
      </c>
      <c r="O163" s="2" t="s">
        <v>1747</v>
      </c>
    </row>
    <row r="164" spans="1:15">
      <c r="A164" s="2" t="s">
        <v>1748</v>
      </c>
      <c r="B164" s="2" t="s">
        <v>1609</v>
      </c>
      <c r="C164" s="2" t="s">
        <v>1634</v>
      </c>
      <c r="D164" s="2" t="s">
        <v>2011</v>
      </c>
      <c r="E164" s="2" t="s">
        <v>1646</v>
      </c>
      <c r="F164" s="2" t="s">
        <v>2273</v>
      </c>
      <c r="G164" s="2" t="s">
        <v>1830</v>
      </c>
      <c r="H164" s="2" t="s">
        <v>1836</v>
      </c>
      <c r="I164" s="2" t="s">
        <v>1616</v>
      </c>
      <c r="J164" s="2" t="s">
        <v>2302</v>
      </c>
      <c r="K164" s="2" t="s">
        <v>1718</v>
      </c>
      <c r="L164" s="2" t="s">
        <v>1746</v>
      </c>
      <c r="M164" s="2" t="s">
        <v>1620</v>
      </c>
      <c r="N164" s="2" t="s">
        <v>1620</v>
      </c>
      <c r="O164" s="2" t="s">
        <v>1747</v>
      </c>
    </row>
    <row r="165" spans="1:15">
      <c r="A165" s="2" t="s">
        <v>1748</v>
      </c>
      <c r="B165" s="2" t="s">
        <v>1609</v>
      </c>
      <c r="C165" s="2" t="s">
        <v>1634</v>
      </c>
      <c r="D165" s="2" t="s">
        <v>2303</v>
      </c>
      <c r="E165" s="2" t="s">
        <v>1646</v>
      </c>
      <c r="F165" s="2" t="s">
        <v>2273</v>
      </c>
      <c r="G165" s="2" t="s">
        <v>1957</v>
      </c>
      <c r="H165" s="2" t="s">
        <v>2222</v>
      </c>
      <c r="I165" s="2" t="s">
        <v>1616</v>
      </c>
      <c r="J165" s="2" t="s">
        <v>2304</v>
      </c>
      <c r="K165" s="2" t="s">
        <v>2161</v>
      </c>
      <c r="L165" s="2" t="s">
        <v>1762</v>
      </c>
      <c r="M165" s="2" t="s">
        <v>1620</v>
      </c>
      <c r="N165" s="2" t="s">
        <v>2161</v>
      </c>
      <c r="O165" s="2" t="s">
        <v>2025</v>
      </c>
    </row>
    <row r="166" spans="1:15">
      <c r="A166" s="2" t="s">
        <v>1748</v>
      </c>
      <c r="B166" s="2" t="s">
        <v>1609</v>
      </c>
      <c r="C166" s="2" t="s">
        <v>1634</v>
      </c>
      <c r="D166" s="2" t="s">
        <v>2305</v>
      </c>
      <c r="E166" s="2" t="s">
        <v>1646</v>
      </c>
      <c r="F166" s="2" t="s">
        <v>2273</v>
      </c>
      <c r="G166" s="2" t="s">
        <v>2002</v>
      </c>
      <c r="H166" s="2" t="s">
        <v>2182</v>
      </c>
      <c r="I166" s="2" t="s">
        <v>1616</v>
      </c>
      <c r="J166" s="2" t="s">
        <v>2301</v>
      </c>
      <c r="K166" s="2" t="s">
        <v>2019</v>
      </c>
      <c r="L166" s="2" t="s">
        <v>1746</v>
      </c>
      <c r="M166" s="2" t="s">
        <v>1620</v>
      </c>
      <c r="N166" s="2" t="s">
        <v>1620</v>
      </c>
      <c r="O166" s="2" t="s">
        <v>1747</v>
      </c>
    </row>
    <row r="167" spans="1:15">
      <c r="A167" s="2" t="s">
        <v>1748</v>
      </c>
      <c r="B167" s="2" t="s">
        <v>1609</v>
      </c>
      <c r="C167" s="2" t="s">
        <v>1634</v>
      </c>
      <c r="D167" s="2" t="s">
        <v>2306</v>
      </c>
      <c r="E167" s="2" t="s">
        <v>1646</v>
      </c>
      <c r="F167" s="2" t="s">
        <v>2273</v>
      </c>
      <c r="G167" s="2" t="s">
        <v>1996</v>
      </c>
      <c r="H167" s="2" t="s">
        <v>2189</v>
      </c>
      <c r="I167" s="2" t="s">
        <v>1616</v>
      </c>
      <c r="J167" s="2" t="s">
        <v>2307</v>
      </c>
      <c r="K167" s="2" t="s">
        <v>2308</v>
      </c>
      <c r="L167" s="2" t="s">
        <v>1746</v>
      </c>
      <c r="M167" s="2" t="s">
        <v>1620</v>
      </c>
      <c r="N167" s="2" t="s">
        <v>1620</v>
      </c>
      <c r="O167" s="2" t="s">
        <v>1747</v>
      </c>
    </row>
    <row r="168" spans="1:15">
      <c r="A168" s="2" t="s">
        <v>1748</v>
      </c>
      <c r="B168" s="2" t="s">
        <v>1609</v>
      </c>
      <c r="C168" s="2" t="s">
        <v>1634</v>
      </c>
      <c r="D168" s="2" t="s">
        <v>2309</v>
      </c>
      <c r="E168" s="2" t="s">
        <v>1646</v>
      </c>
      <c r="F168" s="2" t="s">
        <v>2273</v>
      </c>
      <c r="G168" s="2" t="s">
        <v>2074</v>
      </c>
      <c r="H168" s="2" t="s">
        <v>1959</v>
      </c>
      <c r="I168" s="2" t="s">
        <v>1616</v>
      </c>
      <c r="J168" s="2" t="s">
        <v>1827</v>
      </c>
      <c r="K168" s="2" t="s">
        <v>2310</v>
      </c>
      <c r="L168" s="2" t="s">
        <v>1746</v>
      </c>
      <c r="M168" s="2" t="s">
        <v>1620</v>
      </c>
      <c r="N168" s="2" t="s">
        <v>1620</v>
      </c>
      <c r="O168" s="2" t="s">
        <v>1747</v>
      </c>
    </row>
    <row r="169" spans="1:15">
      <c r="A169" s="2" t="s">
        <v>1748</v>
      </c>
      <c r="B169" s="2" t="s">
        <v>1609</v>
      </c>
      <c r="C169" s="2" t="s">
        <v>1634</v>
      </c>
      <c r="D169" s="2" t="s">
        <v>2311</v>
      </c>
      <c r="E169" s="2" t="s">
        <v>1646</v>
      </c>
      <c r="F169" s="2" t="s">
        <v>2273</v>
      </c>
      <c r="G169" s="2" t="s">
        <v>1924</v>
      </c>
      <c r="H169" s="2" t="s">
        <v>1856</v>
      </c>
      <c r="I169" s="2" t="s">
        <v>1616</v>
      </c>
      <c r="J169" s="2" t="s">
        <v>2300</v>
      </c>
      <c r="K169" s="2" t="s">
        <v>2220</v>
      </c>
      <c r="L169" s="2" t="s">
        <v>1746</v>
      </c>
      <c r="M169" s="2" t="s">
        <v>1620</v>
      </c>
      <c r="N169" s="2" t="s">
        <v>1620</v>
      </c>
      <c r="O169" s="2" t="s">
        <v>1747</v>
      </c>
    </row>
    <row r="170" spans="1:15">
      <c r="A170" s="2" t="s">
        <v>1748</v>
      </c>
      <c r="B170" s="2" t="s">
        <v>1609</v>
      </c>
      <c r="C170" s="2" t="s">
        <v>1634</v>
      </c>
      <c r="D170" s="2" t="s">
        <v>2312</v>
      </c>
      <c r="E170" s="2" t="s">
        <v>1646</v>
      </c>
      <c r="F170" s="2" t="s">
        <v>2273</v>
      </c>
      <c r="G170" s="2" t="s">
        <v>1905</v>
      </c>
      <c r="H170" s="2" t="s">
        <v>2000</v>
      </c>
      <c r="I170" s="2" t="s">
        <v>1616</v>
      </c>
      <c r="J170" s="2" t="s">
        <v>2313</v>
      </c>
      <c r="K170" s="2" t="s">
        <v>2314</v>
      </c>
      <c r="L170" s="2" t="s">
        <v>1746</v>
      </c>
      <c r="M170" s="2" t="s">
        <v>1620</v>
      </c>
      <c r="N170" s="2" t="s">
        <v>1620</v>
      </c>
      <c r="O170" s="2" t="s">
        <v>1747</v>
      </c>
    </row>
    <row r="171" spans="1:15">
      <c r="A171" s="2" t="s">
        <v>1748</v>
      </c>
      <c r="B171" s="2" t="s">
        <v>1609</v>
      </c>
      <c r="C171" s="2" t="s">
        <v>1634</v>
      </c>
      <c r="D171" s="2" t="s">
        <v>2315</v>
      </c>
      <c r="E171" s="2" t="s">
        <v>1646</v>
      </c>
      <c r="F171" s="2" t="s">
        <v>2273</v>
      </c>
      <c r="G171" s="2" t="s">
        <v>1896</v>
      </c>
      <c r="H171" s="2" t="s">
        <v>2297</v>
      </c>
      <c r="I171" s="2" t="s">
        <v>1616</v>
      </c>
      <c r="J171" s="2" t="s">
        <v>1876</v>
      </c>
      <c r="K171" s="2" t="s">
        <v>2089</v>
      </c>
      <c r="L171" s="2" t="s">
        <v>1746</v>
      </c>
      <c r="M171" s="2" t="s">
        <v>1620</v>
      </c>
      <c r="N171" s="2" t="s">
        <v>1620</v>
      </c>
      <c r="O171" s="2" t="s">
        <v>1747</v>
      </c>
    </row>
    <row r="172" spans="1:15" hidden="1">
      <c r="A172" s="2" t="s">
        <v>1923</v>
      </c>
      <c r="B172" s="2" t="s">
        <v>1609</v>
      </c>
      <c r="C172" s="2" t="s">
        <v>1634</v>
      </c>
      <c r="D172" s="2" t="s">
        <v>1890</v>
      </c>
      <c r="E172" s="2" t="s">
        <v>1795</v>
      </c>
      <c r="F172" s="2" t="s">
        <v>2273</v>
      </c>
      <c r="G172" s="2" t="s">
        <v>2012</v>
      </c>
      <c r="H172" s="2" t="s">
        <v>2095</v>
      </c>
      <c r="I172" s="2" t="s">
        <v>1616</v>
      </c>
      <c r="J172" s="2" t="s">
        <v>1919</v>
      </c>
      <c r="K172" s="2" t="s">
        <v>2316</v>
      </c>
      <c r="L172" s="2" t="s">
        <v>1746</v>
      </c>
      <c r="M172" s="2" t="s">
        <v>1620</v>
      </c>
      <c r="N172" s="2" t="s">
        <v>1620</v>
      </c>
      <c r="O172" s="2" t="s">
        <v>1747</v>
      </c>
    </row>
    <row r="173" spans="1:15" hidden="1">
      <c r="A173" s="2" t="s">
        <v>1923</v>
      </c>
      <c r="B173" s="2" t="s">
        <v>1609</v>
      </c>
      <c r="C173" s="2" t="s">
        <v>1634</v>
      </c>
      <c r="D173" s="2" t="s">
        <v>2293</v>
      </c>
      <c r="E173" s="2" t="s">
        <v>1795</v>
      </c>
      <c r="F173" s="2" t="s">
        <v>2273</v>
      </c>
      <c r="G173" s="2" t="s">
        <v>1862</v>
      </c>
      <c r="H173" s="2" t="s">
        <v>2317</v>
      </c>
      <c r="I173" s="2" t="s">
        <v>1616</v>
      </c>
      <c r="J173" s="2" t="s">
        <v>2318</v>
      </c>
      <c r="K173" s="2" t="s">
        <v>2319</v>
      </c>
      <c r="L173" s="2" t="s">
        <v>1762</v>
      </c>
      <c r="M173" s="2" t="s">
        <v>1620</v>
      </c>
      <c r="N173" s="2" t="s">
        <v>2319</v>
      </c>
      <c r="O173" s="2" t="s">
        <v>2025</v>
      </c>
    </row>
    <row r="174" spans="1:15" hidden="1">
      <c r="A174" s="2" t="s">
        <v>1923</v>
      </c>
      <c r="B174" s="2" t="s">
        <v>1609</v>
      </c>
      <c r="C174" s="2" t="s">
        <v>1634</v>
      </c>
      <c r="D174" s="2" t="s">
        <v>2084</v>
      </c>
      <c r="E174" s="2" t="s">
        <v>1795</v>
      </c>
      <c r="F174" s="2" t="s">
        <v>2273</v>
      </c>
      <c r="G174" s="2" t="s">
        <v>1873</v>
      </c>
      <c r="H174" s="2" t="s">
        <v>2320</v>
      </c>
      <c r="I174" s="2" t="s">
        <v>1616</v>
      </c>
      <c r="J174" s="2" t="s">
        <v>2321</v>
      </c>
      <c r="K174" s="2" t="s">
        <v>2322</v>
      </c>
      <c r="L174" s="2" t="s">
        <v>1746</v>
      </c>
      <c r="M174" s="2" t="s">
        <v>1620</v>
      </c>
      <c r="N174" s="2" t="s">
        <v>1620</v>
      </c>
      <c r="O174" s="2" t="s">
        <v>1747</v>
      </c>
    </row>
    <row r="175" spans="1:15" hidden="1">
      <c r="A175" s="2" t="s">
        <v>1923</v>
      </c>
      <c r="B175" s="2" t="s">
        <v>1609</v>
      </c>
      <c r="C175" s="2" t="s">
        <v>1634</v>
      </c>
      <c r="D175" s="2" t="s">
        <v>2241</v>
      </c>
      <c r="E175" s="2" t="s">
        <v>1795</v>
      </c>
      <c r="F175" s="2" t="s">
        <v>2273</v>
      </c>
      <c r="G175" s="2" t="s">
        <v>1838</v>
      </c>
      <c r="H175" s="2" t="s">
        <v>2258</v>
      </c>
      <c r="I175" s="2" t="s">
        <v>1616</v>
      </c>
      <c r="J175" s="2" t="s">
        <v>2323</v>
      </c>
      <c r="K175" s="2" t="s">
        <v>1965</v>
      </c>
      <c r="L175" s="2" t="s">
        <v>1746</v>
      </c>
      <c r="M175" s="2" t="s">
        <v>1620</v>
      </c>
      <c r="N175" s="2" t="s">
        <v>1620</v>
      </c>
      <c r="O175" s="2" t="s">
        <v>1747</v>
      </c>
    </row>
    <row r="176" spans="1:15" hidden="1">
      <c r="A176" s="2" t="s">
        <v>1923</v>
      </c>
      <c r="B176" s="2" t="s">
        <v>1609</v>
      </c>
      <c r="C176" s="2" t="s">
        <v>1634</v>
      </c>
      <c r="D176" s="2" t="s">
        <v>1624</v>
      </c>
      <c r="E176" s="2" t="s">
        <v>1795</v>
      </c>
      <c r="F176" s="2" t="s">
        <v>2273</v>
      </c>
      <c r="G176" s="2" t="s">
        <v>1830</v>
      </c>
      <c r="H176" s="2" t="s">
        <v>1836</v>
      </c>
      <c r="I176" s="2" t="s">
        <v>1616</v>
      </c>
      <c r="J176" s="2" t="s">
        <v>1944</v>
      </c>
      <c r="K176" s="2" t="s">
        <v>2324</v>
      </c>
      <c r="L176" s="2" t="s">
        <v>1746</v>
      </c>
      <c r="M176" s="2" t="s">
        <v>1620</v>
      </c>
      <c r="N176" s="2" t="s">
        <v>1620</v>
      </c>
      <c r="O176" s="2" t="s">
        <v>1747</v>
      </c>
    </row>
    <row r="177" spans="1:15" hidden="1">
      <c r="A177" s="2" t="s">
        <v>1923</v>
      </c>
      <c r="B177" s="2" t="s">
        <v>1609</v>
      </c>
      <c r="C177" s="2" t="s">
        <v>1634</v>
      </c>
      <c r="D177" s="2" t="s">
        <v>2101</v>
      </c>
      <c r="E177" s="2" t="s">
        <v>1795</v>
      </c>
      <c r="F177" s="2" t="s">
        <v>2273</v>
      </c>
      <c r="G177" s="2" t="s">
        <v>2030</v>
      </c>
      <c r="H177" s="2" t="s">
        <v>2036</v>
      </c>
      <c r="I177" s="2" t="s">
        <v>1616</v>
      </c>
      <c r="J177" s="2" t="s">
        <v>2325</v>
      </c>
      <c r="K177" s="2" t="s">
        <v>2326</v>
      </c>
      <c r="L177" s="2" t="s">
        <v>1746</v>
      </c>
      <c r="M177" s="2" t="s">
        <v>1620</v>
      </c>
      <c r="N177" s="2" t="s">
        <v>1620</v>
      </c>
      <c r="O177" s="2" t="s">
        <v>1747</v>
      </c>
    </row>
    <row r="178" spans="1:15" hidden="1">
      <c r="A178" s="2" t="s">
        <v>1923</v>
      </c>
      <c r="B178" s="2" t="s">
        <v>1609</v>
      </c>
      <c r="C178" s="2" t="s">
        <v>1634</v>
      </c>
      <c r="D178" s="2" t="s">
        <v>2021</v>
      </c>
      <c r="E178" s="2" t="s">
        <v>1795</v>
      </c>
      <c r="F178" s="2" t="s">
        <v>2273</v>
      </c>
      <c r="G178" s="2" t="s">
        <v>1930</v>
      </c>
      <c r="H178" s="2" t="s">
        <v>1987</v>
      </c>
      <c r="I178" s="2" t="s">
        <v>1616</v>
      </c>
      <c r="J178" s="2" t="s">
        <v>1932</v>
      </c>
      <c r="K178" s="2" t="s">
        <v>2327</v>
      </c>
      <c r="L178" s="2" t="s">
        <v>1746</v>
      </c>
      <c r="M178" s="2" t="s">
        <v>1620</v>
      </c>
      <c r="N178" s="2" t="s">
        <v>1620</v>
      </c>
      <c r="O178" s="2" t="s">
        <v>1747</v>
      </c>
    </row>
    <row r="179" spans="1:15" hidden="1">
      <c r="A179" s="2" t="s">
        <v>1923</v>
      </c>
      <c r="B179" s="2" t="s">
        <v>1609</v>
      </c>
      <c r="C179" s="2" t="s">
        <v>1634</v>
      </c>
      <c r="D179" s="2" t="s">
        <v>2328</v>
      </c>
      <c r="E179" s="2" t="s">
        <v>1795</v>
      </c>
      <c r="F179" s="2" t="s">
        <v>2273</v>
      </c>
      <c r="G179" s="2" t="s">
        <v>2273</v>
      </c>
      <c r="H179" s="2" t="s">
        <v>2286</v>
      </c>
      <c r="I179" s="2" t="s">
        <v>1616</v>
      </c>
      <c r="J179" s="2" t="s">
        <v>2329</v>
      </c>
      <c r="K179" s="2" t="s">
        <v>2290</v>
      </c>
      <c r="L179" s="2" t="s">
        <v>1817</v>
      </c>
      <c r="M179" s="2" t="s">
        <v>1620</v>
      </c>
      <c r="N179" s="2" t="s">
        <v>2329</v>
      </c>
      <c r="O179" s="2" t="s">
        <v>2286</v>
      </c>
    </row>
    <row r="180" spans="1:15" hidden="1">
      <c r="A180" s="2" t="s">
        <v>1923</v>
      </c>
      <c r="B180" s="2" t="s">
        <v>1609</v>
      </c>
      <c r="C180" s="2" t="s">
        <v>1634</v>
      </c>
      <c r="D180" s="2" t="s">
        <v>2051</v>
      </c>
      <c r="E180" s="2" t="s">
        <v>1795</v>
      </c>
      <c r="F180" s="2" t="s">
        <v>2273</v>
      </c>
      <c r="G180" s="2" t="s">
        <v>1905</v>
      </c>
      <c r="H180" s="2" t="s">
        <v>2000</v>
      </c>
      <c r="I180" s="2" t="s">
        <v>1616</v>
      </c>
      <c r="J180" s="2" t="s">
        <v>2292</v>
      </c>
      <c r="K180" s="2" t="s">
        <v>2330</v>
      </c>
      <c r="L180" s="2" t="s">
        <v>1746</v>
      </c>
      <c r="M180" s="2" t="s">
        <v>1620</v>
      </c>
      <c r="N180" s="2" t="s">
        <v>1620</v>
      </c>
      <c r="O180" s="2" t="s">
        <v>1747</v>
      </c>
    </row>
    <row r="181" spans="1:15" hidden="1">
      <c r="A181" s="2" t="s">
        <v>1923</v>
      </c>
      <c r="B181" s="2" t="s">
        <v>1609</v>
      </c>
      <c r="C181" s="2" t="s">
        <v>1634</v>
      </c>
      <c r="D181" s="2" t="s">
        <v>1967</v>
      </c>
      <c r="E181" s="2" t="s">
        <v>1795</v>
      </c>
      <c r="F181" s="2" t="s">
        <v>2273</v>
      </c>
      <c r="G181" s="2" t="s">
        <v>1972</v>
      </c>
      <c r="H181" s="2" t="s">
        <v>1986</v>
      </c>
      <c r="I181" s="2" t="s">
        <v>1616</v>
      </c>
      <c r="J181" s="2" t="s">
        <v>2331</v>
      </c>
      <c r="K181" s="2" t="s">
        <v>2332</v>
      </c>
      <c r="L181" s="2" t="s">
        <v>1746</v>
      </c>
      <c r="M181" s="2" t="s">
        <v>1620</v>
      </c>
      <c r="N181" s="2" t="s">
        <v>1620</v>
      </c>
      <c r="O181" s="2" t="s">
        <v>1747</v>
      </c>
    </row>
    <row r="182" spans="1:15" hidden="1">
      <c r="A182" s="2" t="s">
        <v>1923</v>
      </c>
      <c r="B182" s="2" t="s">
        <v>1609</v>
      </c>
      <c r="C182" s="2" t="s">
        <v>1634</v>
      </c>
      <c r="D182" s="2" t="s">
        <v>2333</v>
      </c>
      <c r="E182" s="2" t="s">
        <v>1795</v>
      </c>
      <c r="F182" s="2" t="s">
        <v>2273</v>
      </c>
      <c r="G182" s="2" t="s">
        <v>2030</v>
      </c>
      <c r="H182" s="2" t="s">
        <v>2036</v>
      </c>
      <c r="I182" s="2" t="s">
        <v>1616</v>
      </c>
      <c r="J182" s="2" t="s">
        <v>1833</v>
      </c>
      <c r="K182" s="2" t="s">
        <v>2318</v>
      </c>
      <c r="L182" s="2" t="s">
        <v>1746</v>
      </c>
      <c r="M182" s="2" t="s">
        <v>1620</v>
      </c>
      <c r="N182" s="2" t="s">
        <v>1620</v>
      </c>
      <c r="O182" s="2" t="s">
        <v>1747</v>
      </c>
    </row>
    <row r="183" spans="1:15" hidden="1">
      <c r="A183" s="2" t="s">
        <v>1923</v>
      </c>
      <c r="B183" s="2" t="s">
        <v>1609</v>
      </c>
      <c r="C183" s="2" t="s">
        <v>1634</v>
      </c>
      <c r="D183" s="2" t="s">
        <v>2334</v>
      </c>
      <c r="E183" s="2" t="s">
        <v>1795</v>
      </c>
      <c r="F183" s="2" t="s">
        <v>2273</v>
      </c>
      <c r="G183" s="2" t="s">
        <v>1930</v>
      </c>
      <c r="H183" s="2" t="s">
        <v>1987</v>
      </c>
      <c r="I183" s="2" t="s">
        <v>1616</v>
      </c>
      <c r="J183" s="2" t="s">
        <v>2335</v>
      </c>
      <c r="K183" s="2" t="s">
        <v>2336</v>
      </c>
      <c r="L183" s="2" t="s">
        <v>1746</v>
      </c>
      <c r="M183" s="2" t="s">
        <v>1620</v>
      </c>
      <c r="N183" s="2" t="s">
        <v>1620</v>
      </c>
      <c r="O183" s="2" t="s">
        <v>1747</v>
      </c>
    </row>
    <row r="184" spans="1:15" hidden="1">
      <c r="A184" s="2" t="s">
        <v>1878</v>
      </c>
      <c r="B184" s="2" t="s">
        <v>1609</v>
      </c>
      <c r="C184" s="2" t="s">
        <v>1634</v>
      </c>
      <c r="D184" s="2" t="s">
        <v>2337</v>
      </c>
      <c r="E184" s="2" t="s">
        <v>1880</v>
      </c>
      <c r="F184" s="2" t="s">
        <v>2273</v>
      </c>
      <c r="G184" s="2" t="s">
        <v>1996</v>
      </c>
      <c r="H184" s="2" t="s">
        <v>2189</v>
      </c>
      <c r="I184" s="2" t="s">
        <v>1616</v>
      </c>
      <c r="J184" s="2" t="s">
        <v>2151</v>
      </c>
      <c r="K184" s="36" t="s">
        <v>1983</v>
      </c>
      <c r="L184" s="2" t="s">
        <v>1746</v>
      </c>
      <c r="M184" s="2" t="s">
        <v>1620</v>
      </c>
      <c r="N184" s="2" t="s">
        <v>1620</v>
      </c>
      <c r="O184" s="2" t="s">
        <v>1747</v>
      </c>
    </row>
    <row r="185" spans="1:15" hidden="1">
      <c r="A185" s="2" t="s">
        <v>1878</v>
      </c>
      <c r="B185" s="2" t="s">
        <v>1609</v>
      </c>
      <c r="C185" s="2" t="s">
        <v>1634</v>
      </c>
      <c r="D185" s="2" t="s">
        <v>2338</v>
      </c>
      <c r="E185" s="2" t="s">
        <v>1880</v>
      </c>
      <c r="F185" s="2" t="s">
        <v>2273</v>
      </c>
      <c r="G185" s="2" t="s">
        <v>2339</v>
      </c>
      <c r="H185" s="2" t="s">
        <v>2340</v>
      </c>
      <c r="I185" s="2" t="s">
        <v>1616</v>
      </c>
      <c r="J185" s="2" t="s">
        <v>2210</v>
      </c>
      <c r="K185" s="36" t="s">
        <v>2335</v>
      </c>
      <c r="L185" s="2" t="s">
        <v>1746</v>
      </c>
      <c r="M185" s="2" t="s">
        <v>1620</v>
      </c>
      <c r="N185" s="2" t="s">
        <v>1620</v>
      </c>
      <c r="O185" s="2" t="s">
        <v>1747</v>
      </c>
    </row>
    <row r="186" spans="1:15" hidden="1">
      <c r="A186" s="2" t="s">
        <v>1878</v>
      </c>
      <c r="B186" s="2" t="s">
        <v>1609</v>
      </c>
      <c r="C186" s="2" t="s">
        <v>1634</v>
      </c>
      <c r="D186" s="2" t="s">
        <v>2341</v>
      </c>
      <c r="E186" s="2" t="s">
        <v>1880</v>
      </c>
      <c r="F186" s="2" t="s">
        <v>2273</v>
      </c>
      <c r="G186" s="2" t="s">
        <v>1924</v>
      </c>
      <c r="H186" s="2" t="s">
        <v>1856</v>
      </c>
      <c r="I186" s="2" t="s">
        <v>1616</v>
      </c>
      <c r="J186" s="2" t="s">
        <v>2342</v>
      </c>
      <c r="K186" s="36" t="s">
        <v>1970</v>
      </c>
      <c r="L186" s="2" t="s">
        <v>1746</v>
      </c>
      <c r="M186" s="2" t="s">
        <v>1620</v>
      </c>
      <c r="N186" s="2" t="s">
        <v>1620</v>
      </c>
      <c r="O186" s="2" t="s">
        <v>1747</v>
      </c>
    </row>
    <row r="187" spans="1:15" hidden="1">
      <c r="A187" s="2" t="s">
        <v>1878</v>
      </c>
      <c r="B187" s="2" t="s">
        <v>1609</v>
      </c>
      <c r="C187" s="2" t="s">
        <v>1634</v>
      </c>
      <c r="D187" s="2" t="s">
        <v>2343</v>
      </c>
      <c r="E187" s="2" t="s">
        <v>1880</v>
      </c>
      <c r="F187" s="2" t="s">
        <v>2273</v>
      </c>
      <c r="G187" s="2" t="s">
        <v>2030</v>
      </c>
      <c r="H187" s="2" t="s">
        <v>2036</v>
      </c>
      <c r="I187" s="2" t="s">
        <v>1616</v>
      </c>
      <c r="J187" s="2" t="s">
        <v>2323</v>
      </c>
      <c r="K187" s="36" t="s">
        <v>1965</v>
      </c>
      <c r="L187" s="2" t="s">
        <v>1746</v>
      </c>
      <c r="M187" s="2" t="s">
        <v>1620</v>
      </c>
      <c r="N187" s="2" t="s">
        <v>1620</v>
      </c>
      <c r="O187" s="2" t="s">
        <v>1747</v>
      </c>
    </row>
    <row r="188" spans="1:15" hidden="1">
      <c r="A188" s="2" t="s">
        <v>1878</v>
      </c>
      <c r="B188" s="2" t="s">
        <v>1609</v>
      </c>
      <c r="C188" s="2" t="s">
        <v>1634</v>
      </c>
      <c r="D188" s="2" t="s">
        <v>2051</v>
      </c>
      <c r="E188" s="2" t="s">
        <v>1880</v>
      </c>
      <c r="F188" s="2" t="s">
        <v>2273</v>
      </c>
      <c r="G188" s="2" t="s">
        <v>1838</v>
      </c>
      <c r="H188" s="2" t="s">
        <v>2258</v>
      </c>
      <c r="I188" s="2" t="s">
        <v>1616</v>
      </c>
      <c r="J188" s="2" t="s">
        <v>1993</v>
      </c>
      <c r="K188" s="36" t="s">
        <v>2344</v>
      </c>
      <c r="L188" s="2" t="s">
        <v>1746</v>
      </c>
      <c r="M188" s="2" t="s">
        <v>1620</v>
      </c>
      <c r="N188" s="2" t="s">
        <v>1620</v>
      </c>
      <c r="O188" s="2" t="s">
        <v>1747</v>
      </c>
    </row>
    <row r="189" spans="1:15" hidden="1">
      <c r="A189" s="2" t="s">
        <v>1878</v>
      </c>
      <c r="B189" s="2" t="s">
        <v>1609</v>
      </c>
      <c r="C189" s="2" t="s">
        <v>1634</v>
      </c>
      <c r="D189" s="2" t="s">
        <v>1645</v>
      </c>
      <c r="E189" s="2" t="s">
        <v>1880</v>
      </c>
      <c r="F189" s="2" t="s">
        <v>2273</v>
      </c>
      <c r="G189" s="2" t="s">
        <v>2030</v>
      </c>
      <c r="H189" s="2" t="s">
        <v>2036</v>
      </c>
      <c r="I189" s="2" t="s">
        <v>1616</v>
      </c>
      <c r="J189" s="2" t="s">
        <v>1775</v>
      </c>
      <c r="K189" s="36" t="s">
        <v>2288</v>
      </c>
      <c r="L189" s="2" t="s">
        <v>1746</v>
      </c>
      <c r="M189" s="2" t="s">
        <v>1620</v>
      </c>
      <c r="N189" s="2" t="s">
        <v>1620</v>
      </c>
      <c r="O189" s="2" t="s">
        <v>1747</v>
      </c>
    </row>
    <row r="190" spans="1:15" hidden="1">
      <c r="A190" s="2" t="s">
        <v>1878</v>
      </c>
      <c r="B190" s="2" t="s">
        <v>1609</v>
      </c>
      <c r="C190" s="2" t="s">
        <v>1634</v>
      </c>
      <c r="D190" s="2" t="s">
        <v>1977</v>
      </c>
      <c r="E190" s="2" t="s">
        <v>1880</v>
      </c>
      <c r="F190" s="2" t="s">
        <v>2273</v>
      </c>
      <c r="G190" s="2" t="s">
        <v>2120</v>
      </c>
      <c r="H190" s="2" t="s">
        <v>2148</v>
      </c>
      <c r="I190" s="2" t="s">
        <v>1616</v>
      </c>
      <c r="J190" s="2" t="s">
        <v>2044</v>
      </c>
      <c r="K190" s="36" t="s">
        <v>2105</v>
      </c>
      <c r="L190" s="2" t="s">
        <v>1746</v>
      </c>
      <c r="M190" s="2" t="s">
        <v>1620</v>
      </c>
      <c r="N190" s="2" t="s">
        <v>1620</v>
      </c>
      <c r="O190" s="2" t="s">
        <v>1747</v>
      </c>
    </row>
    <row r="191" spans="1:15" hidden="1">
      <c r="A191" s="2" t="s">
        <v>1732</v>
      </c>
      <c r="B191" s="2" t="s">
        <v>1609</v>
      </c>
      <c r="C191" s="2" t="s">
        <v>1634</v>
      </c>
      <c r="D191" s="2" t="s">
        <v>1656</v>
      </c>
      <c r="E191" s="2" t="s">
        <v>1783</v>
      </c>
      <c r="F191" s="2" t="s">
        <v>2345</v>
      </c>
      <c r="G191" s="2" t="s">
        <v>2176</v>
      </c>
      <c r="H191" s="2" t="s">
        <v>2095</v>
      </c>
      <c r="I191" s="2" t="s">
        <v>1616</v>
      </c>
      <c r="J191" s="2" t="s">
        <v>2346</v>
      </c>
      <c r="K191" s="36" t="s">
        <v>2346</v>
      </c>
      <c r="L191" s="2" t="s">
        <v>1746</v>
      </c>
      <c r="M191" s="2" t="s">
        <v>1620</v>
      </c>
      <c r="N191" s="2" t="s">
        <v>1620</v>
      </c>
      <c r="O191" s="2" t="s">
        <v>1747</v>
      </c>
    </row>
    <row r="192" spans="1:15" hidden="1">
      <c r="A192" s="2" t="s">
        <v>1732</v>
      </c>
      <c r="B192" s="2" t="s">
        <v>1609</v>
      </c>
      <c r="C192" s="2" t="s">
        <v>1634</v>
      </c>
      <c r="D192" s="2" t="s">
        <v>1656</v>
      </c>
      <c r="E192" s="2" t="s">
        <v>1723</v>
      </c>
      <c r="F192" s="2" t="s">
        <v>2345</v>
      </c>
      <c r="G192" s="2" t="s">
        <v>2230</v>
      </c>
      <c r="H192" s="2" t="s">
        <v>2347</v>
      </c>
      <c r="I192" s="2" t="s">
        <v>1616</v>
      </c>
      <c r="J192" s="2" t="s">
        <v>2348</v>
      </c>
      <c r="K192" s="36" t="s">
        <v>2348</v>
      </c>
      <c r="L192" s="2" t="s">
        <v>1746</v>
      </c>
      <c r="M192" s="2" t="s">
        <v>1620</v>
      </c>
      <c r="N192" s="2" t="s">
        <v>1620</v>
      </c>
      <c r="O192" s="2" t="s">
        <v>1747</v>
      </c>
    </row>
    <row r="193" spans="1:15" hidden="1">
      <c r="A193" s="2" t="s">
        <v>1903</v>
      </c>
      <c r="B193" s="2" t="s">
        <v>1609</v>
      </c>
      <c r="C193" s="2" t="s">
        <v>1634</v>
      </c>
      <c r="D193" s="2" t="s">
        <v>1904</v>
      </c>
      <c r="E193" s="2" t="s">
        <v>1723</v>
      </c>
      <c r="F193" s="2" t="s">
        <v>2345</v>
      </c>
      <c r="G193" s="2" t="s">
        <v>1912</v>
      </c>
      <c r="H193" s="2" t="s">
        <v>1756</v>
      </c>
      <c r="I193" s="2" t="s">
        <v>1616</v>
      </c>
      <c r="J193" s="2" t="s">
        <v>2349</v>
      </c>
      <c r="K193" s="36" t="s">
        <v>2349</v>
      </c>
      <c r="L193" s="2" t="s">
        <v>1746</v>
      </c>
      <c r="M193" s="2" t="s">
        <v>1620</v>
      </c>
      <c r="N193" s="2" t="s">
        <v>1620</v>
      </c>
      <c r="O193" s="2" t="s">
        <v>1747</v>
      </c>
    </row>
    <row r="194" spans="1:15" hidden="1">
      <c r="A194" s="2" t="s">
        <v>1911</v>
      </c>
      <c r="B194" s="2" t="s">
        <v>1609</v>
      </c>
      <c r="C194" s="2" t="s">
        <v>1634</v>
      </c>
      <c r="D194" s="2" t="s">
        <v>1624</v>
      </c>
      <c r="E194" s="2" t="s">
        <v>1783</v>
      </c>
      <c r="F194" s="2" t="s">
        <v>2345</v>
      </c>
      <c r="G194" s="2" t="s">
        <v>1885</v>
      </c>
      <c r="H194" s="2" t="s">
        <v>1889</v>
      </c>
      <c r="I194" s="2" t="s">
        <v>1616</v>
      </c>
      <c r="J194" s="2" t="s">
        <v>2350</v>
      </c>
      <c r="K194" s="36" t="s">
        <v>2350</v>
      </c>
      <c r="L194" s="2" t="s">
        <v>1746</v>
      </c>
      <c r="M194" s="2" t="s">
        <v>1620</v>
      </c>
      <c r="N194" s="2" t="s">
        <v>1620</v>
      </c>
      <c r="O194" s="2" t="s">
        <v>1747</v>
      </c>
    </row>
    <row r="195" spans="1:15" hidden="1">
      <c r="A195" s="2" t="s">
        <v>1788</v>
      </c>
      <c r="B195" s="2" t="s">
        <v>1609</v>
      </c>
      <c r="C195" s="2" t="s">
        <v>1634</v>
      </c>
      <c r="D195" s="2" t="s">
        <v>2259</v>
      </c>
      <c r="E195" s="2" t="s">
        <v>1635</v>
      </c>
      <c r="F195" s="2" t="s">
        <v>2345</v>
      </c>
      <c r="G195" s="2" t="s">
        <v>2273</v>
      </c>
      <c r="H195" s="2" t="s">
        <v>2025</v>
      </c>
      <c r="I195" s="2" t="s">
        <v>1616</v>
      </c>
      <c r="J195" s="2" t="s">
        <v>2351</v>
      </c>
      <c r="K195" s="2" t="s">
        <v>2351</v>
      </c>
      <c r="L195" s="2" t="s">
        <v>1746</v>
      </c>
      <c r="M195" s="2" t="s">
        <v>1620</v>
      </c>
      <c r="N195" s="2" t="s">
        <v>1620</v>
      </c>
      <c r="O195" s="2" t="s">
        <v>1747</v>
      </c>
    </row>
    <row r="196" spans="1:15" hidden="1">
      <c r="A196" s="2" t="s">
        <v>1788</v>
      </c>
      <c r="B196" s="2" t="s">
        <v>1609</v>
      </c>
      <c r="C196" s="2" t="s">
        <v>1634</v>
      </c>
      <c r="D196" s="2" t="s">
        <v>2259</v>
      </c>
      <c r="E196" s="2" t="s">
        <v>1783</v>
      </c>
      <c r="F196" s="2" t="s">
        <v>2345</v>
      </c>
      <c r="G196" s="2" t="s">
        <v>1972</v>
      </c>
      <c r="H196" s="2" t="s">
        <v>1770</v>
      </c>
      <c r="I196" s="2" t="s">
        <v>1616</v>
      </c>
      <c r="J196" s="2" t="s">
        <v>2352</v>
      </c>
      <c r="K196" s="2" t="s">
        <v>2352</v>
      </c>
      <c r="L196" s="2" t="s">
        <v>1746</v>
      </c>
      <c r="M196" s="2" t="s">
        <v>1620</v>
      </c>
      <c r="N196" s="2" t="s">
        <v>1620</v>
      </c>
      <c r="O196" s="2" t="s">
        <v>1747</v>
      </c>
    </row>
    <row r="197" spans="1:15" hidden="1">
      <c r="A197" s="2" t="s">
        <v>1976</v>
      </c>
      <c r="B197" s="2" t="s">
        <v>1609</v>
      </c>
      <c r="C197" s="2" t="s">
        <v>1634</v>
      </c>
      <c r="D197" s="2" t="s">
        <v>2042</v>
      </c>
      <c r="E197" s="2" t="s">
        <v>1705</v>
      </c>
      <c r="F197" s="2" t="s">
        <v>2345</v>
      </c>
      <c r="G197" s="2" t="s">
        <v>1972</v>
      </c>
      <c r="H197" s="2" t="s">
        <v>1770</v>
      </c>
      <c r="I197" s="2" t="s">
        <v>1616</v>
      </c>
      <c r="J197" s="2" t="s">
        <v>2044</v>
      </c>
      <c r="K197" s="36" t="s">
        <v>2044</v>
      </c>
      <c r="L197" s="2" t="s">
        <v>1746</v>
      </c>
      <c r="M197" s="2" t="s">
        <v>1620</v>
      </c>
      <c r="N197" s="2" t="s">
        <v>1620</v>
      </c>
      <c r="O197" s="2" t="s">
        <v>1747</v>
      </c>
    </row>
    <row r="198" spans="1:15" hidden="1">
      <c r="A198" s="2" t="s">
        <v>1976</v>
      </c>
      <c r="B198" s="2" t="s">
        <v>1609</v>
      </c>
      <c r="C198" s="2" t="s">
        <v>1634</v>
      </c>
      <c r="D198" s="2" t="s">
        <v>2241</v>
      </c>
      <c r="E198" s="2" t="s">
        <v>1705</v>
      </c>
      <c r="F198" s="2" t="s">
        <v>2345</v>
      </c>
      <c r="G198" s="2" t="s">
        <v>1946</v>
      </c>
      <c r="H198" s="2" t="s">
        <v>1836</v>
      </c>
      <c r="I198" s="2" t="s">
        <v>1616</v>
      </c>
      <c r="J198" s="2" t="s">
        <v>2349</v>
      </c>
      <c r="K198" s="36" t="s">
        <v>2349</v>
      </c>
      <c r="L198" s="2" t="s">
        <v>1746</v>
      </c>
      <c r="M198" s="2" t="s">
        <v>1620</v>
      </c>
      <c r="N198" s="2" t="s">
        <v>1620</v>
      </c>
      <c r="O198" s="2" t="s">
        <v>1747</v>
      </c>
    </row>
    <row r="199" spans="1:15" hidden="1">
      <c r="A199" s="2" t="s">
        <v>1976</v>
      </c>
      <c r="B199" s="2" t="s">
        <v>1609</v>
      </c>
      <c r="C199" s="2" t="s">
        <v>1634</v>
      </c>
      <c r="D199" s="2" t="s">
        <v>2353</v>
      </c>
      <c r="E199" s="2" t="s">
        <v>1705</v>
      </c>
      <c r="F199" s="2" t="s">
        <v>2345</v>
      </c>
      <c r="G199" s="2" t="s">
        <v>2229</v>
      </c>
      <c r="H199" s="2" t="s">
        <v>1959</v>
      </c>
      <c r="I199" s="2" t="s">
        <v>1616</v>
      </c>
      <c r="J199" s="2" t="s">
        <v>2243</v>
      </c>
      <c r="K199" s="36" t="s">
        <v>2243</v>
      </c>
      <c r="L199" s="2" t="s">
        <v>1746</v>
      </c>
      <c r="M199" s="2" t="s">
        <v>1620</v>
      </c>
      <c r="N199" s="2" t="s">
        <v>1620</v>
      </c>
      <c r="O199" s="2" t="s">
        <v>1747</v>
      </c>
    </row>
    <row r="200" spans="1:15" hidden="1">
      <c r="A200" s="2" t="s">
        <v>1976</v>
      </c>
      <c r="B200" s="2" t="s">
        <v>1609</v>
      </c>
      <c r="C200" s="2" t="s">
        <v>1634</v>
      </c>
      <c r="D200" s="2" t="s">
        <v>2051</v>
      </c>
      <c r="E200" s="2" t="s">
        <v>1705</v>
      </c>
      <c r="F200" s="2" t="s">
        <v>2345</v>
      </c>
      <c r="G200" s="2" t="s">
        <v>1885</v>
      </c>
      <c r="H200" s="2" t="s">
        <v>1889</v>
      </c>
      <c r="I200" s="2" t="s">
        <v>1616</v>
      </c>
      <c r="J200" s="2" t="s">
        <v>1727</v>
      </c>
      <c r="K200" s="36" t="s">
        <v>1727</v>
      </c>
      <c r="L200" s="2" t="s">
        <v>1746</v>
      </c>
      <c r="M200" s="2" t="s">
        <v>1620</v>
      </c>
      <c r="N200" s="2" t="s">
        <v>1620</v>
      </c>
      <c r="O200" s="2" t="s">
        <v>1747</v>
      </c>
    </row>
    <row r="201" spans="1:15" hidden="1">
      <c r="A201" s="2" t="s">
        <v>1976</v>
      </c>
      <c r="B201" s="2" t="s">
        <v>1609</v>
      </c>
      <c r="C201" s="2" t="s">
        <v>1634</v>
      </c>
      <c r="D201" s="2" t="s">
        <v>2141</v>
      </c>
      <c r="E201" s="2" t="s">
        <v>1705</v>
      </c>
      <c r="F201" s="2" t="s">
        <v>2345</v>
      </c>
      <c r="G201" s="2" t="s">
        <v>1784</v>
      </c>
      <c r="H201" s="2" t="s">
        <v>2354</v>
      </c>
      <c r="I201" s="2" t="s">
        <v>1616</v>
      </c>
      <c r="J201" s="2" t="s">
        <v>2180</v>
      </c>
      <c r="K201" s="36" t="s">
        <v>2180</v>
      </c>
      <c r="L201" s="2" t="s">
        <v>1746</v>
      </c>
      <c r="M201" s="2" t="s">
        <v>1620</v>
      </c>
      <c r="N201" s="2" t="s">
        <v>1620</v>
      </c>
      <c r="O201" s="2" t="s">
        <v>1747</v>
      </c>
    </row>
    <row r="202" spans="1:15" hidden="1">
      <c r="A202" s="2" t="s">
        <v>1976</v>
      </c>
      <c r="B202" s="2" t="s">
        <v>1609</v>
      </c>
      <c r="C202" s="2" t="s">
        <v>1634</v>
      </c>
      <c r="D202" s="2" t="s">
        <v>2355</v>
      </c>
      <c r="E202" s="2" t="s">
        <v>1705</v>
      </c>
      <c r="F202" s="2" t="s">
        <v>2345</v>
      </c>
      <c r="G202" s="2" t="s">
        <v>2176</v>
      </c>
      <c r="H202" s="2" t="s">
        <v>2095</v>
      </c>
      <c r="I202" s="2" t="s">
        <v>1616</v>
      </c>
      <c r="J202" s="2" t="s">
        <v>2089</v>
      </c>
      <c r="K202" s="36" t="s">
        <v>2089</v>
      </c>
      <c r="L202" s="2" t="s">
        <v>1746</v>
      </c>
      <c r="M202" s="2" t="s">
        <v>1620</v>
      </c>
      <c r="N202" s="2" t="s">
        <v>1620</v>
      </c>
      <c r="O202" s="2" t="s">
        <v>1747</v>
      </c>
    </row>
    <row r="203" spans="1:15" hidden="1">
      <c r="A203" s="2" t="s">
        <v>1976</v>
      </c>
      <c r="B203" s="2" t="s">
        <v>1609</v>
      </c>
      <c r="C203" s="2" t="s">
        <v>1634</v>
      </c>
      <c r="D203" s="2" t="s">
        <v>2026</v>
      </c>
      <c r="E203" s="2" t="s">
        <v>1705</v>
      </c>
      <c r="F203" s="2" t="s">
        <v>2345</v>
      </c>
      <c r="G203" s="2" t="s">
        <v>1957</v>
      </c>
      <c r="H203" s="2" t="s">
        <v>2320</v>
      </c>
      <c r="I203" s="2" t="s">
        <v>1616</v>
      </c>
      <c r="J203" s="2" t="s">
        <v>2356</v>
      </c>
      <c r="K203" s="36" t="s">
        <v>2356</v>
      </c>
      <c r="L203" s="2" t="s">
        <v>1746</v>
      </c>
      <c r="M203" s="2" t="s">
        <v>1620</v>
      </c>
      <c r="N203" s="2" t="s">
        <v>1620</v>
      </c>
      <c r="O203" s="2" t="s">
        <v>1747</v>
      </c>
    </row>
    <row r="204" spans="1:15" hidden="1">
      <c r="A204" s="2" t="s">
        <v>1976</v>
      </c>
      <c r="B204" s="2" t="s">
        <v>1609</v>
      </c>
      <c r="C204" s="2" t="s">
        <v>1634</v>
      </c>
      <c r="D204" s="2" t="s">
        <v>2293</v>
      </c>
      <c r="E204" s="2" t="s">
        <v>1676</v>
      </c>
      <c r="F204" s="2" t="s">
        <v>2345</v>
      </c>
      <c r="G204" s="2" t="s">
        <v>2176</v>
      </c>
      <c r="H204" s="2" t="s">
        <v>2095</v>
      </c>
      <c r="I204" s="2" t="s">
        <v>1616</v>
      </c>
      <c r="J204" s="2" t="s">
        <v>1979</v>
      </c>
      <c r="K204" s="36" t="s">
        <v>1979</v>
      </c>
      <c r="L204" s="2" t="s">
        <v>1746</v>
      </c>
      <c r="M204" s="2" t="s">
        <v>1620</v>
      </c>
      <c r="N204" s="2" t="s">
        <v>1620</v>
      </c>
      <c r="O204" s="2" t="s">
        <v>1747</v>
      </c>
    </row>
    <row r="205" spans="1:15" hidden="1">
      <c r="A205" s="2" t="s">
        <v>1976</v>
      </c>
      <c r="B205" s="2" t="s">
        <v>1609</v>
      </c>
      <c r="C205" s="2" t="s">
        <v>1634</v>
      </c>
      <c r="D205" s="2" t="s">
        <v>2135</v>
      </c>
      <c r="E205" s="2" t="s">
        <v>1676</v>
      </c>
      <c r="F205" s="2" t="s">
        <v>2345</v>
      </c>
      <c r="G205" s="2" t="s">
        <v>1935</v>
      </c>
      <c r="H205" s="2" t="s">
        <v>1819</v>
      </c>
      <c r="I205" s="2" t="s">
        <v>1616</v>
      </c>
      <c r="J205" s="2" t="s">
        <v>2357</v>
      </c>
      <c r="K205" s="36" t="s">
        <v>2357</v>
      </c>
      <c r="L205" s="2" t="s">
        <v>1746</v>
      </c>
      <c r="M205" s="2" t="s">
        <v>1620</v>
      </c>
      <c r="N205" s="2" t="s">
        <v>1620</v>
      </c>
      <c r="O205" s="2" t="s">
        <v>1747</v>
      </c>
    </row>
    <row r="206" spans="1:15" hidden="1">
      <c r="A206" s="2" t="s">
        <v>1976</v>
      </c>
      <c r="B206" s="2" t="s">
        <v>1609</v>
      </c>
      <c r="C206" s="2" t="s">
        <v>1634</v>
      </c>
      <c r="D206" s="2" t="s">
        <v>2091</v>
      </c>
      <c r="E206" s="2" t="s">
        <v>1635</v>
      </c>
      <c r="F206" s="2" t="s">
        <v>2345</v>
      </c>
      <c r="G206" s="2" t="s">
        <v>2229</v>
      </c>
      <c r="H206" s="2" t="s">
        <v>1959</v>
      </c>
      <c r="I206" s="2" t="s">
        <v>1616</v>
      </c>
      <c r="J206" s="2" t="s">
        <v>1809</v>
      </c>
      <c r="K206" s="36" t="s">
        <v>1809</v>
      </c>
      <c r="L206" s="2" t="s">
        <v>1746</v>
      </c>
      <c r="M206" s="2" t="s">
        <v>1620</v>
      </c>
      <c r="N206" s="2" t="s">
        <v>1620</v>
      </c>
      <c r="O206" s="2" t="s">
        <v>1747</v>
      </c>
    </row>
    <row r="207" spans="1:15" hidden="1">
      <c r="A207" s="2" t="s">
        <v>1976</v>
      </c>
      <c r="B207" s="2" t="s">
        <v>1609</v>
      </c>
      <c r="C207" s="2" t="s">
        <v>1634</v>
      </c>
      <c r="D207" s="2" t="s">
        <v>2241</v>
      </c>
      <c r="E207" s="2" t="s">
        <v>1635</v>
      </c>
      <c r="F207" s="2" t="s">
        <v>2345</v>
      </c>
      <c r="G207" s="2" t="s">
        <v>2176</v>
      </c>
      <c r="H207" s="2" t="s">
        <v>2095</v>
      </c>
      <c r="I207" s="2" t="s">
        <v>1616</v>
      </c>
      <c r="J207" s="2" t="s">
        <v>2262</v>
      </c>
      <c r="K207" s="36" t="s">
        <v>2262</v>
      </c>
      <c r="L207" s="2" t="s">
        <v>1746</v>
      </c>
      <c r="M207" s="2" t="s">
        <v>1620</v>
      </c>
      <c r="N207" s="2" t="s">
        <v>1620</v>
      </c>
      <c r="O207" s="2" t="s">
        <v>1747</v>
      </c>
    </row>
    <row r="208" spans="1:15" hidden="1">
      <c r="A208" s="2" t="s">
        <v>1976</v>
      </c>
      <c r="B208" s="2" t="s">
        <v>1609</v>
      </c>
      <c r="C208" s="2" t="s">
        <v>1634</v>
      </c>
      <c r="D208" s="2" t="s">
        <v>2194</v>
      </c>
      <c r="E208" s="2" t="s">
        <v>1635</v>
      </c>
      <c r="F208" s="2" t="s">
        <v>2345</v>
      </c>
      <c r="G208" s="2" t="s">
        <v>2120</v>
      </c>
      <c r="H208" s="2" t="s">
        <v>1986</v>
      </c>
      <c r="I208" s="2" t="s">
        <v>1616</v>
      </c>
      <c r="J208" s="2" t="s">
        <v>2358</v>
      </c>
      <c r="K208" s="36" t="s">
        <v>2358</v>
      </c>
      <c r="L208" s="2" t="s">
        <v>1746</v>
      </c>
      <c r="M208" s="2" t="s">
        <v>1620</v>
      </c>
      <c r="N208" s="2" t="s">
        <v>1620</v>
      </c>
      <c r="O208" s="2" t="s">
        <v>1747</v>
      </c>
    </row>
    <row r="209" spans="1:15" hidden="1">
      <c r="A209" s="2" t="s">
        <v>1976</v>
      </c>
      <c r="B209" s="2" t="s">
        <v>1609</v>
      </c>
      <c r="C209" s="2" t="s">
        <v>1634</v>
      </c>
      <c r="D209" s="2" t="s">
        <v>1977</v>
      </c>
      <c r="E209" s="2" t="s">
        <v>1635</v>
      </c>
      <c r="F209" s="2" t="s">
        <v>2345</v>
      </c>
      <c r="G209" s="2" t="s">
        <v>2229</v>
      </c>
      <c r="H209" s="2" t="s">
        <v>1959</v>
      </c>
      <c r="I209" s="2" t="s">
        <v>1616</v>
      </c>
      <c r="J209" s="2" t="s">
        <v>2359</v>
      </c>
      <c r="K209" s="36" t="s">
        <v>2359</v>
      </c>
      <c r="L209" s="2" t="s">
        <v>1746</v>
      </c>
      <c r="M209" s="2" t="s">
        <v>1620</v>
      </c>
      <c r="N209" s="2" t="s">
        <v>1620</v>
      </c>
      <c r="O209" s="2" t="s">
        <v>1747</v>
      </c>
    </row>
    <row r="210" spans="1:15" hidden="1">
      <c r="A210" s="2" t="s">
        <v>1976</v>
      </c>
      <c r="B210" s="2" t="s">
        <v>1609</v>
      </c>
      <c r="C210" s="2" t="s">
        <v>1634</v>
      </c>
      <c r="D210" s="2" t="s">
        <v>2026</v>
      </c>
      <c r="E210" s="2" t="s">
        <v>1635</v>
      </c>
      <c r="F210" s="2" t="s">
        <v>2345</v>
      </c>
      <c r="G210" s="2" t="s">
        <v>2273</v>
      </c>
      <c r="H210" s="2" t="s">
        <v>2025</v>
      </c>
      <c r="I210" s="2" t="s">
        <v>1616</v>
      </c>
      <c r="J210" s="2" t="s">
        <v>2344</v>
      </c>
      <c r="K210" s="36" t="s">
        <v>2344</v>
      </c>
      <c r="L210" s="2" t="s">
        <v>1746</v>
      </c>
      <c r="M210" s="2" t="s">
        <v>1620</v>
      </c>
      <c r="N210" s="2" t="s">
        <v>1620</v>
      </c>
      <c r="O210" s="2" t="s">
        <v>1747</v>
      </c>
    </row>
    <row r="211" spans="1:15" hidden="1">
      <c r="A211" s="2" t="s">
        <v>1976</v>
      </c>
      <c r="B211" s="2" t="s">
        <v>1609</v>
      </c>
      <c r="C211" s="2" t="s">
        <v>1634</v>
      </c>
      <c r="D211" s="2" t="s">
        <v>2241</v>
      </c>
      <c r="E211" s="2" t="s">
        <v>1714</v>
      </c>
      <c r="F211" s="2" t="s">
        <v>2345</v>
      </c>
      <c r="G211" s="2" t="s">
        <v>2345</v>
      </c>
      <c r="H211" s="2" t="s">
        <v>2286</v>
      </c>
      <c r="I211" s="2" t="s">
        <v>1616</v>
      </c>
      <c r="J211" s="2" t="s">
        <v>2360</v>
      </c>
      <c r="K211" s="36" t="s">
        <v>2360</v>
      </c>
      <c r="L211" s="2" t="s">
        <v>1746</v>
      </c>
      <c r="M211" s="2" t="s">
        <v>1620</v>
      </c>
      <c r="N211" s="2" t="s">
        <v>1620</v>
      </c>
      <c r="O211" s="2" t="s">
        <v>1747</v>
      </c>
    </row>
    <row r="212" spans="1:15" hidden="1">
      <c r="A212" s="2" t="s">
        <v>1976</v>
      </c>
      <c r="B212" s="2" t="s">
        <v>1609</v>
      </c>
      <c r="C212" s="2" t="s">
        <v>1634</v>
      </c>
      <c r="D212" s="2" t="s">
        <v>2135</v>
      </c>
      <c r="E212" s="2" t="s">
        <v>1783</v>
      </c>
      <c r="F212" s="2" t="s">
        <v>2345</v>
      </c>
      <c r="G212" s="2" t="s">
        <v>1838</v>
      </c>
      <c r="H212" s="2" t="s">
        <v>1843</v>
      </c>
      <c r="I212" s="2" t="s">
        <v>1616</v>
      </c>
      <c r="J212" s="2" t="s">
        <v>2361</v>
      </c>
      <c r="K212" s="36" t="s">
        <v>2361</v>
      </c>
      <c r="L212" s="2" t="s">
        <v>1746</v>
      </c>
      <c r="M212" s="2" t="s">
        <v>1620</v>
      </c>
      <c r="N212" s="2" t="s">
        <v>1620</v>
      </c>
      <c r="O212" s="2" t="s">
        <v>1747</v>
      </c>
    </row>
    <row r="213" spans="1:15" hidden="1">
      <c r="A213" s="2" t="s">
        <v>1976</v>
      </c>
      <c r="B213" s="2" t="s">
        <v>1609</v>
      </c>
      <c r="C213" s="2" t="s">
        <v>1634</v>
      </c>
      <c r="D213" s="2" t="s">
        <v>2101</v>
      </c>
      <c r="E213" s="2" t="s">
        <v>1783</v>
      </c>
      <c r="F213" s="2" t="s">
        <v>2345</v>
      </c>
      <c r="G213" s="2" t="s">
        <v>2012</v>
      </c>
      <c r="H213" s="2" t="s">
        <v>1856</v>
      </c>
      <c r="I213" s="2" t="s">
        <v>1616</v>
      </c>
      <c r="J213" s="2" t="s">
        <v>1949</v>
      </c>
      <c r="K213" s="36" t="s">
        <v>1949</v>
      </c>
      <c r="L213" s="2" t="s">
        <v>1762</v>
      </c>
      <c r="M213" s="2" t="s">
        <v>1620</v>
      </c>
      <c r="N213" s="2" t="s">
        <v>1949</v>
      </c>
      <c r="O213" s="2" t="s">
        <v>2286</v>
      </c>
    </row>
    <row r="214" spans="1:15" hidden="1">
      <c r="A214" s="2" t="s">
        <v>1976</v>
      </c>
      <c r="B214" s="2" t="s">
        <v>1609</v>
      </c>
      <c r="C214" s="2" t="s">
        <v>1634</v>
      </c>
      <c r="D214" s="2" t="s">
        <v>2055</v>
      </c>
      <c r="E214" s="2" t="s">
        <v>1783</v>
      </c>
      <c r="F214" s="2" t="s">
        <v>2345</v>
      </c>
      <c r="G214" s="2" t="s">
        <v>1905</v>
      </c>
      <c r="H214" s="2" t="s">
        <v>1910</v>
      </c>
      <c r="I214" s="2" t="s">
        <v>1616</v>
      </c>
      <c r="J214" s="2" t="s">
        <v>2302</v>
      </c>
      <c r="K214" s="36" t="s">
        <v>2302</v>
      </c>
      <c r="L214" s="2" t="s">
        <v>1746</v>
      </c>
      <c r="M214" s="2" t="s">
        <v>1620</v>
      </c>
      <c r="N214" s="2" t="s">
        <v>1620</v>
      </c>
      <c r="O214" s="2" t="s">
        <v>1747</v>
      </c>
    </row>
    <row r="215" spans="1:15" hidden="1">
      <c r="A215" s="2" t="s">
        <v>1976</v>
      </c>
      <c r="B215" s="2" t="s">
        <v>1609</v>
      </c>
      <c r="C215" s="2" t="s">
        <v>1634</v>
      </c>
      <c r="D215" s="2" t="s">
        <v>2141</v>
      </c>
      <c r="E215" s="2" t="s">
        <v>1783</v>
      </c>
      <c r="F215" s="2" t="s">
        <v>2345</v>
      </c>
      <c r="G215" s="2" t="s">
        <v>1935</v>
      </c>
      <c r="H215" s="2" t="s">
        <v>1819</v>
      </c>
      <c r="I215" s="2" t="s">
        <v>1616</v>
      </c>
      <c r="J215" s="2" t="s">
        <v>2019</v>
      </c>
      <c r="K215" s="36" t="s">
        <v>2019</v>
      </c>
      <c r="L215" s="2" t="s">
        <v>1746</v>
      </c>
      <c r="M215" s="2" t="s">
        <v>1620</v>
      </c>
      <c r="N215" s="2" t="s">
        <v>1620</v>
      </c>
      <c r="O215" s="2" t="s">
        <v>1747</v>
      </c>
    </row>
    <row r="216" spans="1:15" hidden="1">
      <c r="A216" s="2" t="s">
        <v>1976</v>
      </c>
      <c r="B216" s="2" t="s">
        <v>1609</v>
      </c>
      <c r="C216" s="2" t="s">
        <v>1634</v>
      </c>
      <c r="D216" s="2" t="s">
        <v>2199</v>
      </c>
      <c r="E216" s="2" t="s">
        <v>1783</v>
      </c>
      <c r="F216" s="2" t="s">
        <v>2345</v>
      </c>
      <c r="G216" s="2" t="s">
        <v>2074</v>
      </c>
      <c r="H216" s="2" t="s">
        <v>1849</v>
      </c>
      <c r="I216" s="2" t="s">
        <v>1616</v>
      </c>
      <c r="J216" s="2" t="s">
        <v>2362</v>
      </c>
      <c r="K216" s="36" t="s">
        <v>2362</v>
      </c>
      <c r="L216" s="2" t="s">
        <v>1762</v>
      </c>
      <c r="M216" s="2" t="s">
        <v>1620</v>
      </c>
      <c r="N216" s="2" t="s">
        <v>2362</v>
      </c>
      <c r="O216" s="2" t="s">
        <v>2286</v>
      </c>
    </row>
    <row r="217" spans="1:15" hidden="1">
      <c r="A217" s="2" t="s">
        <v>1976</v>
      </c>
      <c r="B217" s="2" t="s">
        <v>1609</v>
      </c>
      <c r="C217" s="2" t="s">
        <v>1634</v>
      </c>
      <c r="D217" s="2" t="s">
        <v>2263</v>
      </c>
      <c r="E217" s="2" t="s">
        <v>1783</v>
      </c>
      <c r="F217" s="2" t="s">
        <v>2345</v>
      </c>
      <c r="G217" s="2" t="s">
        <v>2276</v>
      </c>
      <c r="H217" s="2" t="s">
        <v>2258</v>
      </c>
      <c r="I217" s="2" t="s">
        <v>1616</v>
      </c>
      <c r="J217" s="2" t="s">
        <v>2363</v>
      </c>
      <c r="K217" s="36" t="s">
        <v>2363</v>
      </c>
      <c r="L217" s="2" t="s">
        <v>1746</v>
      </c>
      <c r="M217" s="2" t="s">
        <v>1620</v>
      </c>
      <c r="N217" s="2" t="s">
        <v>1620</v>
      </c>
      <c r="O217" s="2" t="s">
        <v>1747</v>
      </c>
    </row>
    <row r="218" spans="1:15" hidden="1">
      <c r="A218" s="2" t="s">
        <v>1976</v>
      </c>
      <c r="B218" s="2" t="s">
        <v>1609</v>
      </c>
      <c r="C218" s="2" t="s">
        <v>1634</v>
      </c>
      <c r="D218" s="2" t="s">
        <v>2135</v>
      </c>
      <c r="E218" s="2" t="s">
        <v>1837</v>
      </c>
      <c r="F218" s="2" t="s">
        <v>2345</v>
      </c>
      <c r="G218" s="2" t="s">
        <v>2176</v>
      </c>
      <c r="H218" s="2" t="s">
        <v>2095</v>
      </c>
      <c r="I218" s="2" t="s">
        <v>1616</v>
      </c>
      <c r="J218" s="2" t="s">
        <v>2364</v>
      </c>
      <c r="K218" s="36" t="s">
        <v>2364</v>
      </c>
      <c r="L218" s="2" t="s">
        <v>1746</v>
      </c>
      <c r="M218" s="2" t="s">
        <v>1620</v>
      </c>
      <c r="N218" s="2" t="s">
        <v>1620</v>
      </c>
      <c r="O218" s="2" t="s">
        <v>1747</v>
      </c>
    </row>
    <row r="219" spans="1:15" hidden="1">
      <c r="A219" s="2" t="s">
        <v>1976</v>
      </c>
      <c r="B219" s="2" t="s">
        <v>1609</v>
      </c>
      <c r="C219" s="2" t="s">
        <v>1634</v>
      </c>
      <c r="D219" s="2" t="s">
        <v>1872</v>
      </c>
      <c r="E219" s="2" t="s">
        <v>1837</v>
      </c>
      <c r="F219" s="2" t="s">
        <v>2345</v>
      </c>
      <c r="G219" s="2" t="s">
        <v>2176</v>
      </c>
      <c r="H219" s="2" t="s">
        <v>2095</v>
      </c>
      <c r="I219" s="2" t="s">
        <v>1616</v>
      </c>
      <c r="J219" s="2" t="s">
        <v>2300</v>
      </c>
      <c r="K219" s="36" t="s">
        <v>2300</v>
      </c>
      <c r="L219" s="2" t="s">
        <v>1746</v>
      </c>
      <c r="M219" s="2" t="s">
        <v>1620</v>
      </c>
      <c r="N219" s="2" t="s">
        <v>1620</v>
      </c>
      <c r="O219" s="2" t="s">
        <v>1747</v>
      </c>
    </row>
    <row r="220" spans="1:15">
      <c r="A220" s="2" t="s">
        <v>1748</v>
      </c>
      <c r="B220" s="2" t="s">
        <v>1609</v>
      </c>
      <c r="C220" s="2" t="s">
        <v>1634</v>
      </c>
      <c r="D220" s="2" t="s">
        <v>1695</v>
      </c>
      <c r="E220" s="2" t="s">
        <v>1646</v>
      </c>
      <c r="F220" s="2" t="s">
        <v>2345</v>
      </c>
      <c r="G220" s="2" t="s">
        <v>2012</v>
      </c>
      <c r="H220" s="2" t="s">
        <v>1856</v>
      </c>
      <c r="I220" s="2" t="s">
        <v>1616</v>
      </c>
      <c r="J220" s="2" t="s">
        <v>2365</v>
      </c>
      <c r="K220" s="2" t="s">
        <v>2365</v>
      </c>
      <c r="L220" s="2" t="s">
        <v>1746</v>
      </c>
      <c r="M220" s="2" t="s">
        <v>1620</v>
      </c>
      <c r="N220" s="2" t="s">
        <v>1620</v>
      </c>
      <c r="O220" s="2" t="s">
        <v>1747</v>
      </c>
    </row>
    <row r="221" spans="1:15">
      <c r="A221" s="2" t="s">
        <v>1748</v>
      </c>
      <c r="B221" s="2" t="s">
        <v>1609</v>
      </c>
      <c r="C221" s="2" t="s">
        <v>1634</v>
      </c>
      <c r="D221" s="2" t="s">
        <v>2366</v>
      </c>
      <c r="E221" s="2" t="s">
        <v>1646</v>
      </c>
      <c r="F221" s="2" t="s">
        <v>2345</v>
      </c>
      <c r="G221" s="2" t="s">
        <v>1830</v>
      </c>
      <c r="H221" s="2" t="s">
        <v>2367</v>
      </c>
      <c r="I221" s="2" t="s">
        <v>1616</v>
      </c>
      <c r="J221" s="2" t="s">
        <v>2368</v>
      </c>
      <c r="K221" s="2" t="s">
        <v>2368</v>
      </c>
      <c r="L221" s="2" t="s">
        <v>1746</v>
      </c>
      <c r="M221" s="2" t="s">
        <v>1620</v>
      </c>
      <c r="N221" s="2" t="s">
        <v>1620</v>
      </c>
      <c r="O221" s="2" t="s">
        <v>1747</v>
      </c>
    </row>
    <row r="222" spans="1:15">
      <c r="A222" s="2" t="s">
        <v>1748</v>
      </c>
      <c r="B222" s="2" t="s">
        <v>1609</v>
      </c>
      <c r="C222" s="2" t="s">
        <v>1634</v>
      </c>
      <c r="D222" s="2" t="s">
        <v>2369</v>
      </c>
      <c r="E222" s="2" t="s">
        <v>1646</v>
      </c>
      <c r="F222" s="2" t="s">
        <v>2345</v>
      </c>
      <c r="G222" s="2" t="s">
        <v>2120</v>
      </c>
      <c r="H222" s="2" t="s">
        <v>1986</v>
      </c>
      <c r="I222" s="2" t="s">
        <v>1616</v>
      </c>
      <c r="J222" s="2" t="s">
        <v>2072</v>
      </c>
      <c r="K222" s="2" t="s">
        <v>2072</v>
      </c>
      <c r="L222" s="2" t="s">
        <v>1746</v>
      </c>
      <c r="M222" s="2" t="s">
        <v>1620</v>
      </c>
      <c r="N222" s="2" t="s">
        <v>1620</v>
      </c>
      <c r="O222" s="2" t="s">
        <v>1747</v>
      </c>
    </row>
    <row r="223" spans="1:15">
      <c r="A223" s="2" t="s">
        <v>1748</v>
      </c>
      <c r="B223" s="2" t="s">
        <v>1609</v>
      </c>
      <c r="C223" s="2" t="s">
        <v>1634</v>
      </c>
      <c r="D223" s="2" t="s">
        <v>2370</v>
      </c>
      <c r="E223" s="2" t="s">
        <v>1646</v>
      </c>
      <c r="F223" s="2" t="s">
        <v>2345</v>
      </c>
      <c r="G223" s="2" t="s">
        <v>2074</v>
      </c>
      <c r="H223" s="2" t="s">
        <v>1849</v>
      </c>
      <c r="I223" s="2" t="s">
        <v>1616</v>
      </c>
      <c r="J223" s="2" t="s">
        <v>2371</v>
      </c>
      <c r="K223" s="2" t="s">
        <v>2371</v>
      </c>
      <c r="L223" s="2" t="s">
        <v>1746</v>
      </c>
      <c r="M223" s="2" t="s">
        <v>1620</v>
      </c>
      <c r="N223" s="2" t="s">
        <v>1620</v>
      </c>
      <c r="O223" s="2" t="s">
        <v>1747</v>
      </c>
    </row>
    <row r="224" spans="1:15">
      <c r="A224" s="2" t="s">
        <v>1748</v>
      </c>
      <c r="B224" s="2" t="s">
        <v>1609</v>
      </c>
      <c r="C224" s="2" t="s">
        <v>1634</v>
      </c>
      <c r="D224" s="2" t="s">
        <v>2372</v>
      </c>
      <c r="E224" s="2" t="s">
        <v>1646</v>
      </c>
      <c r="F224" s="2" t="s">
        <v>2345</v>
      </c>
      <c r="G224" s="2" t="s">
        <v>2074</v>
      </c>
      <c r="H224" s="2" t="s">
        <v>1849</v>
      </c>
      <c r="I224" s="2" t="s">
        <v>1616</v>
      </c>
      <c r="J224" s="2" t="s">
        <v>2373</v>
      </c>
      <c r="K224" s="2" t="s">
        <v>2373</v>
      </c>
      <c r="L224" s="2" t="s">
        <v>1817</v>
      </c>
      <c r="M224" s="2" t="s">
        <v>1620</v>
      </c>
      <c r="N224" s="2" t="s">
        <v>2356</v>
      </c>
      <c r="O224" s="2" t="s">
        <v>2374</v>
      </c>
    </row>
    <row r="225" spans="1:15">
      <c r="A225" s="2" t="s">
        <v>1748</v>
      </c>
      <c r="B225" s="2" t="s">
        <v>1609</v>
      </c>
      <c r="C225" s="2" t="s">
        <v>1634</v>
      </c>
      <c r="D225" s="2" t="s">
        <v>2194</v>
      </c>
      <c r="E225" s="2" t="s">
        <v>1646</v>
      </c>
      <c r="F225" s="2" t="s">
        <v>2345</v>
      </c>
      <c r="G225" s="2" t="s">
        <v>2002</v>
      </c>
      <c r="H225" s="2" t="s">
        <v>2375</v>
      </c>
      <c r="I225" s="2" t="s">
        <v>1616</v>
      </c>
      <c r="J225" s="2" t="s">
        <v>2325</v>
      </c>
      <c r="K225" s="2" t="s">
        <v>2325</v>
      </c>
      <c r="L225" s="2" t="s">
        <v>1746</v>
      </c>
      <c r="M225" s="2" t="s">
        <v>1620</v>
      </c>
      <c r="N225" s="2" t="s">
        <v>1620</v>
      </c>
      <c r="O225" s="2" t="s">
        <v>1747</v>
      </c>
    </row>
    <row r="226" spans="1:15">
      <c r="A226" s="2" t="s">
        <v>1748</v>
      </c>
      <c r="B226" s="2" t="s">
        <v>1609</v>
      </c>
      <c r="C226" s="2" t="s">
        <v>1634</v>
      </c>
      <c r="D226" s="2" t="s">
        <v>2343</v>
      </c>
      <c r="E226" s="2" t="s">
        <v>1646</v>
      </c>
      <c r="F226" s="2" t="s">
        <v>2345</v>
      </c>
      <c r="G226" s="2" t="s">
        <v>2273</v>
      </c>
      <c r="H226" s="2" t="s">
        <v>2025</v>
      </c>
      <c r="I226" s="2" t="s">
        <v>1616</v>
      </c>
      <c r="J226" s="2" t="s">
        <v>2302</v>
      </c>
      <c r="K226" s="2" t="s">
        <v>2302</v>
      </c>
      <c r="L226" s="2" t="s">
        <v>1746</v>
      </c>
      <c r="M226" s="2" t="s">
        <v>1620</v>
      </c>
      <c r="N226" s="2" t="s">
        <v>1620</v>
      </c>
      <c r="O226" s="2" t="s">
        <v>1747</v>
      </c>
    </row>
    <row r="227" spans="1:15">
      <c r="A227" s="2" t="s">
        <v>1748</v>
      </c>
      <c r="B227" s="2" t="s">
        <v>1609</v>
      </c>
      <c r="C227" s="2" t="s">
        <v>1634</v>
      </c>
      <c r="D227" s="2" t="s">
        <v>2376</v>
      </c>
      <c r="E227" s="2" t="s">
        <v>1646</v>
      </c>
      <c r="F227" s="2" t="s">
        <v>2345</v>
      </c>
      <c r="G227" s="2" t="s">
        <v>2345</v>
      </c>
      <c r="H227" s="2" t="s">
        <v>2286</v>
      </c>
      <c r="I227" s="2" t="s">
        <v>1616</v>
      </c>
      <c r="J227" s="2" t="s">
        <v>2377</v>
      </c>
      <c r="K227" s="2" t="s">
        <v>2377</v>
      </c>
      <c r="L227" s="2" t="s">
        <v>1746</v>
      </c>
      <c r="M227" s="2" t="s">
        <v>1620</v>
      </c>
      <c r="N227" s="2" t="s">
        <v>1620</v>
      </c>
      <c r="O227" s="2" t="s">
        <v>1747</v>
      </c>
    </row>
    <row r="228" spans="1:15">
      <c r="A228" s="2" t="s">
        <v>1748</v>
      </c>
      <c r="B228" s="2" t="s">
        <v>1609</v>
      </c>
      <c r="C228" s="2" t="s">
        <v>1634</v>
      </c>
      <c r="D228" s="2" t="s">
        <v>2378</v>
      </c>
      <c r="E228" s="2" t="s">
        <v>1646</v>
      </c>
      <c r="F228" s="2" t="s">
        <v>2345</v>
      </c>
      <c r="G228" s="2" t="s">
        <v>2012</v>
      </c>
      <c r="H228" s="2" t="s">
        <v>1856</v>
      </c>
      <c r="I228" s="2" t="s">
        <v>1616</v>
      </c>
      <c r="J228" s="2" t="s">
        <v>2379</v>
      </c>
      <c r="K228" s="2" t="s">
        <v>2379</v>
      </c>
      <c r="L228" s="2" t="s">
        <v>1746</v>
      </c>
      <c r="M228" s="2" t="s">
        <v>1620</v>
      </c>
      <c r="N228" s="2" t="s">
        <v>1620</v>
      </c>
      <c r="O228" s="2" t="s">
        <v>1747</v>
      </c>
    </row>
    <row r="229" spans="1:15">
      <c r="A229" s="2" t="s">
        <v>1748</v>
      </c>
      <c r="B229" s="2" t="s">
        <v>1609</v>
      </c>
      <c r="C229" s="2" t="s">
        <v>1634</v>
      </c>
      <c r="D229" s="2" t="s">
        <v>2380</v>
      </c>
      <c r="E229" s="2" t="s">
        <v>1646</v>
      </c>
      <c r="F229" s="2" t="s">
        <v>2345</v>
      </c>
      <c r="G229" s="2" t="s">
        <v>2345</v>
      </c>
      <c r="H229" s="2" t="s">
        <v>2286</v>
      </c>
      <c r="I229" s="2" t="s">
        <v>1616</v>
      </c>
      <c r="J229" s="2" t="s">
        <v>2151</v>
      </c>
      <c r="K229" s="2" t="s">
        <v>2151</v>
      </c>
      <c r="L229" s="2" t="s">
        <v>1746</v>
      </c>
      <c r="M229" s="2" t="s">
        <v>1620</v>
      </c>
      <c r="N229" s="2" t="s">
        <v>1620</v>
      </c>
      <c r="O229" s="2" t="s">
        <v>1747</v>
      </c>
    </row>
    <row r="230" spans="1:15">
      <c r="A230" s="2" t="s">
        <v>1748</v>
      </c>
      <c r="B230" s="2" t="s">
        <v>1609</v>
      </c>
      <c r="C230" s="2" t="s">
        <v>1634</v>
      </c>
      <c r="D230" s="2" t="s">
        <v>1890</v>
      </c>
      <c r="E230" s="2" t="s">
        <v>1795</v>
      </c>
      <c r="F230" s="2" t="s">
        <v>2345</v>
      </c>
      <c r="G230" s="2" t="s">
        <v>2273</v>
      </c>
      <c r="H230" s="2" t="s">
        <v>2025</v>
      </c>
      <c r="I230" s="2" t="s">
        <v>1616</v>
      </c>
      <c r="J230" s="2" t="s">
        <v>2298</v>
      </c>
      <c r="K230" s="2" t="s">
        <v>2298</v>
      </c>
      <c r="L230" s="2" t="s">
        <v>1746</v>
      </c>
      <c r="M230" s="2" t="s">
        <v>1620</v>
      </c>
      <c r="N230" s="2" t="s">
        <v>1620</v>
      </c>
      <c r="O230" s="2" t="s">
        <v>1747</v>
      </c>
    </row>
    <row r="231" spans="1:15">
      <c r="A231" s="2" t="s">
        <v>1748</v>
      </c>
      <c r="B231" s="2" t="s">
        <v>1609</v>
      </c>
      <c r="C231" s="2" t="s">
        <v>1634</v>
      </c>
      <c r="D231" s="2" t="s">
        <v>2135</v>
      </c>
      <c r="E231" s="2" t="s">
        <v>1795</v>
      </c>
      <c r="F231" s="2" t="s">
        <v>2345</v>
      </c>
      <c r="G231" s="2" t="s">
        <v>2229</v>
      </c>
      <c r="H231" s="2" t="s">
        <v>1959</v>
      </c>
      <c r="I231" s="2" t="s">
        <v>1616</v>
      </c>
      <c r="J231" s="2" t="s">
        <v>2381</v>
      </c>
      <c r="K231" s="2" t="s">
        <v>2381</v>
      </c>
      <c r="L231" s="2" t="s">
        <v>1746</v>
      </c>
      <c r="M231" s="2" t="s">
        <v>1620</v>
      </c>
      <c r="N231" s="2" t="s">
        <v>1620</v>
      </c>
      <c r="O231" s="2" t="s">
        <v>1747</v>
      </c>
    </row>
    <row r="232" spans="1:15">
      <c r="A232" s="2" t="s">
        <v>1748</v>
      </c>
      <c r="B232" s="2" t="s">
        <v>1609</v>
      </c>
      <c r="C232" s="2" t="s">
        <v>1634</v>
      </c>
      <c r="D232" s="2" t="s">
        <v>2259</v>
      </c>
      <c r="E232" s="2" t="s">
        <v>1795</v>
      </c>
      <c r="F232" s="2" t="s">
        <v>2345</v>
      </c>
      <c r="G232" s="2" t="s">
        <v>2229</v>
      </c>
      <c r="H232" s="2" t="s">
        <v>1959</v>
      </c>
      <c r="I232" s="2" t="s">
        <v>1616</v>
      </c>
      <c r="J232" s="2" t="s">
        <v>2382</v>
      </c>
      <c r="K232" s="2" t="s">
        <v>2382</v>
      </c>
      <c r="L232" s="2" t="s">
        <v>1746</v>
      </c>
      <c r="M232" s="2" t="s">
        <v>1620</v>
      </c>
      <c r="N232" s="2" t="s">
        <v>1620</v>
      </c>
      <c r="O232" s="2" t="s">
        <v>1747</v>
      </c>
    </row>
    <row r="233" spans="1:15">
      <c r="A233" s="2" t="s">
        <v>1748</v>
      </c>
      <c r="B233" s="2" t="s">
        <v>1609</v>
      </c>
      <c r="C233" s="2" t="s">
        <v>1634</v>
      </c>
      <c r="D233" s="2" t="s">
        <v>1645</v>
      </c>
      <c r="E233" s="2" t="s">
        <v>1795</v>
      </c>
      <c r="F233" s="2" t="s">
        <v>2345</v>
      </c>
      <c r="G233" s="2" t="s">
        <v>2120</v>
      </c>
      <c r="H233" s="2" t="s">
        <v>1986</v>
      </c>
      <c r="I233" s="2" t="s">
        <v>1616</v>
      </c>
      <c r="J233" s="2" t="s">
        <v>2301</v>
      </c>
      <c r="K233" s="2" t="s">
        <v>2301</v>
      </c>
      <c r="L233" s="2" t="s">
        <v>1746</v>
      </c>
      <c r="M233" s="2" t="s">
        <v>1620</v>
      </c>
      <c r="N233" s="2" t="s">
        <v>1620</v>
      </c>
      <c r="O233" s="2" t="s">
        <v>1747</v>
      </c>
    </row>
    <row r="234" spans="1:15">
      <c r="A234" s="2" t="s">
        <v>1748</v>
      </c>
      <c r="B234" s="2" t="s">
        <v>1609</v>
      </c>
      <c r="C234" s="2" t="s">
        <v>1634</v>
      </c>
      <c r="D234" s="2" t="s">
        <v>2141</v>
      </c>
      <c r="E234" s="2" t="s">
        <v>1795</v>
      </c>
      <c r="F234" s="2" t="s">
        <v>2345</v>
      </c>
      <c r="G234" s="2" t="s">
        <v>2176</v>
      </c>
      <c r="H234" s="2" t="s">
        <v>2095</v>
      </c>
      <c r="I234" s="2" t="s">
        <v>1616</v>
      </c>
      <c r="J234" s="2" t="s">
        <v>2255</v>
      </c>
      <c r="K234" s="2" t="s">
        <v>2255</v>
      </c>
      <c r="L234" s="2" t="s">
        <v>1746</v>
      </c>
      <c r="M234" s="2" t="s">
        <v>1620</v>
      </c>
      <c r="N234" s="2" t="s">
        <v>1620</v>
      </c>
      <c r="O234" s="2" t="s">
        <v>1747</v>
      </c>
    </row>
    <row r="235" spans="1:15">
      <c r="A235" s="2" t="s">
        <v>1748</v>
      </c>
      <c r="B235" s="2" t="s">
        <v>1609</v>
      </c>
      <c r="C235" s="2" t="s">
        <v>1634</v>
      </c>
      <c r="D235" s="2" t="s">
        <v>2378</v>
      </c>
      <c r="E235" s="2" t="s">
        <v>1795</v>
      </c>
      <c r="F235" s="2" t="s">
        <v>2345</v>
      </c>
      <c r="G235" s="2" t="s">
        <v>2273</v>
      </c>
      <c r="H235" s="2" t="s">
        <v>2025</v>
      </c>
      <c r="I235" s="2" t="s">
        <v>1616</v>
      </c>
      <c r="J235" s="2" t="s">
        <v>2004</v>
      </c>
      <c r="K235" s="2" t="s">
        <v>2004</v>
      </c>
      <c r="L235" s="2" t="s">
        <v>1746</v>
      </c>
      <c r="M235" s="2" t="s">
        <v>1620</v>
      </c>
      <c r="N235" s="2" t="s">
        <v>1620</v>
      </c>
      <c r="O235" s="2" t="s">
        <v>1747</v>
      </c>
    </row>
    <row r="236" spans="1:15">
      <c r="A236" s="2" t="s">
        <v>1748</v>
      </c>
      <c r="B236" s="2" t="s">
        <v>1609</v>
      </c>
      <c r="C236" s="2" t="s">
        <v>1634</v>
      </c>
      <c r="D236" s="2" t="s">
        <v>1611</v>
      </c>
      <c r="E236" s="2" t="s">
        <v>1795</v>
      </c>
      <c r="F236" s="2" t="s">
        <v>2345</v>
      </c>
      <c r="G236" s="2" t="s">
        <v>1996</v>
      </c>
      <c r="H236" s="2" t="s">
        <v>2000</v>
      </c>
      <c r="I236" s="2" t="s">
        <v>1616</v>
      </c>
      <c r="J236" s="2" t="s">
        <v>1775</v>
      </c>
      <c r="K236" s="2" t="s">
        <v>1775</v>
      </c>
      <c r="L236" s="2" t="s">
        <v>1746</v>
      </c>
      <c r="M236" s="2" t="s">
        <v>1620</v>
      </c>
      <c r="N236" s="2" t="s">
        <v>1620</v>
      </c>
      <c r="O236" s="2" t="s">
        <v>1747</v>
      </c>
    </row>
    <row r="237" spans="1:15">
      <c r="A237" s="2" t="s">
        <v>1748</v>
      </c>
      <c r="B237" s="2" t="s">
        <v>1609</v>
      </c>
      <c r="C237" s="2" t="s">
        <v>1634</v>
      </c>
      <c r="D237" s="2" t="s">
        <v>2006</v>
      </c>
      <c r="E237" s="2" t="s">
        <v>1795</v>
      </c>
      <c r="F237" s="2" t="s">
        <v>2345</v>
      </c>
      <c r="G237" s="2" t="s">
        <v>1996</v>
      </c>
      <c r="H237" s="2" t="s">
        <v>2000</v>
      </c>
      <c r="I237" s="2" t="s">
        <v>1616</v>
      </c>
      <c r="J237" s="2" t="s">
        <v>2383</v>
      </c>
      <c r="K237" s="2" t="s">
        <v>2383</v>
      </c>
      <c r="L237" s="2" t="s">
        <v>1762</v>
      </c>
      <c r="M237" s="2" t="s">
        <v>1620</v>
      </c>
      <c r="N237" s="2" t="s">
        <v>2383</v>
      </c>
      <c r="O237" s="2" t="s">
        <v>2286</v>
      </c>
    </row>
    <row r="238" spans="1:15">
      <c r="A238" s="2" t="s">
        <v>1748</v>
      </c>
      <c r="B238" s="2" t="s">
        <v>1609</v>
      </c>
      <c r="C238" s="2" t="s">
        <v>1634</v>
      </c>
      <c r="D238" s="2" t="s">
        <v>1951</v>
      </c>
      <c r="E238" s="2" t="s">
        <v>1795</v>
      </c>
      <c r="F238" s="2" t="s">
        <v>2345</v>
      </c>
      <c r="G238" s="2" t="s">
        <v>2229</v>
      </c>
      <c r="H238" s="2" t="s">
        <v>1959</v>
      </c>
      <c r="I238" s="2" t="s">
        <v>1616</v>
      </c>
      <c r="J238" s="2" t="s">
        <v>2220</v>
      </c>
      <c r="K238" s="2" t="s">
        <v>2220</v>
      </c>
      <c r="L238" s="2" t="s">
        <v>1746</v>
      </c>
      <c r="M238" s="2" t="s">
        <v>1620</v>
      </c>
      <c r="N238" s="2" t="s">
        <v>1620</v>
      </c>
      <c r="O238" s="2" t="s">
        <v>1747</v>
      </c>
    </row>
    <row r="239" spans="1:15">
      <c r="A239" s="2" t="s">
        <v>1748</v>
      </c>
      <c r="B239" s="2" t="s">
        <v>1609</v>
      </c>
      <c r="C239" s="2" t="s">
        <v>1634</v>
      </c>
      <c r="D239" s="2" t="s">
        <v>2334</v>
      </c>
      <c r="E239" s="2" t="s">
        <v>1795</v>
      </c>
      <c r="F239" s="2" t="s">
        <v>2345</v>
      </c>
      <c r="G239" s="2" t="s">
        <v>2176</v>
      </c>
      <c r="H239" s="2" t="s">
        <v>2095</v>
      </c>
      <c r="I239" s="2" t="s">
        <v>1616</v>
      </c>
      <c r="J239" s="2" t="s">
        <v>2384</v>
      </c>
      <c r="K239" s="2" t="s">
        <v>2384</v>
      </c>
      <c r="L239" s="2" t="s">
        <v>1746</v>
      </c>
      <c r="M239" s="2" t="s">
        <v>1620</v>
      </c>
      <c r="N239" s="2" t="s">
        <v>1620</v>
      </c>
      <c r="O239" s="2" t="s">
        <v>1747</v>
      </c>
    </row>
    <row r="240" spans="1:15">
      <c r="A240" s="2" t="s">
        <v>1644</v>
      </c>
      <c r="B240" s="2" t="s">
        <v>1609</v>
      </c>
      <c r="C240" s="2" t="s">
        <v>1634</v>
      </c>
      <c r="D240" s="2" t="s">
        <v>1645</v>
      </c>
      <c r="E240" s="2" t="s">
        <v>1795</v>
      </c>
      <c r="F240" s="2" t="s">
        <v>2345</v>
      </c>
      <c r="G240" s="2" t="s">
        <v>2074</v>
      </c>
      <c r="H240" s="2" t="s">
        <v>1849</v>
      </c>
      <c r="I240" s="2" t="s">
        <v>1616</v>
      </c>
      <c r="J240" s="2" t="s">
        <v>2301</v>
      </c>
      <c r="K240" s="2" t="s">
        <v>2301</v>
      </c>
      <c r="L240" s="2" t="s">
        <v>1746</v>
      </c>
      <c r="M240" s="2" t="s">
        <v>1620</v>
      </c>
      <c r="N240" s="2" t="s">
        <v>1620</v>
      </c>
      <c r="O240" s="2" t="s">
        <v>1747</v>
      </c>
    </row>
    <row r="241" spans="1:15" hidden="1">
      <c r="A241" s="2" t="s">
        <v>1923</v>
      </c>
      <c r="B241" s="2" t="s">
        <v>1609</v>
      </c>
      <c r="C241" s="2" t="s">
        <v>1634</v>
      </c>
      <c r="D241" s="2" t="s">
        <v>2091</v>
      </c>
      <c r="E241" s="2" t="s">
        <v>1795</v>
      </c>
      <c r="F241" s="2" t="s">
        <v>2345</v>
      </c>
      <c r="G241" s="2" t="s">
        <v>1912</v>
      </c>
      <c r="H241" s="2" t="s">
        <v>1756</v>
      </c>
      <c r="I241" s="2" t="s">
        <v>1616</v>
      </c>
      <c r="J241" s="2" t="s">
        <v>2385</v>
      </c>
      <c r="K241" s="2" t="s">
        <v>2385</v>
      </c>
      <c r="L241" s="2" t="s">
        <v>1746</v>
      </c>
      <c r="M241" s="2" t="s">
        <v>1620</v>
      </c>
      <c r="N241" s="2" t="s">
        <v>1620</v>
      </c>
      <c r="O241" s="2" t="s">
        <v>1747</v>
      </c>
    </row>
    <row r="242" spans="1:15" hidden="1">
      <c r="A242" s="2" t="s">
        <v>1923</v>
      </c>
      <c r="B242" s="2" t="s">
        <v>1609</v>
      </c>
      <c r="C242" s="2" t="s">
        <v>1634</v>
      </c>
      <c r="D242" s="2" t="s">
        <v>2094</v>
      </c>
      <c r="E242" s="2" t="s">
        <v>1795</v>
      </c>
      <c r="F242" s="2" t="s">
        <v>2345</v>
      </c>
      <c r="G242" s="2" t="s">
        <v>2074</v>
      </c>
      <c r="H242" s="2" t="s">
        <v>1849</v>
      </c>
      <c r="I242" s="2" t="s">
        <v>1616</v>
      </c>
      <c r="J242" s="2" t="s">
        <v>2386</v>
      </c>
      <c r="K242" s="2" t="s">
        <v>2386</v>
      </c>
      <c r="L242" s="2" t="s">
        <v>1746</v>
      </c>
      <c r="M242" s="2" t="s">
        <v>1620</v>
      </c>
      <c r="N242" s="2" t="s">
        <v>1620</v>
      </c>
      <c r="O242" s="2" t="s">
        <v>1747</v>
      </c>
    </row>
    <row r="243" spans="1:15" hidden="1">
      <c r="A243" s="2" t="s">
        <v>1923</v>
      </c>
      <c r="B243" s="2" t="s">
        <v>1609</v>
      </c>
      <c r="C243" s="2" t="s">
        <v>1634</v>
      </c>
      <c r="D243" s="2" t="s">
        <v>2369</v>
      </c>
      <c r="E243" s="2" t="s">
        <v>1795</v>
      </c>
      <c r="F243" s="2" t="s">
        <v>2345</v>
      </c>
      <c r="G243" s="2" t="s">
        <v>2345</v>
      </c>
      <c r="H243" s="2" t="s">
        <v>2286</v>
      </c>
      <c r="I243" s="2" t="s">
        <v>1616</v>
      </c>
      <c r="J243" s="2" t="s">
        <v>1628</v>
      </c>
      <c r="K243" s="2" t="s">
        <v>1628</v>
      </c>
      <c r="L243" s="2" t="s">
        <v>1746</v>
      </c>
      <c r="M243" s="2" t="s">
        <v>1620</v>
      </c>
      <c r="N243" s="2" t="s">
        <v>1620</v>
      </c>
      <c r="O243" s="2" t="s">
        <v>1747</v>
      </c>
    </row>
    <row r="244" spans="1:15" hidden="1">
      <c r="A244" s="2" t="s">
        <v>1923</v>
      </c>
      <c r="B244" s="2" t="s">
        <v>1609</v>
      </c>
      <c r="C244" s="2" t="s">
        <v>1634</v>
      </c>
      <c r="D244" s="2" t="s">
        <v>1666</v>
      </c>
      <c r="E244" s="2" t="s">
        <v>1795</v>
      </c>
      <c r="F244" s="2" t="s">
        <v>2345</v>
      </c>
      <c r="G244" s="2" t="s">
        <v>2120</v>
      </c>
      <c r="H244" s="2" t="s">
        <v>1986</v>
      </c>
      <c r="I244" s="2" t="s">
        <v>1616</v>
      </c>
      <c r="J244" s="2" t="s">
        <v>2387</v>
      </c>
      <c r="K244" s="2" t="s">
        <v>2387</v>
      </c>
      <c r="L244" s="2" t="s">
        <v>1746</v>
      </c>
      <c r="M244" s="2" t="s">
        <v>1620</v>
      </c>
      <c r="N244" s="2" t="s">
        <v>1620</v>
      </c>
      <c r="O244" s="2" t="s">
        <v>1747</v>
      </c>
    </row>
    <row r="245" spans="1:15" hidden="1">
      <c r="A245" s="2" t="s">
        <v>1923</v>
      </c>
      <c r="B245" s="2" t="s">
        <v>1609</v>
      </c>
      <c r="C245" s="2" t="s">
        <v>1634</v>
      </c>
      <c r="D245" s="2" t="s">
        <v>2212</v>
      </c>
      <c r="E245" s="2" t="s">
        <v>1795</v>
      </c>
      <c r="F245" s="2" t="s">
        <v>2345</v>
      </c>
      <c r="G245" s="2" t="s">
        <v>2074</v>
      </c>
      <c r="H245" s="2" t="s">
        <v>1849</v>
      </c>
      <c r="I245" s="2" t="s">
        <v>1616</v>
      </c>
      <c r="J245" s="2" t="s">
        <v>2388</v>
      </c>
      <c r="K245" s="2" t="s">
        <v>2388</v>
      </c>
      <c r="L245" s="2" t="s">
        <v>1746</v>
      </c>
      <c r="M245" s="2" t="s">
        <v>1620</v>
      </c>
      <c r="N245" s="2" t="s">
        <v>1620</v>
      </c>
      <c r="O245" s="2" t="s">
        <v>1747</v>
      </c>
    </row>
    <row r="246" spans="1:15" hidden="1">
      <c r="A246" s="2" t="s">
        <v>1923</v>
      </c>
      <c r="B246" s="2" t="s">
        <v>1609</v>
      </c>
      <c r="C246" s="2" t="s">
        <v>1634</v>
      </c>
      <c r="D246" s="2" t="s">
        <v>2389</v>
      </c>
      <c r="E246" s="2" t="s">
        <v>1795</v>
      </c>
      <c r="F246" s="2" t="s">
        <v>2345</v>
      </c>
      <c r="G246" s="2" t="s">
        <v>1972</v>
      </c>
      <c r="H246" s="2" t="s">
        <v>1770</v>
      </c>
      <c r="I246" s="2" t="s">
        <v>1616</v>
      </c>
      <c r="J246" s="2" t="s">
        <v>2390</v>
      </c>
      <c r="K246" s="2" t="s">
        <v>2390</v>
      </c>
      <c r="L246" s="2" t="s">
        <v>1746</v>
      </c>
      <c r="M246" s="2" t="s">
        <v>1620</v>
      </c>
      <c r="N246" s="2" t="s">
        <v>1620</v>
      </c>
      <c r="O246" s="2" t="s">
        <v>1747</v>
      </c>
    </row>
    <row r="247" spans="1:15" hidden="1">
      <c r="A247" s="2" t="s">
        <v>1923</v>
      </c>
      <c r="B247" s="2" t="s">
        <v>1609</v>
      </c>
      <c r="C247" s="2" t="s">
        <v>1634</v>
      </c>
      <c r="D247" s="2" t="s">
        <v>2256</v>
      </c>
      <c r="E247" s="2" t="s">
        <v>1795</v>
      </c>
      <c r="F247" s="2" t="s">
        <v>2345</v>
      </c>
      <c r="G247" s="2" t="s">
        <v>2012</v>
      </c>
      <c r="H247" s="2" t="s">
        <v>1856</v>
      </c>
      <c r="I247" s="2" t="s">
        <v>1616</v>
      </c>
      <c r="J247" s="2" t="s">
        <v>1979</v>
      </c>
      <c r="K247" s="2" t="s">
        <v>1979</v>
      </c>
      <c r="L247" s="2" t="s">
        <v>1746</v>
      </c>
      <c r="M247" s="2" t="s">
        <v>1620</v>
      </c>
      <c r="N247" s="2" t="s">
        <v>1620</v>
      </c>
      <c r="O247" s="2" t="s">
        <v>1747</v>
      </c>
    </row>
    <row r="248" spans="1:15" hidden="1">
      <c r="A248" s="2" t="s">
        <v>1923</v>
      </c>
      <c r="B248" s="2" t="s">
        <v>1609</v>
      </c>
      <c r="C248" s="2" t="s">
        <v>1634</v>
      </c>
      <c r="D248" s="2" t="s">
        <v>2343</v>
      </c>
      <c r="E248" s="2" t="s">
        <v>1795</v>
      </c>
      <c r="F248" s="2" t="s">
        <v>2345</v>
      </c>
      <c r="G248" s="2" t="s">
        <v>2345</v>
      </c>
      <c r="H248" s="2" t="s">
        <v>2286</v>
      </c>
      <c r="I248" s="2" t="s">
        <v>1616</v>
      </c>
      <c r="J248" s="2" t="s">
        <v>2044</v>
      </c>
      <c r="K248" s="2" t="s">
        <v>2044</v>
      </c>
      <c r="L248" s="2" t="s">
        <v>1746</v>
      </c>
      <c r="M248" s="2" t="s">
        <v>1620</v>
      </c>
      <c r="N248" s="2" t="s">
        <v>1620</v>
      </c>
      <c r="O248" s="2" t="s">
        <v>1747</v>
      </c>
    </row>
    <row r="249" spans="1:15" hidden="1">
      <c r="A249" s="2" t="s">
        <v>1923</v>
      </c>
      <c r="B249" s="2" t="s">
        <v>1609</v>
      </c>
      <c r="C249" s="2" t="s">
        <v>1634</v>
      </c>
      <c r="D249" s="2" t="s">
        <v>2305</v>
      </c>
      <c r="E249" s="2" t="s">
        <v>1795</v>
      </c>
      <c r="F249" s="2" t="s">
        <v>2345</v>
      </c>
      <c r="G249" s="2" t="s">
        <v>2012</v>
      </c>
      <c r="H249" s="2" t="s">
        <v>1856</v>
      </c>
      <c r="I249" s="2" t="s">
        <v>1616</v>
      </c>
      <c r="J249" s="2" t="s">
        <v>1671</v>
      </c>
      <c r="K249" s="2" t="s">
        <v>1671</v>
      </c>
      <c r="L249" s="2" t="s">
        <v>1746</v>
      </c>
      <c r="M249" s="2" t="s">
        <v>1620</v>
      </c>
      <c r="N249" s="2" t="s">
        <v>1620</v>
      </c>
      <c r="O249" s="2" t="s">
        <v>1747</v>
      </c>
    </row>
    <row r="250" spans="1:15" hidden="1">
      <c r="A250" s="2" t="s">
        <v>1923</v>
      </c>
      <c r="B250" s="2" t="s">
        <v>1609</v>
      </c>
      <c r="C250" s="2" t="s">
        <v>1634</v>
      </c>
      <c r="D250" s="2" t="s">
        <v>2376</v>
      </c>
      <c r="E250" s="2" t="s">
        <v>1795</v>
      </c>
      <c r="F250" s="2" t="s">
        <v>2345</v>
      </c>
      <c r="G250" s="2" t="s">
        <v>2273</v>
      </c>
      <c r="H250" s="2" t="s">
        <v>2025</v>
      </c>
      <c r="I250" s="2" t="s">
        <v>1616</v>
      </c>
      <c r="J250" s="2" t="s">
        <v>2298</v>
      </c>
      <c r="K250" s="2" t="s">
        <v>2298</v>
      </c>
      <c r="L250" s="2" t="s">
        <v>1746</v>
      </c>
      <c r="M250" s="2" t="s">
        <v>1620</v>
      </c>
      <c r="N250" s="2" t="s">
        <v>1620</v>
      </c>
      <c r="O250" s="2" t="s">
        <v>1747</v>
      </c>
    </row>
    <row r="251" spans="1:15" hidden="1">
      <c r="A251" s="2" t="s">
        <v>1923</v>
      </c>
      <c r="B251" s="2" t="s">
        <v>1609</v>
      </c>
      <c r="C251" s="2" t="s">
        <v>1634</v>
      </c>
      <c r="D251" s="2" t="s">
        <v>2287</v>
      </c>
      <c r="E251" s="2" t="s">
        <v>1795</v>
      </c>
      <c r="F251" s="2" t="s">
        <v>2345</v>
      </c>
      <c r="G251" s="2" t="s">
        <v>1972</v>
      </c>
      <c r="H251" s="2" t="s">
        <v>1770</v>
      </c>
      <c r="I251" s="2" t="s">
        <v>1616</v>
      </c>
      <c r="J251" s="2" t="s">
        <v>2254</v>
      </c>
      <c r="K251" s="2" t="s">
        <v>2254</v>
      </c>
      <c r="L251" s="2" t="s">
        <v>1746</v>
      </c>
      <c r="M251" s="2" t="s">
        <v>1620</v>
      </c>
      <c r="N251" s="2" t="s">
        <v>1620</v>
      </c>
      <c r="O251" s="2" t="s">
        <v>1747</v>
      </c>
    </row>
    <row r="252" spans="1:15" hidden="1">
      <c r="A252" s="2" t="s">
        <v>1923</v>
      </c>
      <c r="B252" s="2" t="s">
        <v>1609</v>
      </c>
      <c r="C252" s="2" t="s">
        <v>1634</v>
      </c>
      <c r="D252" s="2" t="s">
        <v>2391</v>
      </c>
      <c r="E252" s="2" t="s">
        <v>1795</v>
      </c>
      <c r="F252" s="2" t="s">
        <v>2345</v>
      </c>
      <c r="G252" s="2" t="s">
        <v>1957</v>
      </c>
      <c r="H252" s="2" t="s">
        <v>2320</v>
      </c>
      <c r="I252" s="2" t="s">
        <v>1616</v>
      </c>
      <c r="J252" s="2" t="s">
        <v>2392</v>
      </c>
      <c r="K252" s="2" t="s">
        <v>2392</v>
      </c>
      <c r="L252" s="2" t="s">
        <v>1746</v>
      </c>
      <c r="M252" s="2" t="s">
        <v>1620</v>
      </c>
      <c r="N252" s="2" t="s">
        <v>1620</v>
      </c>
      <c r="O252" s="2" t="s">
        <v>1747</v>
      </c>
    </row>
    <row r="253" spans="1:15" hidden="1">
      <c r="A253" s="2" t="s">
        <v>1923</v>
      </c>
      <c r="B253" s="2" t="s">
        <v>1609</v>
      </c>
      <c r="C253" s="2" t="s">
        <v>1634</v>
      </c>
      <c r="D253" s="2" t="s">
        <v>2107</v>
      </c>
      <c r="E253" s="2" t="s">
        <v>1795</v>
      </c>
      <c r="F253" s="2" t="s">
        <v>2345</v>
      </c>
      <c r="G253" s="2" t="s">
        <v>2030</v>
      </c>
      <c r="H253" s="2" t="s">
        <v>2041</v>
      </c>
      <c r="I253" s="2" t="s">
        <v>1616</v>
      </c>
      <c r="J253" s="2" t="s">
        <v>2292</v>
      </c>
      <c r="K253" s="2" t="s">
        <v>2292</v>
      </c>
      <c r="L253" s="2" t="s">
        <v>1746</v>
      </c>
      <c r="M253" s="2" t="s">
        <v>1620</v>
      </c>
      <c r="N253" s="2" t="s">
        <v>1620</v>
      </c>
      <c r="O253" s="2" t="s">
        <v>1747</v>
      </c>
    </row>
    <row r="254" spans="1:15" hidden="1">
      <c r="A254" s="2" t="s">
        <v>1923</v>
      </c>
      <c r="B254" s="2" t="s">
        <v>1609</v>
      </c>
      <c r="C254" s="2" t="s">
        <v>1634</v>
      </c>
      <c r="D254" s="2" t="s">
        <v>2006</v>
      </c>
      <c r="E254" s="2" t="s">
        <v>1795</v>
      </c>
      <c r="F254" s="2" t="s">
        <v>2345</v>
      </c>
      <c r="G254" s="2" t="s">
        <v>2393</v>
      </c>
      <c r="H254" s="2" t="s">
        <v>2394</v>
      </c>
      <c r="I254" s="2" t="s">
        <v>1616</v>
      </c>
      <c r="J254" s="2" t="s">
        <v>2130</v>
      </c>
      <c r="K254" s="2" t="s">
        <v>2130</v>
      </c>
      <c r="L254" s="2" t="s">
        <v>1746</v>
      </c>
      <c r="M254" s="2" t="s">
        <v>1620</v>
      </c>
      <c r="N254" s="2" t="s">
        <v>1620</v>
      </c>
      <c r="O254" s="2" t="s">
        <v>1747</v>
      </c>
    </row>
    <row r="255" spans="1:15" hidden="1">
      <c r="A255" s="2" t="s">
        <v>1923</v>
      </c>
      <c r="B255" s="2" t="s">
        <v>1609</v>
      </c>
      <c r="C255" s="2" t="s">
        <v>1634</v>
      </c>
      <c r="D255" s="2" t="s">
        <v>2271</v>
      </c>
      <c r="E255" s="2" t="s">
        <v>1795</v>
      </c>
      <c r="F255" s="2" t="s">
        <v>2345</v>
      </c>
      <c r="G255" s="2" t="s">
        <v>2176</v>
      </c>
      <c r="H255" s="2" t="s">
        <v>2095</v>
      </c>
      <c r="I255" s="2" t="s">
        <v>1616</v>
      </c>
      <c r="J255" s="2" t="s">
        <v>1650</v>
      </c>
      <c r="K255" s="2" t="s">
        <v>1650</v>
      </c>
      <c r="L255" s="2" t="s">
        <v>1746</v>
      </c>
      <c r="M255" s="2" t="s">
        <v>1620</v>
      </c>
      <c r="N255" s="2" t="s">
        <v>1620</v>
      </c>
      <c r="O255" s="2" t="s">
        <v>1747</v>
      </c>
    </row>
    <row r="256" spans="1:15" hidden="1">
      <c r="A256" s="2" t="s">
        <v>1923</v>
      </c>
      <c r="B256" s="2" t="s">
        <v>1609</v>
      </c>
      <c r="C256" s="2" t="s">
        <v>1634</v>
      </c>
      <c r="D256" s="2" t="s">
        <v>2311</v>
      </c>
      <c r="E256" s="2" t="s">
        <v>1795</v>
      </c>
      <c r="F256" s="2" t="s">
        <v>2345</v>
      </c>
      <c r="G256" s="2" t="s">
        <v>2120</v>
      </c>
      <c r="H256" s="2" t="s">
        <v>1986</v>
      </c>
      <c r="I256" s="2" t="s">
        <v>1616</v>
      </c>
      <c r="J256" s="2" t="s">
        <v>1883</v>
      </c>
      <c r="K256" s="2" t="s">
        <v>1883</v>
      </c>
      <c r="L256" s="2" t="s">
        <v>1746</v>
      </c>
      <c r="M256" s="2" t="s">
        <v>1620</v>
      </c>
      <c r="N256" s="2" t="s">
        <v>1620</v>
      </c>
      <c r="O256" s="2" t="s">
        <v>1747</v>
      </c>
    </row>
    <row r="257" spans="1:15" hidden="1">
      <c r="A257" s="2" t="s">
        <v>1923</v>
      </c>
      <c r="B257" s="2" t="s">
        <v>1609</v>
      </c>
      <c r="C257" s="2" t="s">
        <v>1634</v>
      </c>
      <c r="D257" s="2" t="s">
        <v>1977</v>
      </c>
      <c r="E257" s="2" t="s">
        <v>1795</v>
      </c>
      <c r="F257" s="2" t="s">
        <v>2345</v>
      </c>
      <c r="G257" s="2" t="s">
        <v>1930</v>
      </c>
      <c r="H257" s="2" t="s">
        <v>2219</v>
      </c>
      <c r="I257" s="2" t="s">
        <v>1616</v>
      </c>
      <c r="J257" s="2" t="s">
        <v>1853</v>
      </c>
      <c r="K257" s="2" t="s">
        <v>1853</v>
      </c>
      <c r="L257" s="2" t="s">
        <v>1746</v>
      </c>
      <c r="M257" s="2" t="s">
        <v>1620</v>
      </c>
      <c r="N257" s="2" t="s">
        <v>1620</v>
      </c>
      <c r="O257" s="2" t="s">
        <v>1747</v>
      </c>
    </row>
    <row r="258" spans="1:15" hidden="1">
      <c r="A258" s="2" t="s">
        <v>1923</v>
      </c>
      <c r="B258" s="2" t="s">
        <v>1609</v>
      </c>
      <c r="C258" s="2" t="s">
        <v>1634</v>
      </c>
      <c r="D258" s="2" t="s">
        <v>2263</v>
      </c>
      <c r="E258" s="2" t="s">
        <v>1795</v>
      </c>
      <c r="F258" s="2" t="s">
        <v>2345</v>
      </c>
      <c r="G258" s="2" t="s">
        <v>1930</v>
      </c>
      <c r="H258" s="2" t="s">
        <v>2219</v>
      </c>
      <c r="I258" s="2" t="s">
        <v>1616</v>
      </c>
      <c r="J258" s="2" t="s">
        <v>2237</v>
      </c>
      <c r="K258" s="2" t="s">
        <v>2237</v>
      </c>
      <c r="L258" s="2" t="s">
        <v>1746</v>
      </c>
      <c r="M258" s="2" t="s">
        <v>1620</v>
      </c>
      <c r="N258" s="2" t="s">
        <v>1620</v>
      </c>
      <c r="O258" s="2" t="s">
        <v>1747</v>
      </c>
    </row>
    <row r="259" spans="1:15" hidden="1">
      <c r="A259" s="2" t="s">
        <v>1923</v>
      </c>
      <c r="B259" s="2" t="s">
        <v>1609</v>
      </c>
      <c r="C259" s="2" t="s">
        <v>1634</v>
      </c>
      <c r="D259" s="2" t="s">
        <v>2026</v>
      </c>
      <c r="E259" s="2" t="s">
        <v>1795</v>
      </c>
      <c r="F259" s="2" t="s">
        <v>2345</v>
      </c>
      <c r="G259" s="2" t="s">
        <v>1972</v>
      </c>
      <c r="H259" s="2" t="s">
        <v>1770</v>
      </c>
      <c r="I259" s="2" t="s">
        <v>1616</v>
      </c>
      <c r="J259" s="2" t="s">
        <v>2387</v>
      </c>
      <c r="K259" s="2" t="s">
        <v>2387</v>
      </c>
      <c r="L259" s="2" t="s">
        <v>1746</v>
      </c>
      <c r="M259" s="2" t="s">
        <v>1620</v>
      </c>
      <c r="N259" s="2" t="s">
        <v>1620</v>
      </c>
      <c r="O259" s="2" t="s">
        <v>1747</v>
      </c>
    </row>
    <row r="260" spans="1:15" hidden="1">
      <c r="A260" s="2" t="s">
        <v>1923</v>
      </c>
      <c r="B260" s="2" t="s">
        <v>1609</v>
      </c>
      <c r="C260" s="2" t="s">
        <v>1634</v>
      </c>
      <c r="D260" s="2" t="s">
        <v>2395</v>
      </c>
      <c r="E260" s="2" t="s">
        <v>1795</v>
      </c>
      <c r="F260" s="2" t="s">
        <v>2345</v>
      </c>
      <c r="G260" s="2" t="s">
        <v>2273</v>
      </c>
      <c r="H260" s="2" t="s">
        <v>2025</v>
      </c>
      <c r="I260" s="2" t="s">
        <v>1616</v>
      </c>
      <c r="J260" s="2" t="s">
        <v>2396</v>
      </c>
      <c r="K260" s="2" t="s">
        <v>2396</v>
      </c>
      <c r="L260" s="2" t="s">
        <v>1746</v>
      </c>
      <c r="M260" s="2" t="s">
        <v>1620</v>
      </c>
      <c r="N260" s="2" t="s">
        <v>1620</v>
      </c>
      <c r="O260" s="2" t="s">
        <v>1747</v>
      </c>
    </row>
    <row r="261" spans="1:15" hidden="1">
      <c r="A261" s="2" t="s">
        <v>1923</v>
      </c>
      <c r="B261" s="2" t="s">
        <v>1609</v>
      </c>
      <c r="C261" s="2" t="s">
        <v>1634</v>
      </c>
      <c r="D261" s="2" t="s">
        <v>2315</v>
      </c>
      <c r="E261" s="2" t="s">
        <v>1795</v>
      </c>
      <c r="F261" s="2" t="s">
        <v>2345</v>
      </c>
      <c r="G261" s="2" t="s">
        <v>1972</v>
      </c>
      <c r="H261" s="2" t="s">
        <v>1770</v>
      </c>
      <c r="I261" s="2" t="s">
        <v>1616</v>
      </c>
      <c r="J261" s="2" t="s">
        <v>1883</v>
      </c>
      <c r="K261" s="2" t="s">
        <v>1883</v>
      </c>
      <c r="L261" s="2" t="s">
        <v>1746</v>
      </c>
      <c r="M261" s="2" t="s">
        <v>1620</v>
      </c>
      <c r="N261" s="2" t="s">
        <v>1620</v>
      </c>
      <c r="O261" s="2" t="s">
        <v>1747</v>
      </c>
    </row>
    <row r="262" spans="1:15" hidden="1">
      <c r="A262" s="2" t="s">
        <v>1794</v>
      </c>
      <c r="B262" s="2" t="s">
        <v>1609</v>
      </c>
      <c r="C262" s="2" t="s">
        <v>1634</v>
      </c>
      <c r="D262" s="2" t="s">
        <v>1890</v>
      </c>
      <c r="E262" s="2" t="s">
        <v>1795</v>
      </c>
      <c r="F262" s="2" t="s">
        <v>2345</v>
      </c>
      <c r="G262" s="2" t="s">
        <v>1972</v>
      </c>
      <c r="H262" s="2" t="s">
        <v>1770</v>
      </c>
      <c r="I262" s="2" t="s">
        <v>1616</v>
      </c>
      <c r="J262" s="2" t="s">
        <v>2397</v>
      </c>
      <c r="K262" s="2" t="s">
        <v>2397</v>
      </c>
      <c r="L262" s="2" t="s">
        <v>1746</v>
      </c>
      <c r="M262" s="2" t="s">
        <v>1620</v>
      </c>
      <c r="N262" s="2" t="s">
        <v>1620</v>
      </c>
      <c r="O262" s="2" t="s">
        <v>1747</v>
      </c>
    </row>
    <row r="263" spans="1:15" hidden="1">
      <c r="A263" s="2" t="s">
        <v>1794</v>
      </c>
      <c r="B263" s="2" t="s">
        <v>1609</v>
      </c>
      <c r="C263" s="2" t="s">
        <v>1634</v>
      </c>
      <c r="D263" s="2" t="s">
        <v>1990</v>
      </c>
      <c r="E263" s="2" t="s">
        <v>1795</v>
      </c>
      <c r="F263" s="2" t="s">
        <v>2345</v>
      </c>
      <c r="G263" s="2" t="s">
        <v>2229</v>
      </c>
      <c r="H263" s="2" t="s">
        <v>1959</v>
      </c>
      <c r="I263" s="2" t="s">
        <v>1616</v>
      </c>
      <c r="J263" s="2" t="s">
        <v>2398</v>
      </c>
      <c r="K263" s="2" t="s">
        <v>2398</v>
      </c>
      <c r="L263" s="2" t="s">
        <v>1746</v>
      </c>
      <c r="M263" s="2" t="s">
        <v>1620</v>
      </c>
      <c r="N263" s="2" t="s">
        <v>1620</v>
      </c>
      <c r="O263" s="2" t="s">
        <v>1747</v>
      </c>
    </row>
    <row r="264" spans="1:15" hidden="1">
      <c r="A264" s="2" t="s">
        <v>1794</v>
      </c>
      <c r="B264" s="2" t="s">
        <v>1609</v>
      </c>
      <c r="C264" s="2" t="s">
        <v>1634</v>
      </c>
      <c r="D264" s="2" t="s">
        <v>2110</v>
      </c>
      <c r="E264" s="2" t="s">
        <v>1795</v>
      </c>
      <c r="F264" s="2" t="s">
        <v>2345</v>
      </c>
      <c r="G264" s="2" t="s">
        <v>2074</v>
      </c>
      <c r="H264" s="2" t="s">
        <v>1849</v>
      </c>
      <c r="I264" s="2" t="s">
        <v>1616</v>
      </c>
      <c r="J264" s="2" t="s">
        <v>2174</v>
      </c>
      <c r="K264" s="2" t="s">
        <v>2174</v>
      </c>
      <c r="L264" s="2" t="s">
        <v>1746</v>
      </c>
      <c r="M264" s="2" t="s">
        <v>1620</v>
      </c>
      <c r="N264" s="2" t="s">
        <v>1620</v>
      </c>
      <c r="O264" s="2" t="s">
        <v>1747</v>
      </c>
    </row>
    <row r="265" spans="1:15" hidden="1">
      <c r="A265" s="2" t="s">
        <v>1878</v>
      </c>
      <c r="B265" s="2" t="s">
        <v>1609</v>
      </c>
      <c r="C265" s="2" t="s">
        <v>1634</v>
      </c>
      <c r="D265" s="2" t="s">
        <v>2091</v>
      </c>
      <c r="E265" s="2" t="s">
        <v>1880</v>
      </c>
      <c r="F265" s="2" t="s">
        <v>2345</v>
      </c>
      <c r="G265" s="2" t="s">
        <v>2345</v>
      </c>
      <c r="H265" s="2" t="s">
        <v>2286</v>
      </c>
      <c r="I265" s="2" t="s">
        <v>1616</v>
      </c>
      <c r="J265" s="2" t="s">
        <v>2072</v>
      </c>
      <c r="K265" s="36" t="s">
        <v>2072</v>
      </c>
      <c r="L265" s="2" t="s">
        <v>1746</v>
      </c>
      <c r="M265" s="2" t="s">
        <v>1620</v>
      </c>
      <c r="N265" s="2" t="s">
        <v>1620</v>
      </c>
      <c r="O265" s="2" t="s">
        <v>1747</v>
      </c>
    </row>
    <row r="266" spans="1:15" hidden="1">
      <c r="A266" s="2" t="s">
        <v>1878</v>
      </c>
      <c r="B266" s="2" t="s">
        <v>1609</v>
      </c>
      <c r="C266" s="2" t="s">
        <v>1634</v>
      </c>
      <c r="D266" s="2" t="s">
        <v>1695</v>
      </c>
      <c r="E266" s="2" t="s">
        <v>1880</v>
      </c>
      <c r="F266" s="36" t="s">
        <v>2345</v>
      </c>
      <c r="G266" s="2" t="s">
        <v>2273</v>
      </c>
      <c r="H266" s="2" t="s">
        <v>2025</v>
      </c>
      <c r="I266" s="2" t="s">
        <v>1616</v>
      </c>
      <c r="J266" s="2" t="s">
        <v>2399</v>
      </c>
      <c r="K266" s="36" t="s">
        <v>2399</v>
      </c>
      <c r="L266" s="2" t="s">
        <v>1746</v>
      </c>
      <c r="M266" s="2" t="s">
        <v>1620</v>
      </c>
      <c r="N266" s="2" t="s">
        <v>1620</v>
      </c>
      <c r="O266" s="2" t="s">
        <v>1747</v>
      </c>
    </row>
    <row r="267" spans="1:15" hidden="1">
      <c r="A267" s="2" t="s">
        <v>1878</v>
      </c>
      <c r="B267" s="2" t="s">
        <v>1609</v>
      </c>
      <c r="C267" s="2" t="s">
        <v>1634</v>
      </c>
      <c r="D267" s="2" t="s">
        <v>1741</v>
      </c>
      <c r="E267" s="2" t="s">
        <v>1880</v>
      </c>
      <c r="F267" s="2" t="s">
        <v>2345</v>
      </c>
      <c r="G267" s="2" t="s">
        <v>2012</v>
      </c>
      <c r="H267" s="2" t="s">
        <v>1856</v>
      </c>
      <c r="I267" s="2" t="s">
        <v>1616</v>
      </c>
      <c r="J267" s="2" t="s">
        <v>2400</v>
      </c>
      <c r="K267" s="36" t="s">
        <v>2400</v>
      </c>
      <c r="L267" s="2" t="s">
        <v>1746</v>
      </c>
      <c r="M267" s="2" t="s">
        <v>1620</v>
      </c>
      <c r="N267" s="2" t="s">
        <v>1620</v>
      </c>
      <c r="O267" s="2" t="s">
        <v>1747</v>
      </c>
    </row>
    <row r="268" spans="1:15" hidden="1">
      <c r="A268" s="2" t="s">
        <v>1878</v>
      </c>
      <c r="B268" s="2" t="s">
        <v>1609</v>
      </c>
      <c r="C268" s="2" t="s">
        <v>1634</v>
      </c>
      <c r="D268" s="2" t="s">
        <v>2212</v>
      </c>
      <c r="E268" s="2" t="s">
        <v>1880</v>
      </c>
      <c r="F268" s="2" t="s">
        <v>2345</v>
      </c>
      <c r="G268" s="2" t="s">
        <v>1862</v>
      </c>
      <c r="H268" s="2" t="s">
        <v>1867</v>
      </c>
      <c r="I268" s="2" t="s">
        <v>1616</v>
      </c>
      <c r="J268" s="2" t="s">
        <v>2323</v>
      </c>
      <c r="K268" s="36" t="s">
        <v>2323</v>
      </c>
      <c r="L268" s="2" t="s">
        <v>1746</v>
      </c>
      <c r="M268" s="2" t="s">
        <v>1620</v>
      </c>
      <c r="N268" s="2" t="s">
        <v>1620</v>
      </c>
      <c r="O268" s="2" t="s">
        <v>1747</v>
      </c>
    </row>
    <row r="269" spans="1:15" hidden="1">
      <c r="A269" s="2" t="s">
        <v>1878</v>
      </c>
      <c r="B269" s="2" t="s">
        <v>1609</v>
      </c>
      <c r="C269" s="2" t="s">
        <v>1634</v>
      </c>
      <c r="D269" s="2" t="s">
        <v>2305</v>
      </c>
      <c r="E269" s="2" t="s">
        <v>1880</v>
      </c>
      <c r="F269" s="2" t="s">
        <v>2345</v>
      </c>
      <c r="G269" s="2" t="s">
        <v>2276</v>
      </c>
      <c r="H269" s="2" t="s">
        <v>2258</v>
      </c>
      <c r="I269" s="2" t="s">
        <v>1616</v>
      </c>
      <c r="J269" s="2" t="s">
        <v>2024</v>
      </c>
      <c r="K269" s="36" t="s">
        <v>2024</v>
      </c>
      <c r="L269" s="2" t="s">
        <v>1746</v>
      </c>
      <c r="M269" s="2" t="s">
        <v>1620</v>
      </c>
      <c r="N269" s="2" t="s">
        <v>1620</v>
      </c>
      <c r="O269" s="2" t="s">
        <v>1747</v>
      </c>
    </row>
    <row r="270" spans="1:15" hidden="1">
      <c r="A270" s="2" t="s">
        <v>1878</v>
      </c>
      <c r="B270" s="2" t="s">
        <v>1609</v>
      </c>
      <c r="C270" s="2" t="s">
        <v>1634</v>
      </c>
      <c r="D270" s="2" t="s">
        <v>2287</v>
      </c>
      <c r="E270" s="2" t="s">
        <v>1880</v>
      </c>
      <c r="F270" s="2" t="s">
        <v>2345</v>
      </c>
      <c r="G270" s="2" t="s">
        <v>2273</v>
      </c>
      <c r="H270" s="2" t="s">
        <v>2025</v>
      </c>
      <c r="I270" s="2" t="s">
        <v>1616</v>
      </c>
      <c r="J270" s="2" t="s">
        <v>2004</v>
      </c>
      <c r="K270" s="36" t="s">
        <v>2004</v>
      </c>
      <c r="L270" s="2" t="s">
        <v>1746</v>
      </c>
      <c r="M270" s="2" t="s">
        <v>1620</v>
      </c>
      <c r="N270" s="2" t="s">
        <v>1620</v>
      </c>
      <c r="O270" s="2" t="s">
        <v>1747</v>
      </c>
    </row>
    <row r="271" spans="1:15" hidden="1">
      <c r="A271" s="2" t="s">
        <v>1878</v>
      </c>
      <c r="B271" s="2" t="s">
        <v>1609</v>
      </c>
      <c r="C271" s="2" t="s">
        <v>1634</v>
      </c>
      <c r="D271" s="2" t="s">
        <v>2401</v>
      </c>
      <c r="E271" s="2" t="s">
        <v>1880</v>
      </c>
      <c r="F271" s="2" t="s">
        <v>2345</v>
      </c>
      <c r="G271" s="2" t="s">
        <v>1996</v>
      </c>
      <c r="H271" s="2" t="s">
        <v>2000</v>
      </c>
      <c r="I271" s="2" t="s">
        <v>1616</v>
      </c>
      <c r="J271" s="2" t="s">
        <v>2183</v>
      </c>
      <c r="K271" s="36" t="s">
        <v>2183</v>
      </c>
      <c r="L271" s="2" t="s">
        <v>1746</v>
      </c>
      <c r="M271" s="2" t="s">
        <v>1620</v>
      </c>
      <c r="N271" s="2" t="s">
        <v>1620</v>
      </c>
      <c r="O271" s="2" t="s">
        <v>1747</v>
      </c>
    </row>
    <row r="272" spans="1:15" hidden="1">
      <c r="A272" s="2" t="s">
        <v>1878</v>
      </c>
      <c r="B272" s="2" t="s">
        <v>1609</v>
      </c>
      <c r="C272" s="2" t="s">
        <v>1634</v>
      </c>
      <c r="D272" s="2" t="s">
        <v>1967</v>
      </c>
      <c r="E272" s="2" t="s">
        <v>1880</v>
      </c>
      <c r="F272" s="2" t="s">
        <v>2345</v>
      </c>
      <c r="G272" s="2" t="s">
        <v>2012</v>
      </c>
      <c r="H272" s="2" t="s">
        <v>1856</v>
      </c>
      <c r="I272" s="2" t="s">
        <v>1616</v>
      </c>
      <c r="J272" s="2" t="s">
        <v>2113</v>
      </c>
      <c r="K272" s="36" t="s">
        <v>2113</v>
      </c>
      <c r="L272" s="2" t="s">
        <v>1746</v>
      </c>
      <c r="M272" s="2" t="s">
        <v>1620</v>
      </c>
      <c r="N272" s="2" t="s">
        <v>1620</v>
      </c>
      <c r="O272" s="2" t="s">
        <v>1747</v>
      </c>
    </row>
    <row r="273" spans="1:15" hidden="1">
      <c r="A273" s="2" t="s">
        <v>1878</v>
      </c>
      <c r="B273" s="2" t="s">
        <v>1609</v>
      </c>
      <c r="C273" s="2" t="s">
        <v>1634</v>
      </c>
      <c r="D273" s="2" t="s">
        <v>2402</v>
      </c>
      <c r="E273" s="2" t="s">
        <v>1880</v>
      </c>
      <c r="F273" s="2" t="s">
        <v>2345</v>
      </c>
      <c r="G273" s="2" t="s">
        <v>2273</v>
      </c>
      <c r="H273" s="2" t="s">
        <v>2025</v>
      </c>
      <c r="I273" s="2" t="s">
        <v>1616</v>
      </c>
      <c r="J273" s="2" t="s">
        <v>2403</v>
      </c>
      <c r="K273" s="36" t="s">
        <v>2403</v>
      </c>
      <c r="L273" s="2" t="s">
        <v>1746</v>
      </c>
      <c r="M273" s="2" t="s">
        <v>1620</v>
      </c>
      <c r="N273" s="2" t="s">
        <v>1620</v>
      </c>
      <c r="O273" s="2" t="s">
        <v>1747</v>
      </c>
    </row>
    <row r="274" spans="1:15" hidden="1">
      <c r="A274" s="2" t="s">
        <v>1878</v>
      </c>
      <c r="B274" s="2" t="s">
        <v>1609</v>
      </c>
      <c r="C274" s="2" t="s">
        <v>1634</v>
      </c>
      <c r="D274" s="2" t="s">
        <v>2334</v>
      </c>
      <c r="E274" s="2" t="s">
        <v>1880</v>
      </c>
      <c r="F274" s="2" t="s">
        <v>2345</v>
      </c>
      <c r="G274" s="2" t="s">
        <v>1972</v>
      </c>
      <c r="H274" s="2" t="s">
        <v>1770</v>
      </c>
      <c r="I274" s="2" t="s">
        <v>1616</v>
      </c>
      <c r="J274" s="2" t="s">
        <v>2379</v>
      </c>
      <c r="K274" s="36" t="s">
        <v>2379</v>
      </c>
      <c r="L274" s="2" t="s">
        <v>1746</v>
      </c>
      <c r="M274" s="2" t="s">
        <v>1620</v>
      </c>
      <c r="N274" s="2" t="s">
        <v>1620</v>
      </c>
      <c r="O274" s="2" t="s">
        <v>1747</v>
      </c>
    </row>
    <row r="275" spans="1:15" hidden="1">
      <c r="A275" s="2" t="s">
        <v>1878</v>
      </c>
      <c r="B275" s="2" t="s">
        <v>1609</v>
      </c>
      <c r="C275" s="2" t="s">
        <v>1634</v>
      </c>
      <c r="D275" s="2" t="s">
        <v>2404</v>
      </c>
      <c r="E275" s="2" t="s">
        <v>1880</v>
      </c>
      <c r="F275" s="2" t="s">
        <v>2345</v>
      </c>
      <c r="G275" s="2" t="s">
        <v>2273</v>
      </c>
      <c r="H275" s="2" t="s">
        <v>2025</v>
      </c>
      <c r="I275" s="2" t="s">
        <v>1616</v>
      </c>
      <c r="J275" s="2" t="s">
        <v>2371</v>
      </c>
      <c r="K275" s="36" t="s">
        <v>2371</v>
      </c>
      <c r="L275" s="2" t="s">
        <v>1746</v>
      </c>
      <c r="M275" s="2" t="s">
        <v>1620</v>
      </c>
      <c r="N275" s="2" t="s">
        <v>1620</v>
      </c>
      <c r="O275" s="2" t="s">
        <v>1747</v>
      </c>
    </row>
    <row r="276" spans="1:15" hidden="1">
      <c r="A276" s="2" t="s">
        <v>1732</v>
      </c>
      <c r="B276" s="2" t="s">
        <v>1609</v>
      </c>
      <c r="C276" s="2" t="s">
        <v>1634</v>
      </c>
      <c r="D276" s="2" t="s">
        <v>1656</v>
      </c>
      <c r="E276" s="2" t="s">
        <v>1714</v>
      </c>
      <c r="F276" s="2" t="s">
        <v>1620</v>
      </c>
      <c r="G276" s="2" t="s">
        <v>2276</v>
      </c>
      <c r="H276" s="2" t="s">
        <v>1747</v>
      </c>
      <c r="I276" s="2" t="s">
        <v>1616</v>
      </c>
      <c r="J276" s="2" t="s">
        <v>1620</v>
      </c>
      <c r="K276" s="36" t="s">
        <v>1746</v>
      </c>
      <c r="L276" s="2" t="s">
        <v>1746</v>
      </c>
      <c r="M276" s="2" t="s">
        <v>1620</v>
      </c>
      <c r="N276" s="2" t="s">
        <v>1620</v>
      </c>
      <c r="O276" s="2" t="s">
        <v>1620</v>
      </c>
    </row>
    <row r="277" spans="1:15" hidden="1">
      <c r="A277" s="2" t="s">
        <v>1903</v>
      </c>
      <c r="B277" s="2" t="s">
        <v>1609</v>
      </c>
      <c r="C277" s="2" t="s">
        <v>1634</v>
      </c>
      <c r="D277" s="2" t="s">
        <v>1904</v>
      </c>
      <c r="E277" s="2" t="s">
        <v>1714</v>
      </c>
      <c r="F277" s="2" t="s">
        <v>1620</v>
      </c>
      <c r="G277" s="2" t="s">
        <v>2229</v>
      </c>
      <c r="H277" s="2" t="s">
        <v>1747</v>
      </c>
      <c r="I277" s="2" t="s">
        <v>1616</v>
      </c>
      <c r="J277" s="2" t="s">
        <v>1620</v>
      </c>
      <c r="K277" s="36" t="s">
        <v>1746</v>
      </c>
      <c r="L277" s="2" t="s">
        <v>1746</v>
      </c>
      <c r="M277" s="2" t="s">
        <v>1620</v>
      </c>
      <c r="N277" s="2" t="s">
        <v>1620</v>
      </c>
      <c r="O277" s="2" t="s">
        <v>1620</v>
      </c>
    </row>
    <row r="278" spans="1:15" hidden="1">
      <c r="A278" s="2" t="s">
        <v>1911</v>
      </c>
      <c r="B278" s="2" t="s">
        <v>1609</v>
      </c>
      <c r="C278" s="2" t="s">
        <v>1634</v>
      </c>
      <c r="D278" s="2" t="s">
        <v>1624</v>
      </c>
      <c r="E278" s="2" t="s">
        <v>1676</v>
      </c>
      <c r="F278" s="2" t="s">
        <v>1620</v>
      </c>
      <c r="G278" s="2" t="s">
        <v>2345</v>
      </c>
      <c r="H278" s="2" t="s">
        <v>1747</v>
      </c>
      <c r="I278" s="2" t="s">
        <v>1616</v>
      </c>
      <c r="J278" s="2" t="s">
        <v>1620</v>
      </c>
      <c r="K278" s="36" t="s">
        <v>1746</v>
      </c>
      <c r="L278" s="2" t="s">
        <v>1746</v>
      </c>
      <c r="M278" s="2" t="s">
        <v>1620</v>
      </c>
      <c r="N278" s="2" t="s">
        <v>1620</v>
      </c>
      <c r="O278" s="2" t="s">
        <v>1620</v>
      </c>
    </row>
    <row r="279" spans="1:15" hidden="1">
      <c r="A279" s="2" t="s">
        <v>1911</v>
      </c>
      <c r="B279" s="2" t="s">
        <v>1609</v>
      </c>
      <c r="C279" s="2" t="s">
        <v>1634</v>
      </c>
      <c r="D279" s="2" t="s">
        <v>1624</v>
      </c>
      <c r="E279" s="2" t="s">
        <v>1714</v>
      </c>
      <c r="F279" s="2" t="s">
        <v>1620</v>
      </c>
      <c r="G279" s="2" t="s">
        <v>2345</v>
      </c>
      <c r="H279" s="2" t="s">
        <v>1747</v>
      </c>
      <c r="I279" s="2" t="s">
        <v>1616</v>
      </c>
      <c r="J279" s="2" t="s">
        <v>1620</v>
      </c>
      <c r="K279" s="36" t="s">
        <v>1746</v>
      </c>
      <c r="L279" s="2" t="s">
        <v>1746</v>
      </c>
      <c r="M279" s="2" t="s">
        <v>1620</v>
      </c>
      <c r="N279" s="2" t="s">
        <v>1620</v>
      </c>
      <c r="O279" s="2" t="s">
        <v>1620</v>
      </c>
    </row>
    <row r="280" spans="1:15" hidden="1">
      <c r="A280" s="2" t="s">
        <v>1929</v>
      </c>
      <c r="B280" s="2" t="s">
        <v>1609</v>
      </c>
      <c r="C280" s="2" t="s">
        <v>1634</v>
      </c>
      <c r="D280" s="2" t="s">
        <v>1656</v>
      </c>
      <c r="E280" s="2" t="s">
        <v>1676</v>
      </c>
      <c r="F280" s="2" t="s">
        <v>1620</v>
      </c>
      <c r="G280" s="2" t="s">
        <v>2030</v>
      </c>
      <c r="H280" s="2" t="s">
        <v>1747</v>
      </c>
      <c r="I280" s="2" t="s">
        <v>1616</v>
      </c>
      <c r="J280" s="2" t="s">
        <v>1620</v>
      </c>
      <c r="K280" s="2" t="s">
        <v>1746</v>
      </c>
      <c r="L280" s="2" t="s">
        <v>1746</v>
      </c>
      <c r="M280" s="2" t="s">
        <v>1620</v>
      </c>
      <c r="N280" s="2" t="s">
        <v>1620</v>
      </c>
      <c r="O280" s="2" t="s">
        <v>1620</v>
      </c>
    </row>
    <row r="281" spans="1:15" hidden="1">
      <c r="A281" s="2" t="s">
        <v>1929</v>
      </c>
      <c r="B281" s="2" t="s">
        <v>1609</v>
      </c>
      <c r="C281" s="2" t="s">
        <v>1634</v>
      </c>
      <c r="D281" s="2" t="s">
        <v>1656</v>
      </c>
      <c r="E281" s="2" t="s">
        <v>1783</v>
      </c>
      <c r="F281" s="2" t="s">
        <v>1620</v>
      </c>
      <c r="G281" s="2" t="s">
        <v>1972</v>
      </c>
      <c r="H281" s="2" t="s">
        <v>1747</v>
      </c>
      <c r="I281" s="2" t="s">
        <v>1616</v>
      </c>
      <c r="J281" s="2" t="s">
        <v>1620</v>
      </c>
      <c r="K281" s="2" t="s">
        <v>1746</v>
      </c>
      <c r="L281" s="2" t="s">
        <v>1746</v>
      </c>
      <c r="M281" s="2" t="s">
        <v>1620</v>
      </c>
      <c r="N281" s="2" t="s">
        <v>1620</v>
      </c>
      <c r="O281" s="2" t="s">
        <v>1620</v>
      </c>
    </row>
    <row r="282" spans="1:15" hidden="1">
      <c r="A282" s="2" t="s">
        <v>1829</v>
      </c>
      <c r="B282" s="2" t="s">
        <v>1609</v>
      </c>
      <c r="C282" s="2" t="s">
        <v>1634</v>
      </c>
      <c r="D282" s="2" t="s">
        <v>1741</v>
      </c>
      <c r="E282" s="2" t="s">
        <v>1705</v>
      </c>
      <c r="F282" s="2" t="s">
        <v>1620</v>
      </c>
      <c r="G282" s="2" t="s">
        <v>2176</v>
      </c>
      <c r="H282" s="2" t="s">
        <v>1747</v>
      </c>
      <c r="I282" s="2" t="s">
        <v>1616</v>
      </c>
      <c r="J282" s="2" t="s">
        <v>1620</v>
      </c>
      <c r="K282" s="36" t="s">
        <v>1746</v>
      </c>
      <c r="L282" s="2" t="s">
        <v>1746</v>
      </c>
      <c r="M282" s="2" t="s">
        <v>1620</v>
      </c>
      <c r="N282" s="2" t="s">
        <v>1620</v>
      </c>
      <c r="O282" s="2" t="s">
        <v>1620</v>
      </c>
    </row>
    <row r="283" spans="1:15" hidden="1">
      <c r="A283" s="2" t="s">
        <v>1829</v>
      </c>
      <c r="B283" s="2" t="s">
        <v>1609</v>
      </c>
      <c r="C283" s="2" t="s">
        <v>1634</v>
      </c>
      <c r="D283" s="2" t="s">
        <v>1741</v>
      </c>
      <c r="E283" s="2" t="s">
        <v>1714</v>
      </c>
      <c r="F283" s="2" t="s">
        <v>1620</v>
      </c>
      <c r="G283" s="2" t="s">
        <v>1620</v>
      </c>
      <c r="H283" s="2" t="s">
        <v>1620</v>
      </c>
      <c r="I283" s="2" t="s">
        <v>1616</v>
      </c>
      <c r="J283" s="2" t="s">
        <v>1620</v>
      </c>
      <c r="K283" s="36" t="s">
        <v>1746</v>
      </c>
      <c r="L283" s="2" t="s">
        <v>1746</v>
      </c>
      <c r="M283" s="2" t="s">
        <v>1620</v>
      </c>
      <c r="N283" s="2" t="s">
        <v>1620</v>
      </c>
      <c r="O283" s="2" t="s">
        <v>1620</v>
      </c>
    </row>
    <row r="284" spans="1:15" hidden="1">
      <c r="A284" s="2" t="s">
        <v>1976</v>
      </c>
      <c r="B284" s="2" t="s">
        <v>1609</v>
      </c>
      <c r="C284" s="2" t="s">
        <v>1634</v>
      </c>
      <c r="D284" s="2" t="s">
        <v>2091</v>
      </c>
      <c r="E284" s="2" t="s">
        <v>1705</v>
      </c>
      <c r="F284" s="2" t="s">
        <v>1620</v>
      </c>
      <c r="G284" s="2" t="s">
        <v>2176</v>
      </c>
      <c r="H284" s="2" t="s">
        <v>1747</v>
      </c>
      <c r="I284" s="2" t="s">
        <v>1616</v>
      </c>
      <c r="J284" s="2" t="s">
        <v>1620</v>
      </c>
      <c r="K284" s="36" t="s">
        <v>1746</v>
      </c>
      <c r="L284" s="2" t="s">
        <v>1746</v>
      </c>
      <c r="M284" s="2" t="s">
        <v>1620</v>
      </c>
      <c r="N284" s="2" t="s">
        <v>1620</v>
      </c>
      <c r="O284" s="2" t="s">
        <v>1620</v>
      </c>
    </row>
    <row r="285" spans="1:15" hidden="1">
      <c r="A285" s="2" t="s">
        <v>1976</v>
      </c>
      <c r="B285" s="2" t="s">
        <v>1609</v>
      </c>
      <c r="C285" s="2" t="s">
        <v>1634</v>
      </c>
      <c r="D285" s="2" t="s">
        <v>2293</v>
      </c>
      <c r="E285" s="2" t="s">
        <v>1705</v>
      </c>
      <c r="F285" s="2" t="s">
        <v>1620</v>
      </c>
      <c r="G285" s="2" t="s">
        <v>2030</v>
      </c>
      <c r="H285" s="2" t="s">
        <v>1747</v>
      </c>
      <c r="I285" s="2" t="s">
        <v>1616</v>
      </c>
      <c r="J285" s="2" t="s">
        <v>1620</v>
      </c>
      <c r="K285" s="36" t="s">
        <v>1746</v>
      </c>
      <c r="L285" s="2" t="s">
        <v>1746</v>
      </c>
      <c r="M285" s="2" t="s">
        <v>1620</v>
      </c>
      <c r="N285" s="2" t="s">
        <v>1620</v>
      </c>
      <c r="O285" s="2" t="s">
        <v>1620</v>
      </c>
    </row>
    <row r="286" spans="1:15" hidden="1">
      <c r="A286" s="2" t="s">
        <v>1976</v>
      </c>
      <c r="B286" s="2" t="s">
        <v>1609</v>
      </c>
      <c r="C286" s="2" t="s">
        <v>1634</v>
      </c>
      <c r="D286" s="2" t="s">
        <v>2337</v>
      </c>
      <c r="E286" s="2" t="s">
        <v>1705</v>
      </c>
      <c r="F286" s="2" t="s">
        <v>1620</v>
      </c>
      <c r="G286" s="2" t="s">
        <v>2229</v>
      </c>
      <c r="H286" s="2" t="s">
        <v>1747</v>
      </c>
      <c r="I286" s="2" t="s">
        <v>1616</v>
      </c>
      <c r="J286" s="2" t="s">
        <v>1620</v>
      </c>
      <c r="K286" s="36" t="s">
        <v>1746</v>
      </c>
      <c r="L286" s="2" t="s">
        <v>1746</v>
      </c>
      <c r="M286" s="2" t="s">
        <v>1620</v>
      </c>
      <c r="N286" s="2" t="s">
        <v>1620</v>
      </c>
      <c r="O286" s="2" t="s">
        <v>1620</v>
      </c>
    </row>
    <row r="287" spans="1:15" hidden="1">
      <c r="A287" s="2" t="s">
        <v>1976</v>
      </c>
      <c r="B287" s="2" t="s">
        <v>1609</v>
      </c>
      <c r="C287" s="2" t="s">
        <v>1634</v>
      </c>
      <c r="D287" s="2" t="s">
        <v>2389</v>
      </c>
      <c r="E287" s="2" t="s">
        <v>1705</v>
      </c>
      <c r="F287" s="2" t="s">
        <v>1620</v>
      </c>
      <c r="G287" s="2" t="s">
        <v>1957</v>
      </c>
      <c r="H287" s="2" t="s">
        <v>1747</v>
      </c>
      <c r="I287" s="2" t="s">
        <v>1616</v>
      </c>
      <c r="J287" s="2" t="s">
        <v>1620</v>
      </c>
      <c r="K287" s="36" t="s">
        <v>1746</v>
      </c>
      <c r="L287" s="2" t="s">
        <v>1746</v>
      </c>
      <c r="M287" s="2" t="s">
        <v>1620</v>
      </c>
      <c r="N287" s="2" t="s">
        <v>1620</v>
      </c>
      <c r="O287" s="2" t="s">
        <v>1620</v>
      </c>
    </row>
    <row r="288" spans="1:15" hidden="1">
      <c r="A288" s="2" t="s">
        <v>1976</v>
      </c>
      <c r="B288" s="2" t="s">
        <v>1609</v>
      </c>
      <c r="C288" s="2" t="s">
        <v>1634</v>
      </c>
      <c r="D288" s="2" t="s">
        <v>2256</v>
      </c>
      <c r="E288" s="2" t="s">
        <v>1705</v>
      </c>
      <c r="F288" s="2" t="s">
        <v>1620</v>
      </c>
      <c r="G288" s="2" t="s">
        <v>2176</v>
      </c>
      <c r="H288" s="2" t="s">
        <v>1747</v>
      </c>
      <c r="I288" s="2" t="s">
        <v>1616</v>
      </c>
      <c r="J288" s="2" t="s">
        <v>1620</v>
      </c>
      <c r="K288" s="36" t="s">
        <v>1746</v>
      </c>
      <c r="L288" s="2" t="s">
        <v>1746</v>
      </c>
      <c r="M288" s="2" t="s">
        <v>1620</v>
      </c>
      <c r="N288" s="2" t="s">
        <v>1620</v>
      </c>
      <c r="O288" s="2" t="s">
        <v>1620</v>
      </c>
    </row>
    <row r="289" spans="1:15" hidden="1">
      <c r="A289" s="2" t="s">
        <v>1976</v>
      </c>
      <c r="B289" s="2" t="s">
        <v>1609</v>
      </c>
      <c r="C289" s="2" t="s">
        <v>1634</v>
      </c>
      <c r="D289" s="2" t="s">
        <v>2309</v>
      </c>
      <c r="E289" s="2" t="s">
        <v>1705</v>
      </c>
      <c r="F289" s="2" t="s">
        <v>1620</v>
      </c>
      <c r="G289" s="2" t="s">
        <v>2345</v>
      </c>
      <c r="H289" s="2" t="s">
        <v>1747</v>
      </c>
      <c r="I289" s="2" t="s">
        <v>1616</v>
      </c>
      <c r="J289" s="2" t="s">
        <v>1620</v>
      </c>
      <c r="K289" s="36" t="s">
        <v>1746</v>
      </c>
      <c r="L289" s="2" t="s">
        <v>1746</v>
      </c>
      <c r="M289" s="2" t="s">
        <v>1620</v>
      </c>
      <c r="N289" s="2" t="s">
        <v>1620</v>
      </c>
      <c r="O289" s="2" t="s">
        <v>1620</v>
      </c>
    </row>
    <row r="290" spans="1:15" hidden="1">
      <c r="A290" s="2" t="s">
        <v>1976</v>
      </c>
      <c r="B290" s="2" t="s">
        <v>1609</v>
      </c>
      <c r="C290" s="2" t="s">
        <v>1634</v>
      </c>
      <c r="D290" s="2" t="s">
        <v>2311</v>
      </c>
      <c r="E290" s="2" t="s">
        <v>1705</v>
      </c>
      <c r="F290" s="2" t="s">
        <v>1620</v>
      </c>
      <c r="G290" s="2" t="s">
        <v>2176</v>
      </c>
      <c r="H290" s="2" t="s">
        <v>1747</v>
      </c>
      <c r="I290" s="2" t="s">
        <v>1616</v>
      </c>
      <c r="J290" s="2" t="s">
        <v>1620</v>
      </c>
      <c r="K290" s="36" t="s">
        <v>1746</v>
      </c>
      <c r="L290" s="2" t="s">
        <v>1746</v>
      </c>
      <c r="M290" s="2" t="s">
        <v>1620</v>
      </c>
      <c r="N290" s="2" t="s">
        <v>1620</v>
      </c>
      <c r="O290" s="2" t="s">
        <v>1620</v>
      </c>
    </row>
    <row r="291" spans="1:15" hidden="1">
      <c r="A291" s="2" t="s">
        <v>1976</v>
      </c>
      <c r="B291" s="2" t="s">
        <v>1609</v>
      </c>
      <c r="C291" s="2" t="s">
        <v>1634</v>
      </c>
      <c r="D291" s="2" t="s">
        <v>2333</v>
      </c>
      <c r="E291" s="2" t="s">
        <v>1705</v>
      </c>
      <c r="F291" s="2" t="s">
        <v>1620</v>
      </c>
      <c r="G291" s="2" t="s">
        <v>2345</v>
      </c>
      <c r="H291" s="2" t="s">
        <v>1747</v>
      </c>
      <c r="I291" s="2" t="s">
        <v>1616</v>
      </c>
      <c r="J291" s="2" t="s">
        <v>1620</v>
      </c>
      <c r="K291" s="36" t="s">
        <v>1746</v>
      </c>
      <c r="L291" s="2" t="s">
        <v>1746</v>
      </c>
      <c r="M291" s="2" t="s">
        <v>1620</v>
      </c>
      <c r="N291" s="2" t="s">
        <v>1620</v>
      </c>
      <c r="O291" s="2" t="s">
        <v>1620</v>
      </c>
    </row>
    <row r="292" spans="1:15" hidden="1">
      <c r="A292" s="2" t="s">
        <v>1976</v>
      </c>
      <c r="B292" s="2" t="s">
        <v>1609</v>
      </c>
      <c r="C292" s="2" t="s">
        <v>1634</v>
      </c>
      <c r="D292" s="2" t="s">
        <v>2334</v>
      </c>
      <c r="E292" s="2" t="s">
        <v>1705</v>
      </c>
      <c r="F292" s="2" t="s">
        <v>1620</v>
      </c>
      <c r="G292" s="2" t="s">
        <v>2074</v>
      </c>
      <c r="H292" s="2" t="s">
        <v>1747</v>
      </c>
      <c r="I292" s="2" t="s">
        <v>1616</v>
      </c>
      <c r="J292" s="2" t="s">
        <v>1620</v>
      </c>
      <c r="K292" s="36" t="s">
        <v>1746</v>
      </c>
      <c r="L292" s="2" t="s">
        <v>1746</v>
      </c>
      <c r="M292" s="2" t="s">
        <v>1620</v>
      </c>
      <c r="N292" s="2" t="s">
        <v>1620</v>
      </c>
      <c r="O292" s="2" t="s">
        <v>1620</v>
      </c>
    </row>
    <row r="293" spans="1:15" hidden="1">
      <c r="A293" s="2" t="s">
        <v>1976</v>
      </c>
      <c r="B293" s="2" t="s">
        <v>1609</v>
      </c>
      <c r="C293" s="2" t="s">
        <v>1634</v>
      </c>
      <c r="D293" s="2" t="s">
        <v>2091</v>
      </c>
      <c r="E293" s="2" t="s">
        <v>1676</v>
      </c>
      <c r="F293" s="2" t="s">
        <v>1620</v>
      </c>
      <c r="G293" s="2" t="s">
        <v>2176</v>
      </c>
      <c r="H293" s="2" t="s">
        <v>1747</v>
      </c>
      <c r="I293" s="2" t="s">
        <v>1616</v>
      </c>
      <c r="J293" s="2" t="s">
        <v>1620</v>
      </c>
      <c r="K293" s="36" t="s">
        <v>1746</v>
      </c>
      <c r="L293" s="2" t="s">
        <v>1746</v>
      </c>
      <c r="M293" s="2" t="s">
        <v>1620</v>
      </c>
      <c r="N293" s="2" t="s">
        <v>1620</v>
      </c>
      <c r="O293" s="2" t="s">
        <v>1620</v>
      </c>
    </row>
    <row r="294" spans="1:15" hidden="1">
      <c r="A294" s="2" t="s">
        <v>1976</v>
      </c>
      <c r="B294" s="2" t="s">
        <v>1609</v>
      </c>
      <c r="C294" s="2" t="s">
        <v>1634</v>
      </c>
      <c r="D294" s="2" t="s">
        <v>2241</v>
      </c>
      <c r="E294" s="2" t="s">
        <v>1676</v>
      </c>
      <c r="F294" s="2" t="s">
        <v>1620</v>
      </c>
      <c r="G294" s="2" t="s">
        <v>2273</v>
      </c>
      <c r="H294" s="2" t="s">
        <v>1747</v>
      </c>
      <c r="I294" s="2" t="s">
        <v>1616</v>
      </c>
      <c r="J294" s="2" t="s">
        <v>1620</v>
      </c>
      <c r="K294" s="36" t="s">
        <v>1746</v>
      </c>
      <c r="L294" s="2" t="s">
        <v>1746</v>
      </c>
      <c r="M294" s="2" t="s">
        <v>1620</v>
      </c>
      <c r="N294" s="2" t="s">
        <v>1620</v>
      </c>
      <c r="O294" s="2" t="s">
        <v>1620</v>
      </c>
    </row>
    <row r="295" spans="1:15" hidden="1">
      <c r="A295" s="2" t="s">
        <v>1976</v>
      </c>
      <c r="B295" s="2" t="s">
        <v>1609</v>
      </c>
      <c r="C295" s="2" t="s">
        <v>1634</v>
      </c>
      <c r="D295" s="2" t="s">
        <v>2194</v>
      </c>
      <c r="E295" s="2" t="s">
        <v>1676</v>
      </c>
      <c r="F295" s="2" t="s">
        <v>1620</v>
      </c>
      <c r="G295" s="2" t="s">
        <v>2229</v>
      </c>
      <c r="H295" s="2" t="s">
        <v>1747</v>
      </c>
      <c r="I295" s="2" t="s">
        <v>1616</v>
      </c>
      <c r="J295" s="2" t="s">
        <v>1620</v>
      </c>
      <c r="K295" s="36" t="s">
        <v>1746</v>
      </c>
      <c r="L295" s="2" t="s">
        <v>1746</v>
      </c>
      <c r="M295" s="2" t="s">
        <v>1620</v>
      </c>
      <c r="N295" s="2" t="s">
        <v>1620</v>
      </c>
      <c r="O295" s="2" t="s">
        <v>1620</v>
      </c>
    </row>
    <row r="296" spans="1:15" hidden="1">
      <c r="A296" s="2" t="s">
        <v>1976</v>
      </c>
      <c r="B296" s="2" t="s">
        <v>1609</v>
      </c>
      <c r="C296" s="2" t="s">
        <v>1634</v>
      </c>
      <c r="D296" s="2" t="s">
        <v>2051</v>
      </c>
      <c r="E296" s="2" t="s">
        <v>1676</v>
      </c>
      <c r="F296" s="2" t="s">
        <v>1620</v>
      </c>
      <c r="G296" s="2" t="s">
        <v>2229</v>
      </c>
      <c r="H296" s="2" t="s">
        <v>1747</v>
      </c>
      <c r="I296" s="2" t="s">
        <v>1616</v>
      </c>
      <c r="J296" s="2" t="s">
        <v>1620</v>
      </c>
      <c r="K296" s="36" t="s">
        <v>1746</v>
      </c>
      <c r="L296" s="2" t="s">
        <v>1746</v>
      </c>
      <c r="M296" s="2" t="s">
        <v>1620</v>
      </c>
      <c r="N296" s="2" t="s">
        <v>1620</v>
      </c>
      <c r="O296" s="2" t="s">
        <v>1620</v>
      </c>
    </row>
    <row r="297" spans="1:15" hidden="1">
      <c r="A297" s="2" t="s">
        <v>1976</v>
      </c>
      <c r="B297" s="2" t="s">
        <v>1609</v>
      </c>
      <c r="C297" s="2" t="s">
        <v>1634</v>
      </c>
      <c r="D297" s="2" t="s">
        <v>2287</v>
      </c>
      <c r="E297" s="2" t="s">
        <v>1676</v>
      </c>
      <c r="F297" s="2" t="s">
        <v>1620</v>
      </c>
      <c r="G297" s="2" t="s">
        <v>2273</v>
      </c>
      <c r="H297" s="2" t="s">
        <v>1747</v>
      </c>
      <c r="I297" s="2" t="s">
        <v>1616</v>
      </c>
      <c r="J297" s="2" t="s">
        <v>1620</v>
      </c>
      <c r="K297" s="36" t="s">
        <v>1746</v>
      </c>
      <c r="L297" s="2" t="s">
        <v>1746</v>
      </c>
      <c r="M297" s="2" t="s">
        <v>1620</v>
      </c>
      <c r="N297" s="2" t="s">
        <v>1620</v>
      </c>
      <c r="O297" s="2" t="s">
        <v>1620</v>
      </c>
    </row>
    <row r="298" spans="1:15" hidden="1">
      <c r="A298" s="2" t="s">
        <v>1976</v>
      </c>
      <c r="B298" s="2" t="s">
        <v>1609</v>
      </c>
      <c r="C298" s="2" t="s">
        <v>1634</v>
      </c>
      <c r="D298" s="2" t="s">
        <v>2355</v>
      </c>
      <c r="E298" s="2" t="s">
        <v>1676</v>
      </c>
      <c r="F298" s="2" t="s">
        <v>1620</v>
      </c>
      <c r="G298" s="2" t="s">
        <v>2273</v>
      </c>
      <c r="H298" s="2" t="s">
        <v>1747</v>
      </c>
      <c r="I298" s="2" t="s">
        <v>1616</v>
      </c>
      <c r="J298" s="2" t="s">
        <v>1620</v>
      </c>
      <c r="K298" s="36" t="s">
        <v>1746</v>
      </c>
      <c r="L298" s="2" t="s">
        <v>1746</v>
      </c>
      <c r="M298" s="2" t="s">
        <v>1620</v>
      </c>
      <c r="N298" s="2" t="s">
        <v>1620</v>
      </c>
      <c r="O298" s="2" t="s">
        <v>1620</v>
      </c>
    </row>
    <row r="299" spans="1:15" hidden="1">
      <c r="A299" s="2" t="s">
        <v>1976</v>
      </c>
      <c r="B299" s="2" t="s">
        <v>1609</v>
      </c>
      <c r="C299" s="2" t="s">
        <v>1634</v>
      </c>
      <c r="D299" s="2" t="s">
        <v>2311</v>
      </c>
      <c r="E299" s="2" t="s">
        <v>1676</v>
      </c>
      <c r="F299" s="2" t="s">
        <v>1620</v>
      </c>
      <c r="G299" s="2" t="s">
        <v>2345</v>
      </c>
      <c r="H299" s="2" t="s">
        <v>1747</v>
      </c>
      <c r="I299" s="2" t="s">
        <v>1616</v>
      </c>
      <c r="J299" s="2" t="s">
        <v>1620</v>
      </c>
      <c r="K299" s="36" t="s">
        <v>1746</v>
      </c>
      <c r="L299" s="2" t="s">
        <v>1746</v>
      </c>
      <c r="M299" s="2" t="s">
        <v>1620</v>
      </c>
      <c r="N299" s="2" t="s">
        <v>1620</v>
      </c>
      <c r="O299" s="2" t="s">
        <v>1620</v>
      </c>
    </row>
    <row r="300" spans="1:15" hidden="1">
      <c r="A300" s="2" t="s">
        <v>1976</v>
      </c>
      <c r="B300" s="2" t="s">
        <v>1609</v>
      </c>
      <c r="C300" s="2" t="s">
        <v>1634</v>
      </c>
      <c r="D300" s="2" t="s">
        <v>2263</v>
      </c>
      <c r="E300" s="2" t="s">
        <v>1676</v>
      </c>
      <c r="F300" s="2" t="s">
        <v>1620</v>
      </c>
      <c r="G300" s="2" t="s">
        <v>2120</v>
      </c>
      <c r="H300" s="2" t="s">
        <v>1747</v>
      </c>
      <c r="I300" s="2" t="s">
        <v>1616</v>
      </c>
      <c r="J300" s="2" t="s">
        <v>1620</v>
      </c>
      <c r="K300" s="36" t="s">
        <v>1746</v>
      </c>
      <c r="L300" s="2" t="s">
        <v>1746</v>
      </c>
      <c r="M300" s="2" t="s">
        <v>1620</v>
      </c>
      <c r="N300" s="2" t="s">
        <v>1620</v>
      </c>
      <c r="O300" s="2" t="s">
        <v>1620</v>
      </c>
    </row>
    <row r="301" spans="1:15" hidden="1">
      <c r="A301" s="2" t="s">
        <v>1976</v>
      </c>
      <c r="B301" s="2" t="s">
        <v>1609</v>
      </c>
      <c r="C301" s="2" t="s">
        <v>1634</v>
      </c>
      <c r="D301" s="2" t="s">
        <v>2026</v>
      </c>
      <c r="E301" s="2" t="s">
        <v>1676</v>
      </c>
      <c r="F301" s="2" t="s">
        <v>1620</v>
      </c>
      <c r="G301" s="2" t="s">
        <v>2273</v>
      </c>
      <c r="H301" s="2" t="s">
        <v>1747</v>
      </c>
      <c r="I301" s="2" t="s">
        <v>1616</v>
      </c>
      <c r="J301" s="2" t="s">
        <v>1620</v>
      </c>
      <c r="K301" s="36" t="s">
        <v>1746</v>
      </c>
      <c r="L301" s="2" t="s">
        <v>1746</v>
      </c>
      <c r="M301" s="2" t="s">
        <v>1620</v>
      </c>
      <c r="N301" s="2" t="s">
        <v>1620</v>
      </c>
      <c r="O301" s="2" t="s">
        <v>1620</v>
      </c>
    </row>
    <row r="302" spans="1:15" hidden="1">
      <c r="A302" s="2" t="s">
        <v>1976</v>
      </c>
      <c r="B302" s="2" t="s">
        <v>1609</v>
      </c>
      <c r="C302" s="2" t="s">
        <v>1634</v>
      </c>
      <c r="D302" s="2" t="s">
        <v>2334</v>
      </c>
      <c r="E302" s="2" t="s">
        <v>1676</v>
      </c>
      <c r="F302" s="2" t="s">
        <v>1620</v>
      </c>
      <c r="G302" s="2" t="s">
        <v>2345</v>
      </c>
      <c r="H302" s="2" t="s">
        <v>1747</v>
      </c>
      <c r="I302" s="2" t="s">
        <v>1616</v>
      </c>
      <c r="J302" s="2" t="s">
        <v>1620</v>
      </c>
      <c r="K302" s="36" t="s">
        <v>1746</v>
      </c>
      <c r="L302" s="2" t="s">
        <v>1746</v>
      </c>
      <c r="M302" s="2" t="s">
        <v>1620</v>
      </c>
      <c r="N302" s="2" t="s">
        <v>1620</v>
      </c>
      <c r="O302" s="2" t="s">
        <v>1620</v>
      </c>
    </row>
    <row r="303" spans="1:15" hidden="1">
      <c r="A303" s="2" t="s">
        <v>1976</v>
      </c>
      <c r="B303" s="2" t="s">
        <v>1609</v>
      </c>
      <c r="C303" s="2" t="s">
        <v>1634</v>
      </c>
      <c r="D303" s="2" t="s">
        <v>2293</v>
      </c>
      <c r="E303" s="2" t="s">
        <v>1635</v>
      </c>
      <c r="F303" s="2" t="s">
        <v>1620</v>
      </c>
      <c r="G303" s="2" t="s">
        <v>2345</v>
      </c>
      <c r="H303" s="2" t="s">
        <v>1747</v>
      </c>
      <c r="I303" s="2" t="s">
        <v>1616</v>
      </c>
      <c r="J303" s="2" t="s">
        <v>1620</v>
      </c>
      <c r="K303" s="36" t="s">
        <v>1746</v>
      </c>
      <c r="L303" s="2" t="s">
        <v>1746</v>
      </c>
      <c r="M303" s="2" t="s">
        <v>1620</v>
      </c>
      <c r="N303" s="2" t="s">
        <v>1620</v>
      </c>
      <c r="O303" s="2" t="s">
        <v>1620</v>
      </c>
    </row>
    <row r="304" spans="1:15" hidden="1">
      <c r="A304" s="2" t="s">
        <v>1976</v>
      </c>
      <c r="B304" s="2" t="s">
        <v>1609</v>
      </c>
      <c r="C304" s="2" t="s">
        <v>1634</v>
      </c>
      <c r="D304" s="2" t="s">
        <v>2042</v>
      </c>
      <c r="E304" s="2" t="s">
        <v>1635</v>
      </c>
      <c r="F304" s="2" t="s">
        <v>1620</v>
      </c>
      <c r="G304" s="2" t="s">
        <v>1620</v>
      </c>
      <c r="H304" s="2" t="s">
        <v>1620</v>
      </c>
      <c r="I304" s="2" t="s">
        <v>1616</v>
      </c>
      <c r="J304" s="2" t="s">
        <v>1620</v>
      </c>
      <c r="K304" s="36" t="s">
        <v>1746</v>
      </c>
      <c r="L304" s="2" t="s">
        <v>1746</v>
      </c>
      <c r="M304" s="2" t="s">
        <v>1620</v>
      </c>
      <c r="N304" s="2" t="s">
        <v>1620</v>
      </c>
      <c r="O304" s="2" t="s">
        <v>1620</v>
      </c>
    </row>
    <row r="305" spans="1:15" hidden="1">
      <c r="A305" s="2" t="s">
        <v>1976</v>
      </c>
      <c r="B305" s="2" t="s">
        <v>1609</v>
      </c>
      <c r="C305" s="2" t="s">
        <v>1634</v>
      </c>
      <c r="D305" s="2" t="s">
        <v>2084</v>
      </c>
      <c r="E305" s="2" t="s">
        <v>1635</v>
      </c>
      <c r="F305" s="2" t="s">
        <v>1620</v>
      </c>
      <c r="G305" s="2" t="s">
        <v>2074</v>
      </c>
      <c r="H305" s="2" t="s">
        <v>1747</v>
      </c>
      <c r="I305" s="2" t="s">
        <v>1616</v>
      </c>
      <c r="J305" s="2" t="s">
        <v>1620</v>
      </c>
      <c r="K305" s="36" t="s">
        <v>1746</v>
      </c>
      <c r="L305" s="2" t="s">
        <v>1746</v>
      </c>
      <c r="M305" s="2" t="s">
        <v>1620</v>
      </c>
      <c r="N305" s="2" t="s">
        <v>1620</v>
      </c>
      <c r="O305" s="2" t="s">
        <v>1620</v>
      </c>
    </row>
    <row r="306" spans="1:15" hidden="1">
      <c r="A306" s="2" t="s">
        <v>1976</v>
      </c>
      <c r="B306" s="2" t="s">
        <v>1609</v>
      </c>
      <c r="C306" s="2" t="s">
        <v>1634</v>
      </c>
      <c r="D306" s="2" t="s">
        <v>2135</v>
      </c>
      <c r="E306" s="2" t="s">
        <v>1635</v>
      </c>
      <c r="F306" s="2" t="s">
        <v>1620</v>
      </c>
      <c r="G306" s="2" t="s">
        <v>2276</v>
      </c>
      <c r="H306" s="2" t="s">
        <v>1747</v>
      </c>
      <c r="I306" s="2" t="s">
        <v>1616</v>
      </c>
      <c r="J306" s="2" t="s">
        <v>1620</v>
      </c>
      <c r="K306" s="36" t="s">
        <v>1746</v>
      </c>
      <c r="L306" s="2" t="s">
        <v>1746</v>
      </c>
      <c r="M306" s="2" t="s">
        <v>1620</v>
      </c>
      <c r="N306" s="2" t="s">
        <v>1620</v>
      </c>
      <c r="O306" s="2" t="s">
        <v>1620</v>
      </c>
    </row>
    <row r="307" spans="1:15" hidden="1">
      <c r="A307" s="2" t="s">
        <v>1976</v>
      </c>
      <c r="B307" s="2" t="s">
        <v>1609</v>
      </c>
      <c r="C307" s="2" t="s">
        <v>1634</v>
      </c>
      <c r="D307" s="2" t="s">
        <v>2051</v>
      </c>
      <c r="E307" s="2" t="s">
        <v>1635</v>
      </c>
      <c r="F307" s="2" t="s">
        <v>1620</v>
      </c>
      <c r="G307" s="2" t="s">
        <v>2176</v>
      </c>
      <c r="H307" s="2" t="s">
        <v>1747</v>
      </c>
      <c r="I307" s="2" t="s">
        <v>1616</v>
      </c>
      <c r="J307" s="2" t="s">
        <v>1620</v>
      </c>
      <c r="K307" s="36" t="s">
        <v>1746</v>
      </c>
      <c r="L307" s="2" t="s">
        <v>1746</v>
      </c>
      <c r="M307" s="2" t="s">
        <v>1620</v>
      </c>
      <c r="N307" s="2" t="s">
        <v>1620</v>
      </c>
      <c r="O307" s="2" t="s">
        <v>1620</v>
      </c>
    </row>
    <row r="308" spans="1:15" hidden="1">
      <c r="A308" s="2" t="s">
        <v>1976</v>
      </c>
      <c r="B308" s="2" t="s">
        <v>1609</v>
      </c>
      <c r="C308" s="2" t="s">
        <v>1634</v>
      </c>
      <c r="D308" s="2" t="s">
        <v>2055</v>
      </c>
      <c r="E308" s="2" t="s">
        <v>1635</v>
      </c>
      <c r="F308" s="2" t="s">
        <v>1620</v>
      </c>
      <c r="G308" s="2" t="s">
        <v>2074</v>
      </c>
      <c r="H308" s="2" t="s">
        <v>1747</v>
      </c>
      <c r="I308" s="2" t="s">
        <v>1616</v>
      </c>
      <c r="J308" s="2" t="s">
        <v>1620</v>
      </c>
      <c r="K308" s="36" t="s">
        <v>1746</v>
      </c>
      <c r="L308" s="2" t="s">
        <v>1746</v>
      </c>
      <c r="M308" s="2" t="s">
        <v>1620</v>
      </c>
      <c r="N308" s="2" t="s">
        <v>1620</v>
      </c>
      <c r="O308" s="2" t="s">
        <v>1620</v>
      </c>
    </row>
    <row r="309" spans="1:15" hidden="1">
      <c r="A309" s="2" t="s">
        <v>1976</v>
      </c>
      <c r="B309" s="2" t="s">
        <v>1609</v>
      </c>
      <c r="C309" s="2" t="s">
        <v>1634</v>
      </c>
      <c r="D309" s="2" t="s">
        <v>2311</v>
      </c>
      <c r="E309" s="2" t="s">
        <v>1635</v>
      </c>
      <c r="F309" s="2" t="s">
        <v>1620</v>
      </c>
      <c r="G309" s="2" t="s">
        <v>1620</v>
      </c>
      <c r="H309" s="2" t="s">
        <v>1620</v>
      </c>
      <c r="I309" s="2" t="s">
        <v>1616</v>
      </c>
      <c r="J309" s="2" t="s">
        <v>1620</v>
      </c>
      <c r="K309" s="36" t="s">
        <v>1746</v>
      </c>
      <c r="L309" s="2" t="s">
        <v>1746</v>
      </c>
      <c r="M309" s="2" t="s">
        <v>1620</v>
      </c>
      <c r="N309" s="2" t="s">
        <v>1620</v>
      </c>
      <c r="O309" s="2" t="s">
        <v>1620</v>
      </c>
    </row>
    <row r="310" spans="1:15" hidden="1">
      <c r="A310" s="2" t="s">
        <v>1976</v>
      </c>
      <c r="B310" s="2" t="s">
        <v>1609</v>
      </c>
      <c r="C310" s="2" t="s">
        <v>1634</v>
      </c>
      <c r="D310" s="2" t="s">
        <v>2263</v>
      </c>
      <c r="E310" s="2" t="s">
        <v>1635</v>
      </c>
      <c r="F310" s="2" t="s">
        <v>1620</v>
      </c>
      <c r="G310" s="2" t="s">
        <v>2273</v>
      </c>
      <c r="H310" s="2" t="s">
        <v>1747</v>
      </c>
      <c r="I310" s="2" t="s">
        <v>1616</v>
      </c>
      <c r="J310" s="2" t="s">
        <v>1620</v>
      </c>
      <c r="K310" s="36" t="s">
        <v>1746</v>
      </c>
      <c r="L310" s="2" t="s">
        <v>1746</v>
      </c>
      <c r="M310" s="2" t="s">
        <v>1620</v>
      </c>
      <c r="N310" s="2" t="s">
        <v>1620</v>
      </c>
      <c r="O310" s="2" t="s">
        <v>1620</v>
      </c>
    </row>
    <row r="311" spans="1:15" hidden="1">
      <c r="A311" s="2" t="s">
        <v>1976</v>
      </c>
      <c r="B311" s="2" t="s">
        <v>1609</v>
      </c>
      <c r="C311" s="2" t="s">
        <v>1634</v>
      </c>
      <c r="D311" s="2" t="s">
        <v>2293</v>
      </c>
      <c r="E311" s="2" t="s">
        <v>1714</v>
      </c>
      <c r="F311" s="2" t="s">
        <v>1620</v>
      </c>
      <c r="G311" s="2" t="s">
        <v>2345</v>
      </c>
      <c r="H311" s="2" t="s">
        <v>1747</v>
      </c>
      <c r="I311" s="2" t="s">
        <v>1616</v>
      </c>
      <c r="J311" s="2" t="s">
        <v>1620</v>
      </c>
      <c r="K311" s="36" t="s">
        <v>1746</v>
      </c>
      <c r="L311" s="2" t="s">
        <v>1746</v>
      </c>
      <c r="M311" s="2" t="s">
        <v>1620</v>
      </c>
      <c r="N311" s="2" t="s">
        <v>1620</v>
      </c>
      <c r="O311" s="2" t="s">
        <v>1620</v>
      </c>
    </row>
    <row r="312" spans="1:15" hidden="1">
      <c r="A312" s="2" t="s">
        <v>1976</v>
      </c>
      <c r="B312" s="2" t="s">
        <v>1609</v>
      </c>
      <c r="C312" s="2" t="s">
        <v>1634</v>
      </c>
      <c r="D312" s="2" t="s">
        <v>2084</v>
      </c>
      <c r="E312" s="2" t="s">
        <v>1714</v>
      </c>
      <c r="F312" s="2" t="s">
        <v>1620</v>
      </c>
      <c r="G312" s="2" t="s">
        <v>2345</v>
      </c>
      <c r="H312" s="2" t="s">
        <v>1747</v>
      </c>
      <c r="I312" s="2" t="s">
        <v>1616</v>
      </c>
      <c r="J312" s="2" t="s">
        <v>1620</v>
      </c>
      <c r="K312" s="36" t="s">
        <v>1746</v>
      </c>
      <c r="L312" s="2" t="s">
        <v>1746</v>
      </c>
      <c r="M312" s="2" t="s">
        <v>1620</v>
      </c>
      <c r="N312" s="2" t="s">
        <v>1620</v>
      </c>
      <c r="O312" s="2" t="s">
        <v>1620</v>
      </c>
    </row>
    <row r="313" spans="1:15" hidden="1">
      <c r="A313" s="2" t="s">
        <v>1976</v>
      </c>
      <c r="B313" s="2" t="s">
        <v>1609</v>
      </c>
      <c r="C313" s="2" t="s">
        <v>1634</v>
      </c>
      <c r="D313" s="2" t="s">
        <v>2011</v>
      </c>
      <c r="E313" s="2" t="s">
        <v>1714</v>
      </c>
      <c r="F313" s="2" t="s">
        <v>1620</v>
      </c>
      <c r="G313" s="2" t="s">
        <v>2273</v>
      </c>
      <c r="H313" s="2" t="s">
        <v>1747</v>
      </c>
      <c r="I313" s="2" t="s">
        <v>1616</v>
      </c>
      <c r="J313" s="2" t="s">
        <v>1620</v>
      </c>
      <c r="K313" s="36" t="s">
        <v>1746</v>
      </c>
      <c r="L313" s="2" t="s">
        <v>1746</v>
      </c>
      <c r="M313" s="2" t="s">
        <v>1620</v>
      </c>
      <c r="N313" s="2" t="s">
        <v>1620</v>
      </c>
      <c r="O313" s="2" t="s">
        <v>1620</v>
      </c>
    </row>
    <row r="314" spans="1:15" hidden="1">
      <c r="A314" s="2" t="s">
        <v>1976</v>
      </c>
      <c r="B314" s="2" t="s">
        <v>1609</v>
      </c>
      <c r="C314" s="2" t="s">
        <v>1634</v>
      </c>
      <c r="D314" s="2" t="s">
        <v>2135</v>
      </c>
      <c r="E314" s="2" t="s">
        <v>1714</v>
      </c>
      <c r="F314" s="2" t="s">
        <v>1620</v>
      </c>
      <c r="G314" s="2" t="s">
        <v>2345</v>
      </c>
      <c r="H314" s="2" t="s">
        <v>1747</v>
      </c>
      <c r="I314" s="2" t="s">
        <v>1616</v>
      </c>
      <c r="J314" s="2" t="s">
        <v>1620</v>
      </c>
      <c r="K314" s="36" t="s">
        <v>1746</v>
      </c>
      <c r="L314" s="2" t="s">
        <v>1746</v>
      </c>
      <c r="M314" s="2" t="s">
        <v>1620</v>
      </c>
      <c r="N314" s="2" t="s">
        <v>1620</v>
      </c>
      <c r="O314" s="2" t="s">
        <v>1620</v>
      </c>
    </row>
    <row r="315" spans="1:15" hidden="1">
      <c r="A315" s="2" t="s">
        <v>1976</v>
      </c>
      <c r="B315" s="2" t="s">
        <v>1609</v>
      </c>
      <c r="C315" s="2" t="s">
        <v>1634</v>
      </c>
      <c r="D315" s="2" t="s">
        <v>2194</v>
      </c>
      <c r="E315" s="2" t="s">
        <v>1714</v>
      </c>
      <c r="F315" s="2" t="s">
        <v>1620</v>
      </c>
      <c r="G315" s="2" t="s">
        <v>2345</v>
      </c>
      <c r="H315" s="2" t="s">
        <v>1747</v>
      </c>
      <c r="I315" s="2" t="s">
        <v>1616</v>
      </c>
      <c r="J315" s="2" t="s">
        <v>1620</v>
      </c>
      <c r="K315" s="36" t="s">
        <v>1746</v>
      </c>
      <c r="L315" s="2" t="s">
        <v>1746</v>
      </c>
      <c r="M315" s="2" t="s">
        <v>1620</v>
      </c>
      <c r="N315" s="2" t="s">
        <v>1620</v>
      </c>
      <c r="O315" s="2" t="s">
        <v>1620</v>
      </c>
    </row>
    <row r="316" spans="1:15" hidden="1">
      <c r="A316" s="2" t="s">
        <v>1976</v>
      </c>
      <c r="B316" s="2" t="s">
        <v>1609</v>
      </c>
      <c r="C316" s="2" t="s">
        <v>1634</v>
      </c>
      <c r="D316" s="2" t="s">
        <v>2055</v>
      </c>
      <c r="E316" s="2" t="s">
        <v>1714</v>
      </c>
      <c r="F316" s="2" t="s">
        <v>1620</v>
      </c>
      <c r="G316" s="2" t="s">
        <v>2345</v>
      </c>
      <c r="H316" s="2" t="s">
        <v>1747</v>
      </c>
      <c r="I316" s="2" t="s">
        <v>1616</v>
      </c>
      <c r="J316" s="2" t="s">
        <v>1620</v>
      </c>
      <c r="K316" s="36" t="s">
        <v>1746</v>
      </c>
      <c r="L316" s="2" t="s">
        <v>1746</v>
      </c>
      <c r="M316" s="2" t="s">
        <v>1620</v>
      </c>
      <c r="N316" s="2" t="s">
        <v>1620</v>
      </c>
      <c r="O316" s="2" t="s">
        <v>1620</v>
      </c>
    </row>
    <row r="317" spans="1:15" hidden="1">
      <c r="A317" s="2" t="s">
        <v>1976</v>
      </c>
      <c r="B317" s="2" t="s">
        <v>1609</v>
      </c>
      <c r="C317" s="2" t="s">
        <v>1634</v>
      </c>
      <c r="D317" s="2" t="s">
        <v>2091</v>
      </c>
      <c r="E317" s="2" t="s">
        <v>1783</v>
      </c>
      <c r="F317" s="2" t="s">
        <v>1620</v>
      </c>
      <c r="G317" s="2" t="s">
        <v>2273</v>
      </c>
      <c r="H317" s="2" t="s">
        <v>1747</v>
      </c>
      <c r="I317" s="2" t="s">
        <v>1616</v>
      </c>
      <c r="J317" s="2" t="s">
        <v>1620</v>
      </c>
      <c r="K317" s="36" t="s">
        <v>1746</v>
      </c>
      <c r="L317" s="2" t="s">
        <v>1746</v>
      </c>
      <c r="M317" s="2" t="s">
        <v>1620</v>
      </c>
      <c r="N317" s="2" t="s">
        <v>1620</v>
      </c>
      <c r="O317" s="2" t="s">
        <v>1620</v>
      </c>
    </row>
    <row r="318" spans="1:15" hidden="1">
      <c r="A318" s="2" t="s">
        <v>1976</v>
      </c>
      <c r="B318" s="2" t="s">
        <v>1609</v>
      </c>
      <c r="C318" s="2" t="s">
        <v>1634</v>
      </c>
      <c r="D318" s="2" t="s">
        <v>2337</v>
      </c>
      <c r="E318" s="2" t="s">
        <v>1783</v>
      </c>
      <c r="F318" s="2" t="s">
        <v>1620</v>
      </c>
      <c r="G318" s="2" t="s">
        <v>2345</v>
      </c>
      <c r="H318" s="2" t="s">
        <v>1747</v>
      </c>
      <c r="I318" s="2" t="s">
        <v>1616</v>
      </c>
      <c r="J318" s="2" t="s">
        <v>1620</v>
      </c>
      <c r="K318" s="36" t="s">
        <v>1746</v>
      </c>
      <c r="L318" s="2" t="s">
        <v>1746</v>
      </c>
      <c r="M318" s="2" t="s">
        <v>1620</v>
      </c>
      <c r="N318" s="2" t="s">
        <v>1620</v>
      </c>
      <c r="O318" s="2" t="s">
        <v>1620</v>
      </c>
    </row>
    <row r="319" spans="1:15" hidden="1">
      <c r="A319" s="2" t="s">
        <v>1976</v>
      </c>
      <c r="B319" s="2" t="s">
        <v>1609</v>
      </c>
      <c r="C319" s="2" t="s">
        <v>1634</v>
      </c>
      <c r="D319" s="2" t="s">
        <v>2042</v>
      </c>
      <c r="E319" s="2" t="s">
        <v>1783</v>
      </c>
      <c r="F319" s="2" t="s">
        <v>1620</v>
      </c>
      <c r="G319" s="2" t="s">
        <v>2276</v>
      </c>
      <c r="H319" s="2" t="s">
        <v>1747</v>
      </c>
      <c r="I319" s="2" t="s">
        <v>1616</v>
      </c>
      <c r="J319" s="2" t="s">
        <v>1620</v>
      </c>
      <c r="K319" s="36" t="s">
        <v>1746</v>
      </c>
      <c r="L319" s="2" t="s">
        <v>1746</v>
      </c>
      <c r="M319" s="2" t="s">
        <v>1620</v>
      </c>
      <c r="N319" s="2" t="s">
        <v>1620</v>
      </c>
      <c r="O319" s="2" t="s">
        <v>1620</v>
      </c>
    </row>
    <row r="320" spans="1:15" hidden="1">
      <c r="A320" s="2" t="s">
        <v>1976</v>
      </c>
      <c r="B320" s="2" t="s">
        <v>1609</v>
      </c>
      <c r="C320" s="2" t="s">
        <v>1634</v>
      </c>
      <c r="D320" s="2" t="s">
        <v>2389</v>
      </c>
      <c r="E320" s="2" t="s">
        <v>1783</v>
      </c>
      <c r="F320" s="2" t="s">
        <v>1620</v>
      </c>
      <c r="G320" s="2" t="s">
        <v>2074</v>
      </c>
      <c r="H320" s="2" t="s">
        <v>1747</v>
      </c>
      <c r="I320" s="2" t="s">
        <v>1616</v>
      </c>
      <c r="J320" s="2" t="s">
        <v>1620</v>
      </c>
      <c r="K320" s="36" t="s">
        <v>1746</v>
      </c>
      <c r="L320" s="2" t="s">
        <v>1746</v>
      </c>
      <c r="M320" s="2" t="s">
        <v>1620</v>
      </c>
      <c r="N320" s="2" t="s">
        <v>1620</v>
      </c>
      <c r="O320" s="2" t="s">
        <v>1620</v>
      </c>
    </row>
    <row r="321" spans="1:15" hidden="1">
      <c r="A321" s="2" t="s">
        <v>1976</v>
      </c>
      <c r="B321" s="2" t="s">
        <v>1609</v>
      </c>
      <c r="C321" s="2" t="s">
        <v>1634</v>
      </c>
      <c r="D321" s="2" t="s">
        <v>2194</v>
      </c>
      <c r="E321" s="2" t="s">
        <v>1783</v>
      </c>
      <c r="F321" s="2" t="s">
        <v>1620</v>
      </c>
      <c r="G321" s="2" t="s">
        <v>1972</v>
      </c>
      <c r="H321" s="2" t="s">
        <v>1747</v>
      </c>
      <c r="I321" s="2" t="s">
        <v>1616</v>
      </c>
      <c r="J321" s="2" t="s">
        <v>1620</v>
      </c>
      <c r="K321" s="36" t="s">
        <v>1746</v>
      </c>
      <c r="L321" s="2" t="s">
        <v>1746</v>
      </c>
      <c r="M321" s="2" t="s">
        <v>1620</v>
      </c>
      <c r="N321" s="2" t="s">
        <v>1620</v>
      </c>
      <c r="O321" s="2" t="s">
        <v>1620</v>
      </c>
    </row>
    <row r="322" spans="1:15" hidden="1">
      <c r="A322" s="2" t="s">
        <v>1976</v>
      </c>
      <c r="B322" s="2" t="s">
        <v>1609</v>
      </c>
      <c r="C322" s="2" t="s">
        <v>1634</v>
      </c>
      <c r="D322" s="2" t="s">
        <v>2353</v>
      </c>
      <c r="E322" s="2" t="s">
        <v>1783</v>
      </c>
      <c r="F322" s="2" t="s">
        <v>1620</v>
      </c>
      <c r="G322" s="2" t="s">
        <v>2345</v>
      </c>
      <c r="H322" s="2" t="s">
        <v>1747</v>
      </c>
      <c r="I322" s="2" t="s">
        <v>1616</v>
      </c>
      <c r="J322" s="2" t="s">
        <v>1620</v>
      </c>
      <c r="K322" s="36" t="s">
        <v>1746</v>
      </c>
      <c r="L322" s="2" t="s">
        <v>1746</v>
      </c>
      <c r="M322" s="2" t="s">
        <v>1620</v>
      </c>
      <c r="N322" s="2" t="s">
        <v>1620</v>
      </c>
      <c r="O322" s="2" t="s">
        <v>1620</v>
      </c>
    </row>
    <row r="323" spans="1:15" hidden="1">
      <c r="A323" s="2" t="s">
        <v>1976</v>
      </c>
      <c r="B323" s="2" t="s">
        <v>1609</v>
      </c>
      <c r="C323" s="2" t="s">
        <v>1634</v>
      </c>
      <c r="D323" s="2" t="s">
        <v>2256</v>
      </c>
      <c r="E323" s="2" t="s">
        <v>1783</v>
      </c>
      <c r="F323" s="2" t="s">
        <v>1620</v>
      </c>
      <c r="G323" s="2" t="s">
        <v>2345</v>
      </c>
      <c r="H323" s="2" t="s">
        <v>1747</v>
      </c>
      <c r="I323" s="2" t="s">
        <v>1616</v>
      </c>
      <c r="J323" s="2" t="s">
        <v>1620</v>
      </c>
      <c r="K323" s="36" t="s">
        <v>1746</v>
      </c>
      <c r="L323" s="2" t="s">
        <v>1746</v>
      </c>
      <c r="M323" s="2" t="s">
        <v>1620</v>
      </c>
      <c r="N323" s="2" t="s">
        <v>1620</v>
      </c>
      <c r="O323" s="2" t="s">
        <v>1620</v>
      </c>
    </row>
    <row r="324" spans="1:15" hidden="1">
      <c r="A324" s="2" t="s">
        <v>1976</v>
      </c>
      <c r="B324" s="2" t="s">
        <v>1609</v>
      </c>
      <c r="C324" s="2" t="s">
        <v>1634</v>
      </c>
      <c r="D324" s="2" t="s">
        <v>2051</v>
      </c>
      <c r="E324" s="2" t="s">
        <v>1783</v>
      </c>
      <c r="F324" s="2" t="s">
        <v>1620</v>
      </c>
      <c r="G324" s="2" t="s">
        <v>1946</v>
      </c>
      <c r="H324" s="2" t="s">
        <v>1747</v>
      </c>
      <c r="I324" s="2" t="s">
        <v>1616</v>
      </c>
      <c r="J324" s="2" t="s">
        <v>1620</v>
      </c>
      <c r="K324" s="36" t="s">
        <v>1746</v>
      </c>
      <c r="L324" s="2" t="s">
        <v>1746</v>
      </c>
      <c r="M324" s="2" t="s">
        <v>1620</v>
      </c>
      <c r="N324" s="2" t="s">
        <v>1620</v>
      </c>
      <c r="O324" s="2" t="s">
        <v>1620</v>
      </c>
    </row>
    <row r="325" spans="1:15" hidden="1">
      <c r="A325" s="2" t="s">
        <v>1976</v>
      </c>
      <c r="B325" s="2" t="s">
        <v>1609</v>
      </c>
      <c r="C325" s="2" t="s">
        <v>1634</v>
      </c>
      <c r="D325" s="2" t="s">
        <v>2287</v>
      </c>
      <c r="E325" s="2" t="s">
        <v>1783</v>
      </c>
      <c r="F325" s="2" t="s">
        <v>1620</v>
      </c>
      <c r="G325" s="2" t="s">
        <v>2229</v>
      </c>
      <c r="H325" s="2" t="s">
        <v>1747</v>
      </c>
      <c r="I325" s="2" t="s">
        <v>1616</v>
      </c>
      <c r="J325" s="2" t="s">
        <v>1620</v>
      </c>
      <c r="K325" s="36" t="s">
        <v>1746</v>
      </c>
      <c r="L325" s="2" t="s">
        <v>1746</v>
      </c>
      <c r="M325" s="2" t="s">
        <v>1620</v>
      </c>
      <c r="N325" s="2" t="s">
        <v>1620</v>
      </c>
      <c r="O325" s="2" t="s">
        <v>1620</v>
      </c>
    </row>
    <row r="326" spans="1:15" hidden="1">
      <c r="A326" s="2" t="s">
        <v>1976</v>
      </c>
      <c r="B326" s="2" t="s">
        <v>1609</v>
      </c>
      <c r="C326" s="2" t="s">
        <v>1634</v>
      </c>
      <c r="D326" s="2" t="s">
        <v>2355</v>
      </c>
      <c r="E326" s="2" t="s">
        <v>1783</v>
      </c>
      <c r="F326" s="2" t="s">
        <v>1620</v>
      </c>
      <c r="G326" s="2" t="s">
        <v>2273</v>
      </c>
      <c r="H326" s="2" t="s">
        <v>1747</v>
      </c>
      <c r="I326" s="2" t="s">
        <v>1616</v>
      </c>
      <c r="J326" s="2" t="s">
        <v>1620</v>
      </c>
      <c r="K326" s="36" t="s">
        <v>1746</v>
      </c>
      <c r="L326" s="2" t="s">
        <v>1746</v>
      </c>
      <c r="M326" s="2" t="s">
        <v>1620</v>
      </c>
      <c r="N326" s="2" t="s">
        <v>1620</v>
      </c>
      <c r="O326" s="2" t="s">
        <v>1620</v>
      </c>
    </row>
    <row r="327" spans="1:15" hidden="1">
      <c r="A327" s="2" t="s">
        <v>1976</v>
      </c>
      <c r="B327" s="2" t="s">
        <v>1609</v>
      </c>
      <c r="C327" s="2" t="s">
        <v>1634</v>
      </c>
      <c r="D327" s="2" t="s">
        <v>2311</v>
      </c>
      <c r="E327" s="2" t="s">
        <v>1783</v>
      </c>
      <c r="F327" s="2" t="s">
        <v>1620</v>
      </c>
      <c r="G327" s="2" t="s">
        <v>2345</v>
      </c>
      <c r="H327" s="2" t="s">
        <v>1747</v>
      </c>
      <c r="I327" s="2" t="s">
        <v>1616</v>
      </c>
      <c r="J327" s="2" t="s">
        <v>1620</v>
      </c>
      <c r="K327" s="36" t="s">
        <v>1746</v>
      </c>
      <c r="L327" s="2" t="s">
        <v>1746</v>
      </c>
      <c r="M327" s="2" t="s">
        <v>1620</v>
      </c>
      <c r="N327" s="2" t="s">
        <v>1620</v>
      </c>
      <c r="O327" s="2" t="s">
        <v>1620</v>
      </c>
    </row>
    <row r="328" spans="1:15" hidden="1">
      <c r="A328" s="2" t="s">
        <v>1976</v>
      </c>
      <c r="B328" s="2" t="s">
        <v>1609</v>
      </c>
      <c r="C328" s="2" t="s">
        <v>1634</v>
      </c>
      <c r="D328" s="2" t="s">
        <v>1977</v>
      </c>
      <c r="E328" s="2" t="s">
        <v>1783</v>
      </c>
      <c r="F328" s="2" t="s">
        <v>1620</v>
      </c>
      <c r="G328" s="2" t="s">
        <v>2074</v>
      </c>
      <c r="H328" s="2" t="s">
        <v>1747</v>
      </c>
      <c r="I328" s="2" t="s">
        <v>1616</v>
      </c>
      <c r="J328" s="2" t="s">
        <v>1620</v>
      </c>
      <c r="K328" s="36" t="s">
        <v>1746</v>
      </c>
      <c r="L328" s="2" t="s">
        <v>1746</v>
      </c>
      <c r="M328" s="2" t="s">
        <v>1620</v>
      </c>
      <c r="N328" s="2" t="s">
        <v>1620</v>
      </c>
      <c r="O328" s="2" t="s">
        <v>1620</v>
      </c>
    </row>
    <row r="329" spans="1:15" hidden="1">
      <c r="A329" s="2" t="s">
        <v>1976</v>
      </c>
      <c r="B329" s="2" t="s">
        <v>1609</v>
      </c>
      <c r="C329" s="2" t="s">
        <v>1634</v>
      </c>
      <c r="D329" s="2" t="s">
        <v>2333</v>
      </c>
      <c r="E329" s="2" t="s">
        <v>1783</v>
      </c>
      <c r="F329" s="2" t="s">
        <v>1620</v>
      </c>
      <c r="G329" s="2" t="s">
        <v>2345</v>
      </c>
      <c r="H329" s="2" t="s">
        <v>1747</v>
      </c>
      <c r="I329" s="2" t="s">
        <v>1616</v>
      </c>
      <c r="J329" s="2" t="s">
        <v>1620</v>
      </c>
      <c r="K329" s="36" t="s">
        <v>1746</v>
      </c>
      <c r="L329" s="2" t="s">
        <v>1746</v>
      </c>
      <c r="M329" s="2" t="s">
        <v>1620</v>
      </c>
      <c r="N329" s="2" t="s">
        <v>1620</v>
      </c>
      <c r="O329" s="2" t="s">
        <v>1620</v>
      </c>
    </row>
    <row r="330" spans="1:15" hidden="1">
      <c r="A330" s="2" t="s">
        <v>1976</v>
      </c>
      <c r="B330" s="2" t="s">
        <v>1609</v>
      </c>
      <c r="C330" s="2" t="s">
        <v>1634</v>
      </c>
      <c r="D330" s="2" t="s">
        <v>2334</v>
      </c>
      <c r="E330" s="2" t="s">
        <v>1783</v>
      </c>
      <c r="F330" s="2" t="s">
        <v>1620</v>
      </c>
      <c r="G330" s="2" t="s">
        <v>2345</v>
      </c>
      <c r="H330" s="2" t="s">
        <v>1747</v>
      </c>
      <c r="I330" s="2" t="s">
        <v>1616</v>
      </c>
      <c r="J330" s="2" t="s">
        <v>1620</v>
      </c>
      <c r="K330" s="36" t="s">
        <v>1746</v>
      </c>
      <c r="L330" s="2" t="s">
        <v>1746</v>
      </c>
      <c r="M330" s="2" t="s">
        <v>1620</v>
      </c>
      <c r="N330" s="2" t="s">
        <v>1620</v>
      </c>
      <c r="O330" s="2" t="s">
        <v>1620</v>
      </c>
    </row>
    <row r="331" spans="1:15" hidden="1">
      <c r="A331" s="2" t="s">
        <v>1976</v>
      </c>
      <c r="B331" s="2" t="s">
        <v>1609</v>
      </c>
      <c r="C331" s="2" t="s">
        <v>1634</v>
      </c>
      <c r="D331" s="2" t="s">
        <v>2091</v>
      </c>
      <c r="E331" s="2" t="s">
        <v>1837</v>
      </c>
      <c r="F331" s="2" t="s">
        <v>1620</v>
      </c>
      <c r="G331" s="2" t="s">
        <v>2345</v>
      </c>
      <c r="H331" s="2" t="s">
        <v>1747</v>
      </c>
      <c r="I331" s="2" t="s">
        <v>1616</v>
      </c>
      <c r="J331" s="2" t="s">
        <v>1620</v>
      </c>
      <c r="K331" s="36" t="s">
        <v>1746</v>
      </c>
      <c r="L331" s="2" t="s">
        <v>1746</v>
      </c>
      <c r="M331" s="2" t="s">
        <v>1620</v>
      </c>
      <c r="N331" s="2" t="s">
        <v>1620</v>
      </c>
      <c r="O331" s="2" t="s">
        <v>1620</v>
      </c>
    </row>
    <row r="332" spans="1:15" hidden="1">
      <c r="A332" s="2" t="s">
        <v>1976</v>
      </c>
      <c r="B332" s="2" t="s">
        <v>1609</v>
      </c>
      <c r="C332" s="2" t="s">
        <v>1634</v>
      </c>
      <c r="D332" s="2" t="s">
        <v>2042</v>
      </c>
      <c r="E332" s="2" t="s">
        <v>1837</v>
      </c>
      <c r="F332" s="2" t="s">
        <v>1620</v>
      </c>
      <c r="G332" s="2" t="s">
        <v>2345</v>
      </c>
      <c r="H332" s="2" t="s">
        <v>1747</v>
      </c>
      <c r="I332" s="2" t="s">
        <v>1616</v>
      </c>
      <c r="J332" s="2" t="s">
        <v>1620</v>
      </c>
      <c r="K332" s="36" t="s">
        <v>1746</v>
      </c>
      <c r="L332" s="2" t="s">
        <v>1746</v>
      </c>
      <c r="M332" s="2" t="s">
        <v>1620</v>
      </c>
      <c r="N332" s="2" t="s">
        <v>1620</v>
      </c>
      <c r="O332" s="2" t="s">
        <v>1620</v>
      </c>
    </row>
    <row r="333" spans="1:15" hidden="1">
      <c r="A333" s="2" t="s">
        <v>1976</v>
      </c>
      <c r="B333" s="2" t="s">
        <v>1609</v>
      </c>
      <c r="C333" s="2" t="s">
        <v>1634</v>
      </c>
      <c r="D333" s="2" t="s">
        <v>2084</v>
      </c>
      <c r="E333" s="2" t="s">
        <v>1837</v>
      </c>
      <c r="F333" s="2" t="s">
        <v>1620</v>
      </c>
      <c r="G333" s="2" t="s">
        <v>1996</v>
      </c>
      <c r="H333" s="2" t="s">
        <v>1747</v>
      </c>
      <c r="I333" s="2" t="s">
        <v>1616</v>
      </c>
      <c r="J333" s="2" t="s">
        <v>1620</v>
      </c>
      <c r="K333" s="36" t="s">
        <v>1746</v>
      </c>
      <c r="L333" s="2" t="s">
        <v>1746</v>
      </c>
      <c r="M333" s="2" t="s">
        <v>1620</v>
      </c>
      <c r="N333" s="2" t="s">
        <v>1620</v>
      </c>
      <c r="O333" s="2" t="s">
        <v>1620</v>
      </c>
    </row>
    <row r="334" spans="1:15" hidden="1">
      <c r="A334" s="2" t="s">
        <v>1976</v>
      </c>
      <c r="B334" s="2" t="s">
        <v>1609</v>
      </c>
      <c r="C334" s="2" t="s">
        <v>1634</v>
      </c>
      <c r="D334" s="2" t="s">
        <v>2241</v>
      </c>
      <c r="E334" s="2" t="s">
        <v>1837</v>
      </c>
      <c r="F334" s="2" t="s">
        <v>1620</v>
      </c>
      <c r="G334" s="2" t="s">
        <v>2273</v>
      </c>
      <c r="H334" s="2" t="s">
        <v>1747</v>
      </c>
      <c r="I334" s="2" t="s">
        <v>1616</v>
      </c>
      <c r="J334" s="2" t="s">
        <v>1620</v>
      </c>
      <c r="K334" s="36" t="s">
        <v>1746</v>
      </c>
      <c r="L334" s="2" t="s">
        <v>1746</v>
      </c>
      <c r="M334" s="2" t="s">
        <v>1620</v>
      </c>
      <c r="N334" s="2" t="s">
        <v>1620</v>
      </c>
      <c r="O334" s="2" t="s">
        <v>1620</v>
      </c>
    </row>
    <row r="335" spans="1:15" hidden="1">
      <c r="A335" s="2" t="s">
        <v>1976</v>
      </c>
      <c r="B335" s="2" t="s">
        <v>1609</v>
      </c>
      <c r="C335" s="2" t="s">
        <v>1634</v>
      </c>
      <c r="D335" s="2" t="s">
        <v>2011</v>
      </c>
      <c r="E335" s="2" t="s">
        <v>1837</v>
      </c>
      <c r="F335" s="2" t="s">
        <v>1620</v>
      </c>
      <c r="G335" s="2" t="s">
        <v>1957</v>
      </c>
      <c r="H335" s="2" t="s">
        <v>1747</v>
      </c>
      <c r="I335" s="2" t="s">
        <v>1616</v>
      </c>
      <c r="J335" s="2" t="s">
        <v>1620</v>
      </c>
      <c r="K335" s="36" t="s">
        <v>1746</v>
      </c>
      <c r="L335" s="2" t="s">
        <v>1746</v>
      </c>
      <c r="M335" s="2" t="s">
        <v>1620</v>
      </c>
      <c r="N335" s="2" t="s">
        <v>1620</v>
      </c>
      <c r="O335" s="2" t="s">
        <v>1620</v>
      </c>
    </row>
    <row r="336" spans="1:15" hidden="1">
      <c r="A336" s="2" t="s">
        <v>1976</v>
      </c>
      <c r="B336" s="2" t="s">
        <v>1609</v>
      </c>
      <c r="C336" s="2" t="s">
        <v>1634</v>
      </c>
      <c r="D336" s="2" t="s">
        <v>2194</v>
      </c>
      <c r="E336" s="2" t="s">
        <v>1837</v>
      </c>
      <c r="F336" s="2" t="s">
        <v>1620</v>
      </c>
      <c r="G336" s="2" t="s">
        <v>2345</v>
      </c>
      <c r="H336" s="2" t="s">
        <v>1747</v>
      </c>
      <c r="I336" s="2" t="s">
        <v>1616</v>
      </c>
      <c r="J336" s="2" t="s">
        <v>1620</v>
      </c>
      <c r="K336" s="36" t="s">
        <v>1746</v>
      </c>
      <c r="L336" s="2" t="s">
        <v>1746</v>
      </c>
      <c r="M336" s="2" t="s">
        <v>1620</v>
      </c>
      <c r="N336" s="2" t="s">
        <v>1620</v>
      </c>
      <c r="O336" s="2" t="s">
        <v>1620</v>
      </c>
    </row>
    <row r="337" spans="1:15" hidden="1">
      <c r="A337" s="2" t="s">
        <v>1976</v>
      </c>
      <c r="B337" s="2" t="s">
        <v>1609</v>
      </c>
      <c r="C337" s="2" t="s">
        <v>1634</v>
      </c>
      <c r="D337" s="2" t="s">
        <v>2101</v>
      </c>
      <c r="E337" s="2" t="s">
        <v>1837</v>
      </c>
      <c r="F337" s="2" t="s">
        <v>1620</v>
      </c>
      <c r="G337" s="2" t="s">
        <v>2273</v>
      </c>
      <c r="H337" s="2" t="s">
        <v>1747</v>
      </c>
      <c r="I337" s="2" t="s">
        <v>1616</v>
      </c>
      <c r="J337" s="2" t="s">
        <v>1620</v>
      </c>
      <c r="K337" s="36" t="s">
        <v>1746</v>
      </c>
      <c r="L337" s="2" t="s">
        <v>1746</v>
      </c>
      <c r="M337" s="2" t="s">
        <v>1620</v>
      </c>
      <c r="N337" s="2" t="s">
        <v>1620</v>
      </c>
      <c r="O337" s="2" t="s">
        <v>1620</v>
      </c>
    </row>
    <row r="338" spans="1:15" hidden="1">
      <c r="A338" s="2" t="s">
        <v>1976</v>
      </c>
      <c r="B338" s="2" t="s">
        <v>1609</v>
      </c>
      <c r="C338" s="2" t="s">
        <v>1634</v>
      </c>
      <c r="D338" s="2" t="s">
        <v>2051</v>
      </c>
      <c r="E338" s="2" t="s">
        <v>1837</v>
      </c>
      <c r="F338" s="2" t="s">
        <v>1620</v>
      </c>
      <c r="G338" s="2" t="s">
        <v>2176</v>
      </c>
      <c r="H338" s="2" t="s">
        <v>1747</v>
      </c>
      <c r="I338" s="2" t="s">
        <v>1616</v>
      </c>
      <c r="J338" s="2" t="s">
        <v>1620</v>
      </c>
      <c r="K338" s="36" t="s">
        <v>1746</v>
      </c>
      <c r="L338" s="2" t="s">
        <v>1746</v>
      </c>
      <c r="M338" s="2" t="s">
        <v>1620</v>
      </c>
      <c r="N338" s="2" t="s">
        <v>1620</v>
      </c>
      <c r="O338" s="2" t="s">
        <v>1620</v>
      </c>
    </row>
    <row r="339" spans="1:15" hidden="1">
      <c r="A339" s="2" t="s">
        <v>1976</v>
      </c>
      <c r="B339" s="2" t="s">
        <v>1609</v>
      </c>
      <c r="C339" s="2" t="s">
        <v>1634</v>
      </c>
      <c r="D339" s="2" t="s">
        <v>2055</v>
      </c>
      <c r="E339" s="2" t="s">
        <v>1837</v>
      </c>
      <c r="F339" s="2" t="s">
        <v>1620</v>
      </c>
      <c r="G339" s="2" t="s">
        <v>2120</v>
      </c>
      <c r="H339" s="2" t="s">
        <v>1747</v>
      </c>
      <c r="I339" s="2" t="s">
        <v>1616</v>
      </c>
      <c r="J339" s="2" t="s">
        <v>1620</v>
      </c>
      <c r="K339" s="36" t="s">
        <v>1746</v>
      </c>
      <c r="L339" s="2" t="s">
        <v>1746</v>
      </c>
      <c r="M339" s="2" t="s">
        <v>1620</v>
      </c>
      <c r="N339" s="2" t="s">
        <v>1620</v>
      </c>
      <c r="O339" s="2" t="s">
        <v>1620</v>
      </c>
    </row>
    <row r="340" spans="1:15" hidden="1">
      <c r="A340" s="2" t="s">
        <v>1976</v>
      </c>
      <c r="B340" s="2" t="s">
        <v>1609</v>
      </c>
      <c r="C340" s="2" t="s">
        <v>1634</v>
      </c>
      <c r="D340" s="2" t="s">
        <v>2309</v>
      </c>
      <c r="E340" s="2" t="s">
        <v>1837</v>
      </c>
      <c r="F340" s="2" t="s">
        <v>1620</v>
      </c>
      <c r="G340" s="2" t="s">
        <v>2345</v>
      </c>
      <c r="H340" s="2" t="s">
        <v>1747</v>
      </c>
      <c r="I340" s="2" t="s">
        <v>1616</v>
      </c>
      <c r="J340" s="2" t="s">
        <v>1620</v>
      </c>
      <c r="K340" s="36" t="s">
        <v>1746</v>
      </c>
      <c r="L340" s="2" t="s">
        <v>1746</v>
      </c>
      <c r="M340" s="2" t="s">
        <v>1620</v>
      </c>
      <c r="N340" s="2" t="s">
        <v>1620</v>
      </c>
      <c r="O340" s="2" t="s">
        <v>1620</v>
      </c>
    </row>
    <row r="341" spans="1:15" hidden="1">
      <c r="A341" s="2" t="s">
        <v>1976</v>
      </c>
      <c r="B341" s="2" t="s">
        <v>1609</v>
      </c>
      <c r="C341" s="2" t="s">
        <v>1634</v>
      </c>
      <c r="D341" s="2" t="s">
        <v>1977</v>
      </c>
      <c r="E341" s="2" t="s">
        <v>1837</v>
      </c>
      <c r="F341" s="2" t="s">
        <v>1620</v>
      </c>
      <c r="G341" s="2" t="s">
        <v>2074</v>
      </c>
      <c r="H341" s="2" t="s">
        <v>1747</v>
      </c>
      <c r="I341" s="2" t="s">
        <v>1616</v>
      </c>
      <c r="J341" s="2" t="s">
        <v>1620</v>
      </c>
      <c r="K341" s="36" t="s">
        <v>1746</v>
      </c>
      <c r="L341" s="2" t="s">
        <v>1746</v>
      </c>
      <c r="M341" s="2" t="s">
        <v>1620</v>
      </c>
      <c r="N341" s="2" t="s">
        <v>1620</v>
      </c>
      <c r="O341" s="2" t="s">
        <v>1620</v>
      </c>
    </row>
    <row r="342" spans="1:15" hidden="1">
      <c r="A342" s="2" t="s">
        <v>1976</v>
      </c>
      <c r="B342" s="2" t="s">
        <v>1609</v>
      </c>
      <c r="C342" s="2" t="s">
        <v>1634</v>
      </c>
      <c r="D342" s="2" t="s">
        <v>2263</v>
      </c>
      <c r="E342" s="2" t="s">
        <v>1837</v>
      </c>
      <c r="F342" s="2" t="s">
        <v>1620</v>
      </c>
      <c r="G342" s="2" t="s">
        <v>1620</v>
      </c>
      <c r="H342" s="2" t="s">
        <v>1620</v>
      </c>
      <c r="I342" s="2" t="s">
        <v>1616</v>
      </c>
      <c r="J342" s="2" t="s">
        <v>1620</v>
      </c>
      <c r="K342" s="36" t="s">
        <v>1746</v>
      </c>
      <c r="L342" s="2" t="s">
        <v>1746</v>
      </c>
      <c r="M342" s="2" t="s">
        <v>1620</v>
      </c>
      <c r="N342" s="2" t="s">
        <v>1620</v>
      </c>
      <c r="O342" s="2" t="s">
        <v>1620</v>
      </c>
    </row>
    <row r="343" spans="1:15" hidden="1">
      <c r="A343" s="2" t="s">
        <v>1976</v>
      </c>
      <c r="B343" s="2" t="s">
        <v>1609</v>
      </c>
      <c r="C343" s="2" t="s">
        <v>1634</v>
      </c>
      <c r="D343" s="2" t="s">
        <v>2026</v>
      </c>
      <c r="E343" s="2" t="s">
        <v>1837</v>
      </c>
      <c r="F343" s="2" t="s">
        <v>1620</v>
      </c>
      <c r="G343" s="2" t="s">
        <v>2345</v>
      </c>
      <c r="H343" s="2" t="s">
        <v>1747</v>
      </c>
      <c r="I343" s="2" t="s">
        <v>1616</v>
      </c>
      <c r="J343" s="2" t="s">
        <v>1620</v>
      </c>
      <c r="K343" s="36" t="s">
        <v>1746</v>
      </c>
      <c r="L343" s="2" t="s">
        <v>1746</v>
      </c>
      <c r="M343" s="2" t="s">
        <v>1620</v>
      </c>
      <c r="N343" s="2" t="s">
        <v>1620</v>
      </c>
      <c r="O343" s="2" t="s">
        <v>1620</v>
      </c>
    </row>
    <row r="344" spans="1:15">
      <c r="A344" s="2" t="s">
        <v>1748</v>
      </c>
      <c r="B344" s="2" t="s">
        <v>1609</v>
      </c>
      <c r="C344" s="2" t="s">
        <v>1634</v>
      </c>
      <c r="D344" s="2" t="s">
        <v>2405</v>
      </c>
      <c r="E344" s="2" t="s">
        <v>1646</v>
      </c>
      <c r="F344" s="2" t="s">
        <v>1620</v>
      </c>
      <c r="G344" s="2" t="s">
        <v>2273</v>
      </c>
      <c r="H344" s="2" t="s">
        <v>1747</v>
      </c>
      <c r="I344" s="2" t="s">
        <v>1616</v>
      </c>
      <c r="J344" s="2" t="s">
        <v>1620</v>
      </c>
      <c r="K344" s="2" t="s">
        <v>1746</v>
      </c>
      <c r="L344" s="2" t="s">
        <v>1746</v>
      </c>
      <c r="M344" s="2" t="s">
        <v>1620</v>
      </c>
      <c r="N344" s="2" t="s">
        <v>1620</v>
      </c>
      <c r="O344" s="2" t="s">
        <v>1620</v>
      </c>
    </row>
    <row r="345" spans="1:15">
      <c r="A345" s="2" t="s">
        <v>1748</v>
      </c>
      <c r="B345" s="2" t="s">
        <v>1609</v>
      </c>
      <c r="C345" s="2" t="s">
        <v>1634</v>
      </c>
      <c r="D345" s="2" t="s">
        <v>2406</v>
      </c>
      <c r="E345" s="2" t="s">
        <v>1646</v>
      </c>
      <c r="F345" s="2" t="s">
        <v>1620</v>
      </c>
      <c r="G345" s="2" t="s">
        <v>2273</v>
      </c>
      <c r="H345" s="2" t="s">
        <v>1747</v>
      </c>
      <c r="I345" s="2" t="s">
        <v>1616</v>
      </c>
      <c r="J345" s="2" t="s">
        <v>1620</v>
      </c>
      <c r="K345" s="2" t="s">
        <v>1746</v>
      </c>
      <c r="L345" s="2" t="s">
        <v>1746</v>
      </c>
      <c r="M345" s="2" t="s">
        <v>1620</v>
      </c>
      <c r="N345" s="2" t="s">
        <v>1620</v>
      </c>
      <c r="O345" s="2" t="s">
        <v>1620</v>
      </c>
    </row>
    <row r="346" spans="1:15">
      <c r="A346" s="2" t="s">
        <v>1748</v>
      </c>
      <c r="B346" s="2" t="s">
        <v>1609</v>
      </c>
      <c r="C346" s="2" t="s">
        <v>1634</v>
      </c>
      <c r="D346" s="2" t="s">
        <v>2407</v>
      </c>
      <c r="E346" s="2" t="s">
        <v>1646</v>
      </c>
      <c r="F346" s="2" t="s">
        <v>1620</v>
      </c>
      <c r="G346" s="2" t="s">
        <v>2176</v>
      </c>
      <c r="H346" s="2" t="s">
        <v>1747</v>
      </c>
      <c r="I346" s="2" t="s">
        <v>1616</v>
      </c>
      <c r="J346" s="2" t="s">
        <v>1620</v>
      </c>
      <c r="K346" s="2" t="s">
        <v>1746</v>
      </c>
      <c r="L346" s="2" t="s">
        <v>1746</v>
      </c>
      <c r="M346" s="2" t="s">
        <v>1620</v>
      </c>
      <c r="N346" s="2" t="s">
        <v>1620</v>
      </c>
      <c r="O346" s="2" t="s">
        <v>1620</v>
      </c>
    </row>
    <row r="347" spans="1:15">
      <c r="A347" s="2" t="s">
        <v>1748</v>
      </c>
      <c r="B347" s="2" t="s">
        <v>1609</v>
      </c>
      <c r="C347" s="2" t="s">
        <v>1634</v>
      </c>
      <c r="D347" s="2" t="s">
        <v>2408</v>
      </c>
      <c r="E347" s="2" t="s">
        <v>1646</v>
      </c>
      <c r="F347" s="2" t="s">
        <v>1620</v>
      </c>
      <c r="G347" s="2" t="s">
        <v>2345</v>
      </c>
      <c r="H347" s="2" t="s">
        <v>1747</v>
      </c>
      <c r="I347" s="2" t="s">
        <v>1616</v>
      </c>
      <c r="J347" s="2" t="s">
        <v>1620</v>
      </c>
      <c r="K347" s="2" t="s">
        <v>1746</v>
      </c>
      <c r="L347" s="2" t="s">
        <v>1746</v>
      </c>
      <c r="M347" s="2" t="s">
        <v>1620</v>
      </c>
      <c r="N347" s="2" t="s">
        <v>1620</v>
      </c>
      <c r="O347" s="2" t="s">
        <v>1620</v>
      </c>
    </row>
    <row r="348" spans="1:15">
      <c r="A348" s="2" t="s">
        <v>1748</v>
      </c>
      <c r="B348" s="2" t="s">
        <v>1609</v>
      </c>
      <c r="C348" s="2" t="s">
        <v>1634</v>
      </c>
      <c r="D348" s="2" t="s">
        <v>2409</v>
      </c>
      <c r="E348" s="2" t="s">
        <v>1646</v>
      </c>
      <c r="F348" s="2" t="s">
        <v>1620</v>
      </c>
      <c r="G348" s="2" t="s">
        <v>1620</v>
      </c>
      <c r="H348" s="2" t="s">
        <v>1620</v>
      </c>
      <c r="I348" s="2" t="s">
        <v>1616</v>
      </c>
      <c r="J348" s="2" t="s">
        <v>1620</v>
      </c>
      <c r="K348" s="2" t="s">
        <v>1746</v>
      </c>
      <c r="L348" s="2" t="s">
        <v>1746</v>
      </c>
      <c r="M348" s="2" t="s">
        <v>1620</v>
      </c>
      <c r="N348" s="2" t="s">
        <v>1620</v>
      </c>
      <c r="O348" s="2" t="s">
        <v>1620</v>
      </c>
    </row>
    <row r="349" spans="1:15">
      <c r="A349" s="2" t="s">
        <v>1748</v>
      </c>
      <c r="B349" s="2" t="s">
        <v>1609</v>
      </c>
      <c r="C349" s="2" t="s">
        <v>1634</v>
      </c>
      <c r="D349" s="2" t="s">
        <v>2410</v>
      </c>
      <c r="E349" s="2" t="s">
        <v>1646</v>
      </c>
      <c r="F349" s="2" t="s">
        <v>1620</v>
      </c>
      <c r="G349" s="2" t="s">
        <v>1620</v>
      </c>
      <c r="H349" s="2" t="s">
        <v>1620</v>
      </c>
      <c r="I349" s="2" t="s">
        <v>1616</v>
      </c>
      <c r="J349" s="2" t="s">
        <v>1620</v>
      </c>
      <c r="K349" s="2" t="s">
        <v>1746</v>
      </c>
      <c r="L349" s="2" t="s">
        <v>1746</v>
      </c>
      <c r="M349" s="2" t="s">
        <v>1620</v>
      </c>
      <c r="N349" s="2" t="s">
        <v>1620</v>
      </c>
      <c r="O349" s="2" t="s">
        <v>1620</v>
      </c>
    </row>
    <row r="350" spans="1:15">
      <c r="A350" s="2" t="s">
        <v>1748</v>
      </c>
      <c r="B350" s="2" t="s">
        <v>1609</v>
      </c>
      <c r="C350" s="2" t="s">
        <v>1634</v>
      </c>
      <c r="D350" s="2" t="s">
        <v>2293</v>
      </c>
      <c r="E350" s="2" t="s">
        <v>1646</v>
      </c>
      <c r="F350" s="2" t="s">
        <v>1620</v>
      </c>
      <c r="G350" s="2" t="s">
        <v>1733</v>
      </c>
      <c r="H350" s="2" t="s">
        <v>1747</v>
      </c>
      <c r="I350" s="2" t="s">
        <v>1616</v>
      </c>
      <c r="J350" s="2" t="s">
        <v>1620</v>
      </c>
      <c r="K350" s="2" t="s">
        <v>1746</v>
      </c>
      <c r="L350" s="2" t="s">
        <v>1746</v>
      </c>
      <c r="M350" s="2" t="s">
        <v>1620</v>
      </c>
      <c r="N350" s="2" t="s">
        <v>1620</v>
      </c>
      <c r="O350" s="2" t="s">
        <v>1620</v>
      </c>
    </row>
    <row r="351" spans="1:15">
      <c r="A351" s="2" t="s">
        <v>1748</v>
      </c>
      <c r="B351" s="2" t="s">
        <v>1609</v>
      </c>
      <c r="C351" s="2" t="s">
        <v>1634</v>
      </c>
      <c r="D351" s="2" t="s">
        <v>2337</v>
      </c>
      <c r="E351" s="2" t="s">
        <v>1646</v>
      </c>
      <c r="F351" s="2" t="s">
        <v>1620</v>
      </c>
      <c r="G351" s="2" t="s">
        <v>2030</v>
      </c>
      <c r="H351" s="2" t="s">
        <v>1747</v>
      </c>
      <c r="I351" s="2" t="s">
        <v>1616</v>
      </c>
      <c r="J351" s="2" t="s">
        <v>1620</v>
      </c>
      <c r="K351" s="2" t="s">
        <v>1746</v>
      </c>
      <c r="L351" s="2" t="s">
        <v>1746</v>
      </c>
      <c r="M351" s="2" t="s">
        <v>1620</v>
      </c>
      <c r="N351" s="2" t="s">
        <v>1620</v>
      </c>
      <c r="O351" s="2" t="s">
        <v>1620</v>
      </c>
    </row>
    <row r="352" spans="1:15">
      <c r="A352" s="2" t="s">
        <v>1748</v>
      </c>
      <c r="B352" s="2" t="s">
        <v>1609</v>
      </c>
      <c r="C352" s="2" t="s">
        <v>1634</v>
      </c>
      <c r="D352" s="2" t="s">
        <v>2411</v>
      </c>
      <c r="E352" s="2" t="s">
        <v>1646</v>
      </c>
      <c r="F352" s="2" t="s">
        <v>1620</v>
      </c>
      <c r="G352" s="2" t="s">
        <v>2345</v>
      </c>
      <c r="H352" s="2" t="s">
        <v>1747</v>
      </c>
      <c r="I352" s="2" t="s">
        <v>1616</v>
      </c>
      <c r="J352" s="2" t="s">
        <v>1620</v>
      </c>
      <c r="K352" s="2" t="s">
        <v>1746</v>
      </c>
      <c r="L352" s="2" t="s">
        <v>1746</v>
      </c>
      <c r="M352" s="2" t="s">
        <v>1620</v>
      </c>
      <c r="N352" s="2" t="s">
        <v>1620</v>
      </c>
      <c r="O352" s="2" t="s">
        <v>1620</v>
      </c>
    </row>
    <row r="353" spans="1:15">
      <c r="A353" s="2" t="s">
        <v>1748</v>
      </c>
      <c r="B353" s="2" t="s">
        <v>1609</v>
      </c>
      <c r="C353" s="2" t="s">
        <v>1634</v>
      </c>
      <c r="D353" s="2" t="s">
        <v>2412</v>
      </c>
      <c r="E353" s="2" t="s">
        <v>1646</v>
      </c>
      <c r="F353" s="2" t="s">
        <v>1620</v>
      </c>
      <c r="G353" s="2" t="s">
        <v>1957</v>
      </c>
      <c r="H353" s="2" t="s">
        <v>1747</v>
      </c>
      <c r="I353" s="2" t="s">
        <v>1616</v>
      </c>
      <c r="J353" s="2" t="s">
        <v>1620</v>
      </c>
      <c r="K353" s="2" t="s">
        <v>1746</v>
      </c>
      <c r="L353" s="2" t="s">
        <v>1746</v>
      </c>
      <c r="M353" s="2" t="s">
        <v>1620</v>
      </c>
      <c r="N353" s="2" t="s">
        <v>1620</v>
      </c>
      <c r="O353" s="2" t="s">
        <v>1620</v>
      </c>
    </row>
    <row r="354" spans="1:15">
      <c r="A354" s="2" t="s">
        <v>1748</v>
      </c>
      <c r="B354" s="2" t="s">
        <v>1609</v>
      </c>
      <c r="C354" s="2" t="s">
        <v>1634</v>
      </c>
      <c r="D354" s="2" t="s">
        <v>2413</v>
      </c>
      <c r="E354" s="2" t="s">
        <v>1646</v>
      </c>
      <c r="F354" s="2" t="s">
        <v>1620</v>
      </c>
      <c r="G354" s="2" t="s">
        <v>1620</v>
      </c>
      <c r="H354" s="2" t="s">
        <v>1620</v>
      </c>
      <c r="I354" s="2" t="s">
        <v>1616</v>
      </c>
      <c r="J354" s="2" t="s">
        <v>1620</v>
      </c>
      <c r="K354" s="2" t="s">
        <v>1746</v>
      </c>
      <c r="L354" s="2" t="s">
        <v>1746</v>
      </c>
      <c r="M354" s="2" t="s">
        <v>1620</v>
      </c>
      <c r="N354" s="2" t="s">
        <v>1620</v>
      </c>
      <c r="O354" s="2" t="s">
        <v>1620</v>
      </c>
    </row>
    <row r="355" spans="1:15">
      <c r="A355" s="2" t="s">
        <v>1748</v>
      </c>
      <c r="B355" s="2" t="s">
        <v>1609</v>
      </c>
      <c r="C355" s="2" t="s">
        <v>1634</v>
      </c>
      <c r="D355" s="2" t="s">
        <v>2414</v>
      </c>
      <c r="E355" s="2" t="s">
        <v>1646</v>
      </c>
      <c r="F355" s="2" t="s">
        <v>1620</v>
      </c>
      <c r="G355" s="2" t="s">
        <v>2273</v>
      </c>
      <c r="H355" s="2" t="s">
        <v>1747</v>
      </c>
      <c r="I355" s="2" t="s">
        <v>1616</v>
      </c>
      <c r="J355" s="2" t="s">
        <v>1620</v>
      </c>
      <c r="K355" s="2" t="s">
        <v>1746</v>
      </c>
      <c r="L355" s="2" t="s">
        <v>1746</v>
      </c>
      <c r="M355" s="2" t="s">
        <v>1620</v>
      </c>
      <c r="N355" s="2" t="s">
        <v>1620</v>
      </c>
      <c r="O355" s="2" t="s">
        <v>1620</v>
      </c>
    </row>
    <row r="356" spans="1:15">
      <c r="A356" s="2" t="s">
        <v>1748</v>
      </c>
      <c r="B356" s="2" t="s">
        <v>1609</v>
      </c>
      <c r="C356" s="2" t="s">
        <v>1634</v>
      </c>
      <c r="D356" s="2" t="s">
        <v>2415</v>
      </c>
      <c r="E356" s="2" t="s">
        <v>1646</v>
      </c>
      <c r="F356" s="2" t="s">
        <v>1620</v>
      </c>
      <c r="G356" s="2" t="s">
        <v>2345</v>
      </c>
      <c r="H356" s="2" t="s">
        <v>1747</v>
      </c>
      <c r="I356" s="2" t="s">
        <v>1616</v>
      </c>
      <c r="J356" s="2" t="s">
        <v>1620</v>
      </c>
      <c r="K356" s="2" t="s">
        <v>1746</v>
      </c>
      <c r="L356" s="2" t="s">
        <v>1746</v>
      </c>
      <c r="M356" s="2" t="s">
        <v>1620</v>
      </c>
      <c r="N356" s="2" t="s">
        <v>1620</v>
      </c>
      <c r="O356" s="2" t="s">
        <v>1620</v>
      </c>
    </row>
    <row r="357" spans="1:15">
      <c r="A357" s="2" t="s">
        <v>1748</v>
      </c>
      <c r="B357" s="2" t="s">
        <v>1609</v>
      </c>
      <c r="C357" s="2" t="s">
        <v>1634</v>
      </c>
      <c r="D357" s="2" t="s">
        <v>2416</v>
      </c>
      <c r="E357" s="2" t="s">
        <v>1646</v>
      </c>
      <c r="F357" s="2" t="s">
        <v>1620</v>
      </c>
      <c r="G357" s="2" t="s">
        <v>2176</v>
      </c>
      <c r="H357" s="2" t="s">
        <v>1747</v>
      </c>
      <c r="I357" s="2" t="s">
        <v>1616</v>
      </c>
      <c r="J357" s="2" t="s">
        <v>1620</v>
      </c>
      <c r="K357" s="2" t="s">
        <v>1746</v>
      </c>
      <c r="L357" s="2" t="s">
        <v>1746</v>
      </c>
      <c r="M357" s="2" t="s">
        <v>1620</v>
      </c>
      <c r="N357" s="2" t="s">
        <v>1620</v>
      </c>
      <c r="O357" s="2" t="s">
        <v>1620</v>
      </c>
    </row>
    <row r="358" spans="1:15">
      <c r="A358" s="2" t="s">
        <v>1748</v>
      </c>
      <c r="B358" s="2" t="s">
        <v>1609</v>
      </c>
      <c r="C358" s="2" t="s">
        <v>1634</v>
      </c>
      <c r="D358" s="2" t="s">
        <v>2417</v>
      </c>
      <c r="E358" s="2" t="s">
        <v>1646</v>
      </c>
      <c r="F358" s="2" t="s">
        <v>1620</v>
      </c>
      <c r="G358" s="2" t="s">
        <v>2273</v>
      </c>
      <c r="H358" s="2" t="s">
        <v>1747</v>
      </c>
      <c r="I358" s="2" t="s">
        <v>1616</v>
      </c>
      <c r="J358" s="2" t="s">
        <v>1620</v>
      </c>
      <c r="K358" s="2" t="s">
        <v>1746</v>
      </c>
      <c r="L358" s="2" t="s">
        <v>1746</v>
      </c>
      <c r="M358" s="2" t="s">
        <v>1620</v>
      </c>
      <c r="N358" s="2" t="s">
        <v>1620</v>
      </c>
      <c r="O358" s="2" t="s">
        <v>1620</v>
      </c>
    </row>
    <row r="359" spans="1:15">
      <c r="A359" s="2" t="s">
        <v>1748</v>
      </c>
      <c r="B359" s="2" t="s">
        <v>1609</v>
      </c>
      <c r="C359" s="2" t="s">
        <v>1634</v>
      </c>
      <c r="D359" s="2" t="s">
        <v>2241</v>
      </c>
      <c r="E359" s="2" t="s">
        <v>1646</v>
      </c>
      <c r="F359" s="2" t="s">
        <v>1620</v>
      </c>
      <c r="G359" s="2" t="s">
        <v>1972</v>
      </c>
      <c r="H359" s="2" t="s">
        <v>1747</v>
      </c>
      <c r="I359" s="2" t="s">
        <v>1616</v>
      </c>
      <c r="J359" s="2" t="s">
        <v>1620</v>
      </c>
      <c r="K359" s="2" t="s">
        <v>1746</v>
      </c>
      <c r="L359" s="2" t="s">
        <v>1746</v>
      </c>
      <c r="M359" s="2" t="s">
        <v>1620</v>
      </c>
      <c r="N359" s="2" t="s">
        <v>1620</v>
      </c>
      <c r="O359" s="2" t="s">
        <v>1620</v>
      </c>
    </row>
    <row r="360" spans="1:15">
      <c r="A360" s="2" t="s">
        <v>1748</v>
      </c>
      <c r="B360" s="2" t="s">
        <v>1609</v>
      </c>
      <c r="C360" s="2" t="s">
        <v>1634</v>
      </c>
      <c r="D360" s="2" t="s">
        <v>2389</v>
      </c>
      <c r="E360" s="2" t="s">
        <v>1646</v>
      </c>
      <c r="F360" s="2" t="s">
        <v>1620</v>
      </c>
      <c r="G360" s="2" t="s">
        <v>2002</v>
      </c>
      <c r="H360" s="2" t="s">
        <v>1747</v>
      </c>
      <c r="I360" s="2" t="s">
        <v>1616</v>
      </c>
      <c r="J360" s="2" t="s">
        <v>1620</v>
      </c>
      <c r="K360" s="2" t="s">
        <v>1746</v>
      </c>
      <c r="L360" s="2" t="s">
        <v>1746</v>
      </c>
      <c r="M360" s="2" t="s">
        <v>1620</v>
      </c>
      <c r="N360" s="2" t="s">
        <v>1620</v>
      </c>
      <c r="O360" s="2" t="s">
        <v>1620</v>
      </c>
    </row>
    <row r="361" spans="1:15">
      <c r="A361" s="2" t="s">
        <v>1748</v>
      </c>
      <c r="B361" s="2" t="s">
        <v>1609</v>
      </c>
      <c r="C361" s="2" t="s">
        <v>1634</v>
      </c>
      <c r="D361" s="2" t="s">
        <v>2418</v>
      </c>
      <c r="E361" s="2" t="s">
        <v>1646</v>
      </c>
      <c r="F361" s="2" t="s">
        <v>1620</v>
      </c>
      <c r="G361" s="2" t="s">
        <v>2176</v>
      </c>
      <c r="H361" s="2" t="s">
        <v>1747</v>
      </c>
      <c r="I361" s="2" t="s">
        <v>1616</v>
      </c>
      <c r="J361" s="2" t="s">
        <v>1620</v>
      </c>
      <c r="K361" s="2" t="s">
        <v>1746</v>
      </c>
      <c r="L361" s="2" t="s">
        <v>1746</v>
      </c>
      <c r="M361" s="2" t="s">
        <v>1620</v>
      </c>
      <c r="N361" s="2" t="s">
        <v>1620</v>
      </c>
      <c r="O361" s="2" t="s">
        <v>1620</v>
      </c>
    </row>
    <row r="362" spans="1:15">
      <c r="A362" s="2" t="s">
        <v>1748</v>
      </c>
      <c r="B362" s="2" t="s">
        <v>1609</v>
      </c>
      <c r="C362" s="2" t="s">
        <v>1634</v>
      </c>
      <c r="D362" s="2" t="s">
        <v>2135</v>
      </c>
      <c r="E362" s="2" t="s">
        <v>1646</v>
      </c>
      <c r="F362" s="2" t="s">
        <v>1620</v>
      </c>
      <c r="G362" s="2" t="s">
        <v>1935</v>
      </c>
      <c r="H362" s="2" t="s">
        <v>1747</v>
      </c>
      <c r="I362" s="2" t="s">
        <v>1616</v>
      </c>
      <c r="J362" s="2" t="s">
        <v>1620</v>
      </c>
      <c r="K362" s="2" t="s">
        <v>1746</v>
      </c>
      <c r="L362" s="2" t="s">
        <v>1746</v>
      </c>
      <c r="M362" s="2" t="s">
        <v>1620</v>
      </c>
      <c r="N362" s="2" t="s">
        <v>1620</v>
      </c>
      <c r="O362" s="2" t="s">
        <v>1620</v>
      </c>
    </row>
    <row r="363" spans="1:15">
      <c r="A363" s="2" t="s">
        <v>1748</v>
      </c>
      <c r="B363" s="2" t="s">
        <v>1609</v>
      </c>
      <c r="C363" s="2" t="s">
        <v>1634</v>
      </c>
      <c r="D363" s="2" t="s">
        <v>2338</v>
      </c>
      <c r="E363" s="2" t="s">
        <v>1646</v>
      </c>
      <c r="F363" s="2" t="s">
        <v>1620</v>
      </c>
      <c r="G363" s="2" t="s">
        <v>2120</v>
      </c>
      <c r="H363" s="2" t="s">
        <v>1747</v>
      </c>
      <c r="I363" s="2" t="s">
        <v>1616</v>
      </c>
      <c r="J363" s="2" t="s">
        <v>1620</v>
      </c>
      <c r="K363" s="2" t="s">
        <v>1746</v>
      </c>
      <c r="L363" s="2" t="s">
        <v>1746</v>
      </c>
      <c r="M363" s="2" t="s">
        <v>1620</v>
      </c>
      <c r="N363" s="2" t="s">
        <v>1620</v>
      </c>
      <c r="O363" s="2" t="s">
        <v>1620</v>
      </c>
    </row>
    <row r="364" spans="1:15">
      <c r="A364" s="2" t="s">
        <v>1748</v>
      </c>
      <c r="B364" s="2" t="s">
        <v>1609</v>
      </c>
      <c r="C364" s="2" t="s">
        <v>1634</v>
      </c>
      <c r="D364" s="2" t="s">
        <v>2110</v>
      </c>
      <c r="E364" s="2" t="s">
        <v>1646</v>
      </c>
      <c r="F364" s="2" t="s">
        <v>1620</v>
      </c>
      <c r="G364" s="2" t="s">
        <v>1957</v>
      </c>
      <c r="H364" s="2" t="s">
        <v>1747</v>
      </c>
      <c r="I364" s="2" t="s">
        <v>1616</v>
      </c>
      <c r="J364" s="2" t="s">
        <v>1620</v>
      </c>
      <c r="K364" s="2" t="s">
        <v>1746</v>
      </c>
      <c r="L364" s="2" t="s">
        <v>1746</v>
      </c>
      <c r="M364" s="2" t="s">
        <v>1620</v>
      </c>
      <c r="N364" s="2" t="s">
        <v>1620</v>
      </c>
      <c r="O364" s="2" t="s">
        <v>1620</v>
      </c>
    </row>
    <row r="365" spans="1:15">
      <c r="A365" s="2" t="s">
        <v>1748</v>
      </c>
      <c r="B365" s="2" t="s">
        <v>1609</v>
      </c>
      <c r="C365" s="2" t="s">
        <v>1634</v>
      </c>
      <c r="D365" s="2" t="s">
        <v>2419</v>
      </c>
      <c r="E365" s="2" t="s">
        <v>1646</v>
      </c>
      <c r="F365" s="2" t="s">
        <v>1620</v>
      </c>
      <c r="G365" s="2" t="s">
        <v>2345</v>
      </c>
      <c r="H365" s="2" t="s">
        <v>1747</v>
      </c>
      <c r="I365" s="2" t="s">
        <v>1616</v>
      </c>
      <c r="J365" s="2" t="s">
        <v>1620</v>
      </c>
      <c r="K365" s="2" t="s">
        <v>1746</v>
      </c>
      <c r="L365" s="2" t="s">
        <v>1746</v>
      </c>
      <c r="M365" s="2" t="s">
        <v>1620</v>
      </c>
      <c r="N365" s="2" t="s">
        <v>1620</v>
      </c>
      <c r="O365" s="2" t="s">
        <v>1620</v>
      </c>
    </row>
    <row r="366" spans="1:15">
      <c r="A366" s="2" t="s">
        <v>1748</v>
      </c>
      <c r="B366" s="2" t="s">
        <v>1609</v>
      </c>
      <c r="C366" s="2" t="s">
        <v>1634</v>
      </c>
      <c r="D366" s="2" t="s">
        <v>2353</v>
      </c>
      <c r="E366" s="2" t="s">
        <v>1646</v>
      </c>
      <c r="F366" s="2" t="s">
        <v>1620</v>
      </c>
      <c r="G366" s="2" t="s">
        <v>2176</v>
      </c>
      <c r="H366" s="2" t="s">
        <v>1747</v>
      </c>
      <c r="I366" s="2" t="s">
        <v>1616</v>
      </c>
      <c r="J366" s="2" t="s">
        <v>1620</v>
      </c>
      <c r="K366" s="2" t="s">
        <v>1746</v>
      </c>
      <c r="L366" s="2" t="s">
        <v>1746</v>
      </c>
      <c r="M366" s="2" t="s">
        <v>1620</v>
      </c>
      <c r="N366" s="2" t="s">
        <v>1620</v>
      </c>
      <c r="O366" s="2" t="s">
        <v>1620</v>
      </c>
    </row>
    <row r="367" spans="1:15">
      <c r="A367" s="2" t="s">
        <v>1748</v>
      </c>
      <c r="B367" s="2" t="s">
        <v>1609</v>
      </c>
      <c r="C367" s="2" t="s">
        <v>1634</v>
      </c>
      <c r="D367" s="2" t="s">
        <v>2328</v>
      </c>
      <c r="E367" s="2" t="s">
        <v>1646</v>
      </c>
      <c r="F367" s="2" t="s">
        <v>1620</v>
      </c>
      <c r="G367" s="2" t="s">
        <v>2120</v>
      </c>
      <c r="H367" s="2" t="s">
        <v>1747</v>
      </c>
      <c r="I367" s="2" t="s">
        <v>1616</v>
      </c>
      <c r="J367" s="2" t="s">
        <v>1620</v>
      </c>
      <c r="K367" s="2" t="s">
        <v>1746</v>
      </c>
      <c r="L367" s="2" t="s">
        <v>1746</v>
      </c>
      <c r="M367" s="2" t="s">
        <v>1620</v>
      </c>
      <c r="N367" s="2" t="s">
        <v>1620</v>
      </c>
      <c r="O367" s="2" t="s">
        <v>1620</v>
      </c>
    </row>
    <row r="368" spans="1:15">
      <c r="A368" s="2" t="s">
        <v>1748</v>
      </c>
      <c r="B368" s="2" t="s">
        <v>1609</v>
      </c>
      <c r="C368" s="2" t="s">
        <v>1634</v>
      </c>
      <c r="D368" s="2" t="s">
        <v>2420</v>
      </c>
      <c r="E368" s="2" t="s">
        <v>1646</v>
      </c>
      <c r="F368" s="2" t="s">
        <v>1620</v>
      </c>
      <c r="G368" s="2" t="s">
        <v>2120</v>
      </c>
      <c r="H368" s="2" t="s">
        <v>1747</v>
      </c>
      <c r="I368" s="2" t="s">
        <v>1616</v>
      </c>
      <c r="J368" s="2" t="s">
        <v>1620</v>
      </c>
      <c r="K368" s="2" t="s">
        <v>1746</v>
      </c>
      <c r="L368" s="2" t="s">
        <v>1746</v>
      </c>
      <c r="M368" s="2" t="s">
        <v>1620</v>
      </c>
      <c r="N368" s="2" t="s">
        <v>1620</v>
      </c>
      <c r="O368" s="2" t="s">
        <v>1620</v>
      </c>
    </row>
    <row r="369" spans="1:15">
      <c r="A369" s="2" t="s">
        <v>1748</v>
      </c>
      <c r="B369" s="2" t="s">
        <v>1609</v>
      </c>
      <c r="C369" s="2" t="s">
        <v>1634</v>
      </c>
      <c r="D369" s="2" t="s">
        <v>2421</v>
      </c>
      <c r="E369" s="2" t="s">
        <v>1646</v>
      </c>
      <c r="F369" s="2" t="s">
        <v>1620</v>
      </c>
      <c r="G369" s="2" t="s">
        <v>1620</v>
      </c>
      <c r="H369" s="2" t="s">
        <v>1620</v>
      </c>
      <c r="I369" s="2" t="s">
        <v>1616</v>
      </c>
      <c r="J369" s="2" t="s">
        <v>1620</v>
      </c>
      <c r="K369" s="2" t="s">
        <v>1746</v>
      </c>
      <c r="L369" s="2" t="s">
        <v>1746</v>
      </c>
      <c r="M369" s="2" t="s">
        <v>1620</v>
      </c>
      <c r="N369" s="2" t="s">
        <v>1620</v>
      </c>
      <c r="O369" s="2" t="s">
        <v>1620</v>
      </c>
    </row>
    <row r="370" spans="1:15">
      <c r="A370" s="2" t="s">
        <v>1748</v>
      </c>
      <c r="B370" s="2" t="s">
        <v>1609</v>
      </c>
      <c r="C370" s="2" t="s">
        <v>1634</v>
      </c>
      <c r="D370" s="2" t="s">
        <v>2422</v>
      </c>
      <c r="E370" s="2" t="s">
        <v>1646</v>
      </c>
      <c r="F370" s="2" t="s">
        <v>1620</v>
      </c>
      <c r="G370" s="2" t="s">
        <v>2229</v>
      </c>
      <c r="H370" s="2" t="s">
        <v>1747</v>
      </c>
      <c r="I370" s="2" t="s">
        <v>1616</v>
      </c>
      <c r="J370" s="2" t="s">
        <v>1620</v>
      </c>
      <c r="K370" s="2" t="s">
        <v>1746</v>
      </c>
      <c r="L370" s="2" t="s">
        <v>1746</v>
      </c>
      <c r="M370" s="2" t="s">
        <v>1620</v>
      </c>
      <c r="N370" s="2" t="s">
        <v>1620</v>
      </c>
      <c r="O370" s="2" t="s">
        <v>1620</v>
      </c>
    </row>
    <row r="371" spans="1:15">
      <c r="A371" s="2" t="s">
        <v>1748</v>
      </c>
      <c r="B371" s="2" t="s">
        <v>1609</v>
      </c>
      <c r="C371" s="2" t="s">
        <v>1634</v>
      </c>
      <c r="D371" s="2" t="s">
        <v>2423</v>
      </c>
      <c r="E371" s="2" t="s">
        <v>1646</v>
      </c>
      <c r="F371" s="2" t="s">
        <v>1620</v>
      </c>
      <c r="G371" s="2" t="s">
        <v>2273</v>
      </c>
      <c r="H371" s="2" t="s">
        <v>1747</v>
      </c>
      <c r="I371" s="2" t="s">
        <v>1616</v>
      </c>
      <c r="J371" s="2" t="s">
        <v>1620</v>
      </c>
      <c r="K371" s="2" t="s">
        <v>1746</v>
      </c>
      <c r="L371" s="2" t="s">
        <v>1746</v>
      </c>
      <c r="M371" s="2" t="s">
        <v>1620</v>
      </c>
      <c r="N371" s="2" t="s">
        <v>1620</v>
      </c>
      <c r="O371" s="2" t="s">
        <v>1620</v>
      </c>
    </row>
    <row r="372" spans="1:15">
      <c r="A372" s="2" t="s">
        <v>1748</v>
      </c>
      <c r="B372" s="2" t="s">
        <v>1609</v>
      </c>
      <c r="C372" s="2" t="s">
        <v>1634</v>
      </c>
      <c r="D372" s="2" t="s">
        <v>2287</v>
      </c>
      <c r="E372" s="2" t="s">
        <v>1646</v>
      </c>
      <c r="F372" s="2" t="s">
        <v>1620</v>
      </c>
      <c r="G372" s="2" t="s">
        <v>2276</v>
      </c>
      <c r="H372" s="2" t="s">
        <v>1747</v>
      </c>
      <c r="I372" s="2" t="s">
        <v>1616</v>
      </c>
      <c r="J372" s="2" t="s">
        <v>1620</v>
      </c>
      <c r="K372" s="2" t="s">
        <v>1746</v>
      </c>
      <c r="L372" s="2" t="s">
        <v>1746</v>
      </c>
      <c r="M372" s="2" t="s">
        <v>1620</v>
      </c>
      <c r="N372" s="2" t="s">
        <v>1620</v>
      </c>
      <c r="O372" s="2" t="s">
        <v>1620</v>
      </c>
    </row>
    <row r="373" spans="1:15">
      <c r="A373" s="2" t="s">
        <v>1748</v>
      </c>
      <c r="B373" s="2" t="s">
        <v>1609</v>
      </c>
      <c r="C373" s="2" t="s">
        <v>1634</v>
      </c>
      <c r="D373" s="2" t="s">
        <v>2391</v>
      </c>
      <c r="E373" s="2" t="s">
        <v>1646</v>
      </c>
      <c r="F373" s="2" t="s">
        <v>1620</v>
      </c>
      <c r="G373" s="2" t="s">
        <v>1862</v>
      </c>
      <c r="H373" s="2" t="s">
        <v>1747</v>
      </c>
      <c r="I373" s="2" t="s">
        <v>1616</v>
      </c>
      <c r="J373" s="2" t="s">
        <v>1620</v>
      </c>
      <c r="K373" s="2" t="s">
        <v>1746</v>
      </c>
      <c r="L373" s="2" t="s">
        <v>1746</v>
      </c>
      <c r="M373" s="2" t="s">
        <v>1620</v>
      </c>
      <c r="N373" s="2" t="s">
        <v>1620</v>
      </c>
      <c r="O373" s="2" t="s">
        <v>1620</v>
      </c>
    </row>
    <row r="374" spans="1:15">
      <c r="A374" s="2" t="s">
        <v>1748</v>
      </c>
      <c r="B374" s="2" t="s">
        <v>1609</v>
      </c>
      <c r="C374" s="2" t="s">
        <v>1634</v>
      </c>
      <c r="D374" s="2" t="s">
        <v>2355</v>
      </c>
      <c r="E374" s="2" t="s">
        <v>1646</v>
      </c>
      <c r="F374" s="2" t="s">
        <v>1620</v>
      </c>
      <c r="G374" s="2" t="s">
        <v>2229</v>
      </c>
      <c r="H374" s="2" t="s">
        <v>1747</v>
      </c>
      <c r="I374" s="2" t="s">
        <v>1616</v>
      </c>
      <c r="J374" s="2" t="s">
        <v>1620</v>
      </c>
      <c r="K374" s="2" t="s">
        <v>1746</v>
      </c>
      <c r="L374" s="2" t="s">
        <v>1746</v>
      </c>
      <c r="M374" s="2" t="s">
        <v>1620</v>
      </c>
      <c r="N374" s="2" t="s">
        <v>1620</v>
      </c>
      <c r="O374" s="2" t="s">
        <v>1620</v>
      </c>
    </row>
    <row r="375" spans="1:15">
      <c r="A375" s="2" t="s">
        <v>1748</v>
      </c>
      <c r="B375" s="2" t="s">
        <v>1609</v>
      </c>
      <c r="C375" s="2" t="s">
        <v>1634</v>
      </c>
      <c r="D375" s="2" t="s">
        <v>2424</v>
      </c>
      <c r="E375" s="2" t="s">
        <v>1646</v>
      </c>
      <c r="F375" s="2" t="s">
        <v>1620</v>
      </c>
      <c r="G375" s="2" t="s">
        <v>2345</v>
      </c>
      <c r="H375" s="2" t="s">
        <v>1747</v>
      </c>
      <c r="I375" s="2" t="s">
        <v>1616</v>
      </c>
      <c r="J375" s="2" t="s">
        <v>1620</v>
      </c>
      <c r="K375" s="2" t="s">
        <v>1746</v>
      </c>
      <c r="L375" s="2" t="s">
        <v>1746</v>
      </c>
      <c r="M375" s="2" t="s">
        <v>1620</v>
      </c>
      <c r="N375" s="2" t="s">
        <v>1620</v>
      </c>
      <c r="O375" s="2" t="s">
        <v>1620</v>
      </c>
    </row>
    <row r="376" spans="1:15">
      <c r="A376" s="2" t="s">
        <v>1748</v>
      </c>
      <c r="B376" s="2" t="s">
        <v>1609</v>
      </c>
      <c r="C376" s="2" t="s">
        <v>1634</v>
      </c>
      <c r="D376" s="2" t="s">
        <v>2271</v>
      </c>
      <c r="E376" s="2" t="s">
        <v>1646</v>
      </c>
      <c r="F376" s="2" t="s">
        <v>1620</v>
      </c>
      <c r="G376" s="2" t="s">
        <v>1972</v>
      </c>
      <c r="H376" s="2" t="s">
        <v>1747</v>
      </c>
      <c r="I376" s="2" t="s">
        <v>1616</v>
      </c>
      <c r="J376" s="2" t="s">
        <v>1620</v>
      </c>
      <c r="K376" s="2" t="s">
        <v>1746</v>
      </c>
      <c r="L376" s="2" t="s">
        <v>1746</v>
      </c>
      <c r="M376" s="2" t="s">
        <v>1620</v>
      </c>
      <c r="N376" s="2" t="s">
        <v>1620</v>
      </c>
      <c r="O376" s="2" t="s">
        <v>1620</v>
      </c>
    </row>
    <row r="377" spans="1:15">
      <c r="A377" s="2" t="s">
        <v>1748</v>
      </c>
      <c r="B377" s="2" t="s">
        <v>1609</v>
      </c>
      <c r="C377" s="2" t="s">
        <v>1634</v>
      </c>
      <c r="D377" s="2" t="s">
        <v>2425</v>
      </c>
      <c r="E377" s="2" t="s">
        <v>1646</v>
      </c>
      <c r="F377" s="2" t="s">
        <v>1620</v>
      </c>
      <c r="G377" s="2" t="s">
        <v>2273</v>
      </c>
      <c r="H377" s="2" t="s">
        <v>1747</v>
      </c>
      <c r="I377" s="2" t="s">
        <v>1616</v>
      </c>
      <c r="J377" s="2" t="s">
        <v>1620</v>
      </c>
      <c r="K377" s="2" t="s">
        <v>1746</v>
      </c>
      <c r="L377" s="2" t="s">
        <v>1746</v>
      </c>
      <c r="M377" s="2" t="s">
        <v>1620</v>
      </c>
      <c r="N377" s="2" t="s">
        <v>1620</v>
      </c>
      <c r="O377" s="2" t="s">
        <v>1620</v>
      </c>
    </row>
    <row r="378" spans="1:15">
      <c r="A378" s="2" t="s">
        <v>1748</v>
      </c>
      <c r="B378" s="2" t="s">
        <v>1609</v>
      </c>
      <c r="C378" s="2" t="s">
        <v>1634</v>
      </c>
      <c r="D378" s="2" t="s">
        <v>2333</v>
      </c>
      <c r="E378" s="2" t="s">
        <v>1646</v>
      </c>
      <c r="F378" s="2" t="s">
        <v>1620</v>
      </c>
      <c r="G378" s="2" t="s">
        <v>2273</v>
      </c>
      <c r="H378" s="2" t="s">
        <v>1747</v>
      </c>
      <c r="I378" s="2" t="s">
        <v>1616</v>
      </c>
      <c r="J378" s="2" t="s">
        <v>1620</v>
      </c>
      <c r="K378" s="2" t="s">
        <v>1746</v>
      </c>
      <c r="L378" s="2" t="s">
        <v>1746</v>
      </c>
      <c r="M378" s="2" t="s">
        <v>1620</v>
      </c>
      <c r="N378" s="2" t="s">
        <v>1620</v>
      </c>
      <c r="O378" s="2" t="s">
        <v>1620</v>
      </c>
    </row>
    <row r="379" spans="1:15">
      <c r="A379" s="2" t="s">
        <v>1748</v>
      </c>
      <c r="B379" s="2" t="s">
        <v>1609</v>
      </c>
      <c r="C379" s="2" t="s">
        <v>1634</v>
      </c>
      <c r="D379" s="2" t="s">
        <v>2199</v>
      </c>
      <c r="E379" s="2" t="s">
        <v>1646</v>
      </c>
      <c r="F379" s="2" t="s">
        <v>1620</v>
      </c>
      <c r="G379" s="2" t="s">
        <v>1957</v>
      </c>
      <c r="H379" s="2" t="s">
        <v>1747</v>
      </c>
      <c r="I379" s="2" t="s">
        <v>1616</v>
      </c>
      <c r="J379" s="2" t="s">
        <v>1620</v>
      </c>
      <c r="K379" s="2" t="s">
        <v>1746</v>
      </c>
      <c r="L379" s="2" t="s">
        <v>1746</v>
      </c>
      <c r="M379" s="2" t="s">
        <v>1620</v>
      </c>
      <c r="N379" s="2" t="s">
        <v>1620</v>
      </c>
      <c r="O379" s="2" t="s">
        <v>1620</v>
      </c>
    </row>
    <row r="380" spans="1:15">
      <c r="A380" s="2" t="s">
        <v>1748</v>
      </c>
      <c r="B380" s="2" t="s">
        <v>1609</v>
      </c>
      <c r="C380" s="2" t="s">
        <v>1634</v>
      </c>
      <c r="D380" s="2" t="s">
        <v>2334</v>
      </c>
      <c r="E380" s="2" t="s">
        <v>1646</v>
      </c>
      <c r="F380" s="2" t="s">
        <v>1620</v>
      </c>
      <c r="G380" s="2" t="s">
        <v>1996</v>
      </c>
      <c r="H380" s="2" t="s">
        <v>1747</v>
      </c>
      <c r="I380" s="2" t="s">
        <v>1616</v>
      </c>
      <c r="J380" s="2" t="s">
        <v>1620</v>
      </c>
      <c r="K380" s="2" t="s">
        <v>1746</v>
      </c>
      <c r="L380" s="2" t="s">
        <v>1746</v>
      </c>
      <c r="M380" s="2" t="s">
        <v>1620</v>
      </c>
      <c r="N380" s="2" t="s">
        <v>1620</v>
      </c>
      <c r="O380" s="2" t="s">
        <v>1620</v>
      </c>
    </row>
    <row r="381" spans="1:15">
      <c r="A381" s="2" t="s">
        <v>1748</v>
      </c>
      <c r="B381" s="2" t="s">
        <v>1609</v>
      </c>
      <c r="C381" s="2" t="s">
        <v>1634</v>
      </c>
      <c r="D381" s="2" t="s">
        <v>1771</v>
      </c>
      <c r="E381" s="2" t="s">
        <v>1795</v>
      </c>
      <c r="F381" s="2" t="s">
        <v>1620</v>
      </c>
      <c r="G381" s="2" t="s">
        <v>2273</v>
      </c>
      <c r="H381" s="2" t="s">
        <v>1747</v>
      </c>
      <c r="I381" s="2" t="s">
        <v>1616</v>
      </c>
      <c r="J381" s="2" t="s">
        <v>1620</v>
      </c>
      <c r="K381" s="2" t="s">
        <v>1746</v>
      </c>
      <c r="L381" s="2" t="s">
        <v>1746</v>
      </c>
      <c r="M381" s="2" t="s">
        <v>1620</v>
      </c>
      <c r="N381" s="2" t="s">
        <v>1620</v>
      </c>
      <c r="O381" s="2" t="s">
        <v>1620</v>
      </c>
    </row>
    <row r="382" spans="1:15">
      <c r="A382" s="2" t="s">
        <v>1748</v>
      </c>
      <c r="B382" s="2" t="s">
        <v>1609</v>
      </c>
      <c r="C382" s="2" t="s">
        <v>1634</v>
      </c>
      <c r="D382" s="2" t="s">
        <v>2094</v>
      </c>
      <c r="E382" s="2" t="s">
        <v>1795</v>
      </c>
      <c r="F382" s="2" t="s">
        <v>1620</v>
      </c>
      <c r="G382" s="2" t="s">
        <v>2345</v>
      </c>
      <c r="H382" s="2" t="s">
        <v>1747</v>
      </c>
      <c r="I382" s="2" t="s">
        <v>1616</v>
      </c>
      <c r="J382" s="2" t="s">
        <v>1620</v>
      </c>
      <c r="K382" s="2" t="s">
        <v>1746</v>
      </c>
      <c r="L382" s="2" t="s">
        <v>1746</v>
      </c>
      <c r="M382" s="2" t="s">
        <v>1620</v>
      </c>
      <c r="N382" s="2" t="s">
        <v>1620</v>
      </c>
      <c r="O382" s="2" t="s">
        <v>1620</v>
      </c>
    </row>
    <row r="383" spans="1:15">
      <c r="A383" s="2" t="s">
        <v>1748</v>
      </c>
      <c r="B383" s="2" t="s">
        <v>1609</v>
      </c>
      <c r="C383" s="2" t="s">
        <v>1634</v>
      </c>
      <c r="D383" s="2" t="s">
        <v>1695</v>
      </c>
      <c r="E383" s="2" t="s">
        <v>1795</v>
      </c>
      <c r="F383" s="2" t="s">
        <v>1620</v>
      </c>
      <c r="G383" s="2" t="s">
        <v>1620</v>
      </c>
      <c r="H383" s="2" t="s">
        <v>1620</v>
      </c>
      <c r="I383" s="2" t="s">
        <v>1616</v>
      </c>
      <c r="J383" s="2" t="s">
        <v>1620</v>
      </c>
      <c r="K383" s="2" t="s">
        <v>1746</v>
      </c>
      <c r="L383" s="2" t="s">
        <v>1746</v>
      </c>
      <c r="M383" s="2" t="s">
        <v>1620</v>
      </c>
      <c r="N383" s="2" t="s">
        <v>1620</v>
      </c>
      <c r="O383" s="2" t="s">
        <v>1620</v>
      </c>
    </row>
    <row r="384" spans="1:15">
      <c r="A384" s="2" t="s">
        <v>1748</v>
      </c>
      <c r="B384" s="2" t="s">
        <v>1609</v>
      </c>
      <c r="C384" s="2" t="s">
        <v>1634</v>
      </c>
      <c r="D384" s="2" t="s">
        <v>2366</v>
      </c>
      <c r="E384" s="2" t="s">
        <v>1795</v>
      </c>
      <c r="F384" s="2" t="s">
        <v>1620</v>
      </c>
      <c r="G384" s="2" t="s">
        <v>2074</v>
      </c>
      <c r="H384" s="2" t="s">
        <v>1747</v>
      </c>
      <c r="I384" s="2" t="s">
        <v>1616</v>
      </c>
      <c r="J384" s="2" t="s">
        <v>1620</v>
      </c>
      <c r="K384" s="2" t="s">
        <v>1746</v>
      </c>
      <c r="L384" s="2" t="s">
        <v>1746</v>
      </c>
      <c r="M384" s="2" t="s">
        <v>1620</v>
      </c>
      <c r="N384" s="2" t="s">
        <v>1620</v>
      </c>
      <c r="O384" s="2" t="s">
        <v>1620</v>
      </c>
    </row>
    <row r="385" spans="1:15">
      <c r="A385" s="2" t="s">
        <v>1748</v>
      </c>
      <c r="B385" s="2" t="s">
        <v>1609</v>
      </c>
      <c r="C385" s="2" t="s">
        <v>1634</v>
      </c>
      <c r="D385" s="2" t="s">
        <v>1666</v>
      </c>
      <c r="E385" s="2" t="s">
        <v>1795</v>
      </c>
      <c r="F385" s="2" t="s">
        <v>1620</v>
      </c>
      <c r="G385" s="2" t="s">
        <v>2273</v>
      </c>
      <c r="H385" s="2" t="s">
        <v>1747</v>
      </c>
      <c r="I385" s="2" t="s">
        <v>1616</v>
      </c>
      <c r="J385" s="2" t="s">
        <v>1620</v>
      </c>
      <c r="K385" s="2" t="s">
        <v>1746</v>
      </c>
      <c r="L385" s="2" t="s">
        <v>1746</v>
      </c>
      <c r="M385" s="2" t="s">
        <v>1620</v>
      </c>
      <c r="N385" s="2" t="s">
        <v>1620</v>
      </c>
      <c r="O385" s="2" t="s">
        <v>1620</v>
      </c>
    </row>
    <row r="386" spans="1:15">
      <c r="A386" s="2" t="s">
        <v>1748</v>
      </c>
      <c r="B386" s="2" t="s">
        <v>1609</v>
      </c>
      <c r="C386" s="2" t="s">
        <v>1634</v>
      </c>
      <c r="D386" s="2" t="s">
        <v>1741</v>
      </c>
      <c r="E386" s="2" t="s">
        <v>1795</v>
      </c>
      <c r="F386" s="2" t="s">
        <v>1620</v>
      </c>
      <c r="G386" s="2" t="s">
        <v>1996</v>
      </c>
      <c r="H386" s="2" t="s">
        <v>1747</v>
      </c>
      <c r="I386" s="2" t="s">
        <v>1616</v>
      </c>
      <c r="J386" s="2" t="s">
        <v>1620</v>
      </c>
      <c r="K386" s="2" t="s">
        <v>1746</v>
      </c>
      <c r="L386" s="2" t="s">
        <v>1746</v>
      </c>
      <c r="M386" s="2" t="s">
        <v>1620</v>
      </c>
      <c r="N386" s="2" t="s">
        <v>1620</v>
      </c>
      <c r="O386" s="2" t="s">
        <v>1620</v>
      </c>
    </row>
    <row r="387" spans="1:15">
      <c r="A387" s="2" t="s">
        <v>1748</v>
      </c>
      <c r="B387" s="2" t="s">
        <v>1609</v>
      </c>
      <c r="C387" s="2" t="s">
        <v>1634</v>
      </c>
      <c r="D387" s="2" t="s">
        <v>2084</v>
      </c>
      <c r="E387" s="2" t="s">
        <v>1795</v>
      </c>
      <c r="F387" s="2" t="s">
        <v>1620</v>
      </c>
      <c r="G387" s="2" t="s">
        <v>2345</v>
      </c>
      <c r="H387" s="2" t="s">
        <v>1747</v>
      </c>
      <c r="I387" s="2" t="s">
        <v>1616</v>
      </c>
      <c r="J387" s="2" t="s">
        <v>1620</v>
      </c>
      <c r="K387" s="2" t="s">
        <v>1746</v>
      </c>
      <c r="L387" s="2" t="s">
        <v>1746</v>
      </c>
      <c r="M387" s="2" t="s">
        <v>1620</v>
      </c>
      <c r="N387" s="2" t="s">
        <v>1620</v>
      </c>
      <c r="O387" s="2" t="s">
        <v>1620</v>
      </c>
    </row>
    <row r="388" spans="1:15">
      <c r="A388" s="2" t="s">
        <v>1748</v>
      </c>
      <c r="B388" s="2" t="s">
        <v>1609</v>
      </c>
      <c r="C388" s="2" t="s">
        <v>1634</v>
      </c>
      <c r="D388" s="2" t="s">
        <v>2416</v>
      </c>
      <c r="E388" s="2" t="s">
        <v>1795</v>
      </c>
      <c r="F388" s="2" t="s">
        <v>1620</v>
      </c>
      <c r="G388" s="2" t="s">
        <v>2273</v>
      </c>
      <c r="H388" s="2" t="s">
        <v>1747</v>
      </c>
      <c r="I388" s="2" t="s">
        <v>1616</v>
      </c>
      <c r="J388" s="2" t="s">
        <v>1620</v>
      </c>
      <c r="K388" s="2" t="s">
        <v>1746</v>
      </c>
      <c r="L388" s="2" t="s">
        <v>1746</v>
      </c>
      <c r="M388" s="2" t="s">
        <v>1620</v>
      </c>
      <c r="N388" s="2" t="s">
        <v>1620</v>
      </c>
      <c r="O388" s="2" t="s">
        <v>1620</v>
      </c>
    </row>
    <row r="389" spans="1:15">
      <c r="A389" s="2" t="s">
        <v>1748</v>
      </c>
      <c r="B389" s="2" t="s">
        <v>1609</v>
      </c>
      <c r="C389" s="2" t="s">
        <v>1634</v>
      </c>
      <c r="D389" s="2" t="s">
        <v>2241</v>
      </c>
      <c r="E389" s="2" t="s">
        <v>1795</v>
      </c>
      <c r="F389" s="2" t="s">
        <v>1620</v>
      </c>
      <c r="G389" s="2" t="s">
        <v>2273</v>
      </c>
      <c r="H389" s="2" t="s">
        <v>1747</v>
      </c>
      <c r="I389" s="2" t="s">
        <v>1616</v>
      </c>
      <c r="J389" s="2" t="s">
        <v>1620</v>
      </c>
      <c r="K389" s="2" t="s">
        <v>1746</v>
      </c>
      <c r="L389" s="2" t="s">
        <v>1746</v>
      </c>
      <c r="M389" s="2" t="s">
        <v>1620</v>
      </c>
      <c r="N389" s="2" t="s">
        <v>1620</v>
      </c>
      <c r="O389" s="2" t="s">
        <v>1620</v>
      </c>
    </row>
    <row r="390" spans="1:15">
      <c r="A390" s="2" t="s">
        <v>1748</v>
      </c>
      <c r="B390" s="2" t="s">
        <v>1609</v>
      </c>
      <c r="C390" s="2" t="s">
        <v>1634</v>
      </c>
      <c r="D390" s="2" t="s">
        <v>2194</v>
      </c>
      <c r="E390" s="2" t="s">
        <v>1795</v>
      </c>
      <c r="F390" s="2" t="s">
        <v>1620</v>
      </c>
      <c r="G390" s="2" t="s">
        <v>2273</v>
      </c>
      <c r="H390" s="2" t="s">
        <v>1747</v>
      </c>
      <c r="I390" s="2" t="s">
        <v>1616</v>
      </c>
      <c r="J390" s="2" t="s">
        <v>1620</v>
      </c>
      <c r="K390" s="2" t="s">
        <v>1746</v>
      </c>
      <c r="L390" s="2" t="s">
        <v>1746</v>
      </c>
      <c r="M390" s="2" t="s">
        <v>1620</v>
      </c>
      <c r="N390" s="2" t="s">
        <v>1620</v>
      </c>
      <c r="O390" s="2" t="s">
        <v>1620</v>
      </c>
    </row>
    <row r="391" spans="1:15">
      <c r="A391" s="2" t="s">
        <v>1748</v>
      </c>
      <c r="B391" s="2" t="s">
        <v>1609</v>
      </c>
      <c r="C391" s="2" t="s">
        <v>1634</v>
      </c>
      <c r="D391" s="2" t="s">
        <v>1656</v>
      </c>
      <c r="E391" s="2" t="s">
        <v>1795</v>
      </c>
      <c r="F391" s="2" t="s">
        <v>1620</v>
      </c>
      <c r="G391" s="2" t="s">
        <v>2273</v>
      </c>
      <c r="H391" s="2" t="s">
        <v>1747</v>
      </c>
      <c r="I391" s="2" t="s">
        <v>1616</v>
      </c>
      <c r="J391" s="2" t="s">
        <v>1620</v>
      </c>
      <c r="K391" s="2" t="s">
        <v>1746</v>
      </c>
      <c r="L391" s="2" t="s">
        <v>1746</v>
      </c>
      <c r="M391" s="2" t="s">
        <v>1620</v>
      </c>
      <c r="N391" s="2" t="s">
        <v>1620</v>
      </c>
      <c r="O391" s="2" t="s">
        <v>1620</v>
      </c>
    </row>
    <row r="392" spans="1:15">
      <c r="A392" s="2" t="s">
        <v>1748</v>
      </c>
      <c r="B392" s="2" t="s">
        <v>1609</v>
      </c>
      <c r="C392" s="2" t="s">
        <v>1634</v>
      </c>
      <c r="D392" s="2" t="s">
        <v>2046</v>
      </c>
      <c r="E392" s="2" t="s">
        <v>1795</v>
      </c>
      <c r="F392" s="2" t="s">
        <v>1620</v>
      </c>
      <c r="G392" s="2" t="s">
        <v>2345</v>
      </c>
      <c r="H392" s="2" t="s">
        <v>1747</v>
      </c>
      <c r="I392" s="2" t="s">
        <v>1616</v>
      </c>
      <c r="J392" s="2" t="s">
        <v>1620</v>
      </c>
      <c r="K392" s="2" t="s">
        <v>1746</v>
      </c>
      <c r="L392" s="2" t="s">
        <v>1746</v>
      </c>
      <c r="M392" s="2" t="s">
        <v>1620</v>
      </c>
      <c r="N392" s="2" t="s">
        <v>1620</v>
      </c>
      <c r="O392" s="2" t="s">
        <v>1620</v>
      </c>
    </row>
    <row r="393" spans="1:15">
      <c r="A393" s="2" t="s">
        <v>1748</v>
      </c>
      <c r="B393" s="2" t="s">
        <v>1609</v>
      </c>
      <c r="C393" s="2" t="s">
        <v>1634</v>
      </c>
      <c r="D393" s="2" t="s">
        <v>1872</v>
      </c>
      <c r="E393" s="2" t="s">
        <v>1795</v>
      </c>
      <c r="F393" s="2" t="s">
        <v>1620</v>
      </c>
      <c r="G393" s="2" t="s">
        <v>2176</v>
      </c>
      <c r="H393" s="2" t="s">
        <v>1747</v>
      </c>
      <c r="I393" s="2" t="s">
        <v>1616</v>
      </c>
      <c r="J393" s="2" t="s">
        <v>1620</v>
      </c>
      <c r="K393" s="2" t="s">
        <v>1746</v>
      </c>
      <c r="L393" s="2" t="s">
        <v>1746</v>
      </c>
      <c r="M393" s="2" t="s">
        <v>1620</v>
      </c>
      <c r="N393" s="2" t="s">
        <v>1620</v>
      </c>
      <c r="O393" s="2" t="s">
        <v>1620</v>
      </c>
    </row>
    <row r="394" spans="1:15">
      <c r="A394" s="2" t="s">
        <v>1748</v>
      </c>
      <c r="B394" s="2" t="s">
        <v>1609</v>
      </c>
      <c r="C394" s="2" t="s">
        <v>1634</v>
      </c>
      <c r="D394" s="2" t="s">
        <v>2021</v>
      </c>
      <c r="E394" s="2" t="s">
        <v>1795</v>
      </c>
      <c r="F394" s="2" t="s">
        <v>1620</v>
      </c>
      <c r="G394" s="2" t="s">
        <v>2273</v>
      </c>
      <c r="H394" s="2" t="s">
        <v>1747</v>
      </c>
      <c r="I394" s="2" t="s">
        <v>1616</v>
      </c>
      <c r="J394" s="2" t="s">
        <v>1620</v>
      </c>
      <c r="K394" s="2" t="s">
        <v>1746</v>
      </c>
      <c r="L394" s="2" t="s">
        <v>1746</v>
      </c>
      <c r="M394" s="2" t="s">
        <v>1620</v>
      </c>
      <c r="N394" s="2" t="s">
        <v>1620</v>
      </c>
      <c r="O394" s="2" t="s">
        <v>1620</v>
      </c>
    </row>
    <row r="395" spans="1:15">
      <c r="A395" s="2" t="s">
        <v>1748</v>
      </c>
      <c r="B395" s="2" t="s">
        <v>1609</v>
      </c>
      <c r="C395" s="2" t="s">
        <v>1634</v>
      </c>
      <c r="D395" s="2" t="s">
        <v>2252</v>
      </c>
      <c r="E395" s="2" t="s">
        <v>1795</v>
      </c>
      <c r="F395" s="2" t="s">
        <v>1620</v>
      </c>
      <c r="G395" s="2" t="s">
        <v>1620</v>
      </c>
      <c r="H395" s="2" t="s">
        <v>1620</v>
      </c>
      <c r="I395" s="2" t="s">
        <v>1616</v>
      </c>
      <c r="J395" s="2" t="s">
        <v>1620</v>
      </c>
      <c r="K395" s="2" t="s">
        <v>1746</v>
      </c>
      <c r="L395" s="2" t="s">
        <v>1746</v>
      </c>
      <c r="M395" s="2" t="s">
        <v>1620</v>
      </c>
      <c r="N395" s="2" t="s">
        <v>1620</v>
      </c>
      <c r="O395" s="2" t="s">
        <v>1620</v>
      </c>
    </row>
    <row r="396" spans="1:15">
      <c r="A396" s="2" t="s">
        <v>1748</v>
      </c>
      <c r="B396" s="2" t="s">
        <v>1609</v>
      </c>
      <c r="C396" s="2" t="s">
        <v>1634</v>
      </c>
      <c r="D396" s="2" t="s">
        <v>2051</v>
      </c>
      <c r="E396" s="2" t="s">
        <v>1795</v>
      </c>
      <c r="F396" s="2" t="s">
        <v>1620</v>
      </c>
      <c r="G396" s="2" t="s">
        <v>2345</v>
      </c>
      <c r="H396" s="2" t="s">
        <v>1747</v>
      </c>
      <c r="I396" s="2" t="s">
        <v>1616</v>
      </c>
      <c r="J396" s="2" t="s">
        <v>1620</v>
      </c>
      <c r="K396" s="2" t="s">
        <v>1746</v>
      </c>
      <c r="L396" s="2" t="s">
        <v>1746</v>
      </c>
      <c r="M396" s="2" t="s">
        <v>1620</v>
      </c>
      <c r="N396" s="2" t="s">
        <v>1620</v>
      </c>
      <c r="O396" s="2" t="s">
        <v>1620</v>
      </c>
    </row>
    <row r="397" spans="1:15">
      <c r="A397" s="2" t="s">
        <v>1748</v>
      </c>
      <c r="B397" s="2" t="s">
        <v>1609</v>
      </c>
      <c r="C397" s="2" t="s">
        <v>1634</v>
      </c>
      <c r="D397" s="2" t="s">
        <v>2305</v>
      </c>
      <c r="E397" s="2" t="s">
        <v>1795</v>
      </c>
      <c r="F397" s="2" t="s">
        <v>1620</v>
      </c>
      <c r="G397" s="2" t="s">
        <v>2345</v>
      </c>
      <c r="H397" s="2" t="s">
        <v>1747</v>
      </c>
      <c r="I397" s="2" t="s">
        <v>1616</v>
      </c>
      <c r="J397" s="2" t="s">
        <v>1620</v>
      </c>
      <c r="K397" s="2" t="s">
        <v>1746</v>
      </c>
      <c r="L397" s="2" t="s">
        <v>1746</v>
      </c>
      <c r="M397" s="2" t="s">
        <v>1620</v>
      </c>
      <c r="N397" s="2" t="s">
        <v>1620</v>
      </c>
      <c r="O397" s="2" t="s">
        <v>1620</v>
      </c>
    </row>
    <row r="398" spans="1:15">
      <c r="A398" s="2" t="s">
        <v>1748</v>
      </c>
      <c r="B398" s="2" t="s">
        <v>1609</v>
      </c>
      <c r="C398" s="2" t="s">
        <v>1634</v>
      </c>
      <c r="D398" s="2" t="s">
        <v>2055</v>
      </c>
      <c r="E398" s="2" t="s">
        <v>1795</v>
      </c>
      <c r="F398" s="2" t="s">
        <v>1620</v>
      </c>
      <c r="G398" s="2" t="s">
        <v>2345</v>
      </c>
      <c r="H398" s="2" t="s">
        <v>1747</v>
      </c>
      <c r="I398" s="2" t="s">
        <v>1616</v>
      </c>
      <c r="J398" s="2" t="s">
        <v>1620</v>
      </c>
      <c r="K398" s="2" t="s">
        <v>1746</v>
      </c>
      <c r="L398" s="2" t="s">
        <v>1746</v>
      </c>
      <c r="M398" s="2" t="s">
        <v>1620</v>
      </c>
      <c r="N398" s="2" t="s">
        <v>1620</v>
      </c>
      <c r="O398" s="2" t="s">
        <v>1620</v>
      </c>
    </row>
    <row r="399" spans="1:15">
      <c r="A399" s="2" t="s">
        <v>1748</v>
      </c>
      <c r="B399" s="2" t="s">
        <v>1609</v>
      </c>
      <c r="C399" s="2" t="s">
        <v>1634</v>
      </c>
      <c r="D399" s="2" t="s">
        <v>2287</v>
      </c>
      <c r="E399" s="2" t="s">
        <v>1795</v>
      </c>
      <c r="F399" s="2" t="s">
        <v>1620</v>
      </c>
      <c r="G399" s="2" t="s">
        <v>1620</v>
      </c>
      <c r="H399" s="2" t="s">
        <v>1620</v>
      </c>
      <c r="I399" s="2" t="s">
        <v>1616</v>
      </c>
      <c r="J399" s="2" t="s">
        <v>1620</v>
      </c>
      <c r="K399" s="2" t="s">
        <v>1746</v>
      </c>
      <c r="L399" s="2" t="s">
        <v>1746</v>
      </c>
      <c r="M399" s="2" t="s">
        <v>1620</v>
      </c>
      <c r="N399" s="2" t="s">
        <v>1620</v>
      </c>
      <c r="O399" s="2" t="s">
        <v>1620</v>
      </c>
    </row>
    <row r="400" spans="1:15">
      <c r="A400" s="2" t="s">
        <v>1748</v>
      </c>
      <c r="B400" s="2" t="s">
        <v>1609</v>
      </c>
      <c r="C400" s="2" t="s">
        <v>1634</v>
      </c>
      <c r="D400" s="2" t="s">
        <v>1850</v>
      </c>
      <c r="E400" s="2" t="s">
        <v>1795</v>
      </c>
      <c r="F400" s="2" t="s">
        <v>1620</v>
      </c>
      <c r="G400" s="2" t="s">
        <v>2273</v>
      </c>
      <c r="H400" s="2" t="s">
        <v>1747</v>
      </c>
      <c r="I400" s="2" t="s">
        <v>1616</v>
      </c>
      <c r="J400" s="2" t="s">
        <v>1620</v>
      </c>
      <c r="K400" s="2" t="s">
        <v>1746</v>
      </c>
      <c r="L400" s="2" t="s">
        <v>1746</v>
      </c>
      <c r="M400" s="2" t="s">
        <v>1620</v>
      </c>
      <c r="N400" s="2" t="s">
        <v>1620</v>
      </c>
      <c r="O400" s="2" t="s">
        <v>1620</v>
      </c>
    </row>
    <row r="401" spans="1:15">
      <c r="A401" s="2" t="s">
        <v>1748</v>
      </c>
      <c r="B401" s="2" t="s">
        <v>1609</v>
      </c>
      <c r="C401" s="2" t="s">
        <v>1634</v>
      </c>
      <c r="D401" s="2" t="s">
        <v>1977</v>
      </c>
      <c r="E401" s="2" t="s">
        <v>1795</v>
      </c>
      <c r="F401" s="2" t="s">
        <v>1620</v>
      </c>
      <c r="G401" s="2" t="s">
        <v>2273</v>
      </c>
      <c r="H401" s="2" t="s">
        <v>1747</v>
      </c>
      <c r="I401" s="2" t="s">
        <v>1616</v>
      </c>
      <c r="J401" s="2" t="s">
        <v>1620</v>
      </c>
      <c r="K401" s="2" t="s">
        <v>1746</v>
      </c>
      <c r="L401" s="2" t="s">
        <v>1746</v>
      </c>
      <c r="M401" s="2" t="s">
        <v>1620</v>
      </c>
      <c r="N401" s="2" t="s">
        <v>1620</v>
      </c>
      <c r="O401" s="2" t="s">
        <v>1620</v>
      </c>
    </row>
    <row r="402" spans="1:15">
      <c r="A402" s="2" t="s">
        <v>1748</v>
      </c>
      <c r="B402" s="2" t="s">
        <v>1609</v>
      </c>
      <c r="C402" s="2" t="s">
        <v>1634</v>
      </c>
      <c r="D402" s="2" t="s">
        <v>2263</v>
      </c>
      <c r="E402" s="2" t="s">
        <v>1795</v>
      </c>
      <c r="F402" s="2" t="s">
        <v>1620</v>
      </c>
      <c r="G402" s="2" t="s">
        <v>2273</v>
      </c>
      <c r="H402" s="2" t="s">
        <v>1747</v>
      </c>
      <c r="I402" s="2" t="s">
        <v>1616</v>
      </c>
      <c r="J402" s="2" t="s">
        <v>1620</v>
      </c>
      <c r="K402" s="2" t="s">
        <v>1746</v>
      </c>
      <c r="L402" s="2" t="s">
        <v>1746</v>
      </c>
      <c r="M402" s="2" t="s">
        <v>1620</v>
      </c>
      <c r="N402" s="2" t="s">
        <v>1620</v>
      </c>
      <c r="O402" s="2" t="s">
        <v>1620</v>
      </c>
    </row>
    <row r="403" spans="1:15">
      <c r="A403" s="2" t="s">
        <v>1748</v>
      </c>
      <c r="B403" s="2" t="s">
        <v>1609</v>
      </c>
      <c r="C403" s="2" t="s">
        <v>1634</v>
      </c>
      <c r="D403" s="2" t="s">
        <v>1904</v>
      </c>
      <c r="E403" s="2" t="s">
        <v>1795</v>
      </c>
      <c r="F403" s="2" t="s">
        <v>1620</v>
      </c>
      <c r="G403" s="2" t="s">
        <v>1996</v>
      </c>
      <c r="H403" s="2" t="s">
        <v>1747</v>
      </c>
      <c r="I403" s="2" t="s">
        <v>1616</v>
      </c>
      <c r="J403" s="2" t="s">
        <v>1620</v>
      </c>
      <c r="K403" s="2" t="s">
        <v>1746</v>
      </c>
      <c r="L403" s="2" t="s">
        <v>1746</v>
      </c>
      <c r="M403" s="2" t="s">
        <v>1620</v>
      </c>
      <c r="N403" s="2" t="s">
        <v>1620</v>
      </c>
      <c r="O403" s="2" t="s">
        <v>1620</v>
      </c>
    </row>
    <row r="404" spans="1:15">
      <c r="A404" s="2" t="s">
        <v>1748</v>
      </c>
      <c r="B404" s="2" t="s">
        <v>1609</v>
      </c>
      <c r="C404" s="2" t="s">
        <v>1634</v>
      </c>
      <c r="D404" s="2" t="s">
        <v>2312</v>
      </c>
      <c r="E404" s="2" t="s">
        <v>1795</v>
      </c>
      <c r="F404" s="2" t="s">
        <v>1620</v>
      </c>
      <c r="G404" s="2" t="s">
        <v>1620</v>
      </c>
      <c r="H404" s="2" t="s">
        <v>1620</v>
      </c>
      <c r="I404" s="2" t="s">
        <v>1616</v>
      </c>
      <c r="J404" s="2" t="s">
        <v>1620</v>
      </c>
      <c r="K404" s="2" t="s">
        <v>1746</v>
      </c>
      <c r="L404" s="2" t="s">
        <v>1746</v>
      </c>
      <c r="M404" s="2" t="s">
        <v>1620</v>
      </c>
      <c r="N404" s="2" t="s">
        <v>1620</v>
      </c>
      <c r="O404" s="2" t="s">
        <v>1620</v>
      </c>
    </row>
    <row r="405" spans="1:15">
      <c r="A405" s="2" t="s">
        <v>1644</v>
      </c>
      <c r="B405" s="2" t="s">
        <v>1609</v>
      </c>
      <c r="C405" s="2" t="s">
        <v>1634</v>
      </c>
      <c r="D405" s="2" t="s">
        <v>1611</v>
      </c>
      <c r="E405" s="2" t="s">
        <v>1795</v>
      </c>
      <c r="F405" s="2" t="s">
        <v>1620</v>
      </c>
      <c r="G405" s="2" t="s">
        <v>2273</v>
      </c>
      <c r="H405" s="2" t="s">
        <v>1747</v>
      </c>
      <c r="I405" s="2" t="s">
        <v>1616</v>
      </c>
      <c r="J405" s="2" t="s">
        <v>1620</v>
      </c>
      <c r="K405" s="2" t="s">
        <v>1746</v>
      </c>
      <c r="L405" s="2" t="s">
        <v>1746</v>
      </c>
      <c r="M405" s="2" t="s">
        <v>1620</v>
      </c>
      <c r="N405" s="2" t="s">
        <v>1620</v>
      </c>
      <c r="O405" s="2" t="s">
        <v>1620</v>
      </c>
    </row>
    <row r="406" spans="1:15" hidden="1">
      <c r="A406" s="2" t="s">
        <v>1923</v>
      </c>
      <c r="B406" s="2" t="s">
        <v>1609</v>
      </c>
      <c r="C406" s="2" t="s">
        <v>1634</v>
      </c>
      <c r="D406" s="2" t="s">
        <v>2296</v>
      </c>
      <c r="E406" s="2" t="s">
        <v>1795</v>
      </c>
      <c r="F406" s="2" t="s">
        <v>1620</v>
      </c>
      <c r="G406" s="2" t="s">
        <v>2012</v>
      </c>
      <c r="H406" s="2" t="s">
        <v>1747</v>
      </c>
      <c r="I406" s="2" t="s">
        <v>1616</v>
      </c>
      <c r="J406" s="2" t="s">
        <v>1620</v>
      </c>
      <c r="K406" s="2" t="s">
        <v>1746</v>
      </c>
      <c r="L406" s="2" t="s">
        <v>1746</v>
      </c>
      <c r="M406" s="2" t="s">
        <v>1620</v>
      </c>
      <c r="N406" s="2" t="s">
        <v>1620</v>
      </c>
      <c r="O406" s="2" t="s">
        <v>1620</v>
      </c>
    </row>
    <row r="407" spans="1:15" hidden="1">
      <c r="A407" s="2" t="s">
        <v>1923</v>
      </c>
      <c r="B407" s="2" t="s">
        <v>1609</v>
      </c>
      <c r="C407" s="2" t="s">
        <v>1634</v>
      </c>
      <c r="D407" s="2" t="s">
        <v>1695</v>
      </c>
      <c r="E407" s="2" t="s">
        <v>1795</v>
      </c>
      <c r="F407" s="2" t="s">
        <v>1620</v>
      </c>
      <c r="G407" s="2" t="s">
        <v>2273</v>
      </c>
      <c r="H407" s="2" t="s">
        <v>1747</v>
      </c>
      <c r="I407" s="2" t="s">
        <v>1616</v>
      </c>
      <c r="J407" s="2" t="s">
        <v>1620</v>
      </c>
      <c r="K407" s="2" t="s">
        <v>1746</v>
      </c>
      <c r="L407" s="2" t="s">
        <v>1746</v>
      </c>
      <c r="M407" s="2" t="s">
        <v>1620</v>
      </c>
      <c r="N407" s="2" t="s">
        <v>1620</v>
      </c>
      <c r="O407" s="2" t="s">
        <v>1620</v>
      </c>
    </row>
    <row r="408" spans="1:15" hidden="1">
      <c r="A408" s="2" t="s">
        <v>1923</v>
      </c>
      <c r="B408" s="2" t="s">
        <v>1609</v>
      </c>
      <c r="C408" s="2" t="s">
        <v>1634</v>
      </c>
      <c r="D408" s="2" t="s">
        <v>2247</v>
      </c>
      <c r="E408" s="2" t="s">
        <v>1795</v>
      </c>
      <c r="F408" s="2" t="s">
        <v>1620</v>
      </c>
      <c r="G408" s="2" t="s">
        <v>2345</v>
      </c>
      <c r="H408" s="2" t="s">
        <v>1747</v>
      </c>
      <c r="I408" s="2" t="s">
        <v>1616</v>
      </c>
      <c r="J408" s="2" t="s">
        <v>1620</v>
      </c>
      <c r="K408" s="2" t="s">
        <v>1746</v>
      </c>
      <c r="L408" s="2" t="s">
        <v>1746</v>
      </c>
      <c r="M408" s="2" t="s">
        <v>1620</v>
      </c>
      <c r="N408" s="2" t="s">
        <v>1620</v>
      </c>
      <c r="O408" s="2" t="s">
        <v>1620</v>
      </c>
    </row>
    <row r="409" spans="1:15" hidden="1">
      <c r="A409" s="2" t="s">
        <v>1923</v>
      </c>
      <c r="B409" s="2" t="s">
        <v>1609</v>
      </c>
      <c r="C409" s="2" t="s">
        <v>1634</v>
      </c>
      <c r="D409" s="2" t="s">
        <v>2366</v>
      </c>
      <c r="E409" s="2" t="s">
        <v>1795</v>
      </c>
      <c r="F409" s="2" t="s">
        <v>1620</v>
      </c>
      <c r="G409" s="2" t="s">
        <v>2276</v>
      </c>
      <c r="H409" s="2" t="s">
        <v>1747</v>
      </c>
      <c r="I409" s="2" t="s">
        <v>1616</v>
      </c>
      <c r="J409" s="2" t="s">
        <v>1620</v>
      </c>
      <c r="K409" s="2" t="s">
        <v>1746</v>
      </c>
      <c r="L409" s="2" t="s">
        <v>1746</v>
      </c>
      <c r="M409" s="2" t="s">
        <v>1620</v>
      </c>
      <c r="N409" s="2" t="s">
        <v>1620</v>
      </c>
      <c r="O409" s="2" t="s">
        <v>1620</v>
      </c>
    </row>
    <row r="410" spans="1:15" hidden="1">
      <c r="A410" s="2" t="s">
        <v>1923</v>
      </c>
      <c r="B410" s="2" t="s">
        <v>1609</v>
      </c>
      <c r="C410" s="2" t="s">
        <v>1634</v>
      </c>
      <c r="D410" s="2" t="s">
        <v>2337</v>
      </c>
      <c r="E410" s="2" t="s">
        <v>1795</v>
      </c>
      <c r="F410" s="2" t="s">
        <v>1620</v>
      </c>
      <c r="G410" s="2" t="s">
        <v>2229</v>
      </c>
      <c r="H410" s="2" t="s">
        <v>1747</v>
      </c>
      <c r="I410" s="2" t="s">
        <v>1616</v>
      </c>
      <c r="J410" s="2" t="s">
        <v>1620</v>
      </c>
      <c r="K410" s="2" t="s">
        <v>1746</v>
      </c>
      <c r="L410" s="2" t="s">
        <v>1746</v>
      </c>
      <c r="M410" s="2" t="s">
        <v>1620</v>
      </c>
      <c r="N410" s="2" t="s">
        <v>1620</v>
      </c>
      <c r="O410" s="2" t="s">
        <v>1620</v>
      </c>
    </row>
    <row r="411" spans="1:15" hidden="1">
      <c r="A411" s="2" t="s">
        <v>1923</v>
      </c>
      <c r="B411" s="2" t="s">
        <v>1609</v>
      </c>
      <c r="C411" s="2" t="s">
        <v>1634</v>
      </c>
      <c r="D411" s="2" t="s">
        <v>2414</v>
      </c>
      <c r="E411" s="2" t="s">
        <v>1795</v>
      </c>
      <c r="F411" s="2" t="s">
        <v>1620</v>
      </c>
      <c r="G411" s="2" t="s">
        <v>1620</v>
      </c>
      <c r="H411" s="2" t="s">
        <v>1620</v>
      </c>
      <c r="I411" s="2" t="s">
        <v>1616</v>
      </c>
      <c r="J411" s="2" t="s">
        <v>1620</v>
      </c>
      <c r="K411" s="2" t="s">
        <v>1746</v>
      </c>
      <c r="L411" s="2" t="s">
        <v>1746</v>
      </c>
      <c r="M411" s="2" t="s">
        <v>1620</v>
      </c>
      <c r="N411" s="2" t="s">
        <v>1620</v>
      </c>
      <c r="O411" s="2" t="s">
        <v>1620</v>
      </c>
    </row>
    <row r="412" spans="1:15" hidden="1">
      <c r="A412" s="2" t="s">
        <v>1923</v>
      </c>
      <c r="B412" s="2" t="s">
        <v>1609</v>
      </c>
      <c r="C412" s="2" t="s">
        <v>1634</v>
      </c>
      <c r="D412" s="2" t="s">
        <v>2001</v>
      </c>
      <c r="E412" s="2" t="s">
        <v>1795</v>
      </c>
      <c r="F412" s="2" t="s">
        <v>1620</v>
      </c>
      <c r="G412" s="2" t="s">
        <v>2176</v>
      </c>
      <c r="H412" s="2" t="s">
        <v>1747</v>
      </c>
      <c r="I412" s="2" t="s">
        <v>1616</v>
      </c>
      <c r="J412" s="2" t="s">
        <v>1620</v>
      </c>
      <c r="K412" s="2" t="s">
        <v>1746</v>
      </c>
      <c r="L412" s="2" t="s">
        <v>1746</v>
      </c>
      <c r="M412" s="2" t="s">
        <v>1620</v>
      </c>
      <c r="N412" s="2" t="s">
        <v>1620</v>
      </c>
      <c r="O412" s="2" t="s">
        <v>1620</v>
      </c>
    </row>
    <row r="413" spans="1:15" hidden="1">
      <c r="A413" s="2" t="s">
        <v>1923</v>
      </c>
      <c r="B413" s="2" t="s">
        <v>1609</v>
      </c>
      <c r="C413" s="2" t="s">
        <v>1634</v>
      </c>
      <c r="D413" s="2" t="s">
        <v>2135</v>
      </c>
      <c r="E413" s="2" t="s">
        <v>1795</v>
      </c>
      <c r="F413" s="2" t="s">
        <v>1620</v>
      </c>
      <c r="G413" s="2" t="s">
        <v>1996</v>
      </c>
      <c r="H413" s="2" t="s">
        <v>1747</v>
      </c>
      <c r="I413" s="2" t="s">
        <v>1616</v>
      </c>
      <c r="J413" s="2" t="s">
        <v>1620</v>
      </c>
      <c r="K413" s="2" t="s">
        <v>1746</v>
      </c>
      <c r="L413" s="2" t="s">
        <v>1746</v>
      </c>
      <c r="M413" s="2" t="s">
        <v>1620</v>
      </c>
      <c r="N413" s="2" t="s">
        <v>1620</v>
      </c>
      <c r="O413" s="2" t="s">
        <v>1620</v>
      </c>
    </row>
    <row r="414" spans="1:15" hidden="1">
      <c r="A414" s="2" t="s">
        <v>1923</v>
      </c>
      <c r="B414" s="2" t="s">
        <v>1609</v>
      </c>
      <c r="C414" s="2" t="s">
        <v>1634</v>
      </c>
      <c r="D414" s="2" t="s">
        <v>2194</v>
      </c>
      <c r="E414" s="2" t="s">
        <v>1795</v>
      </c>
      <c r="F414" s="2" t="s">
        <v>1620</v>
      </c>
      <c r="G414" s="2" t="s">
        <v>2030</v>
      </c>
      <c r="H414" s="2" t="s">
        <v>1747</v>
      </c>
      <c r="I414" s="2" t="s">
        <v>1616</v>
      </c>
      <c r="J414" s="2" t="s">
        <v>1620</v>
      </c>
      <c r="K414" s="2" t="s">
        <v>1746</v>
      </c>
      <c r="L414" s="2" t="s">
        <v>1746</v>
      </c>
      <c r="M414" s="2" t="s">
        <v>1620</v>
      </c>
      <c r="N414" s="2" t="s">
        <v>1620</v>
      </c>
      <c r="O414" s="2" t="s">
        <v>1620</v>
      </c>
    </row>
    <row r="415" spans="1:15" hidden="1">
      <c r="A415" s="2" t="s">
        <v>1923</v>
      </c>
      <c r="B415" s="2" t="s">
        <v>1609</v>
      </c>
      <c r="C415" s="2" t="s">
        <v>1634</v>
      </c>
      <c r="D415" s="2" t="s">
        <v>2338</v>
      </c>
      <c r="E415" s="2" t="s">
        <v>1795</v>
      </c>
      <c r="F415" s="2" t="s">
        <v>1620</v>
      </c>
      <c r="G415" s="2" t="s">
        <v>2345</v>
      </c>
      <c r="H415" s="2" t="s">
        <v>1747</v>
      </c>
      <c r="I415" s="2" t="s">
        <v>1616</v>
      </c>
      <c r="J415" s="2" t="s">
        <v>1620</v>
      </c>
      <c r="K415" s="2" t="s">
        <v>1746</v>
      </c>
      <c r="L415" s="2" t="s">
        <v>1746</v>
      </c>
      <c r="M415" s="2" t="s">
        <v>1620</v>
      </c>
      <c r="N415" s="2" t="s">
        <v>1620</v>
      </c>
      <c r="O415" s="2" t="s">
        <v>1620</v>
      </c>
    </row>
    <row r="416" spans="1:15" hidden="1">
      <c r="A416" s="2" t="s">
        <v>1923</v>
      </c>
      <c r="B416" s="2" t="s">
        <v>1609</v>
      </c>
      <c r="C416" s="2" t="s">
        <v>1634</v>
      </c>
      <c r="D416" s="2" t="s">
        <v>1685</v>
      </c>
      <c r="E416" s="2" t="s">
        <v>1795</v>
      </c>
      <c r="F416" s="2" t="s">
        <v>1620</v>
      </c>
      <c r="G416" s="2" t="s">
        <v>2030</v>
      </c>
      <c r="H416" s="2" t="s">
        <v>1747</v>
      </c>
      <c r="I416" s="2" t="s">
        <v>1616</v>
      </c>
      <c r="J416" s="2" t="s">
        <v>1620</v>
      </c>
      <c r="K416" s="2" t="s">
        <v>1746</v>
      </c>
      <c r="L416" s="2" t="s">
        <v>1746</v>
      </c>
      <c r="M416" s="2" t="s">
        <v>1620</v>
      </c>
      <c r="N416" s="2" t="s">
        <v>1620</v>
      </c>
      <c r="O416" s="2" t="s">
        <v>1620</v>
      </c>
    </row>
    <row r="417" spans="1:15" hidden="1">
      <c r="A417" s="2" t="s">
        <v>1923</v>
      </c>
      <c r="B417" s="2" t="s">
        <v>1609</v>
      </c>
      <c r="C417" s="2" t="s">
        <v>1634</v>
      </c>
      <c r="D417" s="2" t="s">
        <v>2303</v>
      </c>
      <c r="E417" s="2" t="s">
        <v>1795</v>
      </c>
      <c r="F417" s="2" t="s">
        <v>1620</v>
      </c>
      <c r="G417" s="2" t="s">
        <v>2273</v>
      </c>
      <c r="H417" s="2" t="s">
        <v>1747</v>
      </c>
      <c r="I417" s="2" t="s">
        <v>1616</v>
      </c>
      <c r="J417" s="2" t="s">
        <v>1620</v>
      </c>
      <c r="K417" s="2" t="s">
        <v>1746</v>
      </c>
      <c r="L417" s="2" t="s">
        <v>1746</v>
      </c>
      <c r="M417" s="2" t="s">
        <v>1620</v>
      </c>
      <c r="N417" s="2" t="s">
        <v>1620</v>
      </c>
      <c r="O417" s="2" t="s">
        <v>1620</v>
      </c>
    </row>
    <row r="418" spans="1:15" hidden="1">
      <c r="A418" s="2" t="s">
        <v>1923</v>
      </c>
      <c r="B418" s="2" t="s">
        <v>1609</v>
      </c>
      <c r="C418" s="2" t="s">
        <v>1634</v>
      </c>
      <c r="D418" s="2" t="s">
        <v>2426</v>
      </c>
      <c r="E418" s="2" t="s">
        <v>1795</v>
      </c>
      <c r="F418" s="2" t="s">
        <v>1620</v>
      </c>
      <c r="G418" s="2" t="s">
        <v>1620</v>
      </c>
      <c r="H418" s="2" t="s">
        <v>1620</v>
      </c>
      <c r="I418" s="2" t="s">
        <v>1616</v>
      </c>
      <c r="J418" s="2" t="s">
        <v>1620</v>
      </c>
      <c r="K418" s="2" t="s">
        <v>1746</v>
      </c>
      <c r="L418" s="2" t="s">
        <v>1746</v>
      </c>
      <c r="M418" s="2" t="s">
        <v>1620</v>
      </c>
      <c r="N418" s="2" t="s">
        <v>1620</v>
      </c>
      <c r="O418" s="2" t="s">
        <v>1620</v>
      </c>
    </row>
    <row r="419" spans="1:15" hidden="1">
      <c r="A419" s="2" t="s">
        <v>1923</v>
      </c>
      <c r="B419" s="2" t="s">
        <v>1609</v>
      </c>
      <c r="C419" s="2" t="s">
        <v>1634</v>
      </c>
      <c r="D419" s="2" t="s">
        <v>2249</v>
      </c>
      <c r="E419" s="2" t="s">
        <v>1795</v>
      </c>
      <c r="F419" s="2" t="s">
        <v>1620</v>
      </c>
      <c r="G419" s="2" t="s">
        <v>2030</v>
      </c>
      <c r="H419" s="2" t="s">
        <v>1747</v>
      </c>
      <c r="I419" s="2" t="s">
        <v>1616</v>
      </c>
      <c r="J419" s="2" t="s">
        <v>1620</v>
      </c>
      <c r="K419" s="2" t="s">
        <v>1746</v>
      </c>
      <c r="L419" s="2" t="s">
        <v>1746</v>
      </c>
      <c r="M419" s="2" t="s">
        <v>1620</v>
      </c>
      <c r="N419" s="2" t="s">
        <v>1620</v>
      </c>
      <c r="O419" s="2" t="s">
        <v>1620</v>
      </c>
    </row>
    <row r="420" spans="1:15" hidden="1">
      <c r="A420" s="2" t="s">
        <v>1923</v>
      </c>
      <c r="B420" s="2" t="s">
        <v>1609</v>
      </c>
      <c r="C420" s="2" t="s">
        <v>1634</v>
      </c>
      <c r="D420" s="2" t="s">
        <v>2353</v>
      </c>
      <c r="E420" s="2" t="s">
        <v>1795</v>
      </c>
      <c r="F420" s="2" t="s">
        <v>1620</v>
      </c>
      <c r="G420" s="2" t="s">
        <v>2273</v>
      </c>
      <c r="H420" s="2" t="s">
        <v>1747</v>
      </c>
      <c r="I420" s="2" t="s">
        <v>1616</v>
      </c>
      <c r="J420" s="2" t="s">
        <v>1620</v>
      </c>
      <c r="K420" s="2" t="s">
        <v>1746</v>
      </c>
      <c r="L420" s="2" t="s">
        <v>1746</v>
      </c>
      <c r="M420" s="2" t="s">
        <v>1620</v>
      </c>
      <c r="N420" s="2" t="s">
        <v>1620</v>
      </c>
      <c r="O420" s="2" t="s">
        <v>1620</v>
      </c>
    </row>
    <row r="421" spans="1:15" hidden="1">
      <c r="A421" s="2" t="s">
        <v>1923</v>
      </c>
      <c r="B421" s="2" t="s">
        <v>1609</v>
      </c>
      <c r="C421" s="2" t="s">
        <v>1634</v>
      </c>
      <c r="D421" s="2" t="s">
        <v>2252</v>
      </c>
      <c r="E421" s="2" t="s">
        <v>1795</v>
      </c>
      <c r="F421" s="2" t="s">
        <v>1620</v>
      </c>
      <c r="G421" s="2" t="s">
        <v>2074</v>
      </c>
      <c r="H421" s="2" t="s">
        <v>1747</v>
      </c>
      <c r="I421" s="2" t="s">
        <v>1616</v>
      </c>
      <c r="J421" s="2" t="s">
        <v>1620</v>
      </c>
      <c r="K421" s="2" t="s">
        <v>1746</v>
      </c>
      <c r="L421" s="2" t="s">
        <v>1746</v>
      </c>
      <c r="M421" s="2" t="s">
        <v>1620</v>
      </c>
      <c r="N421" s="2" t="s">
        <v>1620</v>
      </c>
      <c r="O421" s="2" t="s">
        <v>1620</v>
      </c>
    </row>
    <row r="422" spans="1:15" hidden="1">
      <c r="A422" s="2" t="s">
        <v>1923</v>
      </c>
      <c r="B422" s="2" t="s">
        <v>1609</v>
      </c>
      <c r="C422" s="2" t="s">
        <v>1634</v>
      </c>
      <c r="D422" s="2" t="s">
        <v>1962</v>
      </c>
      <c r="E422" s="2" t="s">
        <v>1795</v>
      </c>
      <c r="F422" s="2" t="s">
        <v>1620</v>
      </c>
      <c r="G422" s="2" t="s">
        <v>2030</v>
      </c>
      <c r="H422" s="2" t="s">
        <v>1747</v>
      </c>
      <c r="I422" s="2" t="s">
        <v>1616</v>
      </c>
      <c r="J422" s="2" t="s">
        <v>1620</v>
      </c>
      <c r="K422" s="2" t="s">
        <v>1746</v>
      </c>
      <c r="L422" s="2" t="s">
        <v>1746</v>
      </c>
      <c r="M422" s="2" t="s">
        <v>1620</v>
      </c>
      <c r="N422" s="2" t="s">
        <v>1620</v>
      </c>
      <c r="O422" s="2" t="s">
        <v>1620</v>
      </c>
    </row>
    <row r="423" spans="1:15" hidden="1">
      <c r="A423" s="2" t="s">
        <v>1923</v>
      </c>
      <c r="B423" s="2" t="s">
        <v>1609</v>
      </c>
      <c r="C423" s="2" t="s">
        <v>1634</v>
      </c>
      <c r="D423" s="2" t="s">
        <v>2259</v>
      </c>
      <c r="E423" s="2" t="s">
        <v>1795</v>
      </c>
      <c r="F423" s="2" t="s">
        <v>1620</v>
      </c>
      <c r="G423" s="2" t="s">
        <v>2229</v>
      </c>
      <c r="H423" s="2" t="s">
        <v>1747</v>
      </c>
      <c r="I423" s="2" t="s">
        <v>1616</v>
      </c>
      <c r="J423" s="2" t="s">
        <v>1620</v>
      </c>
      <c r="K423" s="2" t="s">
        <v>1746</v>
      </c>
      <c r="L423" s="2" t="s">
        <v>1746</v>
      </c>
      <c r="M423" s="2" t="s">
        <v>1620</v>
      </c>
      <c r="N423" s="2" t="s">
        <v>1620</v>
      </c>
      <c r="O423" s="2" t="s">
        <v>1620</v>
      </c>
    </row>
    <row r="424" spans="1:15" hidden="1">
      <c r="A424" s="2" t="s">
        <v>1923</v>
      </c>
      <c r="B424" s="2" t="s">
        <v>1609</v>
      </c>
      <c r="C424" s="2" t="s">
        <v>1634</v>
      </c>
      <c r="D424" s="2" t="s">
        <v>2420</v>
      </c>
      <c r="E424" s="2" t="s">
        <v>1795</v>
      </c>
      <c r="F424" s="2" t="s">
        <v>1620</v>
      </c>
      <c r="G424" s="2" t="s">
        <v>2273</v>
      </c>
      <c r="H424" s="2" t="s">
        <v>1747</v>
      </c>
      <c r="I424" s="2" t="s">
        <v>1616</v>
      </c>
      <c r="J424" s="2" t="s">
        <v>1620</v>
      </c>
      <c r="K424" s="2" t="s">
        <v>1746</v>
      </c>
      <c r="L424" s="2" t="s">
        <v>1746</v>
      </c>
      <c r="M424" s="2" t="s">
        <v>1620</v>
      </c>
      <c r="N424" s="2" t="s">
        <v>1620</v>
      </c>
      <c r="O424" s="2" t="s">
        <v>1620</v>
      </c>
    </row>
    <row r="425" spans="1:15" hidden="1">
      <c r="A425" s="2" t="s">
        <v>1923</v>
      </c>
      <c r="B425" s="2" t="s">
        <v>1609</v>
      </c>
      <c r="C425" s="2" t="s">
        <v>1634</v>
      </c>
      <c r="D425" s="2" t="s">
        <v>2306</v>
      </c>
      <c r="E425" s="2" t="s">
        <v>1795</v>
      </c>
      <c r="F425" s="2" t="s">
        <v>1620</v>
      </c>
      <c r="G425" s="2" t="s">
        <v>1620</v>
      </c>
      <c r="H425" s="2" t="s">
        <v>1620</v>
      </c>
      <c r="I425" s="2" t="s">
        <v>1616</v>
      </c>
      <c r="J425" s="2" t="s">
        <v>1620</v>
      </c>
      <c r="K425" s="2" t="s">
        <v>1746</v>
      </c>
      <c r="L425" s="2" t="s">
        <v>1746</v>
      </c>
      <c r="M425" s="2" t="s">
        <v>1620</v>
      </c>
      <c r="N425" s="2" t="s">
        <v>1620</v>
      </c>
      <c r="O425" s="2" t="s">
        <v>1620</v>
      </c>
    </row>
    <row r="426" spans="1:15" hidden="1">
      <c r="A426" s="2" t="s">
        <v>1923</v>
      </c>
      <c r="B426" s="2" t="s">
        <v>1609</v>
      </c>
      <c r="C426" s="2" t="s">
        <v>1634</v>
      </c>
      <c r="D426" s="2" t="s">
        <v>2055</v>
      </c>
      <c r="E426" s="2" t="s">
        <v>1795</v>
      </c>
      <c r="F426" s="2" t="s">
        <v>1620</v>
      </c>
      <c r="G426" s="2" t="s">
        <v>1946</v>
      </c>
      <c r="H426" s="2" t="s">
        <v>1747</v>
      </c>
      <c r="I426" s="2" t="s">
        <v>1616</v>
      </c>
      <c r="J426" s="2" t="s">
        <v>1620</v>
      </c>
      <c r="K426" s="2" t="s">
        <v>1746</v>
      </c>
      <c r="L426" s="2" t="s">
        <v>1746</v>
      </c>
      <c r="M426" s="2" t="s">
        <v>1620</v>
      </c>
      <c r="N426" s="2" t="s">
        <v>1620</v>
      </c>
      <c r="O426" s="2" t="s">
        <v>1620</v>
      </c>
    </row>
    <row r="427" spans="1:15" hidden="1">
      <c r="A427" s="2" t="s">
        <v>1923</v>
      </c>
      <c r="B427" s="2" t="s">
        <v>1609</v>
      </c>
      <c r="C427" s="2" t="s">
        <v>1634</v>
      </c>
      <c r="D427" s="2" t="s">
        <v>2427</v>
      </c>
      <c r="E427" s="2" t="s">
        <v>1795</v>
      </c>
      <c r="F427" s="2" t="s">
        <v>1620</v>
      </c>
      <c r="G427" s="2" t="s">
        <v>2273</v>
      </c>
      <c r="H427" s="2" t="s">
        <v>1747</v>
      </c>
      <c r="I427" s="2" t="s">
        <v>1616</v>
      </c>
      <c r="J427" s="2" t="s">
        <v>1620</v>
      </c>
      <c r="K427" s="2" t="s">
        <v>1746</v>
      </c>
      <c r="L427" s="2" t="s">
        <v>1746</v>
      </c>
      <c r="M427" s="2" t="s">
        <v>1620</v>
      </c>
      <c r="N427" s="2" t="s">
        <v>1620</v>
      </c>
      <c r="O427" s="2" t="s">
        <v>1620</v>
      </c>
    </row>
    <row r="428" spans="1:15" hidden="1">
      <c r="A428" s="2" t="s">
        <v>1923</v>
      </c>
      <c r="B428" s="2" t="s">
        <v>1609</v>
      </c>
      <c r="C428" s="2" t="s">
        <v>1634</v>
      </c>
      <c r="D428" s="2" t="s">
        <v>2378</v>
      </c>
      <c r="E428" s="2" t="s">
        <v>1795</v>
      </c>
      <c r="F428" s="2" t="s">
        <v>1620</v>
      </c>
      <c r="G428" s="2" t="s">
        <v>2074</v>
      </c>
      <c r="H428" s="2" t="s">
        <v>1747</v>
      </c>
      <c r="I428" s="2" t="s">
        <v>1616</v>
      </c>
      <c r="J428" s="2" t="s">
        <v>1620</v>
      </c>
      <c r="K428" s="2" t="s">
        <v>1746</v>
      </c>
      <c r="L428" s="2" t="s">
        <v>1746</v>
      </c>
      <c r="M428" s="2" t="s">
        <v>1620</v>
      </c>
      <c r="N428" s="2" t="s">
        <v>1620</v>
      </c>
      <c r="O428" s="2" t="s">
        <v>1620</v>
      </c>
    </row>
    <row r="429" spans="1:15" hidden="1">
      <c r="A429" s="2" t="s">
        <v>1923</v>
      </c>
      <c r="B429" s="2" t="s">
        <v>1609</v>
      </c>
      <c r="C429" s="2" t="s">
        <v>1634</v>
      </c>
      <c r="D429" s="2" t="s">
        <v>2217</v>
      </c>
      <c r="E429" s="2" t="s">
        <v>1795</v>
      </c>
      <c r="F429" s="2" t="s">
        <v>1620</v>
      </c>
      <c r="G429" s="2" t="s">
        <v>1896</v>
      </c>
      <c r="H429" s="2" t="s">
        <v>1747</v>
      </c>
      <c r="I429" s="2" t="s">
        <v>1616</v>
      </c>
      <c r="J429" s="2" t="s">
        <v>1620</v>
      </c>
      <c r="K429" s="2" t="s">
        <v>1746</v>
      </c>
      <c r="L429" s="2" t="s">
        <v>1746</v>
      </c>
      <c r="M429" s="2" t="s">
        <v>1620</v>
      </c>
      <c r="N429" s="2" t="s">
        <v>1620</v>
      </c>
      <c r="O429" s="2" t="s">
        <v>1620</v>
      </c>
    </row>
    <row r="430" spans="1:15" hidden="1">
      <c r="A430" s="2" t="s">
        <v>1923</v>
      </c>
      <c r="B430" s="2" t="s">
        <v>1609</v>
      </c>
      <c r="C430" s="2" t="s">
        <v>1634</v>
      </c>
      <c r="D430" s="2" t="s">
        <v>2309</v>
      </c>
      <c r="E430" s="2" t="s">
        <v>1795</v>
      </c>
      <c r="F430" s="2" t="s">
        <v>1620</v>
      </c>
      <c r="G430" s="2" t="s">
        <v>2345</v>
      </c>
      <c r="H430" s="2" t="s">
        <v>1747</v>
      </c>
      <c r="I430" s="2" t="s">
        <v>1616</v>
      </c>
      <c r="J430" s="2" t="s">
        <v>1620</v>
      </c>
      <c r="K430" s="2" t="s">
        <v>1746</v>
      </c>
      <c r="L430" s="2" t="s">
        <v>1746</v>
      </c>
      <c r="M430" s="2" t="s">
        <v>1620</v>
      </c>
      <c r="N430" s="2" t="s">
        <v>1620</v>
      </c>
      <c r="O430" s="2" t="s">
        <v>1620</v>
      </c>
    </row>
    <row r="431" spans="1:15" hidden="1">
      <c r="A431" s="2" t="s">
        <v>1923</v>
      </c>
      <c r="B431" s="2" t="s">
        <v>1609</v>
      </c>
      <c r="C431" s="2" t="s">
        <v>1634</v>
      </c>
      <c r="D431" s="2" t="s">
        <v>2355</v>
      </c>
      <c r="E431" s="2" t="s">
        <v>1795</v>
      </c>
      <c r="F431" s="2" t="s">
        <v>1620</v>
      </c>
      <c r="G431" s="2" t="s">
        <v>2074</v>
      </c>
      <c r="H431" s="2" t="s">
        <v>1747</v>
      </c>
      <c r="I431" s="2" t="s">
        <v>1616</v>
      </c>
      <c r="J431" s="2" t="s">
        <v>1620</v>
      </c>
      <c r="K431" s="2" t="s">
        <v>1746</v>
      </c>
      <c r="L431" s="2" t="s">
        <v>1746</v>
      </c>
      <c r="M431" s="2" t="s">
        <v>1620</v>
      </c>
      <c r="N431" s="2" t="s">
        <v>1620</v>
      </c>
      <c r="O431" s="2" t="s">
        <v>1620</v>
      </c>
    </row>
    <row r="432" spans="1:15" hidden="1">
      <c r="A432" s="2" t="s">
        <v>1923</v>
      </c>
      <c r="B432" s="2" t="s">
        <v>1609</v>
      </c>
      <c r="C432" s="2" t="s">
        <v>1634</v>
      </c>
      <c r="D432" s="2" t="s">
        <v>2401</v>
      </c>
      <c r="E432" s="2" t="s">
        <v>1795</v>
      </c>
      <c r="F432" s="2" t="s">
        <v>1620</v>
      </c>
      <c r="G432" s="2" t="s">
        <v>2273</v>
      </c>
      <c r="H432" s="2" t="s">
        <v>1747</v>
      </c>
      <c r="I432" s="2" t="s">
        <v>1616</v>
      </c>
      <c r="J432" s="2" t="s">
        <v>1620</v>
      </c>
      <c r="K432" s="2" t="s">
        <v>1746</v>
      </c>
      <c r="L432" s="2" t="s">
        <v>1746</v>
      </c>
      <c r="M432" s="2" t="s">
        <v>1620</v>
      </c>
      <c r="N432" s="2" t="s">
        <v>1620</v>
      </c>
      <c r="O432" s="2" t="s">
        <v>1620</v>
      </c>
    </row>
    <row r="433" spans="1:15" hidden="1">
      <c r="A433" s="2" t="s">
        <v>1923</v>
      </c>
      <c r="B433" s="2" t="s">
        <v>1609</v>
      </c>
      <c r="C433" s="2" t="s">
        <v>1634</v>
      </c>
      <c r="D433" s="2" t="s">
        <v>2115</v>
      </c>
      <c r="E433" s="2" t="s">
        <v>1795</v>
      </c>
      <c r="F433" s="2" t="s">
        <v>1620</v>
      </c>
      <c r="G433" s="2" t="s">
        <v>2345</v>
      </c>
      <c r="H433" s="2" t="s">
        <v>1747</v>
      </c>
      <c r="I433" s="2" t="s">
        <v>1616</v>
      </c>
      <c r="J433" s="2" t="s">
        <v>1620</v>
      </c>
      <c r="K433" s="2" t="s">
        <v>1746</v>
      </c>
      <c r="L433" s="2" t="s">
        <v>1746</v>
      </c>
      <c r="M433" s="2" t="s">
        <v>1620</v>
      </c>
      <c r="N433" s="2" t="s">
        <v>1620</v>
      </c>
      <c r="O433" s="2" t="s">
        <v>1620</v>
      </c>
    </row>
    <row r="434" spans="1:15" hidden="1">
      <c r="A434" s="2" t="s">
        <v>1923</v>
      </c>
      <c r="B434" s="2" t="s">
        <v>1609</v>
      </c>
      <c r="C434" s="2" t="s">
        <v>1634</v>
      </c>
      <c r="D434" s="2" t="s">
        <v>2428</v>
      </c>
      <c r="E434" s="2" t="s">
        <v>1795</v>
      </c>
      <c r="F434" s="2" t="s">
        <v>1620</v>
      </c>
      <c r="G434" s="2" t="s">
        <v>1620</v>
      </c>
      <c r="H434" s="2" t="s">
        <v>1620</v>
      </c>
      <c r="I434" s="2" t="s">
        <v>1616</v>
      </c>
      <c r="J434" s="2" t="s">
        <v>1620</v>
      </c>
      <c r="K434" s="2" t="s">
        <v>1746</v>
      </c>
      <c r="L434" s="2" t="s">
        <v>1746</v>
      </c>
      <c r="M434" s="2" t="s">
        <v>1620</v>
      </c>
      <c r="N434" s="2" t="s">
        <v>1620</v>
      </c>
      <c r="O434" s="2" t="s">
        <v>1620</v>
      </c>
    </row>
    <row r="435" spans="1:15" hidden="1">
      <c r="A435" s="2" t="s">
        <v>1923</v>
      </c>
      <c r="B435" s="2" t="s">
        <v>1609</v>
      </c>
      <c r="C435" s="2" t="s">
        <v>1634</v>
      </c>
      <c r="D435" s="2" t="s">
        <v>1951</v>
      </c>
      <c r="E435" s="2" t="s">
        <v>1795</v>
      </c>
      <c r="F435" s="2" t="s">
        <v>1620</v>
      </c>
      <c r="G435" s="2" t="s">
        <v>1620</v>
      </c>
      <c r="H435" s="2" t="s">
        <v>1620</v>
      </c>
      <c r="I435" s="2" t="s">
        <v>1616</v>
      </c>
      <c r="J435" s="2" t="s">
        <v>1620</v>
      </c>
      <c r="K435" s="2" t="s">
        <v>1746</v>
      </c>
      <c r="L435" s="2" t="s">
        <v>1746</v>
      </c>
      <c r="M435" s="2" t="s">
        <v>1620</v>
      </c>
      <c r="N435" s="2" t="s">
        <v>1620</v>
      </c>
      <c r="O435" s="2" t="s">
        <v>1620</v>
      </c>
    </row>
    <row r="436" spans="1:15" hidden="1">
      <c r="A436" s="2" t="s">
        <v>1923</v>
      </c>
      <c r="B436" s="2" t="s">
        <v>1609</v>
      </c>
      <c r="C436" s="2" t="s">
        <v>1634</v>
      </c>
      <c r="D436" s="2" t="s">
        <v>2199</v>
      </c>
      <c r="E436" s="2" t="s">
        <v>1795</v>
      </c>
      <c r="F436" s="2" t="s">
        <v>1620</v>
      </c>
      <c r="G436" s="2" t="s">
        <v>1620</v>
      </c>
      <c r="H436" s="2" t="s">
        <v>1620</v>
      </c>
      <c r="I436" s="2" t="s">
        <v>1616</v>
      </c>
      <c r="J436" s="2" t="s">
        <v>1620</v>
      </c>
      <c r="K436" s="2" t="s">
        <v>1746</v>
      </c>
      <c r="L436" s="2" t="s">
        <v>1746</v>
      </c>
      <c r="M436" s="2" t="s">
        <v>1620</v>
      </c>
      <c r="N436" s="2" t="s">
        <v>1620</v>
      </c>
      <c r="O436" s="2" t="s">
        <v>1620</v>
      </c>
    </row>
    <row r="437" spans="1:15" hidden="1">
      <c r="A437" s="2" t="s">
        <v>1923</v>
      </c>
      <c r="B437" s="2" t="s">
        <v>1609</v>
      </c>
      <c r="C437" s="2" t="s">
        <v>1634</v>
      </c>
      <c r="D437" s="2" t="s">
        <v>2312</v>
      </c>
      <c r="E437" s="2" t="s">
        <v>1795</v>
      </c>
      <c r="F437" s="2" t="s">
        <v>1620</v>
      </c>
      <c r="G437" s="2" t="s">
        <v>2345</v>
      </c>
      <c r="H437" s="2" t="s">
        <v>1747</v>
      </c>
      <c r="I437" s="2" t="s">
        <v>1616</v>
      </c>
      <c r="J437" s="2" t="s">
        <v>1620</v>
      </c>
      <c r="K437" s="2" t="s">
        <v>1746</v>
      </c>
      <c r="L437" s="2" t="s">
        <v>1746</v>
      </c>
      <c r="M437" s="2" t="s">
        <v>1620</v>
      </c>
      <c r="N437" s="2" t="s">
        <v>1620</v>
      </c>
      <c r="O437" s="2" t="s">
        <v>1620</v>
      </c>
    </row>
    <row r="438" spans="1:15" hidden="1">
      <c r="A438" s="2" t="s">
        <v>1923</v>
      </c>
      <c r="B438" s="2" t="s">
        <v>1609</v>
      </c>
      <c r="C438" s="2" t="s">
        <v>1634</v>
      </c>
      <c r="D438" s="2" t="s">
        <v>2429</v>
      </c>
      <c r="E438" s="2" t="s">
        <v>1795</v>
      </c>
      <c r="F438" s="2" t="s">
        <v>1620</v>
      </c>
      <c r="G438" s="2" t="s">
        <v>2273</v>
      </c>
      <c r="H438" s="2" t="s">
        <v>1747</v>
      </c>
      <c r="I438" s="2" t="s">
        <v>1616</v>
      </c>
      <c r="J438" s="2" t="s">
        <v>1620</v>
      </c>
      <c r="K438" s="2" t="s">
        <v>1746</v>
      </c>
      <c r="L438" s="2" t="s">
        <v>1746</v>
      </c>
      <c r="M438" s="2" t="s">
        <v>1620</v>
      </c>
      <c r="N438" s="2" t="s">
        <v>1620</v>
      </c>
      <c r="O438" s="2" t="s">
        <v>1620</v>
      </c>
    </row>
    <row r="439" spans="1:15" hidden="1">
      <c r="A439" s="2" t="s">
        <v>1794</v>
      </c>
      <c r="B439" s="2" t="s">
        <v>1609</v>
      </c>
      <c r="C439" s="2" t="s">
        <v>1634</v>
      </c>
      <c r="D439" s="2" t="s">
        <v>2115</v>
      </c>
      <c r="E439" s="2" t="s">
        <v>1795</v>
      </c>
      <c r="F439" s="2" t="s">
        <v>1620</v>
      </c>
      <c r="G439" s="2" t="s">
        <v>1620</v>
      </c>
      <c r="H439" s="2" t="s">
        <v>1620</v>
      </c>
      <c r="I439" s="2" t="s">
        <v>1616</v>
      </c>
      <c r="J439" s="2" t="s">
        <v>1620</v>
      </c>
      <c r="K439" s="2" t="s">
        <v>1746</v>
      </c>
      <c r="L439" s="2" t="s">
        <v>1746</v>
      </c>
      <c r="M439" s="2" t="s">
        <v>1620</v>
      </c>
      <c r="N439" s="2" t="s">
        <v>1620</v>
      </c>
      <c r="O439" s="2" t="s">
        <v>1620</v>
      </c>
    </row>
    <row r="440" spans="1:15" hidden="1">
      <c r="A440" s="2" t="s">
        <v>1878</v>
      </c>
      <c r="B440" s="2" t="s">
        <v>1609</v>
      </c>
      <c r="C440" s="2" t="s">
        <v>1634</v>
      </c>
      <c r="D440" s="2" t="s">
        <v>2247</v>
      </c>
      <c r="E440" s="2" t="s">
        <v>1880</v>
      </c>
      <c r="F440" s="2" t="s">
        <v>1620</v>
      </c>
      <c r="G440" s="2" t="s">
        <v>1996</v>
      </c>
      <c r="H440" s="2" t="s">
        <v>1747</v>
      </c>
      <c r="I440" s="2" t="s">
        <v>1616</v>
      </c>
      <c r="J440" s="2" t="s">
        <v>1620</v>
      </c>
      <c r="K440" s="36" t="s">
        <v>1746</v>
      </c>
      <c r="L440" s="2" t="s">
        <v>1746</v>
      </c>
      <c r="M440" s="2" t="s">
        <v>1620</v>
      </c>
      <c r="N440" s="2" t="s">
        <v>1620</v>
      </c>
      <c r="O440" s="2" t="s">
        <v>1620</v>
      </c>
    </row>
    <row r="441" spans="1:15" hidden="1">
      <c r="A441" s="2" t="s">
        <v>1878</v>
      </c>
      <c r="B441" s="2" t="s">
        <v>1609</v>
      </c>
      <c r="C441" s="2" t="s">
        <v>1634</v>
      </c>
      <c r="D441" s="2" t="s">
        <v>2293</v>
      </c>
      <c r="E441" s="2" t="s">
        <v>1880</v>
      </c>
      <c r="F441" s="2" t="s">
        <v>1620</v>
      </c>
      <c r="G441" s="2" t="s">
        <v>2176</v>
      </c>
      <c r="H441" s="2" t="s">
        <v>1747</v>
      </c>
      <c r="I441" s="2" t="s">
        <v>1616</v>
      </c>
      <c r="J441" s="2" t="s">
        <v>1620</v>
      </c>
      <c r="K441" s="36" t="s">
        <v>1746</v>
      </c>
      <c r="L441" s="2" t="s">
        <v>1746</v>
      </c>
      <c r="M441" s="2" t="s">
        <v>1620</v>
      </c>
      <c r="N441" s="2" t="s">
        <v>1620</v>
      </c>
      <c r="O441" s="2" t="s">
        <v>1620</v>
      </c>
    </row>
    <row r="442" spans="1:15" hidden="1">
      <c r="A442" s="2" t="s">
        <v>1878</v>
      </c>
      <c r="B442" s="2" t="s">
        <v>1609</v>
      </c>
      <c r="C442" s="2" t="s">
        <v>1634</v>
      </c>
      <c r="D442" s="2" t="s">
        <v>1995</v>
      </c>
      <c r="E442" s="2" t="s">
        <v>1880</v>
      </c>
      <c r="F442" s="2" t="s">
        <v>1620</v>
      </c>
      <c r="G442" s="2" t="s">
        <v>2176</v>
      </c>
      <c r="H442" s="2" t="s">
        <v>1747</v>
      </c>
      <c r="I442" s="2" t="s">
        <v>1616</v>
      </c>
      <c r="J442" s="2" t="s">
        <v>1620</v>
      </c>
      <c r="K442" s="36" t="s">
        <v>1746</v>
      </c>
      <c r="L442" s="2" t="s">
        <v>1746</v>
      </c>
      <c r="M442" s="2" t="s">
        <v>1620</v>
      </c>
      <c r="N442" s="2" t="s">
        <v>1620</v>
      </c>
      <c r="O442" s="2" t="s">
        <v>1620</v>
      </c>
    </row>
    <row r="443" spans="1:15" hidden="1">
      <c r="A443" s="2" t="s">
        <v>1878</v>
      </c>
      <c r="B443" s="2" t="s">
        <v>1609</v>
      </c>
      <c r="C443" s="2" t="s">
        <v>1634</v>
      </c>
      <c r="D443" s="2" t="s">
        <v>2084</v>
      </c>
      <c r="E443" s="2" t="s">
        <v>1880</v>
      </c>
      <c r="F443" s="2" t="s">
        <v>1620</v>
      </c>
      <c r="G443" s="2" t="s">
        <v>2230</v>
      </c>
      <c r="H443" s="2" t="s">
        <v>1747</v>
      </c>
      <c r="I443" s="2" t="s">
        <v>1616</v>
      </c>
      <c r="J443" s="2" t="s">
        <v>1620</v>
      </c>
      <c r="K443" s="36" t="s">
        <v>1746</v>
      </c>
      <c r="L443" s="2" t="s">
        <v>1746</v>
      </c>
      <c r="M443" s="2" t="s">
        <v>1620</v>
      </c>
      <c r="N443" s="2" t="s">
        <v>1620</v>
      </c>
      <c r="O443" s="2" t="s">
        <v>1620</v>
      </c>
    </row>
    <row r="444" spans="1:15" hidden="1">
      <c r="A444" s="2" t="s">
        <v>1878</v>
      </c>
      <c r="B444" s="2" t="s">
        <v>1609</v>
      </c>
      <c r="C444" s="2" t="s">
        <v>1634</v>
      </c>
      <c r="D444" s="2" t="s">
        <v>2241</v>
      </c>
      <c r="E444" s="2" t="s">
        <v>1880</v>
      </c>
      <c r="F444" s="2" t="s">
        <v>1620</v>
      </c>
      <c r="G444" s="2" t="s">
        <v>2229</v>
      </c>
      <c r="H444" s="2" t="s">
        <v>1747</v>
      </c>
      <c r="I444" s="2" t="s">
        <v>1616</v>
      </c>
      <c r="J444" s="2" t="s">
        <v>1620</v>
      </c>
      <c r="K444" s="36" t="s">
        <v>1746</v>
      </c>
      <c r="L444" s="2" t="s">
        <v>1746</v>
      </c>
      <c r="M444" s="2" t="s">
        <v>1620</v>
      </c>
      <c r="N444" s="2" t="s">
        <v>1620</v>
      </c>
      <c r="O444" s="2" t="s">
        <v>1620</v>
      </c>
    </row>
    <row r="445" spans="1:15" hidden="1">
      <c r="A445" s="2" t="s">
        <v>1878</v>
      </c>
      <c r="B445" s="2" t="s">
        <v>1609</v>
      </c>
      <c r="C445" s="2" t="s">
        <v>1634</v>
      </c>
      <c r="D445" s="2" t="s">
        <v>2430</v>
      </c>
      <c r="E445" s="2" t="s">
        <v>1880</v>
      </c>
      <c r="F445" s="2" t="s">
        <v>1620</v>
      </c>
      <c r="G445" s="2" t="s">
        <v>2273</v>
      </c>
      <c r="H445" s="2" t="s">
        <v>1747</v>
      </c>
      <c r="I445" s="2" t="s">
        <v>1616</v>
      </c>
      <c r="J445" s="2" t="s">
        <v>1620</v>
      </c>
      <c r="K445" s="36" t="s">
        <v>1746</v>
      </c>
      <c r="L445" s="2" t="s">
        <v>1746</v>
      </c>
      <c r="M445" s="2" t="s">
        <v>1620</v>
      </c>
      <c r="N445" s="2" t="s">
        <v>1620</v>
      </c>
      <c r="O445" s="2" t="s">
        <v>1620</v>
      </c>
    </row>
    <row r="446" spans="1:15" hidden="1">
      <c r="A446" s="2" t="s">
        <v>1878</v>
      </c>
      <c r="B446" s="2" t="s">
        <v>1609</v>
      </c>
      <c r="C446" s="2" t="s">
        <v>1634</v>
      </c>
      <c r="D446" s="2" t="s">
        <v>1624</v>
      </c>
      <c r="E446" s="2" t="s">
        <v>1880</v>
      </c>
      <c r="F446" s="2" t="s">
        <v>1620</v>
      </c>
      <c r="G446" s="2" t="s">
        <v>1912</v>
      </c>
      <c r="H446" s="2" t="s">
        <v>1747</v>
      </c>
      <c r="I446" s="2" t="s">
        <v>1616</v>
      </c>
      <c r="J446" s="2" t="s">
        <v>1620</v>
      </c>
      <c r="K446" s="36" t="s">
        <v>1746</v>
      </c>
      <c r="L446" s="2" t="s">
        <v>1746</v>
      </c>
      <c r="M446" s="2" t="s">
        <v>1620</v>
      </c>
      <c r="N446" s="2" t="s">
        <v>1620</v>
      </c>
      <c r="O446" s="2" t="s">
        <v>1620</v>
      </c>
    </row>
    <row r="447" spans="1:15" hidden="1">
      <c r="A447" s="2" t="s">
        <v>1878</v>
      </c>
      <c r="B447" s="2" t="s">
        <v>1609</v>
      </c>
      <c r="C447" s="2" t="s">
        <v>1634</v>
      </c>
      <c r="D447" s="2" t="s">
        <v>2431</v>
      </c>
      <c r="E447" s="2" t="s">
        <v>1880</v>
      </c>
      <c r="F447" s="2" t="s">
        <v>1620</v>
      </c>
      <c r="G447" s="2" t="s">
        <v>2273</v>
      </c>
      <c r="H447" s="2" t="s">
        <v>1747</v>
      </c>
      <c r="I447" s="2" t="s">
        <v>1616</v>
      </c>
      <c r="J447" s="2" t="s">
        <v>1620</v>
      </c>
      <c r="K447" s="36" t="s">
        <v>1746</v>
      </c>
      <c r="L447" s="2" t="s">
        <v>1746</v>
      </c>
      <c r="M447" s="2" t="s">
        <v>1620</v>
      </c>
      <c r="N447" s="2" t="s">
        <v>1620</v>
      </c>
      <c r="O447" s="2" t="s">
        <v>1620</v>
      </c>
    </row>
    <row r="448" spans="1:15" hidden="1">
      <c r="A448" s="2" t="s">
        <v>1878</v>
      </c>
      <c r="B448" s="2" t="s">
        <v>1609</v>
      </c>
      <c r="C448" s="2" t="s">
        <v>1634</v>
      </c>
      <c r="D448" s="2" t="s">
        <v>2432</v>
      </c>
      <c r="E448" s="2" t="s">
        <v>1880</v>
      </c>
      <c r="F448" s="2" t="s">
        <v>1620</v>
      </c>
      <c r="G448" s="2" t="s">
        <v>2273</v>
      </c>
      <c r="H448" s="2" t="s">
        <v>1747</v>
      </c>
      <c r="I448" s="2" t="s">
        <v>1616</v>
      </c>
      <c r="J448" s="2" t="s">
        <v>1620</v>
      </c>
      <c r="K448" s="36" t="s">
        <v>1746</v>
      </c>
      <c r="L448" s="2" t="s">
        <v>1746</v>
      </c>
      <c r="M448" s="2" t="s">
        <v>1620</v>
      </c>
      <c r="N448" s="2" t="s">
        <v>1620</v>
      </c>
      <c r="O448" s="2" t="s">
        <v>1620</v>
      </c>
    </row>
    <row r="449" spans="1:15" hidden="1">
      <c r="A449" s="2" t="s">
        <v>1878</v>
      </c>
      <c r="B449" s="2" t="s">
        <v>1609</v>
      </c>
      <c r="C449" s="2" t="s">
        <v>1634</v>
      </c>
      <c r="D449" s="2" t="s">
        <v>2011</v>
      </c>
      <c r="E449" s="2" t="s">
        <v>1880</v>
      </c>
      <c r="F449" s="2" t="s">
        <v>1620</v>
      </c>
      <c r="G449" s="2" t="s">
        <v>2345</v>
      </c>
      <c r="H449" s="2" t="s">
        <v>1747</v>
      </c>
      <c r="I449" s="2" t="s">
        <v>1616</v>
      </c>
      <c r="J449" s="2" t="s">
        <v>1620</v>
      </c>
      <c r="K449" s="36" t="s">
        <v>1746</v>
      </c>
      <c r="L449" s="2" t="s">
        <v>1746</v>
      </c>
      <c r="M449" s="2" t="s">
        <v>1620</v>
      </c>
      <c r="N449" s="2" t="s">
        <v>1620</v>
      </c>
      <c r="O449" s="2" t="s">
        <v>1620</v>
      </c>
    </row>
    <row r="450" spans="1:15" hidden="1">
      <c r="A450" s="2" t="s">
        <v>1878</v>
      </c>
      <c r="B450" s="2" t="s">
        <v>1609</v>
      </c>
      <c r="C450" s="2" t="s">
        <v>1634</v>
      </c>
      <c r="D450" s="2" t="s">
        <v>2135</v>
      </c>
      <c r="E450" s="2" t="s">
        <v>1880</v>
      </c>
      <c r="F450" s="2" t="s">
        <v>1620</v>
      </c>
      <c r="G450" s="2" t="s">
        <v>1972</v>
      </c>
      <c r="H450" s="2" t="s">
        <v>1747</v>
      </c>
      <c r="I450" s="2" t="s">
        <v>1616</v>
      </c>
      <c r="J450" s="2" t="s">
        <v>1620</v>
      </c>
      <c r="K450" s="36" t="s">
        <v>1746</v>
      </c>
      <c r="L450" s="2" t="s">
        <v>1746</v>
      </c>
      <c r="M450" s="2" t="s">
        <v>1620</v>
      </c>
      <c r="N450" s="2" t="s">
        <v>1620</v>
      </c>
      <c r="O450" s="2" t="s">
        <v>1620</v>
      </c>
    </row>
    <row r="451" spans="1:15" hidden="1">
      <c r="A451" s="2" t="s">
        <v>1878</v>
      </c>
      <c r="B451" s="2" t="s">
        <v>1609</v>
      </c>
      <c r="C451" s="2" t="s">
        <v>1634</v>
      </c>
      <c r="D451" s="2" t="s">
        <v>2101</v>
      </c>
      <c r="E451" s="2" t="s">
        <v>1880</v>
      </c>
      <c r="F451" s="2" t="s">
        <v>1620</v>
      </c>
      <c r="G451" s="2" t="s">
        <v>2176</v>
      </c>
      <c r="H451" s="2" t="s">
        <v>1747</v>
      </c>
      <c r="I451" s="2" t="s">
        <v>1616</v>
      </c>
      <c r="J451" s="2" t="s">
        <v>1620</v>
      </c>
      <c r="K451" s="36" t="s">
        <v>1746</v>
      </c>
      <c r="L451" s="2" t="s">
        <v>1746</v>
      </c>
      <c r="M451" s="2" t="s">
        <v>1620</v>
      </c>
      <c r="N451" s="2" t="s">
        <v>1620</v>
      </c>
      <c r="O451" s="2" t="s">
        <v>1620</v>
      </c>
    </row>
    <row r="452" spans="1:15" hidden="1">
      <c r="A452" s="2" t="s">
        <v>1878</v>
      </c>
      <c r="B452" s="2" t="s">
        <v>1609</v>
      </c>
      <c r="C452" s="2" t="s">
        <v>1634</v>
      </c>
      <c r="D452" s="2" t="s">
        <v>2110</v>
      </c>
      <c r="E452" s="2" t="s">
        <v>1880</v>
      </c>
      <c r="F452" s="2" t="s">
        <v>1620</v>
      </c>
      <c r="G452" s="2" t="s">
        <v>2273</v>
      </c>
      <c r="H452" s="2" t="s">
        <v>1747</v>
      </c>
      <c r="I452" s="2" t="s">
        <v>1616</v>
      </c>
      <c r="J452" s="2" t="s">
        <v>1620</v>
      </c>
      <c r="K452" s="36" t="s">
        <v>1746</v>
      </c>
      <c r="L452" s="2" t="s">
        <v>1746</v>
      </c>
      <c r="M452" s="2" t="s">
        <v>1620</v>
      </c>
      <c r="N452" s="2" t="s">
        <v>1620</v>
      </c>
      <c r="O452" s="2" t="s">
        <v>1620</v>
      </c>
    </row>
    <row r="453" spans="1:15" hidden="1">
      <c r="A453" s="2" t="s">
        <v>1878</v>
      </c>
      <c r="B453" s="2" t="s">
        <v>1609</v>
      </c>
      <c r="C453" s="2" t="s">
        <v>1634</v>
      </c>
      <c r="D453" s="2" t="s">
        <v>2353</v>
      </c>
      <c r="E453" s="2" t="s">
        <v>1880</v>
      </c>
      <c r="F453" s="2" t="s">
        <v>1620</v>
      </c>
      <c r="G453" s="2" t="s">
        <v>2345</v>
      </c>
      <c r="H453" s="2" t="s">
        <v>1747</v>
      </c>
      <c r="I453" s="2" t="s">
        <v>1616</v>
      </c>
      <c r="J453" s="2" t="s">
        <v>1620</v>
      </c>
      <c r="K453" s="36" t="s">
        <v>1746</v>
      </c>
      <c r="L453" s="2" t="s">
        <v>1746</v>
      </c>
      <c r="M453" s="2" t="s">
        <v>1620</v>
      </c>
      <c r="N453" s="2" t="s">
        <v>1620</v>
      </c>
      <c r="O453" s="2" t="s">
        <v>1620</v>
      </c>
    </row>
    <row r="454" spans="1:15" hidden="1">
      <c r="A454" s="2" t="s">
        <v>1878</v>
      </c>
      <c r="B454" s="2" t="s">
        <v>1609</v>
      </c>
      <c r="C454" s="2" t="s">
        <v>1634</v>
      </c>
      <c r="D454" s="2" t="s">
        <v>2433</v>
      </c>
      <c r="E454" s="2" t="s">
        <v>1880</v>
      </c>
      <c r="F454" s="2" t="s">
        <v>1620</v>
      </c>
      <c r="G454" s="2" t="s">
        <v>2273</v>
      </c>
      <c r="H454" s="2" t="s">
        <v>1747</v>
      </c>
      <c r="I454" s="2" t="s">
        <v>1616</v>
      </c>
      <c r="J454" s="2" t="s">
        <v>1620</v>
      </c>
      <c r="K454" s="36" t="s">
        <v>1746</v>
      </c>
      <c r="L454" s="2" t="s">
        <v>1746</v>
      </c>
      <c r="M454" s="2" t="s">
        <v>1620</v>
      </c>
      <c r="N454" s="2" t="s">
        <v>1620</v>
      </c>
      <c r="O454" s="2" t="s">
        <v>1620</v>
      </c>
    </row>
    <row r="455" spans="1:15" hidden="1">
      <c r="A455" s="2" t="s">
        <v>1878</v>
      </c>
      <c r="B455" s="2" t="s">
        <v>1609</v>
      </c>
      <c r="C455" s="2" t="s">
        <v>1634</v>
      </c>
      <c r="D455" s="2" t="s">
        <v>2141</v>
      </c>
      <c r="E455" s="2" t="s">
        <v>1880</v>
      </c>
      <c r="F455" s="2" t="s">
        <v>1620</v>
      </c>
      <c r="G455" s="2" t="s">
        <v>2273</v>
      </c>
      <c r="H455" s="2" t="s">
        <v>1747</v>
      </c>
      <c r="I455" s="2" t="s">
        <v>1616</v>
      </c>
      <c r="J455" s="2" t="s">
        <v>1620</v>
      </c>
      <c r="K455" s="36" t="s">
        <v>1746</v>
      </c>
      <c r="L455" s="2" t="s">
        <v>1746</v>
      </c>
      <c r="M455" s="2" t="s">
        <v>1620</v>
      </c>
      <c r="N455" s="2" t="s">
        <v>1620</v>
      </c>
      <c r="O455" s="2" t="s">
        <v>1620</v>
      </c>
    </row>
    <row r="456" spans="1:15" hidden="1">
      <c r="A456" s="2" t="s">
        <v>1878</v>
      </c>
      <c r="B456" s="2" t="s">
        <v>1609</v>
      </c>
      <c r="C456" s="2" t="s">
        <v>1634</v>
      </c>
      <c r="D456" s="2" t="s">
        <v>1850</v>
      </c>
      <c r="E456" s="2" t="s">
        <v>1880</v>
      </c>
      <c r="F456" s="2" t="s">
        <v>1620</v>
      </c>
      <c r="G456" s="2" t="s">
        <v>2273</v>
      </c>
      <c r="H456" s="2" t="s">
        <v>1747</v>
      </c>
      <c r="I456" s="2" t="s">
        <v>1616</v>
      </c>
      <c r="J456" s="2" t="s">
        <v>1620</v>
      </c>
      <c r="K456" s="36" t="s">
        <v>1746</v>
      </c>
      <c r="L456" s="2" t="s">
        <v>1746</v>
      </c>
      <c r="M456" s="2" t="s">
        <v>1620</v>
      </c>
      <c r="N456" s="2" t="s">
        <v>1620</v>
      </c>
      <c r="O456" s="2" t="s">
        <v>1620</v>
      </c>
    </row>
    <row r="457" spans="1:15" hidden="1">
      <c r="A457" s="2" t="s">
        <v>1878</v>
      </c>
      <c r="B457" s="2" t="s">
        <v>1609</v>
      </c>
      <c r="C457" s="2" t="s">
        <v>1634</v>
      </c>
      <c r="D457" s="2" t="s">
        <v>2217</v>
      </c>
      <c r="E457" s="2" t="s">
        <v>1880</v>
      </c>
      <c r="F457" s="2" t="s">
        <v>1620</v>
      </c>
      <c r="G457" s="2" t="s">
        <v>2176</v>
      </c>
      <c r="H457" s="2" t="s">
        <v>1747</v>
      </c>
      <c r="I457" s="2" t="s">
        <v>1616</v>
      </c>
      <c r="J457" s="2" t="s">
        <v>1620</v>
      </c>
      <c r="K457" s="36" t="s">
        <v>1746</v>
      </c>
      <c r="L457" s="2" t="s">
        <v>1746</v>
      </c>
      <c r="M457" s="2" t="s">
        <v>1620</v>
      </c>
      <c r="N457" s="2" t="s">
        <v>1620</v>
      </c>
      <c r="O457" s="2" t="s">
        <v>1620</v>
      </c>
    </row>
    <row r="458" spans="1:15" hidden="1">
      <c r="A458" s="2" t="s">
        <v>1878</v>
      </c>
      <c r="B458" s="2" t="s">
        <v>1609</v>
      </c>
      <c r="C458" s="2" t="s">
        <v>1634</v>
      </c>
      <c r="D458" s="2" t="s">
        <v>2309</v>
      </c>
      <c r="E458" s="2" t="s">
        <v>1880</v>
      </c>
      <c r="F458" s="2" t="s">
        <v>1620</v>
      </c>
      <c r="G458" s="2" t="s">
        <v>2229</v>
      </c>
      <c r="H458" s="2" t="s">
        <v>1747</v>
      </c>
      <c r="I458" s="2" t="s">
        <v>1616</v>
      </c>
      <c r="J458" s="2" t="s">
        <v>1620</v>
      </c>
      <c r="K458" s="36" t="s">
        <v>1746</v>
      </c>
      <c r="L458" s="2" t="s">
        <v>1746</v>
      </c>
      <c r="M458" s="2" t="s">
        <v>1620</v>
      </c>
      <c r="N458" s="2" t="s">
        <v>1620</v>
      </c>
      <c r="O458" s="2" t="s">
        <v>1620</v>
      </c>
    </row>
    <row r="459" spans="1:15" hidden="1">
      <c r="A459" s="2" t="s">
        <v>1878</v>
      </c>
      <c r="B459" s="2" t="s">
        <v>1609</v>
      </c>
      <c r="C459" s="2" t="s">
        <v>1634</v>
      </c>
      <c r="D459" s="2" t="s">
        <v>2355</v>
      </c>
      <c r="E459" s="2" t="s">
        <v>1880</v>
      </c>
      <c r="F459" s="2" t="s">
        <v>1620</v>
      </c>
      <c r="G459" s="2" t="s">
        <v>2345</v>
      </c>
      <c r="H459" s="2" t="s">
        <v>1747</v>
      </c>
      <c r="I459" s="2" t="s">
        <v>1616</v>
      </c>
      <c r="J459" s="2" t="s">
        <v>1620</v>
      </c>
      <c r="K459" s="36" t="s">
        <v>1746</v>
      </c>
      <c r="L459" s="2" t="s">
        <v>1746</v>
      </c>
      <c r="M459" s="2" t="s">
        <v>1620</v>
      </c>
      <c r="N459" s="2" t="s">
        <v>1620</v>
      </c>
      <c r="O459" s="2" t="s">
        <v>1620</v>
      </c>
    </row>
    <row r="460" spans="1:15" hidden="1">
      <c r="A460" s="2" t="s">
        <v>1878</v>
      </c>
      <c r="B460" s="2" t="s">
        <v>1609</v>
      </c>
      <c r="C460" s="2" t="s">
        <v>1634</v>
      </c>
      <c r="D460" s="2" t="s">
        <v>1611</v>
      </c>
      <c r="E460" s="2" t="s">
        <v>1880</v>
      </c>
      <c r="F460" s="2" t="s">
        <v>1620</v>
      </c>
      <c r="G460" s="2" t="s">
        <v>1972</v>
      </c>
      <c r="H460" s="2" t="s">
        <v>1747</v>
      </c>
      <c r="I460" s="2" t="s">
        <v>1616</v>
      </c>
      <c r="J460" s="2" t="s">
        <v>1620</v>
      </c>
      <c r="K460" s="36" t="s">
        <v>1746</v>
      </c>
      <c r="L460" s="2" t="s">
        <v>1746</v>
      </c>
      <c r="M460" s="2" t="s">
        <v>1620</v>
      </c>
      <c r="N460" s="2" t="s">
        <v>1620</v>
      </c>
      <c r="O460" s="2" t="s">
        <v>1620</v>
      </c>
    </row>
    <row r="461" spans="1:15" hidden="1">
      <c r="A461" s="2" t="s">
        <v>1878</v>
      </c>
      <c r="B461" s="2" t="s">
        <v>1609</v>
      </c>
      <c r="C461" s="2" t="s">
        <v>1634</v>
      </c>
      <c r="D461" s="2" t="s">
        <v>2115</v>
      </c>
      <c r="E461" s="2" t="s">
        <v>1880</v>
      </c>
      <c r="F461" s="2" t="s">
        <v>1620</v>
      </c>
      <c r="G461" s="2" t="s">
        <v>2273</v>
      </c>
      <c r="H461" s="2" t="s">
        <v>1747</v>
      </c>
      <c r="I461" s="2" t="s">
        <v>1616</v>
      </c>
      <c r="J461" s="2" t="s">
        <v>1620</v>
      </c>
      <c r="K461" s="36" t="s">
        <v>1746</v>
      </c>
      <c r="L461" s="2" t="s">
        <v>1746</v>
      </c>
      <c r="M461" s="2" t="s">
        <v>1620</v>
      </c>
      <c r="N461" s="2" t="s">
        <v>1620</v>
      </c>
      <c r="O461" s="2" t="s">
        <v>1620</v>
      </c>
    </row>
    <row r="462" spans="1:15" hidden="1">
      <c r="A462" s="2" t="s">
        <v>1878</v>
      </c>
      <c r="B462" s="2" t="s">
        <v>1609</v>
      </c>
      <c r="C462" s="2" t="s">
        <v>1634</v>
      </c>
      <c r="D462" s="2" t="s">
        <v>2311</v>
      </c>
      <c r="E462" s="2" t="s">
        <v>1880</v>
      </c>
      <c r="F462" s="2" t="s">
        <v>1620</v>
      </c>
      <c r="G462" s="2" t="s">
        <v>2074</v>
      </c>
      <c r="H462" s="2" t="s">
        <v>1747</v>
      </c>
      <c r="I462" s="2" t="s">
        <v>1616</v>
      </c>
      <c r="J462" s="2" t="s">
        <v>1620</v>
      </c>
      <c r="K462" s="36" t="s">
        <v>1746</v>
      </c>
      <c r="L462" s="2" t="s">
        <v>1746</v>
      </c>
      <c r="M462" s="2" t="s">
        <v>1620</v>
      </c>
      <c r="N462" s="2" t="s">
        <v>1620</v>
      </c>
      <c r="O462" s="2" t="s">
        <v>1620</v>
      </c>
    </row>
    <row r="463" spans="1:15" hidden="1">
      <c r="A463" s="2" t="s">
        <v>1878</v>
      </c>
      <c r="B463" s="2" t="s">
        <v>1609</v>
      </c>
      <c r="C463" s="2" t="s">
        <v>1634</v>
      </c>
      <c r="D463" s="2" t="s">
        <v>2434</v>
      </c>
      <c r="E463" s="2" t="s">
        <v>1880</v>
      </c>
      <c r="F463" s="2" t="s">
        <v>1620</v>
      </c>
      <c r="G463" s="2" t="s">
        <v>2120</v>
      </c>
      <c r="H463" s="2" t="s">
        <v>1747</v>
      </c>
      <c r="I463" s="2" t="s">
        <v>1616</v>
      </c>
      <c r="J463" s="2" t="s">
        <v>1620</v>
      </c>
      <c r="K463" s="36" t="s">
        <v>1746</v>
      </c>
      <c r="L463" s="2" t="s">
        <v>1746</v>
      </c>
      <c r="M463" s="2" t="s">
        <v>1620</v>
      </c>
      <c r="N463" s="2" t="s">
        <v>1620</v>
      </c>
      <c r="O463" s="2" t="s">
        <v>1620</v>
      </c>
    </row>
    <row r="464" spans="1:15" hidden="1">
      <c r="A464" s="2" t="s">
        <v>1878</v>
      </c>
      <c r="B464" s="2" t="s">
        <v>1609</v>
      </c>
      <c r="C464" s="2" t="s">
        <v>1634</v>
      </c>
      <c r="D464" s="2" t="s">
        <v>2263</v>
      </c>
      <c r="E464" s="2" t="s">
        <v>1880</v>
      </c>
      <c r="F464" s="2" t="s">
        <v>1620</v>
      </c>
      <c r="G464" s="2" t="s">
        <v>2273</v>
      </c>
      <c r="H464" s="2" t="s">
        <v>1747</v>
      </c>
      <c r="I464" s="2" t="s">
        <v>1616</v>
      </c>
      <c r="J464" s="2" t="s">
        <v>1620</v>
      </c>
      <c r="K464" s="36" t="s">
        <v>1746</v>
      </c>
      <c r="L464" s="2" t="s">
        <v>1746</v>
      </c>
      <c r="M464" s="2" t="s">
        <v>1620</v>
      </c>
      <c r="N464" s="2" t="s">
        <v>1620</v>
      </c>
      <c r="O464" s="2" t="s">
        <v>1620</v>
      </c>
    </row>
    <row r="465" spans="1:15" hidden="1">
      <c r="A465" s="2" t="s">
        <v>1878</v>
      </c>
      <c r="B465" s="2" t="s">
        <v>1609</v>
      </c>
      <c r="C465" s="2" t="s">
        <v>1634</v>
      </c>
      <c r="D465" s="2" t="s">
        <v>2026</v>
      </c>
      <c r="E465" s="2" t="s">
        <v>1880</v>
      </c>
      <c r="F465" s="2" t="s">
        <v>1620</v>
      </c>
      <c r="G465" s="2" t="s">
        <v>2229</v>
      </c>
      <c r="H465" s="2" t="s">
        <v>1747</v>
      </c>
      <c r="I465" s="2" t="s">
        <v>1616</v>
      </c>
      <c r="J465" s="2" t="s">
        <v>1620</v>
      </c>
      <c r="K465" s="36" t="s">
        <v>1746</v>
      </c>
      <c r="L465" s="2" t="s">
        <v>1746</v>
      </c>
      <c r="M465" s="2" t="s">
        <v>1620</v>
      </c>
      <c r="N465" s="2" t="s">
        <v>1620</v>
      </c>
      <c r="O465" s="2" t="s">
        <v>1620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2C87-3CF0-4A72-91DE-F77CAF51BC4F}">
  <sheetPr filterMode="1"/>
  <dimension ref="A1:XET1234"/>
  <sheetViews>
    <sheetView topLeftCell="A949" workbookViewId="0">
      <selection activeCell="M595" sqref="M595:M973"/>
    </sheetView>
  </sheetViews>
  <sheetFormatPr defaultColWidth="18.77734375" defaultRowHeight="14.4"/>
  <cols>
    <col min="1" max="3" width="18.77734375" style="6"/>
    <col min="4" max="8" width="0" style="6" hidden="1" customWidth="1"/>
    <col min="9" max="16384" width="18.77734375" style="6"/>
  </cols>
  <sheetData>
    <row r="1" spans="1:16374" ht="30" customHeight="1">
      <c r="A1" s="32" t="s">
        <v>2435</v>
      </c>
      <c r="B1" s="32"/>
      <c r="C1" s="32"/>
      <c r="D1" s="32"/>
      <c r="E1" s="32"/>
    </row>
    <row r="2" spans="1:16374">
      <c r="A2" s="6" t="s">
        <v>2436</v>
      </c>
    </row>
    <row r="3" spans="1:16374">
      <c r="A3" s="6" t="s">
        <v>2437</v>
      </c>
    </row>
    <row r="4" spans="1:16374">
      <c r="A4" s="6" t="s">
        <v>2438</v>
      </c>
    </row>
    <row r="5" spans="1:16374">
      <c r="A5" s="6" t="s">
        <v>2439</v>
      </c>
    </row>
    <row r="7" spans="1:16374">
      <c r="A7" s="33" t="s">
        <v>2440</v>
      </c>
      <c r="B7" s="33" t="s">
        <v>2441</v>
      </c>
      <c r="C7" s="33" t="s">
        <v>2442</v>
      </c>
      <c r="D7" s="33" t="s">
        <v>2443</v>
      </c>
      <c r="E7" s="33"/>
      <c r="F7" s="33"/>
      <c r="G7" s="33" t="s">
        <v>2444</v>
      </c>
      <c r="H7" s="33" t="s">
        <v>2445</v>
      </c>
      <c r="I7" s="33" t="s">
        <v>2446</v>
      </c>
      <c r="J7" s="33" t="s">
        <v>2447</v>
      </c>
      <c r="K7" s="33" t="s">
        <v>1600</v>
      </c>
      <c r="L7" s="33" t="s">
        <v>2448</v>
      </c>
      <c r="M7" s="33" t="s">
        <v>2449</v>
      </c>
      <c r="N7" s="33" t="s">
        <v>2450</v>
      </c>
      <c r="O7" s="33" t="s">
        <v>2451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</row>
    <row r="8" spans="1:16374" hidden="1">
      <c r="A8" s="6" t="s">
        <v>2452</v>
      </c>
      <c r="B8" s="6" t="s">
        <v>2453</v>
      </c>
      <c r="C8" s="6" t="s">
        <v>19</v>
      </c>
      <c r="D8" s="6" t="s">
        <v>2454</v>
      </c>
      <c r="F8" s="6" t="s">
        <v>2455</v>
      </c>
      <c r="G8" s="6" t="s">
        <v>2444</v>
      </c>
      <c r="H8" s="6" t="s">
        <v>2456</v>
      </c>
      <c r="I8" s="6">
        <v>2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1</v>
      </c>
    </row>
    <row r="9" spans="1:16374" hidden="1">
      <c r="A9" s="6" t="s">
        <v>2452</v>
      </c>
      <c r="B9" s="6" t="s">
        <v>2453</v>
      </c>
      <c r="C9" s="6" t="s">
        <v>19</v>
      </c>
      <c r="D9" s="6" t="s">
        <v>2454</v>
      </c>
      <c r="E9" s="6" t="s">
        <v>2457</v>
      </c>
      <c r="F9" s="6" t="s">
        <v>2458</v>
      </c>
      <c r="G9" s="6" t="s">
        <v>2444</v>
      </c>
      <c r="H9" s="6" t="s">
        <v>2458</v>
      </c>
      <c r="I9" s="6">
        <v>8</v>
      </c>
      <c r="J9" s="6">
        <v>1</v>
      </c>
      <c r="K9" s="6">
        <v>0.125</v>
      </c>
      <c r="L9" s="6">
        <v>0.1</v>
      </c>
      <c r="M9" s="6">
        <v>0.1</v>
      </c>
      <c r="N9" s="6">
        <v>1</v>
      </c>
      <c r="O9" s="6">
        <v>0.5</v>
      </c>
    </row>
    <row r="10" spans="1:16374" hidden="1">
      <c r="A10" s="6" t="s">
        <v>2452</v>
      </c>
      <c r="B10" s="6" t="s">
        <v>2453</v>
      </c>
      <c r="C10" s="6" t="s">
        <v>19</v>
      </c>
      <c r="D10" s="6" t="s">
        <v>2454</v>
      </c>
      <c r="E10" s="6" t="s">
        <v>2459</v>
      </c>
      <c r="F10" s="6" t="s">
        <v>2460</v>
      </c>
      <c r="G10" s="6" t="s">
        <v>2444</v>
      </c>
      <c r="H10" s="6" t="s">
        <v>2461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>
        <v>1</v>
      </c>
      <c r="O10" s="6">
        <v>1</v>
      </c>
    </row>
    <row r="11" spans="1:16374" hidden="1">
      <c r="A11" s="6" t="s">
        <v>2452</v>
      </c>
      <c r="B11" s="6" t="s">
        <v>2453</v>
      </c>
      <c r="C11" s="6" t="s">
        <v>19</v>
      </c>
      <c r="D11" s="6" t="s">
        <v>2454</v>
      </c>
      <c r="E11" s="6" t="s">
        <v>2462</v>
      </c>
      <c r="F11" s="6" t="s">
        <v>2463</v>
      </c>
      <c r="G11" s="6" t="s">
        <v>2444</v>
      </c>
      <c r="H11" s="6" t="s">
        <v>2464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6">
        <v>1</v>
      </c>
    </row>
    <row r="12" spans="1:16374" hidden="1">
      <c r="A12" s="6" t="s">
        <v>2452</v>
      </c>
      <c r="B12" s="6" t="s">
        <v>2453</v>
      </c>
      <c r="C12" s="6" t="s">
        <v>19</v>
      </c>
      <c r="D12" s="6" t="s">
        <v>2454</v>
      </c>
      <c r="E12" s="6" t="s">
        <v>2465</v>
      </c>
      <c r="F12" s="6" t="s">
        <v>2466</v>
      </c>
      <c r="G12" s="6" t="s">
        <v>2444</v>
      </c>
      <c r="H12" s="6" t="s">
        <v>2467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1</v>
      </c>
      <c r="O12" s="6">
        <v>1</v>
      </c>
    </row>
    <row r="13" spans="1:16374" hidden="1">
      <c r="A13" s="6" t="s">
        <v>2452</v>
      </c>
      <c r="B13" s="6" t="s">
        <v>2453</v>
      </c>
      <c r="C13" s="6" t="s">
        <v>19</v>
      </c>
      <c r="D13" s="6" t="s">
        <v>2454</v>
      </c>
      <c r="E13" s="6" t="s">
        <v>2465</v>
      </c>
      <c r="F13" s="6" t="s">
        <v>2468</v>
      </c>
      <c r="G13" s="6" t="s">
        <v>2444</v>
      </c>
      <c r="H13" s="6" t="s">
        <v>2469</v>
      </c>
      <c r="I13" s="6">
        <v>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6374" hidden="1">
      <c r="A14" s="6" t="s">
        <v>2452</v>
      </c>
      <c r="B14" s="6" t="s">
        <v>2453</v>
      </c>
      <c r="C14" s="6" t="s">
        <v>19</v>
      </c>
      <c r="D14" s="6" t="s">
        <v>2454</v>
      </c>
      <c r="E14" s="6" t="s">
        <v>2465</v>
      </c>
      <c r="F14" s="6" t="s">
        <v>2470</v>
      </c>
      <c r="G14" s="6" t="s">
        <v>2444</v>
      </c>
      <c r="H14" s="6" t="s">
        <v>2471</v>
      </c>
      <c r="I14" s="6">
        <v>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6374" hidden="1">
      <c r="A15" s="6" t="s">
        <v>2452</v>
      </c>
      <c r="B15" s="6" t="s">
        <v>2453</v>
      </c>
      <c r="C15" s="6" t="s">
        <v>19</v>
      </c>
      <c r="D15" s="6" t="s">
        <v>2454</v>
      </c>
      <c r="E15" s="6" t="s">
        <v>2465</v>
      </c>
      <c r="F15" s="6" t="s">
        <v>2472</v>
      </c>
      <c r="G15" s="6" t="s">
        <v>2444</v>
      </c>
      <c r="H15" s="6" t="s">
        <v>2473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6374" hidden="1">
      <c r="A16" s="6" t="s">
        <v>2452</v>
      </c>
      <c r="B16" s="6" t="s">
        <v>2453</v>
      </c>
      <c r="C16" s="6" t="s">
        <v>19</v>
      </c>
      <c r="D16" s="6" t="s">
        <v>2454</v>
      </c>
      <c r="E16" s="6" t="s">
        <v>2465</v>
      </c>
      <c r="F16" s="6" t="s">
        <v>2474</v>
      </c>
      <c r="G16" s="6" t="s">
        <v>2444</v>
      </c>
      <c r="H16" s="6" t="s">
        <v>2475</v>
      </c>
      <c r="I16" s="6">
        <v>2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1</v>
      </c>
    </row>
    <row r="17" spans="1:15" hidden="1">
      <c r="A17" s="6" t="s">
        <v>2452</v>
      </c>
      <c r="B17" s="6" t="s">
        <v>2453</v>
      </c>
      <c r="C17" s="6" t="s">
        <v>19</v>
      </c>
      <c r="D17" s="6" t="s">
        <v>2454</v>
      </c>
      <c r="E17" s="6" t="s">
        <v>2465</v>
      </c>
      <c r="F17" s="6" t="s">
        <v>2476</v>
      </c>
      <c r="G17" s="6" t="s">
        <v>2444</v>
      </c>
      <c r="H17" s="6" t="s">
        <v>2476</v>
      </c>
      <c r="I17" s="6">
        <v>2</v>
      </c>
      <c r="J17" s="6">
        <v>0</v>
      </c>
      <c r="K17" s="6">
        <v>0</v>
      </c>
      <c r="L17" s="6">
        <v>0</v>
      </c>
      <c r="M17" s="6">
        <v>0</v>
      </c>
      <c r="N17" s="6">
        <v>1</v>
      </c>
      <c r="O17" s="6">
        <v>1</v>
      </c>
    </row>
    <row r="18" spans="1:15" hidden="1">
      <c r="A18" s="6" t="s">
        <v>2452</v>
      </c>
      <c r="B18" s="6" t="s">
        <v>2453</v>
      </c>
      <c r="C18" s="6" t="s">
        <v>19</v>
      </c>
      <c r="D18" s="6" t="s">
        <v>2454</v>
      </c>
      <c r="E18" s="6" t="s">
        <v>2465</v>
      </c>
      <c r="F18" s="6" t="s">
        <v>2477</v>
      </c>
      <c r="G18" s="6" t="s">
        <v>2444</v>
      </c>
      <c r="H18" s="6" t="s">
        <v>2477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hidden="1">
      <c r="A19" s="6" t="s">
        <v>2452</v>
      </c>
      <c r="B19" s="6" t="s">
        <v>2453</v>
      </c>
      <c r="C19" s="6" t="s">
        <v>19</v>
      </c>
      <c r="D19" s="6" t="s">
        <v>2454</v>
      </c>
      <c r="E19" s="6" t="s">
        <v>2465</v>
      </c>
      <c r="F19" s="6" t="s">
        <v>2478</v>
      </c>
      <c r="G19" s="6" t="s">
        <v>2444</v>
      </c>
      <c r="H19" s="6" t="s">
        <v>2479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1</v>
      </c>
      <c r="O19" s="6">
        <v>1</v>
      </c>
    </row>
    <row r="20" spans="1:15" hidden="1">
      <c r="A20" s="6" t="s">
        <v>2452</v>
      </c>
      <c r="B20" s="6" t="s">
        <v>2453</v>
      </c>
      <c r="C20" s="6" t="s">
        <v>19</v>
      </c>
      <c r="D20" s="6" t="s">
        <v>2454</v>
      </c>
      <c r="E20" s="6" t="s">
        <v>2465</v>
      </c>
      <c r="F20" s="6" t="s">
        <v>2480</v>
      </c>
      <c r="G20" s="6" t="s">
        <v>2444</v>
      </c>
      <c r="H20" s="6" t="s">
        <v>2481</v>
      </c>
      <c r="I20" s="6">
        <v>4</v>
      </c>
      <c r="J20" s="6">
        <v>2</v>
      </c>
      <c r="K20" s="6">
        <v>0.5</v>
      </c>
      <c r="L20" s="6">
        <v>0.56000000000000005</v>
      </c>
      <c r="M20" s="6">
        <v>1.1200000000000001</v>
      </c>
      <c r="N20" s="6">
        <v>1</v>
      </c>
      <c r="O20" s="6">
        <v>1</v>
      </c>
    </row>
    <row r="21" spans="1:15" hidden="1">
      <c r="A21" s="6" t="s">
        <v>2452</v>
      </c>
      <c r="B21" s="6" t="s">
        <v>2453</v>
      </c>
      <c r="C21" s="6" t="s">
        <v>19</v>
      </c>
      <c r="D21" s="6" t="s">
        <v>2454</v>
      </c>
      <c r="E21" s="6" t="s">
        <v>2465</v>
      </c>
      <c r="F21" s="6" t="s">
        <v>2482</v>
      </c>
      <c r="G21" s="6" t="s">
        <v>2444</v>
      </c>
      <c r="H21" s="6" t="s">
        <v>2483</v>
      </c>
      <c r="I21" s="6">
        <v>3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0.66670000000000007</v>
      </c>
    </row>
    <row r="22" spans="1:15" hidden="1">
      <c r="A22" s="6" t="s">
        <v>2452</v>
      </c>
      <c r="B22" s="6" t="s">
        <v>2453</v>
      </c>
      <c r="C22" s="6" t="s">
        <v>19</v>
      </c>
      <c r="D22" s="6" t="s">
        <v>2454</v>
      </c>
      <c r="E22" s="6" t="s">
        <v>2465</v>
      </c>
      <c r="F22" s="6" t="s">
        <v>2482</v>
      </c>
      <c r="G22" s="6" t="s">
        <v>2444</v>
      </c>
      <c r="H22" s="6" t="s">
        <v>2484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hidden="1">
      <c r="A23" s="6" t="s">
        <v>2452</v>
      </c>
      <c r="B23" s="6" t="s">
        <v>2453</v>
      </c>
      <c r="C23" s="6" t="s">
        <v>19</v>
      </c>
      <c r="D23" s="6" t="s">
        <v>2454</v>
      </c>
      <c r="E23" s="6" t="s">
        <v>2465</v>
      </c>
      <c r="F23" s="6" t="s">
        <v>2482</v>
      </c>
      <c r="G23" s="6" t="s">
        <v>2444</v>
      </c>
      <c r="H23" s="6" t="s">
        <v>2485</v>
      </c>
      <c r="I23" s="6">
        <v>2</v>
      </c>
      <c r="J23" s="6">
        <v>1</v>
      </c>
      <c r="K23" s="6">
        <v>0.5</v>
      </c>
      <c r="L23" s="6">
        <v>0.67</v>
      </c>
      <c r="M23" s="6">
        <v>0.67</v>
      </c>
      <c r="N23" s="6">
        <v>1</v>
      </c>
      <c r="O23" s="6">
        <v>1</v>
      </c>
    </row>
    <row r="24" spans="1:15" hidden="1">
      <c r="A24" s="6" t="s">
        <v>2452</v>
      </c>
      <c r="B24" s="6" t="s">
        <v>2453</v>
      </c>
      <c r="C24" s="6" t="s">
        <v>19</v>
      </c>
      <c r="D24" s="6" t="s">
        <v>2454</v>
      </c>
      <c r="E24" s="6" t="s">
        <v>2465</v>
      </c>
      <c r="F24" s="6" t="s">
        <v>2482</v>
      </c>
      <c r="G24" s="6" t="s">
        <v>2444</v>
      </c>
      <c r="H24" s="6" t="s">
        <v>2486</v>
      </c>
      <c r="I24" s="6">
        <v>2</v>
      </c>
      <c r="J24" s="6">
        <v>0</v>
      </c>
      <c r="K24" s="6">
        <v>0</v>
      </c>
      <c r="L24" s="6">
        <v>0</v>
      </c>
      <c r="M24" s="6">
        <v>0</v>
      </c>
      <c r="N24" s="6">
        <v>1</v>
      </c>
      <c r="O24" s="6">
        <v>1</v>
      </c>
    </row>
    <row r="25" spans="1:15" hidden="1">
      <c r="A25" s="6" t="s">
        <v>2452</v>
      </c>
      <c r="B25" s="6" t="s">
        <v>2453</v>
      </c>
      <c r="C25" s="6" t="s">
        <v>19</v>
      </c>
      <c r="D25" s="6" t="s">
        <v>2454</v>
      </c>
      <c r="E25" s="6" t="s">
        <v>2465</v>
      </c>
      <c r="F25" s="6" t="s">
        <v>2482</v>
      </c>
      <c r="G25" s="6" t="s">
        <v>2444</v>
      </c>
      <c r="H25" s="6" t="s">
        <v>2487</v>
      </c>
      <c r="I25" s="6">
        <v>5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6">
        <v>1</v>
      </c>
    </row>
    <row r="26" spans="1:15" hidden="1">
      <c r="A26" s="6" t="s">
        <v>2452</v>
      </c>
      <c r="B26" s="6" t="s">
        <v>2453</v>
      </c>
      <c r="C26" s="6" t="s">
        <v>19</v>
      </c>
      <c r="D26" s="6" t="s">
        <v>2454</v>
      </c>
      <c r="E26" s="6" t="s">
        <v>2465</v>
      </c>
      <c r="F26" s="6" t="s">
        <v>2482</v>
      </c>
      <c r="G26" s="6" t="s">
        <v>2444</v>
      </c>
      <c r="H26" s="6" t="s">
        <v>2488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1</v>
      </c>
    </row>
    <row r="27" spans="1:15" hidden="1">
      <c r="A27" s="6" t="s">
        <v>2452</v>
      </c>
      <c r="B27" s="6" t="s">
        <v>2453</v>
      </c>
      <c r="C27" s="6" t="s">
        <v>19</v>
      </c>
      <c r="D27" s="6" t="s">
        <v>2454</v>
      </c>
      <c r="E27" s="6" t="s">
        <v>2465</v>
      </c>
      <c r="F27" s="6" t="s">
        <v>2482</v>
      </c>
      <c r="G27" s="6" t="s">
        <v>2444</v>
      </c>
      <c r="H27" s="6" t="s">
        <v>2489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1</v>
      </c>
    </row>
    <row r="28" spans="1:15" hidden="1">
      <c r="A28" s="6" t="s">
        <v>2452</v>
      </c>
      <c r="B28" s="6" t="s">
        <v>2453</v>
      </c>
      <c r="C28" s="6" t="s">
        <v>19</v>
      </c>
      <c r="D28" s="6" t="s">
        <v>2454</v>
      </c>
      <c r="E28" s="6" t="s">
        <v>2465</v>
      </c>
      <c r="F28" s="6" t="s">
        <v>2482</v>
      </c>
      <c r="G28" s="6" t="s">
        <v>2444</v>
      </c>
      <c r="H28" s="6" t="s">
        <v>2490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1</v>
      </c>
    </row>
    <row r="29" spans="1:15" hidden="1">
      <c r="A29" s="6" t="s">
        <v>2452</v>
      </c>
      <c r="B29" s="6" t="s">
        <v>2453</v>
      </c>
      <c r="C29" s="6" t="s">
        <v>19</v>
      </c>
      <c r="D29" s="6" t="s">
        <v>2454</v>
      </c>
      <c r="E29" s="6" t="s">
        <v>2465</v>
      </c>
      <c r="F29" s="6" t="s">
        <v>2482</v>
      </c>
      <c r="G29" s="6" t="s">
        <v>2444</v>
      </c>
      <c r="H29" s="6" t="s">
        <v>2491</v>
      </c>
      <c r="I29" s="6">
        <v>2</v>
      </c>
      <c r="J29" s="6">
        <v>0</v>
      </c>
      <c r="K29" s="6">
        <v>0</v>
      </c>
      <c r="L29" s="6">
        <v>0</v>
      </c>
      <c r="M29" s="6">
        <v>0</v>
      </c>
      <c r="N29" s="6">
        <v>1</v>
      </c>
      <c r="O29" s="6">
        <v>1</v>
      </c>
    </row>
    <row r="30" spans="1:15" hidden="1">
      <c r="A30" s="6" t="s">
        <v>2452</v>
      </c>
      <c r="B30" s="6" t="s">
        <v>2453</v>
      </c>
      <c r="C30" s="6" t="s">
        <v>19</v>
      </c>
      <c r="D30" s="6" t="s">
        <v>2454</v>
      </c>
      <c r="E30" s="6" t="s">
        <v>2465</v>
      </c>
      <c r="F30" s="6" t="s">
        <v>2482</v>
      </c>
      <c r="G30" s="6" t="s">
        <v>2444</v>
      </c>
      <c r="H30" s="6" t="s">
        <v>2492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1</v>
      </c>
    </row>
    <row r="31" spans="1:15" hidden="1">
      <c r="A31" s="6" t="s">
        <v>2452</v>
      </c>
      <c r="B31" s="6" t="s">
        <v>2453</v>
      </c>
      <c r="C31" s="6" t="s">
        <v>19</v>
      </c>
      <c r="D31" s="6" t="s">
        <v>2454</v>
      </c>
      <c r="E31" s="6" t="s">
        <v>2465</v>
      </c>
      <c r="F31" s="6" t="s">
        <v>2482</v>
      </c>
      <c r="G31" s="6" t="s">
        <v>2444</v>
      </c>
      <c r="H31" s="6" t="s">
        <v>2493</v>
      </c>
      <c r="I31" s="6">
        <v>2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1</v>
      </c>
    </row>
    <row r="32" spans="1:15" hidden="1">
      <c r="A32" s="6" t="s">
        <v>2452</v>
      </c>
      <c r="B32" s="6" t="s">
        <v>2453</v>
      </c>
      <c r="C32" s="6" t="s">
        <v>19</v>
      </c>
      <c r="D32" s="6" t="s">
        <v>2454</v>
      </c>
      <c r="E32" s="6" t="s">
        <v>2465</v>
      </c>
      <c r="F32" s="6" t="s">
        <v>2482</v>
      </c>
      <c r="G32" s="6" t="s">
        <v>2444</v>
      </c>
      <c r="H32" s="6" t="s">
        <v>2494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hidden="1">
      <c r="A33" s="6" t="s">
        <v>2452</v>
      </c>
      <c r="B33" s="6" t="s">
        <v>2453</v>
      </c>
      <c r="C33" s="6" t="s">
        <v>19</v>
      </c>
      <c r="D33" s="6" t="s">
        <v>2454</v>
      </c>
      <c r="E33" s="6" t="s">
        <v>2465</v>
      </c>
      <c r="F33" s="6" t="s">
        <v>2482</v>
      </c>
      <c r="G33" s="6" t="s">
        <v>2444</v>
      </c>
      <c r="H33" s="6" t="s">
        <v>2482</v>
      </c>
      <c r="I33" s="6">
        <v>5</v>
      </c>
      <c r="J33" s="6">
        <v>2</v>
      </c>
      <c r="K33" s="6">
        <v>0.4</v>
      </c>
      <c r="L33" s="6">
        <v>0.22</v>
      </c>
      <c r="M33" s="6">
        <v>0.44</v>
      </c>
      <c r="N33" s="6">
        <v>0.66670000000000007</v>
      </c>
      <c r="O33" s="6">
        <v>0.66670000000000007</v>
      </c>
    </row>
    <row r="34" spans="1:15" hidden="1">
      <c r="A34" s="6" t="s">
        <v>2452</v>
      </c>
      <c r="B34" s="6" t="s">
        <v>2453</v>
      </c>
      <c r="C34" s="6" t="s">
        <v>19</v>
      </c>
      <c r="D34" s="6" t="s">
        <v>2454</v>
      </c>
      <c r="E34" s="6" t="s">
        <v>2465</v>
      </c>
      <c r="F34" s="6" t="s">
        <v>2495</v>
      </c>
      <c r="G34" s="6" t="s">
        <v>2444</v>
      </c>
      <c r="H34" s="6" t="s">
        <v>2496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1</v>
      </c>
      <c r="O34" s="6">
        <v>1</v>
      </c>
    </row>
    <row r="35" spans="1:15" hidden="1">
      <c r="A35" s="6" t="s">
        <v>2452</v>
      </c>
      <c r="B35" s="6" t="s">
        <v>2453</v>
      </c>
      <c r="C35" s="6" t="s">
        <v>19</v>
      </c>
      <c r="D35" s="6" t="s">
        <v>2454</v>
      </c>
      <c r="E35" s="6" t="s">
        <v>2465</v>
      </c>
      <c r="F35" s="6" t="s">
        <v>2497</v>
      </c>
      <c r="G35" s="6" t="s">
        <v>2444</v>
      </c>
      <c r="H35" s="6" t="s">
        <v>2498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1</v>
      </c>
      <c r="O35" s="6">
        <v>1</v>
      </c>
    </row>
    <row r="36" spans="1:15" hidden="1">
      <c r="A36" s="6" t="s">
        <v>2452</v>
      </c>
      <c r="B36" s="6" t="s">
        <v>2453</v>
      </c>
      <c r="C36" s="6" t="s">
        <v>19</v>
      </c>
      <c r="D36" s="6" t="s">
        <v>2454</v>
      </c>
      <c r="E36" s="6" t="s">
        <v>2465</v>
      </c>
      <c r="F36" s="6" t="s">
        <v>2499</v>
      </c>
      <c r="G36" s="6" t="s">
        <v>2444</v>
      </c>
      <c r="H36" s="6" t="s">
        <v>2500</v>
      </c>
      <c r="I36" s="6">
        <v>2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1</v>
      </c>
    </row>
    <row r="37" spans="1:15" hidden="1">
      <c r="A37" s="6" t="s">
        <v>2452</v>
      </c>
      <c r="B37" s="6" t="s">
        <v>2453</v>
      </c>
      <c r="C37" s="6" t="s">
        <v>19</v>
      </c>
      <c r="D37" s="6" t="s">
        <v>2454</v>
      </c>
      <c r="E37" s="6" t="s">
        <v>2465</v>
      </c>
      <c r="F37" s="6" t="s">
        <v>2501</v>
      </c>
      <c r="G37" s="6" t="s">
        <v>2444</v>
      </c>
      <c r="H37" s="6" t="s">
        <v>2502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</row>
    <row r="38" spans="1:15" hidden="1">
      <c r="A38" s="6" t="s">
        <v>2452</v>
      </c>
      <c r="B38" s="6" t="s">
        <v>2453</v>
      </c>
      <c r="C38" s="6" t="s">
        <v>19</v>
      </c>
      <c r="D38" s="6" t="s">
        <v>2454</v>
      </c>
      <c r="E38" s="6" t="s">
        <v>2465</v>
      </c>
      <c r="F38" s="6" t="s">
        <v>2503</v>
      </c>
      <c r="G38" s="6" t="s">
        <v>2444</v>
      </c>
      <c r="H38" s="6" t="s">
        <v>2504</v>
      </c>
      <c r="I38" s="6">
        <v>2</v>
      </c>
      <c r="J38" s="6">
        <v>0</v>
      </c>
      <c r="K38" s="6">
        <v>0</v>
      </c>
      <c r="L38" s="6">
        <v>0</v>
      </c>
      <c r="M38" s="6">
        <v>0</v>
      </c>
      <c r="N38" s="6">
        <v>1</v>
      </c>
      <c r="O38" s="6">
        <v>1</v>
      </c>
    </row>
    <row r="39" spans="1:15" hidden="1">
      <c r="A39" s="6" t="s">
        <v>2452</v>
      </c>
      <c r="B39" s="6" t="s">
        <v>2453</v>
      </c>
      <c r="C39" s="6" t="s">
        <v>19</v>
      </c>
      <c r="D39" s="6" t="s">
        <v>2454</v>
      </c>
      <c r="E39" s="6" t="s">
        <v>2465</v>
      </c>
      <c r="F39" s="6" t="s">
        <v>2505</v>
      </c>
      <c r="G39" s="6" t="s">
        <v>2444</v>
      </c>
      <c r="H39" s="6" t="s">
        <v>2506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1</v>
      </c>
    </row>
    <row r="40" spans="1:15" hidden="1">
      <c r="A40" s="6" t="s">
        <v>2452</v>
      </c>
      <c r="B40" s="6" t="s">
        <v>2453</v>
      </c>
      <c r="C40" s="6" t="s">
        <v>19</v>
      </c>
      <c r="D40" s="6" t="s">
        <v>2454</v>
      </c>
      <c r="E40" s="6" t="s">
        <v>2465</v>
      </c>
      <c r="F40" s="6" t="s">
        <v>2507</v>
      </c>
      <c r="G40" s="6" t="s">
        <v>2444</v>
      </c>
      <c r="H40" s="6" t="s">
        <v>2508</v>
      </c>
      <c r="I40" s="6">
        <v>2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1</v>
      </c>
    </row>
    <row r="41" spans="1:15" hidden="1">
      <c r="A41" s="6" t="s">
        <v>2452</v>
      </c>
      <c r="B41" s="6" t="s">
        <v>2453</v>
      </c>
      <c r="C41" s="6" t="s">
        <v>19</v>
      </c>
      <c r="D41" s="6" t="s">
        <v>2454</v>
      </c>
      <c r="E41" s="6" t="s">
        <v>2465</v>
      </c>
      <c r="F41" s="6" t="s">
        <v>2509</v>
      </c>
      <c r="G41" s="6" t="s">
        <v>2444</v>
      </c>
      <c r="H41" s="6" t="s">
        <v>2510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6">
        <v>1</v>
      </c>
    </row>
    <row r="42" spans="1:15" hidden="1">
      <c r="A42" s="6" t="s">
        <v>2452</v>
      </c>
      <c r="B42" s="6" t="s">
        <v>2453</v>
      </c>
      <c r="C42" s="6" t="s">
        <v>19</v>
      </c>
      <c r="D42" s="6" t="s">
        <v>2454</v>
      </c>
      <c r="E42" s="6" t="s">
        <v>2511</v>
      </c>
      <c r="F42" s="6" t="s">
        <v>2512</v>
      </c>
      <c r="G42" s="6" t="s">
        <v>2444</v>
      </c>
      <c r="H42" s="6" t="s">
        <v>2513</v>
      </c>
      <c r="I42" s="6">
        <v>2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hidden="1">
      <c r="A43" s="6" t="s">
        <v>2452</v>
      </c>
      <c r="B43" s="6" t="s">
        <v>2453</v>
      </c>
      <c r="C43" s="6" t="s">
        <v>19</v>
      </c>
      <c r="D43" s="6" t="s">
        <v>2454</v>
      </c>
      <c r="E43" s="6" t="s">
        <v>2511</v>
      </c>
      <c r="F43" s="6" t="s">
        <v>2514</v>
      </c>
      <c r="G43" s="6" t="s">
        <v>2444</v>
      </c>
      <c r="H43" s="6" t="s">
        <v>2515</v>
      </c>
      <c r="I43" s="6"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 hidden="1">
      <c r="A44" s="6" t="s">
        <v>2452</v>
      </c>
      <c r="B44" s="6" t="s">
        <v>2453</v>
      </c>
      <c r="C44" s="6" t="s">
        <v>19</v>
      </c>
      <c r="D44" s="6" t="s">
        <v>2454</v>
      </c>
      <c r="E44" s="6" t="s">
        <v>2516</v>
      </c>
      <c r="G44" s="6" t="s">
        <v>2444</v>
      </c>
      <c r="H44" s="6" t="s">
        <v>2517</v>
      </c>
      <c r="I44" s="6">
        <v>4</v>
      </c>
      <c r="J44" s="6">
        <v>0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</row>
    <row r="45" spans="1:15" hidden="1">
      <c r="A45" s="6" t="s">
        <v>2452</v>
      </c>
      <c r="B45" s="6" t="s">
        <v>2453</v>
      </c>
      <c r="C45" s="6" t="s">
        <v>19</v>
      </c>
      <c r="D45" s="6" t="s">
        <v>2454</v>
      </c>
      <c r="E45" s="6" t="s">
        <v>2516</v>
      </c>
      <c r="F45" s="6" t="s">
        <v>2518</v>
      </c>
      <c r="G45" s="6" t="s">
        <v>2444</v>
      </c>
      <c r="H45" s="6" t="s">
        <v>2519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</row>
    <row r="46" spans="1:15" hidden="1">
      <c r="A46" s="6" t="s">
        <v>2452</v>
      </c>
      <c r="B46" s="6" t="s">
        <v>2453</v>
      </c>
      <c r="C46" s="6" t="s">
        <v>19</v>
      </c>
      <c r="D46" s="6" t="s">
        <v>2454</v>
      </c>
      <c r="E46" s="6" t="s">
        <v>2516</v>
      </c>
      <c r="F46" s="6" t="s">
        <v>2520</v>
      </c>
      <c r="G46" s="6" t="s">
        <v>2444</v>
      </c>
      <c r="H46" s="6" t="s">
        <v>2521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1</v>
      </c>
    </row>
    <row r="47" spans="1:15" hidden="1">
      <c r="A47" s="6" t="s">
        <v>2452</v>
      </c>
      <c r="B47" s="6" t="s">
        <v>2453</v>
      </c>
      <c r="C47" s="6" t="s">
        <v>19</v>
      </c>
      <c r="D47" s="6" t="s">
        <v>2454</v>
      </c>
      <c r="E47" s="6" t="s">
        <v>2516</v>
      </c>
      <c r="F47" s="6" t="s">
        <v>2522</v>
      </c>
      <c r="G47" s="6" t="s">
        <v>2444</v>
      </c>
      <c r="H47" s="6" t="s">
        <v>2523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1</v>
      </c>
      <c r="O47" s="6">
        <v>1</v>
      </c>
    </row>
    <row r="48" spans="1:15" hidden="1">
      <c r="A48" s="6" t="s">
        <v>2452</v>
      </c>
      <c r="B48" s="6" t="s">
        <v>2453</v>
      </c>
      <c r="C48" s="6" t="s">
        <v>19</v>
      </c>
      <c r="D48" s="6" t="s">
        <v>2454</v>
      </c>
      <c r="E48" s="6" t="s">
        <v>2516</v>
      </c>
      <c r="F48" s="6" t="s">
        <v>2524</v>
      </c>
      <c r="G48" s="6" t="s">
        <v>2444</v>
      </c>
      <c r="H48" s="6" t="s">
        <v>2525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</row>
    <row r="49" spans="1:15" hidden="1">
      <c r="A49" s="6" t="s">
        <v>2452</v>
      </c>
      <c r="B49" s="6" t="s">
        <v>2453</v>
      </c>
      <c r="C49" s="6" t="s">
        <v>19</v>
      </c>
      <c r="D49" s="6" t="s">
        <v>2454</v>
      </c>
      <c r="E49" s="6" t="s">
        <v>2516</v>
      </c>
      <c r="F49" s="6" t="s">
        <v>2524</v>
      </c>
      <c r="G49" s="6" t="s">
        <v>2444</v>
      </c>
      <c r="H49" s="6" t="s">
        <v>2526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</row>
    <row r="50" spans="1:15" hidden="1">
      <c r="A50" s="6" t="s">
        <v>2452</v>
      </c>
      <c r="B50" s="6" t="s">
        <v>2453</v>
      </c>
      <c r="C50" s="6" t="s">
        <v>19</v>
      </c>
      <c r="D50" s="6" t="s">
        <v>2454</v>
      </c>
      <c r="E50" s="6" t="s">
        <v>2516</v>
      </c>
      <c r="F50" s="6" t="s">
        <v>2524</v>
      </c>
      <c r="G50" s="6" t="s">
        <v>2444</v>
      </c>
      <c r="H50" s="6" t="s">
        <v>2527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hidden="1">
      <c r="A51" s="6" t="s">
        <v>2452</v>
      </c>
      <c r="B51" s="6" t="s">
        <v>2453</v>
      </c>
      <c r="C51" s="6" t="s">
        <v>19</v>
      </c>
      <c r="D51" s="6" t="s">
        <v>2454</v>
      </c>
      <c r="E51" s="6" t="s">
        <v>2516</v>
      </c>
      <c r="F51" s="6" t="s">
        <v>2524</v>
      </c>
      <c r="G51" s="6" t="s">
        <v>2444</v>
      </c>
      <c r="H51" s="6" t="s">
        <v>2524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1</v>
      </c>
    </row>
    <row r="52" spans="1:15" hidden="1">
      <c r="A52" s="6" t="s">
        <v>2452</v>
      </c>
      <c r="B52" s="6" t="s">
        <v>2453</v>
      </c>
      <c r="C52" s="6" t="s">
        <v>19</v>
      </c>
      <c r="D52" s="6" t="s">
        <v>2454</v>
      </c>
      <c r="E52" s="6" t="s">
        <v>2516</v>
      </c>
      <c r="F52" s="6" t="s">
        <v>2528</v>
      </c>
      <c r="G52" s="6" t="s">
        <v>2444</v>
      </c>
      <c r="H52" s="6" t="s">
        <v>2529</v>
      </c>
      <c r="I52" s="6">
        <v>2</v>
      </c>
      <c r="J52" s="6">
        <v>1</v>
      </c>
      <c r="K52" s="6">
        <v>0.5</v>
      </c>
      <c r="L52" s="6">
        <v>0.57999999999999996</v>
      </c>
      <c r="M52" s="6">
        <v>0.57999999999999996</v>
      </c>
      <c r="N52" s="6">
        <v>1</v>
      </c>
      <c r="O52" s="6">
        <v>1</v>
      </c>
    </row>
    <row r="53" spans="1:15" hidden="1">
      <c r="A53" s="6" t="s">
        <v>2452</v>
      </c>
      <c r="B53" s="6" t="s">
        <v>2453</v>
      </c>
      <c r="C53" s="6" t="s">
        <v>19</v>
      </c>
      <c r="D53" s="6" t="s">
        <v>2454</v>
      </c>
      <c r="E53" s="6" t="s">
        <v>2516</v>
      </c>
      <c r="F53" s="6" t="s">
        <v>2530</v>
      </c>
      <c r="G53" s="6" t="s">
        <v>2444</v>
      </c>
      <c r="H53" s="6" t="s">
        <v>2531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</row>
    <row r="54" spans="1:15" hidden="1">
      <c r="A54" s="6" t="s">
        <v>2452</v>
      </c>
      <c r="B54" s="6" t="s">
        <v>2453</v>
      </c>
      <c r="C54" s="6" t="s">
        <v>19</v>
      </c>
      <c r="D54" s="6" t="s">
        <v>2454</v>
      </c>
      <c r="E54" s="6" t="s">
        <v>2516</v>
      </c>
      <c r="F54" s="6" t="s">
        <v>2532</v>
      </c>
      <c r="G54" s="6" t="s">
        <v>2444</v>
      </c>
      <c r="H54" s="6" t="s">
        <v>2533</v>
      </c>
      <c r="I54" s="6">
        <v>3</v>
      </c>
      <c r="J54" s="6">
        <v>0</v>
      </c>
      <c r="K54" s="6">
        <v>0</v>
      </c>
      <c r="L54" s="6">
        <v>0</v>
      </c>
      <c r="M54" s="6">
        <v>0</v>
      </c>
      <c r="N54" s="6">
        <v>0.5</v>
      </c>
      <c r="O54" s="6">
        <v>0</v>
      </c>
    </row>
    <row r="55" spans="1:15" hidden="1">
      <c r="A55" s="6" t="s">
        <v>2452</v>
      </c>
      <c r="B55" s="6" t="s">
        <v>2453</v>
      </c>
      <c r="C55" s="6" t="s">
        <v>19</v>
      </c>
      <c r="D55" s="6" t="s">
        <v>2454</v>
      </c>
      <c r="E55" s="6" t="s">
        <v>2534</v>
      </c>
      <c r="G55" s="6" t="s">
        <v>2444</v>
      </c>
      <c r="H55" s="6" t="s">
        <v>2535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1</v>
      </c>
    </row>
    <row r="56" spans="1:15" hidden="1">
      <c r="A56" s="6" t="s">
        <v>2452</v>
      </c>
      <c r="B56" s="6" t="s">
        <v>2453</v>
      </c>
      <c r="C56" s="6" t="s">
        <v>19</v>
      </c>
      <c r="D56" s="6" t="s">
        <v>2454</v>
      </c>
      <c r="E56" s="6" t="s">
        <v>2534</v>
      </c>
      <c r="F56" s="6" t="s">
        <v>2536</v>
      </c>
      <c r="G56" s="6" t="s">
        <v>2444</v>
      </c>
      <c r="H56" s="6" t="s">
        <v>2536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hidden="1">
      <c r="A57" s="6" t="s">
        <v>2452</v>
      </c>
      <c r="B57" s="6" t="s">
        <v>2453</v>
      </c>
      <c r="C57" s="6" t="s">
        <v>19</v>
      </c>
      <c r="D57" s="6" t="s">
        <v>2454</v>
      </c>
      <c r="E57" s="6" t="s">
        <v>2534</v>
      </c>
      <c r="F57" s="6" t="s">
        <v>2537</v>
      </c>
      <c r="G57" s="6" t="s">
        <v>2444</v>
      </c>
      <c r="H57" s="6" t="s">
        <v>2538</v>
      </c>
      <c r="I57" s="6">
        <v>2</v>
      </c>
      <c r="J57" s="6">
        <v>1</v>
      </c>
      <c r="K57" s="6">
        <v>0.5</v>
      </c>
      <c r="L57" s="6">
        <v>1.99</v>
      </c>
      <c r="M57" s="6">
        <v>1.99</v>
      </c>
      <c r="N57" s="6">
        <v>1</v>
      </c>
      <c r="O57" s="6">
        <v>1</v>
      </c>
    </row>
    <row r="58" spans="1:15" hidden="1">
      <c r="A58" s="6" t="s">
        <v>2452</v>
      </c>
      <c r="B58" s="6" t="s">
        <v>2453</v>
      </c>
      <c r="C58" s="6" t="s">
        <v>19</v>
      </c>
      <c r="D58" s="6" t="s">
        <v>2454</v>
      </c>
      <c r="E58" s="6" t="s">
        <v>2534</v>
      </c>
      <c r="F58" s="6" t="s">
        <v>2539</v>
      </c>
      <c r="G58" s="6" t="s">
        <v>2444</v>
      </c>
      <c r="H58" s="6" t="s">
        <v>2540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>
        <v>1</v>
      </c>
      <c r="O58" s="6">
        <v>1</v>
      </c>
    </row>
    <row r="59" spans="1:15" hidden="1">
      <c r="A59" s="6" t="s">
        <v>2452</v>
      </c>
      <c r="B59" s="6" t="s">
        <v>2453</v>
      </c>
      <c r="C59" s="6" t="s">
        <v>19</v>
      </c>
      <c r="D59" s="6" t="s">
        <v>2454</v>
      </c>
      <c r="E59" s="6" t="s">
        <v>2534</v>
      </c>
      <c r="F59" s="6" t="s">
        <v>2541</v>
      </c>
      <c r="G59" s="6" t="s">
        <v>2444</v>
      </c>
      <c r="H59" s="6" t="s">
        <v>2542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</row>
    <row r="60" spans="1:15" hidden="1">
      <c r="A60" s="6" t="s">
        <v>2452</v>
      </c>
      <c r="B60" s="6" t="s">
        <v>2453</v>
      </c>
      <c r="C60" s="6" t="s">
        <v>19</v>
      </c>
      <c r="D60" s="6" t="s">
        <v>2454</v>
      </c>
      <c r="E60" s="6" t="s">
        <v>2534</v>
      </c>
      <c r="F60" s="6" t="s">
        <v>2541</v>
      </c>
      <c r="G60" s="6" t="s">
        <v>2444</v>
      </c>
      <c r="H60" s="6" t="s">
        <v>2541</v>
      </c>
      <c r="I60" s="6">
        <v>2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1</v>
      </c>
    </row>
    <row r="61" spans="1:15" hidden="1">
      <c r="A61" s="6" t="s">
        <v>2452</v>
      </c>
      <c r="B61" s="6" t="s">
        <v>2453</v>
      </c>
      <c r="C61" s="6" t="s">
        <v>19</v>
      </c>
      <c r="D61" s="6" t="s">
        <v>2454</v>
      </c>
      <c r="E61" s="6" t="s">
        <v>2534</v>
      </c>
      <c r="F61" s="6" t="s">
        <v>2455</v>
      </c>
      <c r="G61" s="6" t="s">
        <v>2444</v>
      </c>
      <c r="H61" s="6" t="s">
        <v>2543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>
        <v>1</v>
      </c>
      <c r="O61" s="6">
        <v>1</v>
      </c>
    </row>
    <row r="62" spans="1:15" hidden="1">
      <c r="A62" s="6" t="s">
        <v>2452</v>
      </c>
      <c r="B62" s="6" t="s">
        <v>2453</v>
      </c>
      <c r="C62" s="6" t="s">
        <v>19</v>
      </c>
      <c r="D62" s="6" t="s">
        <v>2454</v>
      </c>
      <c r="E62" s="6" t="s">
        <v>2534</v>
      </c>
      <c r="F62" s="6" t="s">
        <v>2455</v>
      </c>
      <c r="G62" s="6" t="s">
        <v>2444</v>
      </c>
      <c r="H62" s="6" t="s">
        <v>2544</v>
      </c>
      <c r="I62" s="6">
        <v>3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1</v>
      </c>
    </row>
    <row r="63" spans="1:15" hidden="1">
      <c r="A63" s="6" t="s">
        <v>2452</v>
      </c>
      <c r="B63" s="6" t="s">
        <v>2453</v>
      </c>
      <c r="C63" s="6" t="s">
        <v>19</v>
      </c>
      <c r="D63" s="6" t="s">
        <v>2454</v>
      </c>
      <c r="E63" s="6" t="s">
        <v>2534</v>
      </c>
      <c r="F63" s="6" t="s">
        <v>2455</v>
      </c>
      <c r="G63" s="6" t="s">
        <v>2444</v>
      </c>
      <c r="H63" s="6" t="s">
        <v>2545</v>
      </c>
      <c r="I63" s="6">
        <v>2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1</v>
      </c>
    </row>
    <row r="64" spans="1:15" hidden="1">
      <c r="A64" s="6" t="s">
        <v>2452</v>
      </c>
      <c r="B64" s="6" t="s">
        <v>2453</v>
      </c>
      <c r="C64" s="6" t="s">
        <v>19</v>
      </c>
      <c r="D64" s="6" t="s">
        <v>2454</v>
      </c>
      <c r="E64" s="6" t="s">
        <v>2534</v>
      </c>
      <c r="F64" s="6" t="s">
        <v>2455</v>
      </c>
      <c r="G64" s="6" t="s">
        <v>2444</v>
      </c>
      <c r="H64" s="6" t="s">
        <v>2546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1</v>
      </c>
    </row>
    <row r="65" spans="1:15" hidden="1">
      <c r="A65" s="6" t="s">
        <v>2452</v>
      </c>
      <c r="B65" s="6" t="s">
        <v>2453</v>
      </c>
      <c r="C65" s="6" t="s">
        <v>19</v>
      </c>
      <c r="D65" s="6" t="s">
        <v>2454</v>
      </c>
      <c r="E65" s="6" t="s">
        <v>2534</v>
      </c>
      <c r="F65" s="6" t="s">
        <v>2455</v>
      </c>
      <c r="G65" s="6" t="s">
        <v>2444</v>
      </c>
      <c r="H65" s="6" t="s">
        <v>2547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</row>
    <row r="66" spans="1:15" hidden="1">
      <c r="A66" s="6" t="s">
        <v>2452</v>
      </c>
      <c r="B66" s="6" t="s">
        <v>2453</v>
      </c>
      <c r="C66" s="6" t="s">
        <v>19</v>
      </c>
      <c r="D66" s="6" t="s">
        <v>2454</v>
      </c>
      <c r="E66" s="6" t="s">
        <v>2534</v>
      </c>
      <c r="F66" s="6" t="s">
        <v>2455</v>
      </c>
      <c r="G66" s="6" t="s">
        <v>2444</v>
      </c>
      <c r="H66" s="6" t="s">
        <v>2548</v>
      </c>
      <c r="I66" s="6">
        <v>2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1</v>
      </c>
    </row>
    <row r="67" spans="1:15" hidden="1">
      <c r="A67" s="6" t="s">
        <v>2452</v>
      </c>
      <c r="B67" s="6" t="s">
        <v>2453</v>
      </c>
      <c r="C67" s="6" t="s">
        <v>19</v>
      </c>
      <c r="D67" s="6" t="s">
        <v>2454</v>
      </c>
      <c r="E67" s="6" t="s">
        <v>2534</v>
      </c>
      <c r="F67" s="6" t="s">
        <v>2455</v>
      </c>
      <c r="G67" s="6" t="s">
        <v>2444</v>
      </c>
      <c r="H67" s="6" t="s">
        <v>2549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6">
        <v>1</v>
      </c>
    </row>
    <row r="68" spans="1:15" hidden="1">
      <c r="A68" s="6" t="s">
        <v>2452</v>
      </c>
      <c r="B68" s="6" t="s">
        <v>2453</v>
      </c>
      <c r="C68" s="6" t="s">
        <v>19</v>
      </c>
      <c r="D68" s="6" t="s">
        <v>2454</v>
      </c>
      <c r="E68" s="6" t="s">
        <v>2534</v>
      </c>
      <c r="F68" s="6" t="s">
        <v>2455</v>
      </c>
      <c r="G68" s="6" t="s">
        <v>2444</v>
      </c>
      <c r="H68" s="6" t="s">
        <v>2550</v>
      </c>
      <c r="I68" s="6">
        <v>2</v>
      </c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6">
        <v>1</v>
      </c>
    </row>
    <row r="69" spans="1:15" hidden="1">
      <c r="A69" s="6" t="s">
        <v>2452</v>
      </c>
      <c r="B69" s="6" t="s">
        <v>2453</v>
      </c>
      <c r="C69" s="6" t="s">
        <v>19</v>
      </c>
      <c r="D69" s="6" t="s">
        <v>2454</v>
      </c>
      <c r="E69" s="6" t="s">
        <v>2534</v>
      </c>
      <c r="F69" s="6" t="s">
        <v>2455</v>
      </c>
      <c r="G69" s="6" t="s">
        <v>2444</v>
      </c>
      <c r="H69" s="6" t="s">
        <v>2551</v>
      </c>
      <c r="I69" s="6">
        <v>2</v>
      </c>
      <c r="J69" s="6">
        <v>0</v>
      </c>
      <c r="K69" s="6">
        <v>0</v>
      </c>
      <c r="L69" s="6">
        <v>0</v>
      </c>
      <c r="M69" s="6">
        <v>0</v>
      </c>
      <c r="N69" s="6">
        <v>1</v>
      </c>
      <c r="O69" s="6">
        <v>1</v>
      </c>
    </row>
    <row r="70" spans="1:15" hidden="1">
      <c r="A70" s="6" t="s">
        <v>2452</v>
      </c>
      <c r="B70" s="6" t="s">
        <v>2453</v>
      </c>
      <c r="C70" s="6" t="s">
        <v>19</v>
      </c>
      <c r="D70" s="6" t="s">
        <v>2454</v>
      </c>
      <c r="E70" s="6" t="s">
        <v>2534</v>
      </c>
      <c r="F70" s="6" t="s">
        <v>2455</v>
      </c>
      <c r="G70" s="6" t="s">
        <v>2444</v>
      </c>
      <c r="H70" s="6" t="s">
        <v>2552</v>
      </c>
      <c r="I70" s="6">
        <v>3</v>
      </c>
      <c r="J70" s="6">
        <v>0</v>
      </c>
      <c r="K70" s="6">
        <v>0</v>
      </c>
      <c r="L70" s="6">
        <v>0</v>
      </c>
      <c r="M70" s="6">
        <v>0</v>
      </c>
      <c r="N70" s="6">
        <v>1</v>
      </c>
      <c r="O70" s="6">
        <v>1</v>
      </c>
    </row>
    <row r="71" spans="1:15" hidden="1">
      <c r="A71" s="6" t="s">
        <v>2452</v>
      </c>
      <c r="B71" s="6" t="s">
        <v>2453</v>
      </c>
      <c r="C71" s="6" t="s">
        <v>19</v>
      </c>
      <c r="D71" s="6" t="s">
        <v>2454</v>
      </c>
      <c r="E71" s="6" t="s">
        <v>2553</v>
      </c>
      <c r="F71" s="6" t="s">
        <v>2554</v>
      </c>
      <c r="G71" s="6" t="s">
        <v>2444</v>
      </c>
      <c r="H71" s="6" t="s">
        <v>2555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1</v>
      </c>
      <c r="O71" s="6">
        <v>0</v>
      </c>
    </row>
    <row r="72" spans="1:15" hidden="1">
      <c r="A72" s="6" t="s">
        <v>2452</v>
      </c>
      <c r="B72" s="6" t="s">
        <v>2453</v>
      </c>
      <c r="C72" s="6" t="s">
        <v>19</v>
      </c>
      <c r="D72" s="6" t="s">
        <v>2454</v>
      </c>
      <c r="E72" s="6" t="s">
        <v>2553</v>
      </c>
      <c r="F72" s="6" t="s">
        <v>2556</v>
      </c>
      <c r="G72" s="6" t="s">
        <v>2444</v>
      </c>
      <c r="H72" s="6" t="s">
        <v>2556</v>
      </c>
      <c r="I72" s="6">
        <v>2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</row>
    <row r="73" spans="1:15" hidden="1">
      <c r="A73" s="6" t="s">
        <v>2452</v>
      </c>
      <c r="B73" s="6" t="s">
        <v>2453</v>
      </c>
      <c r="C73" s="6" t="s">
        <v>19</v>
      </c>
      <c r="D73" s="6" t="s">
        <v>2454</v>
      </c>
      <c r="E73" s="6" t="s">
        <v>2553</v>
      </c>
      <c r="F73" s="6" t="s">
        <v>2557</v>
      </c>
      <c r="G73" s="6" t="s">
        <v>2444</v>
      </c>
      <c r="H73" s="6" t="s">
        <v>2558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1</v>
      </c>
      <c r="O73" s="6">
        <v>1</v>
      </c>
    </row>
    <row r="74" spans="1:15" hidden="1">
      <c r="A74" s="6" t="s">
        <v>2452</v>
      </c>
      <c r="B74" s="6" t="s">
        <v>2453</v>
      </c>
      <c r="C74" s="6" t="s">
        <v>19</v>
      </c>
      <c r="D74" s="6" t="s">
        <v>2454</v>
      </c>
      <c r="E74" s="6" t="s">
        <v>2553</v>
      </c>
      <c r="F74" s="6" t="s">
        <v>2559</v>
      </c>
      <c r="G74" s="6" t="s">
        <v>2444</v>
      </c>
      <c r="H74" s="6" t="s">
        <v>2560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hidden="1">
      <c r="A75" s="6" t="s">
        <v>2452</v>
      </c>
      <c r="B75" s="6" t="s">
        <v>2453</v>
      </c>
      <c r="C75" s="6" t="s">
        <v>19</v>
      </c>
      <c r="D75" s="6" t="s">
        <v>2454</v>
      </c>
      <c r="E75" s="6" t="s">
        <v>2553</v>
      </c>
      <c r="F75" s="6" t="s">
        <v>2561</v>
      </c>
      <c r="G75" s="6" t="s">
        <v>2444</v>
      </c>
      <c r="H75" s="6" t="s">
        <v>2562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1</v>
      </c>
    </row>
    <row r="76" spans="1:15" hidden="1">
      <c r="A76" s="6" t="s">
        <v>2452</v>
      </c>
      <c r="B76" s="6" t="s">
        <v>2453</v>
      </c>
      <c r="C76" s="6" t="s">
        <v>19</v>
      </c>
      <c r="D76" s="6" t="s">
        <v>2454</v>
      </c>
      <c r="E76" s="6" t="s">
        <v>2553</v>
      </c>
      <c r="F76" s="6" t="s">
        <v>2563</v>
      </c>
      <c r="G76" s="6" t="s">
        <v>2444</v>
      </c>
      <c r="H76" s="6" t="s">
        <v>2564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hidden="1">
      <c r="A77" s="6" t="s">
        <v>2452</v>
      </c>
      <c r="B77" s="6" t="s">
        <v>2453</v>
      </c>
      <c r="C77" s="6" t="s">
        <v>19</v>
      </c>
      <c r="D77" s="6" t="s">
        <v>2454</v>
      </c>
      <c r="E77" s="6" t="s">
        <v>2553</v>
      </c>
      <c r="F77" s="6" t="s">
        <v>2565</v>
      </c>
      <c r="G77" s="6" t="s">
        <v>2444</v>
      </c>
      <c r="H77" s="6" t="s">
        <v>2566</v>
      </c>
      <c r="I77" s="6">
        <v>2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1</v>
      </c>
    </row>
    <row r="78" spans="1:15" hidden="1">
      <c r="A78" s="6" t="s">
        <v>2452</v>
      </c>
      <c r="B78" s="6" t="s">
        <v>2453</v>
      </c>
      <c r="C78" s="6" t="s">
        <v>19</v>
      </c>
      <c r="D78" s="6" t="s">
        <v>2454</v>
      </c>
      <c r="E78" s="6" t="s">
        <v>2553</v>
      </c>
      <c r="F78" s="6" t="s">
        <v>2567</v>
      </c>
      <c r="G78" s="6" t="s">
        <v>2444</v>
      </c>
      <c r="H78" s="6" t="s">
        <v>2568</v>
      </c>
      <c r="I78" s="6">
        <v>2</v>
      </c>
      <c r="J78" s="6">
        <v>1</v>
      </c>
      <c r="K78" s="6">
        <v>0.5</v>
      </c>
      <c r="L78" s="6">
        <v>1.44</v>
      </c>
      <c r="M78" s="6">
        <v>1.44</v>
      </c>
      <c r="N78" s="6">
        <v>1</v>
      </c>
      <c r="O78" s="6">
        <v>1</v>
      </c>
    </row>
    <row r="79" spans="1:15" hidden="1">
      <c r="A79" s="6" t="s">
        <v>2452</v>
      </c>
      <c r="B79" s="6" t="s">
        <v>2453</v>
      </c>
      <c r="C79" s="6" t="s">
        <v>19</v>
      </c>
      <c r="D79" s="6" t="s">
        <v>2454</v>
      </c>
      <c r="E79" s="6" t="s">
        <v>2553</v>
      </c>
      <c r="F79" s="6" t="s">
        <v>2569</v>
      </c>
      <c r="G79" s="6" t="s">
        <v>2444</v>
      </c>
      <c r="H79" s="6" t="s">
        <v>2570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1</v>
      </c>
    </row>
    <row r="80" spans="1:15" hidden="1">
      <c r="A80" s="6" t="s">
        <v>2452</v>
      </c>
      <c r="B80" s="6" t="s">
        <v>2453</v>
      </c>
      <c r="C80" s="6" t="s">
        <v>19</v>
      </c>
      <c r="D80" s="6" t="s">
        <v>2454</v>
      </c>
      <c r="E80" s="6" t="s">
        <v>2553</v>
      </c>
      <c r="F80" s="6" t="s">
        <v>2569</v>
      </c>
      <c r="G80" s="6" t="s">
        <v>2444</v>
      </c>
      <c r="H80" s="6" t="s">
        <v>2571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1</v>
      </c>
    </row>
    <row r="81" spans="1:15" hidden="1">
      <c r="A81" s="6" t="s">
        <v>2452</v>
      </c>
      <c r="B81" s="6" t="s">
        <v>2453</v>
      </c>
      <c r="C81" s="6" t="s">
        <v>19</v>
      </c>
      <c r="D81" s="6" t="s">
        <v>2454</v>
      </c>
      <c r="E81" s="6" t="s">
        <v>2553</v>
      </c>
      <c r="F81" s="6" t="s">
        <v>2569</v>
      </c>
      <c r="G81" s="6" t="s">
        <v>2444</v>
      </c>
      <c r="H81" s="6" t="s">
        <v>2572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>
        <v>1</v>
      </c>
      <c r="O81" s="6">
        <v>1</v>
      </c>
    </row>
    <row r="82" spans="1:15" hidden="1">
      <c r="A82" s="6" t="s">
        <v>2452</v>
      </c>
      <c r="B82" s="6" t="s">
        <v>2453</v>
      </c>
      <c r="C82" s="6" t="s">
        <v>19</v>
      </c>
      <c r="D82" s="6" t="s">
        <v>2454</v>
      </c>
      <c r="E82" s="6" t="s">
        <v>2553</v>
      </c>
      <c r="F82" s="6" t="s">
        <v>2569</v>
      </c>
      <c r="G82" s="6" t="s">
        <v>2444</v>
      </c>
      <c r="H82" s="6" t="s">
        <v>2569</v>
      </c>
      <c r="I82" s="6">
        <v>5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1</v>
      </c>
    </row>
    <row r="83" spans="1:15" hidden="1">
      <c r="A83" s="6" t="s">
        <v>2452</v>
      </c>
      <c r="B83" s="6" t="s">
        <v>2453</v>
      </c>
      <c r="C83" s="6" t="s">
        <v>19</v>
      </c>
      <c r="D83" s="6" t="s">
        <v>2454</v>
      </c>
      <c r="E83" s="6" t="s">
        <v>2553</v>
      </c>
      <c r="F83" s="6" t="s">
        <v>2573</v>
      </c>
      <c r="G83" s="6" t="s">
        <v>2444</v>
      </c>
      <c r="H83" s="6" t="s">
        <v>2574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1</v>
      </c>
    </row>
    <row r="84" spans="1:15" hidden="1">
      <c r="A84" s="6" t="s">
        <v>2452</v>
      </c>
      <c r="B84" s="6" t="s">
        <v>2453</v>
      </c>
      <c r="C84" s="6" t="s">
        <v>19</v>
      </c>
      <c r="D84" s="6" t="s">
        <v>2454</v>
      </c>
      <c r="E84" s="6" t="s">
        <v>2553</v>
      </c>
      <c r="F84" s="6" t="s">
        <v>2575</v>
      </c>
      <c r="G84" s="6" t="s">
        <v>2444</v>
      </c>
      <c r="H84" s="6" t="s">
        <v>2576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1</v>
      </c>
    </row>
    <row r="85" spans="1:15" hidden="1">
      <c r="A85" s="6" t="s">
        <v>2452</v>
      </c>
      <c r="B85" s="6" t="s">
        <v>2453</v>
      </c>
      <c r="C85" s="6" t="s">
        <v>19</v>
      </c>
      <c r="D85" s="6" t="s">
        <v>2454</v>
      </c>
      <c r="E85" s="6" t="s">
        <v>2553</v>
      </c>
      <c r="F85" s="6" t="s">
        <v>2575</v>
      </c>
      <c r="G85" s="6" t="s">
        <v>2444</v>
      </c>
      <c r="H85" s="6" t="s">
        <v>2575</v>
      </c>
      <c r="I85" s="6">
        <v>2</v>
      </c>
      <c r="J85" s="6">
        <v>0</v>
      </c>
      <c r="K85" s="6">
        <v>0</v>
      </c>
      <c r="L85" s="6">
        <v>0</v>
      </c>
      <c r="M85" s="6">
        <v>0</v>
      </c>
      <c r="N85" s="6">
        <v>1</v>
      </c>
      <c r="O85" s="6">
        <v>1</v>
      </c>
    </row>
    <row r="86" spans="1:15" hidden="1">
      <c r="A86" s="6" t="s">
        <v>2452</v>
      </c>
      <c r="B86" s="6" t="s">
        <v>2453</v>
      </c>
      <c r="C86" s="6" t="s">
        <v>19</v>
      </c>
      <c r="D86" s="6" t="s">
        <v>2454</v>
      </c>
      <c r="E86" s="6" t="s">
        <v>2553</v>
      </c>
      <c r="F86" s="6" t="s">
        <v>2577</v>
      </c>
      <c r="G86" s="6" t="s">
        <v>2444</v>
      </c>
      <c r="H86" s="6" t="s">
        <v>2578</v>
      </c>
      <c r="I86" s="6">
        <v>2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1</v>
      </c>
    </row>
    <row r="87" spans="1:15" hidden="1">
      <c r="A87" s="6" t="s">
        <v>2452</v>
      </c>
      <c r="B87" s="6" t="s">
        <v>2453</v>
      </c>
      <c r="C87" s="6" t="s">
        <v>19</v>
      </c>
      <c r="D87" s="6" t="s">
        <v>2454</v>
      </c>
      <c r="E87" s="6" t="s">
        <v>2553</v>
      </c>
      <c r="F87" s="6" t="s">
        <v>2579</v>
      </c>
      <c r="G87" s="6" t="s">
        <v>2444</v>
      </c>
      <c r="H87" s="6" t="s">
        <v>2580</v>
      </c>
      <c r="I87" s="6">
        <v>2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1</v>
      </c>
    </row>
    <row r="88" spans="1:15" hidden="1">
      <c r="A88" s="6" t="s">
        <v>2452</v>
      </c>
      <c r="B88" s="6" t="s">
        <v>2453</v>
      </c>
      <c r="C88" s="6" t="s">
        <v>19</v>
      </c>
      <c r="D88" s="6" t="s">
        <v>2454</v>
      </c>
      <c r="E88" s="6" t="s">
        <v>2553</v>
      </c>
      <c r="F88" s="6" t="s">
        <v>2579</v>
      </c>
      <c r="G88" s="6" t="s">
        <v>2444</v>
      </c>
      <c r="H88" s="6" t="s">
        <v>2581</v>
      </c>
      <c r="I88" s="6">
        <v>2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1</v>
      </c>
    </row>
    <row r="89" spans="1:15" hidden="1">
      <c r="A89" s="6" t="s">
        <v>2452</v>
      </c>
      <c r="B89" s="6" t="s">
        <v>2453</v>
      </c>
      <c r="C89" s="6" t="s">
        <v>19</v>
      </c>
      <c r="D89" s="6" t="s">
        <v>2454</v>
      </c>
      <c r="E89" s="6" t="s">
        <v>2553</v>
      </c>
      <c r="F89" s="6" t="s">
        <v>2582</v>
      </c>
      <c r="G89" s="6" t="s">
        <v>2444</v>
      </c>
      <c r="H89" s="6" t="s">
        <v>2583</v>
      </c>
      <c r="I89" s="6">
        <v>4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1</v>
      </c>
    </row>
    <row r="90" spans="1:15" hidden="1">
      <c r="A90" s="6" t="s">
        <v>2452</v>
      </c>
      <c r="B90" s="6" t="s">
        <v>2453</v>
      </c>
      <c r="C90" s="6" t="s">
        <v>19</v>
      </c>
      <c r="D90" s="6" t="s">
        <v>2454</v>
      </c>
      <c r="E90" s="6" t="s">
        <v>2553</v>
      </c>
      <c r="F90" s="6" t="s">
        <v>2582</v>
      </c>
      <c r="G90" s="6" t="s">
        <v>2444</v>
      </c>
      <c r="H90" s="6" t="s">
        <v>2584</v>
      </c>
      <c r="I90" s="6">
        <v>2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1</v>
      </c>
    </row>
    <row r="91" spans="1:15" hidden="1">
      <c r="A91" s="6" t="s">
        <v>2452</v>
      </c>
      <c r="B91" s="6" t="s">
        <v>2453</v>
      </c>
      <c r="C91" s="6" t="s">
        <v>19</v>
      </c>
      <c r="D91" s="6" t="s">
        <v>2454</v>
      </c>
      <c r="E91" s="6" t="s">
        <v>2553</v>
      </c>
      <c r="F91" s="6" t="s">
        <v>2582</v>
      </c>
      <c r="G91" s="6" t="s">
        <v>2444</v>
      </c>
      <c r="H91" s="6" t="s">
        <v>2585</v>
      </c>
      <c r="I91" s="6">
        <v>1</v>
      </c>
      <c r="J91" s="6">
        <v>1</v>
      </c>
      <c r="K91" s="6">
        <v>1</v>
      </c>
      <c r="L91" s="6">
        <v>0.13</v>
      </c>
      <c r="M91" s="6">
        <v>0.13</v>
      </c>
      <c r="N91" s="6">
        <v>1</v>
      </c>
      <c r="O91" s="6">
        <v>1</v>
      </c>
    </row>
    <row r="92" spans="1:15" hidden="1">
      <c r="A92" s="6" t="s">
        <v>2452</v>
      </c>
      <c r="B92" s="6" t="s">
        <v>2453</v>
      </c>
      <c r="C92" s="6" t="s">
        <v>19</v>
      </c>
      <c r="D92" s="6" t="s">
        <v>2454</v>
      </c>
      <c r="E92" s="6" t="s">
        <v>2553</v>
      </c>
      <c r="F92" s="6" t="s">
        <v>2582</v>
      </c>
      <c r="G92" s="6" t="s">
        <v>2444</v>
      </c>
      <c r="H92" s="6" t="s">
        <v>2586</v>
      </c>
      <c r="I92" s="6">
        <v>6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1</v>
      </c>
    </row>
    <row r="93" spans="1:15" hidden="1">
      <c r="A93" s="6" t="s">
        <v>2452</v>
      </c>
      <c r="B93" s="6" t="s">
        <v>2453</v>
      </c>
      <c r="C93" s="6" t="s">
        <v>19</v>
      </c>
      <c r="D93" s="6" t="s">
        <v>2454</v>
      </c>
      <c r="E93" s="6" t="s">
        <v>2553</v>
      </c>
      <c r="F93" s="6" t="s">
        <v>2587</v>
      </c>
      <c r="G93" s="6" t="s">
        <v>2444</v>
      </c>
      <c r="H93" s="6" t="s">
        <v>2587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</row>
    <row r="94" spans="1:15" hidden="1">
      <c r="A94" s="6" t="s">
        <v>2452</v>
      </c>
      <c r="B94" s="6" t="s">
        <v>2453</v>
      </c>
      <c r="C94" s="6" t="s">
        <v>19</v>
      </c>
      <c r="D94" s="6" t="s">
        <v>2454</v>
      </c>
      <c r="E94" s="6" t="s">
        <v>2553</v>
      </c>
      <c r="F94" s="6" t="s">
        <v>2588</v>
      </c>
      <c r="G94" s="6" t="s">
        <v>2444</v>
      </c>
      <c r="H94" s="6" t="s">
        <v>2588</v>
      </c>
      <c r="I94" s="6">
        <v>4</v>
      </c>
      <c r="J94" s="6">
        <v>1</v>
      </c>
      <c r="K94" s="6">
        <v>0.25</v>
      </c>
      <c r="L94" s="6">
        <v>0.25</v>
      </c>
      <c r="M94" s="6">
        <v>0.25</v>
      </c>
      <c r="N94" s="6">
        <v>1</v>
      </c>
      <c r="O94" s="6">
        <v>1</v>
      </c>
    </row>
    <row r="95" spans="1:15" hidden="1">
      <c r="A95" s="6" t="s">
        <v>2452</v>
      </c>
      <c r="B95" s="6" t="s">
        <v>2453</v>
      </c>
      <c r="C95" s="6" t="s">
        <v>19</v>
      </c>
      <c r="D95" s="6" t="s">
        <v>2454</v>
      </c>
      <c r="E95" s="6" t="s">
        <v>2553</v>
      </c>
      <c r="F95" s="6" t="s">
        <v>2589</v>
      </c>
      <c r="G95" s="6" t="s">
        <v>2444</v>
      </c>
      <c r="H95" s="6" t="s">
        <v>2590</v>
      </c>
      <c r="I95" s="6">
        <v>2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1</v>
      </c>
    </row>
    <row r="96" spans="1:15" hidden="1">
      <c r="A96" s="6" t="s">
        <v>2452</v>
      </c>
      <c r="B96" s="6" t="s">
        <v>2453</v>
      </c>
      <c r="C96" s="6" t="s">
        <v>19</v>
      </c>
      <c r="D96" s="6" t="s">
        <v>2454</v>
      </c>
      <c r="E96" s="6" t="s">
        <v>2553</v>
      </c>
      <c r="F96" s="6" t="s">
        <v>2591</v>
      </c>
      <c r="G96" s="6" t="s">
        <v>2444</v>
      </c>
      <c r="H96" s="6" t="s">
        <v>2592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1</v>
      </c>
    </row>
    <row r="97" spans="1:15" hidden="1">
      <c r="A97" s="6" t="s">
        <v>2452</v>
      </c>
      <c r="B97" s="6" t="s">
        <v>2453</v>
      </c>
      <c r="C97" s="6" t="s">
        <v>19</v>
      </c>
      <c r="D97" s="6" t="s">
        <v>2454</v>
      </c>
      <c r="E97" s="6" t="s">
        <v>2553</v>
      </c>
      <c r="F97" s="6" t="s">
        <v>2593</v>
      </c>
      <c r="G97" s="6" t="s">
        <v>2444</v>
      </c>
      <c r="H97" s="6" t="s">
        <v>2594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1</v>
      </c>
    </row>
    <row r="98" spans="1:15" hidden="1">
      <c r="A98" s="6" t="s">
        <v>2452</v>
      </c>
      <c r="B98" s="6" t="s">
        <v>2453</v>
      </c>
      <c r="C98" s="6" t="s">
        <v>19</v>
      </c>
      <c r="D98" s="6" t="s">
        <v>2454</v>
      </c>
      <c r="E98" s="6" t="s">
        <v>2553</v>
      </c>
      <c r="F98" s="6" t="s">
        <v>2593</v>
      </c>
      <c r="G98" s="6" t="s">
        <v>2444</v>
      </c>
      <c r="H98" s="6" t="s">
        <v>2593</v>
      </c>
      <c r="I98" s="6">
        <v>4</v>
      </c>
      <c r="J98" s="6">
        <v>1</v>
      </c>
      <c r="K98" s="6">
        <v>0.25</v>
      </c>
      <c r="L98" s="6">
        <v>0.32</v>
      </c>
      <c r="M98" s="6">
        <v>0.32</v>
      </c>
      <c r="N98" s="6">
        <v>1</v>
      </c>
      <c r="O98" s="6">
        <v>1</v>
      </c>
    </row>
    <row r="99" spans="1:15" hidden="1">
      <c r="A99" s="6" t="s">
        <v>2452</v>
      </c>
      <c r="B99" s="6" t="s">
        <v>2453</v>
      </c>
      <c r="C99" s="6" t="s">
        <v>19</v>
      </c>
      <c r="D99" s="6" t="s">
        <v>2454</v>
      </c>
      <c r="E99" s="6" t="s">
        <v>2595</v>
      </c>
      <c r="F99" s="6" t="s">
        <v>2596</v>
      </c>
      <c r="G99" s="6" t="s">
        <v>2444</v>
      </c>
      <c r="H99" s="6" t="s">
        <v>2597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1</v>
      </c>
    </row>
    <row r="100" spans="1:15" hidden="1">
      <c r="A100" s="6" t="s">
        <v>2452</v>
      </c>
      <c r="B100" s="6" t="s">
        <v>2453</v>
      </c>
      <c r="C100" s="6" t="s">
        <v>19</v>
      </c>
      <c r="D100" s="6" t="s">
        <v>2454</v>
      </c>
      <c r="E100" s="6" t="s">
        <v>2595</v>
      </c>
      <c r="F100" s="6" t="s">
        <v>2596</v>
      </c>
      <c r="G100" s="6" t="s">
        <v>2444</v>
      </c>
      <c r="H100" s="6" t="s">
        <v>2598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1</v>
      </c>
    </row>
    <row r="101" spans="1:15" hidden="1">
      <c r="A101" s="6" t="s">
        <v>2452</v>
      </c>
      <c r="B101" s="6" t="s">
        <v>2453</v>
      </c>
      <c r="C101" s="6" t="s">
        <v>19</v>
      </c>
      <c r="D101" s="6" t="s">
        <v>2599</v>
      </c>
      <c r="E101" s="6" t="s">
        <v>2600</v>
      </c>
      <c r="F101" s="6" t="s">
        <v>2601</v>
      </c>
      <c r="G101" s="6" t="s">
        <v>2444</v>
      </c>
      <c r="H101" s="6" t="s">
        <v>2602</v>
      </c>
      <c r="I101" s="6">
        <v>2</v>
      </c>
      <c r="J101" s="6">
        <v>0</v>
      </c>
      <c r="K101" s="6">
        <v>0</v>
      </c>
      <c r="L101" s="6">
        <v>0</v>
      </c>
      <c r="M101" s="6">
        <v>0</v>
      </c>
      <c r="N101" s="6">
        <v>1</v>
      </c>
      <c r="O101" s="6">
        <v>1</v>
      </c>
    </row>
    <row r="102" spans="1:15" hidden="1">
      <c r="A102" s="6" t="s">
        <v>2452</v>
      </c>
      <c r="B102" s="6" t="s">
        <v>2453</v>
      </c>
      <c r="C102" s="6" t="s">
        <v>19</v>
      </c>
      <c r="D102" s="6" t="s">
        <v>2599</v>
      </c>
      <c r="E102" s="6" t="s">
        <v>2600</v>
      </c>
      <c r="F102" s="6" t="s">
        <v>2603</v>
      </c>
      <c r="G102" s="6" t="s">
        <v>2444</v>
      </c>
      <c r="H102" s="6" t="s">
        <v>2604</v>
      </c>
      <c r="I102" s="6">
        <v>7</v>
      </c>
      <c r="J102" s="6">
        <v>1</v>
      </c>
      <c r="K102" s="6">
        <v>0.1429</v>
      </c>
      <c r="L102" s="6">
        <v>1.64</v>
      </c>
      <c r="M102" s="6">
        <v>1.64</v>
      </c>
      <c r="N102" s="6">
        <v>0.75</v>
      </c>
      <c r="O102" s="6">
        <v>0.75</v>
      </c>
    </row>
    <row r="103" spans="1:15" hidden="1">
      <c r="A103" s="6" t="s">
        <v>2452</v>
      </c>
      <c r="B103" s="6" t="s">
        <v>2453</v>
      </c>
      <c r="C103" s="6" t="s">
        <v>19</v>
      </c>
      <c r="D103" s="6" t="s">
        <v>2599</v>
      </c>
      <c r="E103" s="6" t="s">
        <v>2600</v>
      </c>
      <c r="F103" s="6" t="s">
        <v>2605</v>
      </c>
      <c r="G103" s="6" t="s">
        <v>2444</v>
      </c>
      <c r="H103" s="6" t="s">
        <v>2606</v>
      </c>
      <c r="I103" s="6"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</row>
    <row r="104" spans="1:15" hidden="1">
      <c r="A104" s="6" t="s">
        <v>2452</v>
      </c>
      <c r="B104" s="6" t="s">
        <v>2453</v>
      </c>
      <c r="C104" s="6" t="s">
        <v>19</v>
      </c>
      <c r="D104" s="6" t="s">
        <v>2599</v>
      </c>
      <c r="E104" s="6" t="s">
        <v>2600</v>
      </c>
      <c r="F104" s="6" t="s">
        <v>2605</v>
      </c>
      <c r="G104" s="6" t="s">
        <v>2444</v>
      </c>
      <c r="H104" s="6" t="s">
        <v>2607</v>
      </c>
      <c r="I104" s="6">
        <v>2</v>
      </c>
      <c r="J104" s="6">
        <v>1</v>
      </c>
      <c r="K104" s="6">
        <v>0.5</v>
      </c>
      <c r="L104" s="6">
        <v>1.2</v>
      </c>
      <c r="M104" s="6">
        <v>1.2</v>
      </c>
      <c r="N104" s="6">
        <v>1</v>
      </c>
      <c r="O104" s="6">
        <v>1</v>
      </c>
    </row>
    <row r="105" spans="1:15" hidden="1">
      <c r="A105" s="6" t="s">
        <v>2452</v>
      </c>
      <c r="B105" s="6" t="s">
        <v>2453</v>
      </c>
      <c r="C105" s="6" t="s">
        <v>19</v>
      </c>
      <c r="D105" s="6" t="s">
        <v>2599</v>
      </c>
      <c r="E105" s="6" t="s">
        <v>2600</v>
      </c>
      <c r="F105" s="6" t="s">
        <v>2608</v>
      </c>
      <c r="G105" s="6" t="s">
        <v>2444</v>
      </c>
      <c r="H105" s="6" t="s">
        <v>2609</v>
      </c>
      <c r="I105" s="6">
        <v>2</v>
      </c>
      <c r="J105" s="6">
        <v>1</v>
      </c>
      <c r="K105" s="6">
        <v>0.5</v>
      </c>
      <c r="L105" s="6">
        <v>1.07</v>
      </c>
      <c r="M105" s="6">
        <v>1.07</v>
      </c>
      <c r="N105" s="6">
        <v>1</v>
      </c>
      <c r="O105" s="6">
        <v>1</v>
      </c>
    </row>
    <row r="106" spans="1:15" hidden="1">
      <c r="A106" s="6" t="s">
        <v>2452</v>
      </c>
      <c r="B106" s="6" t="s">
        <v>2453</v>
      </c>
      <c r="C106" s="6" t="s">
        <v>19</v>
      </c>
      <c r="D106" s="6" t="s">
        <v>2599</v>
      </c>
      <c r="E106" s="6" t="s">
        <v>2600</v>
      </c>
      <c r="F106" s="6" t="s">
        <v>2610</v>
      </c>
      <c r="G106" s="6" t="s">
        <v>2444</v>
      </c>
      <c r="H106" s="6" t="s">
        <v>2611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</row>
    <row r="107" spans="1:15" hidden="1">
      <c r="A107" s="6" t="s">
        <v>2452</v>
      </c>
      <c r="B107" s="6" t="s">
        <v>2453</v>
      </c>
      <c r="C107" s="6" t="s">
        <v>19</v>
      </c>
      <c r="D107" s="6" t="s">
        <v>2599</v>
      </c>
      <c r="E107" s="6" t="s">
        <v>2600</v>
      </c>
      <c r="F107" s="6" t="s">
        <v>2612</v>
      </c>
      <c r="G107" s="6" t="s">
        <v>2444</v>
      </c>
      <c r="H107" s="6" t="s">
        <v>2613</v>
      </c>
      <c r="I107" s="6">
        <v>2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1</v>
      </c>
    </row>
    <row r="108" spans="1:15" hidden="1">
      <c r="A108" s="6" t="s">
        <v>2452</v>
      </c>
      <c r="B108" s="6" t="s">
        <v>2453</v>
      </c>
      <c r="C108" s="6" t="s">
        <v>19</v>
      </c>
      <c r="D108" s="6" t="s">
        <v>2599</v>
      </c>
      <c r="E108" s="6" t="s">
        <v>2614</v>
      </c>
      <c r="F108" s="6" t="s">
        <v>2615</v>
      </c>
      <c r="G108" s="6" t="s">
        <v>2444</v>
      </c>
      <c r="H108" s="6" t="s">
        <v>2616</v>
      </c>
      <c r="I108" s="6">
        <v>12</v>
      </c>
      <c r="J108" s="6">
        <v>1</v>
      </c>
      <c r="K108" s="6">
        <v>8.3299999999999999E-2</v>
      </c>
      <c r="L108" s="6">
        <v>1.42</v>
      </c>
      <c r="M108" s="6">
        <v>1.42</v>
      </c>
      <c r="N108" s="6">
        <v>1</v>
      </c>
      <c r="O108" s="6">
        <v>1</v>
      </c>
    </row>
    <row r="109" spans="1:15" hidden="1">
      <c r="A109" s="6" t="s">
        <v>2452</v>
      </c>
      <c r="B109" s="6" t="s">
        <v>2453</v>
      </c>
      <c r="C109" s="6" t="s">
        <v>19</v>
      </c>
      <c r="D109" s="6" t="s">
        <v>2599</v>
      </c>
      <c r="E109" s="6" t="s">
        <v>2614</v>
      </c>
      <c r="F109" s="6" t="s">
        <v>2617</v>
      </c>
      <c r="G109" s="6" t="s">
        <v>2444</v>
      </c>
      <c r="H109" s="6" t="s">
        <v>2617</v>
      </c>
      <c r="I109" s="6">
        <v>2</v>
      </c>
      <c r="J109" s="6">
        <v>0</v>
      </c>
      <c r="K109" s="6">
        <v>0</v>
      </c>
      <c r="L109" s="6">
        <v>0</v>
      </c>
      <c r="M109" s="6">
        <v>0</v>
      </c>
      <c r="N109" s="6">
        <v>1</v>
      </c>
      <c r="O109" s="6">
        <v>1</v>
      </c>
    </row>
    <row r="110" spans="1:15" hidden="1">
      <c r="A110" s="6" t="s">
        <v>2452</v>
      </c>
      <c r="B110" s="6" t="s">
        <v>2453</v>
      </c>
      <c r="C110" s="6" t="s">
        <v>19</v>
      </c>
      <c r="D110" s="6" t="s">
        <v>2618</v>
      </c>
      <c r="E110" s="6" t="s">
        <v>2619</v>
      </c>
      <c r="F110" s="6" t="s">
        <v>2620</v>
      </c>
      <c r="G110" s="6" t="s">
        <v>2444</v>
      </c>
      <c r="H110" s="6" t="s">
        <v>2621</v>
      </c>
      <c r="I110" s="6">
        <v>2</v>
      </c>
      <c r="J110" s="6">
        <v>1</v>
      </c>
      <c r="K110" s="6">
        <v>0.5</v>
      </c>
      <c r="L110" s="6">
        <v>2.11</v>
      </c>
      <c r="M110" s="6">
        <v>2.11</v>
      </c>
      <c r="N110" s="6">
        <v>1</v>
      </c>
      <c r="O110" s="6">
        <v>1</v>
      </c>
    </row>
    <row r="111" spans="1:15" hidden="1">
      <c r="A111" s="6" t="s">
        <v>2452</v>
      </c>
      <c r="B111" s="6" t="s">
        <v>2453</v>
      </c>
      <c r="C111" s="6" t="s">
        <v>19</v>
      </c>
      <c r="D111" s="6" t="s">
        <v>2618</v>
      </c>
      <c r="E111" s="6" t="s">
        <v>2619</v>
      </c>
      <c r="F111" s="6" t="s">
        <v>2620</v>
      </c>
      <c r="G111" s="6" t="s">
        <v>2444</v>
      </c>
      <c r="H111" s="6" t="s">
        <v>2622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>
        <v>1</v>
      </c>
      <c r="O111" s="6">
        <v>1</v>
      </c>
    </row>
    <row r="112" spans="1:15" hidden="1">
      <c r="A112" s="6" t="s">
        <v>2452</v>
      </c>
      <c r="B112" s="6" t="s">
        <v>2453</v>
      </c>
      <c r="C112" s="6" t="s">
        <v>19</v>
      </c>
      <c r="D112" s="6" t="s">
        <v>2623</v>
      </c>
      <c r="E112" s="6" t="s">
        <v>2624</v>
      </c>
      <c r="F112" s="6" t="s">
        <v>2625</v>
      </c>
      <c r="G112" s="6" t="s">
        <v>2444</v>
      </c>
      <c r="H112" s="6" t="s">
        <v>2626</v>
      </c>
      <c r="I112" s="6">
        <v>2</v>
      </c>
      <c r="J112" s="6">
        <v>2</v>
      </c>
      <c r="K112" s="6">
        <v>1</v>
      </c>
      <c r="L112" s="6">
        <v>0.08</v>
      </c>
      <c r="M112" s="6">
        <v>0.16</v>
      </c>
      <c r="N112" s="6">
        <v>1</v>
      </c>
      <c r="O112" s="6">
        <v>1</v>
      </c>
    </row>
    <row r="113" spans="1:15" hidden="1">
      <c r="A113" s="6" t="s">
        <v>2452</v>
      </c>
      <c r="B113" s="6" t="s">
        <v>2453</v>
      </c>
      <c r="C113" s="6" t="s">
        <v>19</v>
      </c>
      <c r="D113" s="6" t="s">
        <v>2623</v>
      </c>
      <c r="E113" s="6" t="s">
        <v>2624</v>
      </c>
      <c r="F113" s="6" t="s">
        <v>2625</v>
      </c>
      <c r="G113" s="6" t="s">
        <v>2444</v>
      </c>
      <c r="H113" s="6" t="s">
        <v>2627</v>
      </c>
      <c r="I113" s="6">
        <v>2</v>
      </c>
      <c r="J113" s="6">
        <v>1</v>
      </c>
      <c r="K113" s="6">
        <v>0.5</v>
      </c>
      <c r="L113" s="6">
        <v>0.88</v>
      </c>
      <c r="M113" s="6">
        <v>0.88</v>
      </c>
      <c r="N113" s="6">
        <v>1</v>
      </c>
      <c r="O113" s="6">
        <v>1</v>
      </c>
    </row>
    <row r="114" spans="1:15" hidden="1">
      <c r="A114" s="6" t="s">
        <v>2452</v>
      </c>
      <c r="B114" s="6" t="s">
        <v>2453</v>
      </c>
      <c r="C114" s="6" t="s">
        <v>19</v>
      </c>
      <c r="D114" s="6" t="s">
        <v>2623</v>
      </c>
      <c r="E114" s="6" t="s">
        <v>2624</v>
      </c>
      <c r="F114" s="6" t="s">
        <v>2625</v>
      </c>
      <c r="G114" s="6" t="s">
        <v>2444</v>
      </c>
      <c r="H114" s="6" t="s">
        <v>2628</v>
      </c>
      <c r="I114" s="6">
        <v>2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0.5</v>
      </c>
    </row>
    <row r="115" spans="1:15" hidden="1">
      <c r="A115" s="6" t="s">
        <v>2452</v>
      </c>
      <c r="B115" s="6" t="s">
        <v>2453</v>
      </c>
      <c r="C115" s="6" t="s">
        <v>19</v>
      </c>
      <c r="D115" s="6" t="s">
        <v>2623</v>
      </c>
      <c r="E115" s="6" t="s">
        <v>2624</v>
      </c>
      <c r="F115" s="6" t="s">
        <v>2625</v>
      </c>
      <c r="G115" s="6" t="s">
        <v>2444</v>
      </c>
      <c r="H115" s="6" t="s">
        <v>2629</v>
      </c>
      <c r="I115" s="6">
        <v>1</v>
      </c>
      <c r="J115" s="6">
        <v>1</v>
      </c>
      <c r="K115" s="6">
        <v>1</v>
      </c>
      <c r="L115" s="6">
        <v>0.18</v>
      </c>
      <c r="M115" s="6">
        <v>0.18</v>
      </c>
      <c r="N115" s="6">
        <v>1</v>
      </c>
      <c r="O115" s="6">
        <v>1</v>
      </c>
    </row>
    <row r="116" spans="1:15" hidden="1">
      <c r="A116" s="6" t="s">
        <v>2452</v>
      </c>
      <c r="B116" s="6" t="s">
        <v>2453</v>
      </c>
      <c r="C116" s="6" t="s">
        <v>19</v>
      </c>
      <c r="D116" s="6" t="s">
        <v>2623</v>
      </c>
      <c r="E116" s="6" t="s">
        <v>2624</v>
      </c>
      <c r="F116" s="6" t="s">
        <v>2625</v>
      </c>
      <c r="G116" s="6" t="s">
        <v>2444</v>
      </c>
      <c r="H116" s="6" t="s">
        <v>2630</v>
      </c>
      <c r="I116" s="6">
        <v>1</v>
      </c>
      <c r="J116" s="6">
        <v>1</v>
      </c>
      <c r="K116" s="6">
        <v>1</v>
      </c>
      <c r="L116" s="6">
        <v>0.15</v>
      </c>
      <c r="M116" s="6">
        <v>0.15</v>
      </c>
      <c r="N116" s="6">
        <v>1</v>
      </c>
      <c r="O116" s="6">
        <v>1</v>
      </c>
    </row>
    <row r="117" spans="1:15" hidden="1">
      <c r="A117" s="6" t="s">
        <v>2452</v>
      </c>
      <c r="B117" s="6" t="s">
        <v>2453</v>
      </c>
      <c r="C117" s="6" t="s">
        <v>19</v>
      </c>
      <c r="D117" s="6" t="s">
        <v>2623</v>
      </c>
      <c r="E117" s="6" t="s">
        <v>2624</v>
      </c>
      <c r="F117" s="6" t="s">
        <v>2625</v>
      </c>
      <c r="G117" s="6" t="s">
        <v>2444</v>
      </c>
      <c r="H117" s="6" t="s">
        <v>2631</v>
      </c>
      <c r="I117" s="6">
        <v>2</v>
      </c>
      <c r="J117" s="6">
        <v>1</v>
      </c>
      <c r="K117" s="6">
        <v>0.5</v>
      </c>
      <c r="L117" s="6">
        <v>0.34</v>
      </c>
      <c r="M117" s="6">
        <v>0.34</v>
      </c>
      <c r="N117" s="6">
        <v>1</v>
      </c>
      <c r="O117" s="6">
        <v>0</v>
      </c>
    </row>
    <row r="118" spans="1:15" hidden="1">
      <c r="A118" s="6" t="s">
        <v>2452</v>
      </c>
      <c r="B118" s="6" t="s">
        <v>2453</v>
      </c>
      <c r="C118" s="6" t="s">
        <v>19</v>
      </c>
      <c r="D118" s="6" t="s">
        <v>2632</v>
      </c>
      <c r="E118" s="6" t="s">
        <v>2633</v>
      </c>
      <c r="F118" s="6" t="s">
        <v>2634</v>
      </c>
      <c r="G118" s="6" t="s">
        <v>2444</v>
      </c>
      <c r="H118" s="6" t="s">
        <v>2635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</row>
    <row r="119" spans="1:15" hidden="1">
      <c r="A119" s="6" t="s">
        <v>2452</v>
      </c>
      <c r="B119" s="6" t="s">
        <v>2453</v>
      </c>
      <c r="C119" s="6" t="s">
        <v>19</v>
      </c>
      <c r="D119" s="6" t="s">
        <v>2632</v>
      </c>
      <c r="E119" s="6" t="s">
        <v>2633</v>
      </c>
      <c r="F119" s="6" t="s">
        <v>2636</v>
      </c>
      <c r="G119" s="6" t="s">
        <v>2444</v>
      </c>
      <c r="H119" s="6" t="s">
        <v>2637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</row>
    <row r="120" spans="1:15" hidden="1">
      <c r="A120" s="6" t="s">
        <v>2452</v>
      </c>
      <c r="B120" s="6" t="s">
        <v>2453</v>
      </c>
      <c r="C120" s="6" t="s">
        <v>19</v>
      </c>
      <c r="D120" s="6" t="s">
        <v>2632</v>
      </c>
      <c r="E120" s="6" t="s">
        <v>2633</v>
      </c>
      <c r="F120" s="6" t="s">
        <v>2636</v>
      </c>
      <c r="G120" s="6" t="s">
        <v>2444</v>
      </c>
      <c r="H120" s="6" t="s">
        <v>2638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1</v>
      </c>
    </row>
    <row r="121" spans="1:15" hidden="1">
      <c r="A121" s="6" t="s">
        <v>2452</v>
      </c>
      <c r="B121" s="6" t="s">
        <v>2453</v>
      </c>
      <c r="C121" s="6" t="s">
        <v>19</v>
      </c>
      <c r="D121" s="6" t="s">
        <v>2632</v>
      </c>
      <c r="E121" s="6" t="s">
        <v>2633</v>
      </c>
      <c r="F121" s="6" t="s">
        <v>2639</v>
      </c>
      <c r="G121" s="6" t="s">
        <v>2444</v>
      </c>
      <c r="H121" s="6" t="s">
        <v>2640</v>
      </c>
      <c r="I121" s="6">
        <v>2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</row>
    <row r="122" spans="1:15" hidden="1">
      <c r="A122" s="6" t="s">
        <v>2452</v>
      </c>
      <c r="B122" s="6" t="s">
        <v>2453</v>
      </c>
      <c r="C122" s="6" t="s">
        <v>19</v>
      </c>
      <c r="D122" s="6" t="s">
        <v>2632</v>
      </c>
      <c r="E122" s="6" t="s">
        <v>2641</v>
      </c>
      <c r="F122" s="6" t="s">
        <v>2642</v>
      </c>
      <c r="G122" s="6" t="s">
        <v>2444</v>
      </c>
      <c r="H122" s="6" t="s">
        <v>2643</v>
      </c>
      <c r="I122" s="6">
        <v>2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1</v>
      </c>
    </row>
    <row r="123" spans="1:15" hidden="1">
      <c r="A123" s="6" t="s">
        <v>2452</v>
      </c>
      <c r="B123" s="6" t="s">
        <v>2453</v>
      </c>
      <c r="C123" s="6" t="s">
        <v>19</v>
      </c>
      <c r="D123" s="6" t="s">
        <v>2632</v>
      </c>
      <c r="E123" s="6" t="s">
        <v>2644</v>
      </c>
      <c r="F123" s="6" t="s">
        <v>2645</v>
      </c>
      <c r="G123" s="6" t="s">
        <v>2444</v>
      </c>
      <c r="H123" s="6" t="s">
        <v>2646</v>
      </c>
      <c r="I123" s="6">
        <v>1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</row>
    <row r="124" spans="1:15" hidden="1">
      <c r="A124" s="6" t="s">
        <v>2452</v>
      </c>
      <c r="B124" s="6" t="s">
        <v>2453</v>
      </c>
      <c r="C124" s="6" t="s">
        <v>19</v>
      </c>
      <c r="D124" s="6" t="s">
        <v>2632</v>
      </c>
      <c r="E124" s="6" t="s">
        <v>2644</v>
      </c>
      <c r="F124" s="6" t="s">
        <v>2647</v>
      </c>
      <c r="G124" s="6" t="s">
        <v>2444</v>
      </c>
      <c r="H124" s="6" t="s">
        <v>2648</v>
      </c>
      <c r="I124" s="6">
        <v>2</v>
      </c>
      <c r="J124" s="6">
        <v>1</v>
      </c>
      <c r="K124" s="6">
        <v>0.5</v>
      </c>
      <c r="L124" s="6">
        <v>1.27</v>
      </c>
      <c r="M124" s="6">
        <v>1.27</v>
      </c>
      <c r="N124" s="6">
        <v>1</v>
      </c>
      <c r="O124" s="6">
        <v>1</v>
      </c>
    </row>
    <row r="125" spans="1:15" hidden="1">
      <c r="A125" s="6" t="s">
        <v>2452</v>
      </c>
      <c r="B125" s="6" t="s">
        <v>2453</v>
      </c>
      <c r="C125" s="6" t="s">
        <v>19</v>
      </c>
      <c r="D125" s="6" t="s">
        <v>2632</v>
      </c>
      <c r="E125" s="6" t="s">
        <v>2644</v>
      </c>
      <c r="F125" s="6" t="s">
        <v>2649</v>
      </c>
      <c r="G125" s="6" t="s">
        <v>2444</v>
      </c>
      <c r="H125" s="6" t="s">
        <v>2650</v>
      </c>
      <c r="I125" s="6">
        <v>2</v>
      </c>
      <c r="J125" s="6">
        <v>1</v>
      </c>
      <c r="K125" s="6">
        <v>0.5</v>
      </c>
      <c r="L125" s="6">
        <v>0.04</v>
      </c>
      <c r="M125" s="6">
        <v>0.04</v>
      </c>
      <c r="N125" s="6">
        <v>1</v>
      </c>
      <c r="O125" s="6">
        <v>1</v>
      </c>
    </row>
    <row r="126" spans="1:15" hidden="1">
      <c r="A126" s="6" t="s">
        <v>2452</v>
      </c>
      <c r="B126" s="6" t="s">
        <v>2453</v>
      </c>
      <c r="C126" s="6" t="s">
        <v>19</v>
      </c>
      <c r="D126" s="6" t="s">
        <v>2632</v>
      </c>
      <c r="E126" s="6" t="s">
        <v>2644</v>
      </c>
      <c r="F126" s="6" t="s">
        <v>2651</v>
      </c>
      <c r="G126" s="6" t="s">
        <v>2444</v>
      </c>
      <c r="H126" s="6" t="s">
        <v>2652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1</v>
      </c>
      <c r="O126" s="6">
        <v>1</v>
      </c>
    </row>
    <row r="127" spans="1:15" hidden="1">
      <c r="A127" s="6" t="s">
        <v>2452</v>
      </c>
      <c r="B127" s="6" t="s">
        <v>2453</v>
      </c>
      <c r="C127" s="6" t="s">
        <v>19</v>
      </c>
      <c r="D127" s="6" t="s">
        <v>2632</v>
      </c>
      <c r="E127" s="6" t="s">
        <v>2653</v>
      </c>
      <c r="F127" s="6" t="s">
        <v>2654</v>
      </c>
      <c r="G127" s="6" t="s">
        <v>2444</v>
      </c>
      <c r="H127" s="6" t="s">
        <v>2655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</row>
    <row r="128" spans="1:15" hidden="1">
      <c r="A128" s="6" t="s">
        <v>2452</v>
      </c>
      <c r="B128" s="6" t="s">
        <v>2453</v>
      </c>
      <c r="C128" s="6" t="s">
        <v>19</v>
      </c>
      <c r="D128" s="6" t="s">
        <v>2632</v>
      </c>
      <c r="E128" s="6" t="s">
        <v>2653</v>
      </c>
      <c r="F128" s="6" t="s">
        <v>2656</v>
      </c>
      <c r="G128" s="6" t="s">
        <v>2444</v>
      </c>
      <c r="H128" s="6" t="s">
        <v>2657</v>
      </c>
      <c r="I128" s="6">
        <v>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hidden="1">
      <c r="A129" s="6" t="s">
        <v>2452</v>
      </c>
      <c r="B129" s="6" t="s">
        <v>2453</v>
      </c>
      <c r="C129" s="6" t="s">
        <v>19</v>
      </c>
      <c r="D129" s="6" t="s">
        <v>2632</v>
      </c>
      <c r="E129" s="6" t="s">
        <v>2653</v>
      </c>
      <c r="F129" s="6" t="s">
        <v>2656</v>
      </c>
      <c r="G129" s="6" t="s">
        <v>2444</v>
      </c>
      <c r="H129" s="6" t="s">
        <v>2658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hidden="1">
      <c r="A130" s="6" t="s">
        <v>2452</v>
      </c>
      <c r="B130" s="6" t="s">
        <v>2453</v>
      </c>
      <c r="C130" s="6" t="s">
        <v>19</v>
      </c>
      <c r="D130" s="6" t="s">
        <v>2632</v>
      </c>
      <c r="E130" s="6" t="s">
        <v>2659</v>
      </c>
      <c r="F130" s="6" t="s">
        <v>2660</v>
      </c>
      <c r="G130" s="6" t="s">
        <v>2444</v>
      </c>
      <c r="H130" s="6" t="s">
        <v>2661</v>
      </c>
      <c r="I130" s="6">
        <v>2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1</v>
      </c>
    </row>
    <row r="131" spans="1:15" hidden="1">
      <c r="A131" s="6" t="s">
        <v>2452</v>
      </c>
      <c r="B131" s="6" t="s">
        <v>2453</v>
      </c>
      <c r="C131" s="6" t="s">
        <v>19</v>
      </c>
      <c r="D131" s="6" t="s">
        <v>2632</v>
      </c>
      <c r="E131" s="6" t="s">
        <v>2659</v>
      </c>
      <c r="F131" s="6" t="s">
        <v>2662</v>
      </c>
      <c r="G131" s="6" t="s">
        <v>2444</v>
      </c>
      <c r="H131" s="6" t="s">
        <v>2663</v>
      </c>
      <c r="I131" s="6">
        <v>2</v>
      </c>
      <c r="J131" s="6">
        <v>1</v>
      </c>
      <c r="K131" s="6">
        <v>0.5</v>
      </c>
      <c r="L131" s="6">
        <v>1.1499999999999999</v>
      </c>
      <c r="M131" s="6">
        <v>1.1499999999999999</v>
      </c>
      <c r="N131" s="6">
        <v>1</v>
      </c>
      <c r="O131" s="6">
        <v>1</v>
      </c>
    </row>
    <row r="132" spans="1:15" hidden="1">
      <c r="A132" s="6" t="s">
        <v>2452</v>
      </c>
      <c r="B132" s="6" t="s">
        <v>2453</v>
      </c>
      <c r="C132" s="6" t="s">
        <v>19</v>
      </c>
      <c r="D132" s="6" t="s">
        <v>2632</v>
      </c>
      <c r="E132" s="6" t="s">
        <v>2664</v>
      </c>
      <c r="F132" s="6" t="s">
        <v>2665</v>
      </c>
      <c r="G132" s="6" t="s">
        <v>2444</v>
      </c>
      <c r="H132" s="6" t="s">
        <v>2666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</row>
    <row r="133" spans="1:15" hidden="1">
      <c r="A133" s="6" t="s">
        <v>2452</v>
      </c>
      <c r="B133" s="6" t="s">
        <v>2453</v>
      </c>
      <c r="C133" s="6" t="s">
        <v>19</v>
      </c>
      <c r="D133" s="6" t="s">
        <v>2632</v>
      </c>
      <c r="E133" s="6" t="s">
        <v>2664</v>
      </c>
      <c r="F133" s="6" t="s">
        <v>2667</v>
      </c>
      <c r="G133" s="6" t="s">
        <v>2444</v>
      </c>
      <c r="H133" s="6" t="s">
        <v>2667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</row>
    <row r="134" spans="1:15" hidden="1">
      <c r="A134" s="6" t="s">
        <v>2452</v>
      </c>
      <c r="B134" s="6" t="s">
        <v>2453</v>
      </c>
      <c r="C134" s="6" t="s">
        <v>19</v>
      </c>
      <c r="D134" s="6" t="s">
        <v>2632</v>
      </c>
      <c r="E134" s="6" t="s">
        <v>2664</v>
      </c>
      <c r="F134" s="6" t="s">
        <v>2668</v>
      </c>
      <c r="G134" s="6" t="s">
        <v>2444</v>
      </c>
      <c r="H134" s="6" t="s">
        <v>2669</v>
      </c>
      <c r="I134" s="6">
        <v>2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1</v>
      </c>
    </row>
    <row r="135" spans="1:15" hidden="1">
      <c r="A135" s="6" t="s">
        <v>2452</v>
      </c>
      <c r="B135" s="6" t="s">
        <v>2453</v>
      </c>
      <c r="C135" s="6" t="s">
        <v>19</v>
      </c>
      <c r="D135" s="6" t="s">
        <v>2632</v>
      </c>
      <c r="E135" s="6" t="s">
        <v>2664</v>
      </c>
      <c r="F135" s="6" t="s">
        <v>2668</v>
      </c>
      <c r="G135" s="6" t="s">
        <v>2444</v>
      </c>
      <c r="H135" s="6" t="s">
        <v>2670</v>
      </c>
      <c r="I135" s="6">
        <v>2</v>
      </c>
      <c r="J135" s="6">
        <v>0</v>
      </c>
      <c r="K135" s="6">
        <v>0</v>
      </c>
      <c r="L135" s="6">
        <v>0</v>
      </c>
      <c r="M135" s="6">
        <v>0</v>
      </c>
      <c r="N135" s="6">
        <v>1</v>
      </c>
      <c r="O135" s="6">
        <v>1</v>
      </c>
    </row>
    <row r="136" spans="1:15" hidden="1">
      <c r="A136" s="6" t="s">
        <v>2452</v>
      </c>
      <c r="B136" s="6" t="s">
        <v>2453</v>
      </c>
      <c r="C136" s="6" t="s">
        <v>19</v>
      </c>
      <c r="D136" s="6" t="s">
        <v>2632</v>
      </c>
      <c r="E136" s="6" t="s">
        <v>2664</v>
      </c>
      <c r="F136" s="6" t="s">
        <v>2668</v>
      </c>
      <c r="G136" s="6" t="s">
        <v>2444</v>
      </c>
      <c r="H136" s="6" t="s">
        <v>2671</v>
      </c>
      <c r="I136" s="6">
        <v>1</v>
      </c>
      <c r="J136" s="6">
        <v>1</v>
      </c>
      <c r="K136" s="6">
        <v>1</v>
      </c>
      <c r="L136" s="6">
        <v>0.14000000000000001</v>
      </c>
      <c r="M136" s="6">
        <v>0.14000000000000001</v>
      </c>
      <c r="N136" s="6">
        <v>0</v>
      </c>
      <c r="O136" s="6">
        <v>0</v>
      </c>
    </row>
    <row r="137" spans="1:15" hidden="1">
      <c r="A137" s="6" t="s">
        <v>2452</v>
      </c>
      <c r="B137" s="6" t="s">
        <v>2453</v>
      </c>
      <c r="C137" s="6" t="s">
        <v>19</v>
      </c>
      <c r="D137" s="6" t="s">
        <v>2632</v>
      </c>
      <c r="E137" s="6" t="s">
        <v>2664</v>
      </c>
      <c r="F137" s="6" t="s">
        <v>2668</v>
      </c>
      <c r="G137" s="6" t="s">
        <v>2444</v>
      </c>
      <c r="H137" s="6" t="s">
        <v>2672</v>
      </c>
      <c r="I137" s="6">
        <v>1</v>
      </c>
      <c r="J137" s="6">
        <v>1</v>
      </c>
      <c r="K137" s="6">
        <v>1</v>
      </c>
      <c r="L137" s="6">
        <v>0.42</v>
      </c>
      <c r="M137" s="6">
        <v>0.42</v>
      </c>
      <c r="N137" s="6">
        <v>0</v>
      </c>
      <c r="O137" s="6">
        <v>0</v>
      </c>
    </row>
    <row r="138" spans="1:15" hidden="1">
      <c r="A138" s="6" t="s">
        <v>2452</v>
      </c>
      <c r="B138" s="6" t="s">
        <v>2453</v>
      </c>
      <c r="C138" s="6" t="s">
        <v>19</v>
      </c>
      <c r="D138" s="6" t="s">
        <v>2632</v>
      </c>
      <c r="E138" s="6" t="s">
        <v>2664</v>
      </c>
      <c r="F138" s="6" t="s">
        <v>2673</v>
      </c>
      <c r="G138" s="6" t="s">
        <v>2444</v>
      </c>
      <c r="H138" s="6" t="s">
        <v>2674</v>
      </c>
      <c r="I138" s="6">
        <v>2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1</v>
      </c>
    </row>
    <row r="139" spans="1:15" hidden="1">
      <c r="A139" s="6" t="s">
        <v>2452</v>
      </c>
      <c r="B139" s="6" t="s">
        <v>2453</v>
      </c>
      <c r="C139" s="6" t="s">
        <v>19</v>
      </c>
      <c r="D139" s="6" t="s">
        <v>2632</v>
      </c>
      <c r="E139" s="6" t="s">
        <v>2664</v>
      </c>
      <c r="F139" s="6" t="s">
        <v>2675</v>
      </c>
      <c r="G139" s="6" t="s">
        <v>2444</v>
      </c>
      <c r="H139" s="6" t="s">
        <v>2676</v>
      </c>
      <c r="I139" s="6">
        <v>2</v>
      </c>
      <c r="J139" s="6">
        <v>0</v>
      </c>
      <c r="K139" s="6">
        <v>0</v>
      </c>
      <c r="L139" s="6">
        <v>0</v>
      </c>
      <c r="M139" s="6">
        <v>0</v>
      </c>
      <c r="N139" s="6">
        <v>1</v>
      </c>
      <c r="O139" s="6">
        <v>1</v>
      </c>
    </row>
    <row r="140" spans="1:15" hidden="1">
      <c r="A140" s="6" t="s">
        <v>2452</v>
      </c>
      <c r="B140" s="6" t="s">
        <v>2453</v>
      </c>
      <c r="C140" s="6" t="s">
        <v>19</v>
      </c>
      <c r="D140" s="6" t="s">
        <v>2632</v>
      </c>
      <c r="E140" s="6" t="s">
        <v>2664</v>
      </c>
      <c r="F140" s="6" t="s">
        <v>2677</v>
      </c>
      <c r="G140" s="6" t="s">
        <v>2444</v>
      </c>
      <c r="H140" s="6" t="s">
        <v>2678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hidden="1">
      <c r="A141" s="6" t="s">
        <v>2452</v>
      </c>
      <c r="B141" s="6" t="s">
        <v>2453</v>
      </c>
      <c r="C141" s="6" t="s">
        <v>19</v>
      </c>
      <c r="D141" s="6" t="s">
        <v>2632</v>
      </c>
      <c r="E141" s="6" t="s">
        <v>2679</v>
      </c>
      <c r="F141" s="6" t="s">
        <v>2680</v>
      </c>
      <c r="G141" s="6" t="s">
        <v>2444</v>
      </c>
      <c r="H141" s="6" t="s">
        <v>2680</v>
      </c>
      <c r="I141" s="6">
        <v>2</v>
      </c>
      <c r="J141" s="6">
        <v>1</v>
      </c>
      <c r="K141" s="6">
        <v>0.5</v>
      </c>
      <c r="L141" s="6">
        <v>0.53</v>
      </c>
      <c r="M141" s="6">
        <v>0.53</v>
      </c>
      <c r="N141" s="6">
        <v>1</v>
      </c>
      <c r="O141" s="6">
        <v>1</v>
      </c>
    </row>
    <row r="142" spans="1:15" hidden="1">
      <c r="A142" s="6" t="s">
        <v>2452</v>
      </c>
      <c r="B142" s="6" t="s">
        <v>2453</v>
      </c>
      <c r="C142" s="6" t="s">
        <v>19</v>
      </c>
      <c r="D142" s="6" t="s">
        <v>2632</v>
      </c>
      <c r="E142" s="6" t="s">
        <v>2679</v>
      </c>
      <c r="F142" s="6" t="s">
        <v>2681</v>
      </c>
      <c r="G142" s="6" t="s">
        <v>2444</v>
      </c>
      <c r="H142" s="6" t="s">
        <v>2681</v>
      </c>
      <c r="I142" s="6">
        <v>3</v>
      </c>
      <c r="J142" s="6">
        <v>0</v>
      </c>
      <c r="K142" s="6">
        <v>0</v>
      </c>
      <c r="L142" s="6">
        <v>0</v>
      </c>
      <c r="M142" s="6">
        <v>0</v>
      </c>
      <c r="N142" s="6">
        <v>0.5</v>
      </c>
      <c r="O142" s="6">
        <v>0.5</v>
      </c>
    </row>
    <row r="143" spans="1:15" hidden="1">
      <c r="A143" s="6" t="s">
        <v>2452</v>
      </c>
      <c r="B143" s="6" t="s">
        <v>2453</v>
      </c>
      <c r="C143" s="6" t="s">
        <v>19</v>
      </c>
      <c r="D143" s="6" t="s">
        <v>2632</v>
      </c>
      <c r="E143" s="6" t="s">
        <v>2679</v>
      </c>
      <c r="F143" s="6" t="s">
        <v>2682</v>
      </c>
      <c r="G143" s="6" t="s">
        <v>2444</v>
      </c>
      <c r="H143" s="6" t="s">
        <v>2683</v>
      </c>
      <c r="I143" s="6">
        <v>2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1</v>
      </c>
    </row>
    <row r="144" spans="1:15" hidden="1">
      <c r="A144" s="6" t="s">
        <v>2452</v>
      </c>
      <c r="B144" s="6" t="s">
        <v>2453</v>
      </c>
      <c r="C144" s="6" t="s">
        <v>19</v>
      </c>
      <c r="D144" s="6" t="s">
        <v>2632</v>
      </c>
      <c r="E144" s="6" t="s">
        <v>2679</v>
      </c>
      <c r="F144" s="6" t="s">
        <v>2684</v>
      </c>
      <c r="G144" s="6" t="s">
        <v>2444</v>
      </c>
      <c r="H144" s="6" t="s">
        <v>2685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</row>
    <row r="145" spans="1:15" hidden="1">
      <c r="A145" s="6" t="s">
        <v>2452</v>
      </c>
      <c r="B145" s="6" t="s">
        <v>2453</v>
      </c>
      <c r="C145" s="6" t="s">
        <v>19</v>
      </c>
      <c r="D145" s="6" t="s">
        <v>2632</v>
      </c>
      <c r="E145" s="6" t="s">
        <v>2679</v>
      </c>
      <c r="F145" s="6" t="s">
        <v>2686</v>
      </c>
      <c r="G145" s="6" t="s">
        <v>2444</v>
      </c>
      <c r="H145" s="6" t="s">
        <v>2687</v>
      </c>
      <c r="I145" s="6">
        <v>4</v>
      </c>
      <c r="J145" s="6">
        <v>1</v>
      </c>
      <c r="K145" s="6">
        <v>0.25</v>
      </c>
      <c r="L145" s="6">
        <v>1.69</v>
      </c>
      <c r="M145" s="6">
        <v>1.69</v>
      </c>
      <c r="N145" s="6">
        <v>1</v>
      </c>
      <c r="O145" s="6">
        <v>1</v>
      </c>
    </row>
    <row r="146" spans="1:15" hidden="1">
      <c r="A146" s="6" t="s">
        <v>2452</v>
      </c>
      <c r="B146" s="6" t="s">
        <v>2453</v>
      </c>
      <c r="C146" s="6" t="s">
        <v>19</v>
      </c>
      <c r="D146" s="6" t="s">
        <v>2632</v>
      </c>
      <c r="E146" s="6" t="s">
        <v>2679</v>
      </c>
      <c r="F146" s="6" t="s">
        <v>2688</v>
      </c>
      <c r="G146" s="6" t="s">
        <v>2444</v>
      </c>
      <c r="H146" s="6" t="s">
        <v>2688</v>
      </c>
      <c r="I146" s="6">
        <v>2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1</v>
      </c>
    </row>
    <row r="147" spans="1:15" hidden="1">
      <c r="A147" s="6" t="s">
        <v>2452</v>
      </c>
      <c r="B147" s="6" t="s">
        <v>2453</v>
      </c>
      <c r="C147" s="6" t="s">
        <v>19</v>
      </c>
      <c r="D147" s="6" t="s">
        <v>2632</v>
      </c>
      <c r="E147" s="6" t="s">
        <v>2689</v>
      </c>
      <c r="F147" s="6" t="s">
        <v>2690</v>
      </c>
      <c r="G147" s="6" t="s">
        <v>2444</v>
      </c>
      <c r="H147" s="6" t="s">
        <v>2691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1</v>
      </c>
      <c r="O147" s="6">
        <v>1</v>
      </c>
    </row>
    <row r="148" spans="1:15" hidden="1">
      <c r="A148" s="6" t="s">
        <v>2452</v>
      </c>
      <c r="B148" s="6" t="s">
        <v>2453</v>
      </c>
      <c r="C148" s="6" t="s">
        <v>19</v>
      </c>
      <c r="D148" s="6" t="s">
        <v>2632</v>
      </c>
      <c r="E148" s="6" t="s">
        <v>2689</v>
      </c>
      <c r="F148" s="6" t="s">
        <v>2692</v>
      </c>
      <c r="G148" s="6" t="s">
        <v>2444</v>
      </c>
      <c r="H148" s="6" t="s">
        <v>2692</v>
      </c>
      <c r="I148" s="6">
        <v>2</v>
      </c>
      <c r="J148" s="6">
        <v>0</v>
      </c>
      <c r="K148" s="6">
        <v>0</v>
      </c>
      <c r="L148" s="6">
        <v>0</v>
      </c>
      <c r="M148" s="6">
        <v>0</v>
      </c>
      <c r="N148" s="6">
        <v>1</v>
      </c>
      <c r="O148" s="6">
        <v>1</v>
      </c>
    </row>
    <row r="149" spans="1:15" hidden="1">
      <c r="A149" s="6" t="s">
        <v>2452</v>
      </c>
      <c r="B149" s="6" t="s">
        <v>2453</v>
      </c>
      <c r="C149" s="6" t="s">
        <v>19</v>
      </c>
      <c r="D149" s="6" t="s">
        <v>2632</v>
      </c>
      <c r="E149" s="6" t="s">
        <v>2689</v>
      </c>
      <c r="F149" s="6" t="s">
        <v>2693</v>
      </c>
      <c r="G149" s="6" t="s">
        <v>2444</v>
      </c>
      <c r="H149" s="6" t="s">
        <v>2694</v>
      </c>
      <c r="I149" s="6">
        <v>2</v>
      </c>
      <c r="J149" s="6">
        <v>0</v>
      </c>
      <c r="K149" s="6">
        <v>0</v>
      </c>
      <c r="L149" s="6">
        <v>0</v>
      </c>
      <c r="M149" s="6">
        <v>0</v>
      </c>
      <c r="N149" s="6">
        <v>1</v>
      </c>
      <c r="O149" s="6">
        <v>1</v>
      </c>
    </row>
    <row r="150" spans="1:15" hidden="1">
      <c r="A150" s="6" t="s">
        <v>2452</v>
      </c>
      <c r="B150" s="6" t="s">
        <v>2453</v>
      </c>
      <c r="C150" s="6" t="s">
        <v>19</v>
      </c>
      <c r="D150" s="6" t="s">
        <v>2632</v>
      </c>
      <c r="E150" s="6" t="s">
        <v>2689</v>
      </c>
      <c r="F150" s="6" t="s">
        <v>2695</v>
      </c>
      <c r="G150" s="6" t="s">
        <v>2444</v>
      </c>
      <c r="H150" s="6" t="s">
        <v>2696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</row>
    <row r="151" spans="1:15" hidden="1">
      <c r="A151" s="6" t="s">
        <v>2452</v>
      </c>
      <c r="B151" s="6" t="s">
        <v>2453</v>
      </c>
      <c r="C151" s="6" t="s">
        <v>19</v>
      </c>
      <c r="D151" s="6" t="s">
        <v>2632</v>
      </c>
      <c r="E151" s="6" t="s">
        <v>2689</v>
      </c>
      <c r="F151" s="6" t="s">
        <v>2697</v>
      </c>
      <c r="G151" s="6" t="s">
        <v>2444</v>
      </c>
      <c r="H151" s="6" t="s">
        <v>2698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</row>
    <row r="152" spans="1:15" hidden="1">
      <c r="A152" s="6" t="s">
        <v>2452</v>
      </c>
      <c r="B152" s="6" t="s">
        <v>2453</v>
      </c>
      <c r="C152" s="6" t="s">
        <v>19</v>
      </c>
      <c r="D152" s="6" t="s">
        <v>2632</v>
      </c>
      <c r="E152" s="6" t="s">
        <v>2689</v>
      </c>
      <c r="F152" s="6" t="s">
        <v>2699</v>
      </c>
      <c r="G152" s="6" t="s">
        <v>2444</v>
      </c>
      <c r="H152" s="6" t="s">
        <v>2700</v>
      </c>
      <c r="I152" s="6">
        <v>1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1</v>
      </c>
    </row>
    <row r="153" spans="1:15" hidden="1">
      <c r="A153" s="6" t="s">
        <v>2452</v>
      </c>
      <c r="B153" s="6" t="s">
        <v>2453</v>
      </c>
      <c r="C153" s="6" t="s">
        <v>19</v>
      </c>
      <c r="D153" s="6" t="s">
        <v>2701</v>
      </c>
      <c r="E153" s="6" t="s">
        <v>2702</v>
      </c>
      <c r="G153" s="6" t="s">
        <v>2444</v>
      </c>
      <c r="H153" s="6" t="s">
        <v>2703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1</v>
      </c>
    </row>
    <row r="154" spans="1:15" hidden="1">
      <c r="A154" s="6" t="s">
        <v>2452</v>
      </c>
      <c r="B154" s="6" t="s">
        <v>2453</v>
      </c>
      <c r="C154" s="6" t="s">
        <v>19</v>
      </c>
      <c r="D154" s="6" t="s">
        <v>2701</v>
      </c>
      <c r="E154" s="6" t="s">
        <v>2702</v>
      </c>
      <c r="F154" s="6" t="s">
        <v>2704</v>
      </c>
      <c r="G154" s="6" t="s">
        <v>2444</v>
      </c>
      <c r="H154" s="6" t="s">
        <v>2705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1</v>
      </c>
    </row>
    <row r="155" spans="1:15" hidden="1">
      <c r="A155" s="6" t="s">
        <v>2452</v>
      </c>
      <c r="B155" s="6" t="s">
        <v>2453</v>
      </c>
      <c r="C155" s="6" t="s">
        <v>19</v>
      </c>
      <c r="D155" s="6" t="s">
        <v>2701</v>
      </c>
      <c r="E155" s="6" t="s">
        <v>2702</v>
      </c>
      <c r="F155" s="6" t="s">
        <v>2704</v>
      </c>
      <c r="G155" s="6" t="s">
        <v>2444</v>
      </c>
      <c r="H155" s="6" t="s">
        <v>2704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</row>
    <row r="156" spans="1:15" hidden="1">
      <c r="A156" s="6" t="s">
        <v>2452</v>
      </c>
      <c r="B156" s="6" t="s">
        <v>2453</v>
      </c>
      <c r="C156" s="6" t="s">
        <v>19</v>
      </c>
      <c r="D156" s="6" t="s">
        <v>2701</v>
      </c>
      <c r="E156" s="6" t="s">
        <v>2702</v>
      </c>
      <c r="F156" s="6" t="s">
        <v>2706</v>
      </c>
      <c r="G156" s="6" t="s">
        <v>2444</v>
      </c>
      <c r="H156" s="6" t="s">
        <v>2707</v>
      </c>
      <c r="I156" s="6">
        <v>3</v>
      </c>
      <c r="J156" s="6">
        <v>1</v>
      </c>
      <c r="K156" s="6">
        <v>0.33329999999999999</v>
      </c>
      <c r="L156" s="6">
        <v>0.88</v>
      </c>
      <c r="M156" s="6">
        <v>0.88</v>
      </c>
      <c r="N156" s="6">
        <v>0.5</v>
      </c>
      <c r="O156" s="6">
        <v>0.5</v>
      </c>
    </row>
    <row r="157" spans="1:15" hidden="1">
      <c r="A157" s="6" t="s">
        <v>2452</v>
      </c>
      <c r="B157" s="6" t="s">
        <v>2453</v>
      </c>
      <c r="C157" s="6" t="s">
        <v>19</v>
      </c>
      <c r="D157" s="6" t="s">
        <v>2701</v>
      </c>
      <c r="E157" s="6" t="s">
        <v>2702</v>
      </c>
      <c r="F157" s="6" t="s">
        <v>2708</v>
      </c>
      <c r="G157" s="6" t="s">
        <v>2444</v>
      </c>
      <c r="H157" s="6" t="s">
        <v>2709</v>
      </c>
      <c r="I157" s="6">
        <v>3</v>
      </c>
      <c r="J157" s="6">
        <v>0</v>
      </c>
      <c r="K157" s="6">
        <v>0</v>
      </c>
      <c r="L157" s="6">
        <v>0</v>
      </c>
      <c r="M157" s="6">
        <v>0</v>
      </c>
      <c r="N157" s="6">
        <v>0.5</v>
      </c>
      <c r="O157" s="6">
        <v>0.5</v>
      </c>
    </row>
    <row r="158" spans="1:15" hidden="1">
      <c r="A158" s="6" t="s">
        <v>2452</v>
      </c>
      <c r="B158" s="6" t="s">
        <v>2453</v>
      </c>
      <c r="C158" s="6" t="s">
        <v>19</v>
      </c>
      <c r="D158" s="6" t="s">
        <v>2701</v>
      </c>
      <c r="E158" s="6" t="s">
        <v>2702</v>
      </c>
      <c r="F158" s="6" t="s">
        <v>2710</v>
      </c>
      <c r="G158" s="6" t="s">
        <v>2444</v>
      </c>
      <c r="H158" s="6" t="s">
        <v>2711</v>
      </c>
      <c r="I158" s="6">
        <v>3</v>
      </c>
      <c r="J158" s="6">
        <v>1</v>
      </c>
      <c r="K158" s="6">
        <v>0.33329999999999999</v>
      </c>
      <c r="L158" s="6">
        <v>0.04</v>
      </c>
      <c r="M158" s="6">
        <v>0.04</v>
      </c>
      <c r="N158" s="6">
        <v>1</v>
      </c>
      <c r="O158" s="6">
        <v>1</v>
      </c>
    </row>
    <row r="159" spans="1:15" hidden="1">
      <c r="A159" s="6" t="s">
        <v>2452</v>
      </c>
      <c r="B159" s="6" t="s">
        <v>2453</v>
      </c>
      <c r="C159" s="6" t="s">
        <v>19</v>
      </c>
      <c r="D159" s="6" t="s">
        <v>2701</v>
      </c>
      <c r="E159" s="6" t="s">
        <v>2702</v>
      </c>
      <c r="F159" s="6" t="s">
        <v>2710</v>
      </c>
      <c r="G159" s="6" t="s">
        <v>2444</v>
      </c>
      <c r="H159" s="6" t="s">
        <v>2712</v>
      </c>
      <c r="I159" s="6">
        <v>2</v>
      </c>
      <c r="J159" s="6">
        <v>0</v>
      </c>
      <c r="K159" s="6">
        <v>0</v>
      </c>
      <c r="L159" s="6">
        <v>0</v>
      </c>
      <c r="M159" s="6">
        <v>0</v>
      </c>
      <c r="N159" s="6">
        <v>1</v>
      </c>
      <c r="O159" s="6">
        <v>1</v>
      </c>
    </row>
    <row r="160" spans="1:15" hidden="1">
      <c r="A160" s="6" t="s">
        <v>2452</v>
      </c>
      <c r="B160" s="6" t="s">
        <v>2453</v>
      </c>
      <c r="C160" s="6" t="s">
        <v>19</v>
      </c>
      <c r="D160" s="6" t="s">
        <v>2701</v>
      </c>
      <c r="E160" s="6" t="s">
        <v>2702</v>
      </c>
      <c r="F160" s="6" t="s">
        <v>2710</v>
      </c>
      <c r="G160" s="6" t="s">
        <v>2444</v>
      </c>
      <c r="H160" s="6" t="s">
        <v>2713</v>
      </c>
      <c r="I160" s="6">
        <v>1</v>
      </c>
      <c r="J160" s="6">
        <v>0</v>
      </c>
      <c r="K160" s="6">
        <v>0</v>
      </c>
      <c r="L160" s="6">
        <v>0</v>
      </c>
      <c r="M160" s="6">
        <v>0</v>
      </c>
      <c r="N160" s="6">
        <v>1</v>
      </c>
      <c r="O160" s="6">
        <v>1</v>
      </c>
    </row>
    <row r="161" spans="1:15" hidden="1">
      <c r="A161" s="6" t="s">
        <v>2452</v>
      </c>
      <c r="B161" s="6" t="s">
        <v>2453</v>
      </c>
      <c r="C161" s="6" t="s">
        <v>19</v>
      </c>
      <c r="D161" s="6" t="s">
        <v>2701</v>
      </c>
      <c r="E161" s="6" t="s">
        <v>2702</v>
      </c>
      <c r="F161" s="6" t="s">
        <v>2710</v>
      </c>
      <c r="G161" s="6" t="s">
        <v>2444</v>
      </c>
      <c r="H161" s="6" t="s">
        <v>2714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>
        <v>1</v>
      </c>
      <c r="O161" s="6">
        <v>1</v>
      </c>
    </row>
    <row r="162" spans="1:15" hidden="1">
      <c r="A162" s="6" t="s">
        <v>2452</v>
      </c>
      <c r="B162" s="6" t="s">
        <v>2453</v>
      </c>
      <c r="C162" s="6" t="s">
        <v>19</v>
      </c>
      <c r="D162" s="6" t="s">
        <v>2701</v>
      </c>
      <c r="E162" s="6" t="s">
        <v>2702</v>
      </c>
      <c r="F162" s="6" t="s">
        <v>2710</v>
      </c>
      <c r="G162" s="6" t="s">
        <v>2444</v>
      </c>
      <c r="H162" s="6" t="s">
        <v>2715</v>
      </c>
      <c r="I162" s="6">
        <v>1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</row>
    <row r="163" spans="1:15" hidden="1">
      <c r="A163" s="6" t="s">
        <v>2452</v>
      </c>
      <c r="B163" s="6" t="s">
        <v>2453</v>
      </c>
      <c r="C163" s="6" t="s">
        <v>19</v>
      </c>
      <c r="D163" s="6" t="s">
        <v>2701</v>
      </c>
      <c r="E163" s="6" t="s">
        <v>2702</v>
      </c>
      <c r="F163" s="6" t="s">
        <v>2710</v>
      </c>
      <c r="G163" s="6" t="s">
        <v>2444</v>
      </c>
      <c r="H163" s="6" t="s">
        <v>2716</v>
      </c>
      <c r="I163" s="6">
        <v>3</v>
      </c>
      <c r="J163" s="6">
        <v>0</v>
      </c>
      <c r="K163" s="6">
        <v>0</v>
      </c>
      <c r="L163" s="6">
        <v>0</v>
      </c>
      <c r="M163" s="6">
        <v>0</v>
      </c>
      <c r="N163" s="6">
        <v>1</v>
      </c>
      <c r="O163" s="6">
        <v>1</v>
      </c>
    </row>
    <row r="164" spans="1:15" hidden="1">
      <c r="A164" s="6" t="s">
        <v>2452</v>
      </c>
      <c r="B164" s="6" t="s">
        <v>2453</v>
      </c>
      <c r="C164" s="6" t="s">
        <v>19</v>
      </c>
      <c r="D164" s="6" t="s">
        <v>2701</v>
      </c>
      <c r="E164" s="6" t="s">
        <v>2702</v>
      </c>
      <c r="F164" s="6" t="s">
        <v>2710</v>
      </c>
      <c r="G164" s="6" t="s">
        <v>2444</v>
      </c>
      <c r="H164" s="6" t="s">
        <v>2717</v>
      </c>
      <c r="I164" s="6">
        <v>1</v>
      </c>
      <c r="J164" s="6">
        <v>1</v>
      </c>
      <c r="K164" s="6">
        <v>1</v>
      </c>
      <c r="L164" s="6">
        <v>0.14000000000000001</v>
      </c>
      <c r="M164" s="6">
        <v>0.14000000000000001</v>
      </c>
      <c r="N164" s="6">
        <v>1</v>
      </c>
      <c r="O164" s="6">
        <v>1</v>
      </c>
    </row>
    <row r="165" spans="1:15" hidden="1">
      <c r="A165" s="6" t="s">
        <v>2452</v>
      </c>
      <c r="B165" s="6" t="s">
        <v>2453</v>
      </c>
      <c r="C165" s="6" t="s">
        <v>19</v>
      </c>
      <c r="D165" s="6" t="s">
        <v>2701</v>
      </c>
      <c r="E165" s="6" t="s">
        <v>2702</v>
      </c>
      <c r="F165" s="6" t="s">
        <v>2710</v>
      </c>
      <c r="G165" s="6" t="s">
        <v>2444</v>
      </c>
      <c r="H165" s="6" t="s">
        <v>2718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1</v>
      </c>
    </row>
    <row r="166" spans="1:15" hidden="1">
      <c r="A166" s="6" t="s">
        <v>2452</v>
      </c>
      <c r="B166" s="6" t="s">
        <v>2453</v>
      </c>
      <c r="C166" s="6" t="s">
        <v>19</v>
      </c>
      <c r="D166" s="6" t="s">
        <v>2701</v>
      </c>
      <c r="E166" s="6" t="s">
        <v>2702</v>
      </c>
      <c r="F166" s="6" t="s">
        <v>2710</v>
      </c>
      <c r="G166" s="6" t="s">
        <v>2444</v>
      </c>
      <c r="H166" s="6" t="s">
        <v>2719</v>
      </c>
      <c r="I166" s="6">
        <v>2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1</v>
      </c>
    </row>
    <row r="167" spans="1:15" hidden="1">
      <c r="A167" s="6" t="s">
        <v>2452</v>
      </c>
      <c r="B167" s="6" t="s">
        <v>2453</v>
      </c>
      <c r="C167" s="6" t="s">
        <v>19</v>
      </c>
      <c r="D167" s="6" t="s">
        <v>2701</v>
      </c>
      <c r="E167" s="6" t="s">
        <v>2702</v>
      </c>
      <c r="F167" s="6" t="s">
        <v>2710</v>
      </c>
      <c r="G167" s="6" t="s">
        <v>2444</v>
      </c>
      <c r="H167" s="6" t="s">
        <v>2720</v>
      </c>
      <c r="I167" s="6">
        <v>4</v>
      </c>
      <c r="J167" s="6">
        <v>1</v>
      </c>
      <c r="K167" s="6">
        <v>0.25</v>
      </c>
      <c r="L167" s="6">
        <v>7.0000000000000007E-2</v>
      </c>
      <c r="M167" s="6">
        <v>7.0000000000000007E-2</v>
      </c>
      <c r="N167" s="6">
        <v>1</v>
      </c>
      <c r="O167" s="6">
        <v>1</v>
      </c>
    </row>
    <row r="168" spans="1:15" hidden="1">
      <c r="A168" s="6" t="s">
        <v>2452</v>
      </c>
      <c r="B168" s="6" t="s">
        <v>2453</v>
      </c>
      <c r="C168" s="6" t="s">
        <v>19</v>
      </c>
      <c r="D168" s="6" t="s">
        <v>2701</v>
      </c>
      <c r="E168" s="6" t="s">
        <v>2702</v>
      </c>
      <c r="F168" s="6" t="s">
        <v>2710</v>
      </c>
      <c r="G168" s="6" t="s">
        <v>2444</v>
      </c>
      <c r="H168" s="6" t="s">
        <v>2721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>
        <v>1</v>
      </c>
      <c r="O168" s="6">
        <v>1</v>
      </c>
    </row>
    <row r="169" spans="1:15" hidden="1">
      <c r="A169" s="6" t="s">
        <v>2452</v>
      </c>
      <c r="B169" s="6" t="s">
        <v>2453</v>
      </c>
      <c r="C169" s="6" t="s">
        <v>19</v>
      </c>
      <c r="D169" s="6" t="s">
        <v>2701</v>
      </c>
      <c r="E169" s="6" t="s">
        <v>2702</v>
      </c>
      <c r="F169" s="6" t="s">
        <v>2710</v>
      </c>
      <c r="G169" s="6" t="s">
        <v>2444</v>
      </c>
      <c r="H169" s="6" t="s">
        <v>2710</v>
      </c>
      <c r="I169" s="6">
        <v>5</v>
      </c>
      <c r="J169" s="6">
        <v>1</v>
      </c>
      <c r="K169" s="6">
        <v>0.2</v>
      </c>
      <c r="L169" s="6">
        <v>0.48</v>
      </c>
      <c r="M169" s="6">
        <v>0.48</v>
      </c>
      <c r="N169" s="6">
        <v>0.66670000000000007</v>
      </c>
      <c r="O169" s="6">
        <v>0.33329999999999999</v>
      </c>
    </row>
    <row r="170" spans="1:15" hidden="1">
      <c r="A170" s="6" t="s">
        <v>2452</v>
      </c>
      <c r="B170" s="6" t="s">
        <v>2453</v>
      </c>
      <c r="C170" s="6" t="s">
        <v>19</v>
      </c>
      <c r="D170" s="6" t="s">
        <v>2701</v>
      </c>
      <c r="E170" s="6" t="s">
        <v>2702</v>
      </c>
      <c r="F170" s="6" t="s">
        <v>2722</v>
      </c>
      <c r="G170" s="6" t="s">
        <v>2444</v>
      </c>
      <c r="H170" s="6" t="s">
        <v>2722</v>
      </c>
      <c r="I170" s="6">
        <v>2</v>
      </c>
      <c r="J170" s="6">
        <v>2</v>
      </c>
      <c r="K170" s="6">
        <v>1</v>
      </c>
      <c r="L170" s="6">
        <v>0.28000000000000003</v>
      </c>
      <c r="M170" s="6">
        <v>0.56000000000000005</v>
      </c>
      <c r="N170" s="6">
        <v>1</v>
      </c>
      <c r="O170" s="6">
        <v>1</v>
      </c>
    </row>
    <row r="171" spans="1:15" hidden="1">
      <c r="A171" s="6" t="s">
        <v>2452</v>
      </c>
      <c r="B171" s="6" t="s">
        <v>2453</v>
      </c>
      <c r="C171" s="6" t="s">
        <v>19</v>
      </c>
      <c r="D171" s="6" t="s">
        <v>2701</v>
      </c>
      <c r="E171" s="6" t="s">
        <v>2702</v>
      </c>
      <c r="F171" s="6" t="s">
        <v>2723</v>
      </c>
      <c r="G171" s="6" t="s">
        <v>2444</v>
      </c>
      <c r="H171" s="6" t="s">
        <v>2724</v>
      </c>
      <c r="I171" s="6">
        <v>1</v>
      </c>
      <c r="J171" s="6">
        <v>0</v>
      </c>
      <c r="K171" s="6">
        <v>0</v>
      </c>
      <c r="L171" s="6">
        <v>0</v>
      </c>
      <c r="M171" s="6">
        <v>0</v>
      </c>
      <c r="N171" s="6">
        <v>1</v>
      </c>
      <c r="O171" s="6">
        <v>1</v>
      </c>
    </row>
    <row r="172" spans="1:15" hidden="1">
      <c r="A172" s="6" t="s">
        <v>2452</v>
      </c>
      <c r="B172" s="6" t="s">
        <v>2453</v>
      </c>
      <c r="C172" s="6" t="s">
        <v>19</v>
      </c>
      <c r="D172" s="6" t="s">
        <v>2701</v>
      </c>
      <c r="E172" s="6" t="s">
        <v>2702</v>
      </c>
      <c r="F172" s="6" t="s">
        <v>2725</v>
      </c>
      <c r="G172" s="6" t="s">
        <v>2444</v>
      </c>
      <c r="H172" s="6" t="s">
        <v>2726</v>
      </c>
      <c r="I172" s="6">
        <v>4</v>
      </c>
      <c r="J172" s="6">
        <v>2</v>
      </c>
      <c r="K172" s="6">
        <v>0.5</v>
      </c>
      <c r="L172" s="6">
        <v>1.1499999999999999</v>
      </c>
      <c r="M172" s="6">
        <v>2.2999999999999998</v>
      </c>
      <c r="N172" s="6">
        <v>1</v>
      </c>
      <c r="O172" s="6">
        <v>1</v>
      </c>
    </row>
    <row r="173" spans="1:15" hidden="1">
      <c r="A173" s="6" t="s">
        <v>2452</v>
      </c>
      <c r="B173" s="6" t="s">
        <v>2453</v>
      </c>
      <c r="C173" s="6" t="s">
        <v>19</v>
      </c>
      <c r="D173" s="6" t="s">
        <v>2701</v>
      </c>
      <c r="E173" s="6" t="s">
        <v>2702</v>
      </c>
      <c r="F173" s="6" t="s">
        <v>2727</v>
      </c>
      <c r="G173" s="6" t="s">
        <v>2444</v>
      </c>
      <c r="H173" s="6" t="s">
        <v>2728</v>
      </c>
      <c r="I173" s="6">
        <v>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</row>
    <row r="174" spans="1:15" hidden="1">
      <c r="A174" s="6" t="s">
        <v>2452</v>
      </c>
      <c r="B174" s="6" t="s">
        <v>2453</v>
      </c>
      <c r="C174" s="6" t="s">
        <v>19</v>
      </c>
      <c r="D174" s="6" t="s">
        <v>2701</v>
      </c>
      <c r="E174" s="6" t="s">
        <v>2702</v>
      </c>
      <c r="F174" s="6" t="s">
        <v>2729</v>
      </c>
      <c r="G174" s="6" t="s">
        <v>2444</v>
      </c>
      <c r="H174" s="6" t="s">
        <v>2730</v>
      </c>
      <c r="I174" s="6">
        <v>1</v>
      </c>
      <c r="J174" s="6">
        <v>1</v>
      </c>
      <c r="K174" s="6">
        <v>1</v>
      </c>
      <c r="L174" s="6">
        <v>0.04</v>
      </c>
      <c r="M174" s="6">
        <v>0.04</v>
      </c>
      <c r="N174" s="6">
        <v>1</v>
      </c>
      <c r="O174" s="6">
        <v>1</v>
      </c>
    </row>
    <row r="175" spans="1:15" hidden="1">
      <c r="A175" s="6" t="s">
        <v>2452</v>
      </c>
      <c r="B175" s="6" t="s">
        <v>2453</v>
      </c>
      <c r="C175" s="6" t="s">
        <v>19</v>
      </c>
      <c r="D175" s="6" t="s">
        <v>2701</v>
      </c>
      <c r="E175" s="6" t="s">
        <v>2702</v>
      </c>
      <c r="F175" s="6" t="s">
        <v>2731</v>
      </c>
      <c r="G175" s="6" t="s">
        <v>2444</v>
      </c>
      <c r="H175" s="6" t="s">
        <v>2732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1</v>
      </c>
    </row>
    <row r="176" spans="1:15" hidden="1">
      <c r="A176" s="6" t="s">
        <v>2452</v>
      </c>
      <c r="B176" s="6" t="s">
        <v>2453</v>
      </c>
      <c r="C176" s="6" t="s">
        <v>19</v>
      </c>
      <c r="D176" s="6" t="s">
        <v>2701</v>
      </c>
      <c r="E176" s="6" t="s">
        <v>2702</v>
      </c>
      <c r="F176" s="6" t="s">
        <v>2731</v>
      </c>
      <c r="G176" s="6" t="s">
        <v>2444</v>
      </c>
      <c r="H176" s="6" t="s">
        <v>2733</v>
      </c>
      <c r="I176" s="6">
        <v>3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pans="1:15" hidden="1">
      <c r="A177" s="6" t="s">
        <v>2452</v>
      </c>
      <c r="B177" s="6" t="s">
        <v>2453</v>
      </c>
      <c r="C177" s="6" t="s">
        <v>19</v>
      </c>
      <c r="D177" s="6" t="s">
        <v>2701</v>
      </c>
      <c r="E177" s="6" t="s">
        <v>2702</v>
      </c>
      <c r="F177" s="6" t="s">
        <v>2734</v>
      </c>
      <c r="G177" s="6" t="s">
        <v>2444</v>
      </c>
      <c r="H177" s="6" t="s">
        <v>2735</v>
      </c>
      <c r="I177" s="6">
        <v>8</v>
      </c>
      <c r="J177" s="6">
        <v>1</v>
      </c>
      <c r="K177" s="6">
        <v>0.125</v>
      </c>
      <c r="L177" s="6">
        <v>2.31</v>
      </c>
      <c r="M177" s="6">
        <v>2.31</v>
      </c>
      <c r="N177" s="6">
        <v>1</v>
      </c>
      <c r="O177" s="6">
        <v>1</v>
      </c>
    </row>
    <row r="178" spans="1:15" hidden="1">
      <c r="A178" s="6" t="s">
        <v>2452</v>
      </c>
      <c r="B178" s="6" t="s">
        <v>2453</v>
      </c>
      <c r="C178" s="6" t="s">
        <v>19</v>
      </c>
      <c r="D178" s="6" t="s">
        <v>2701</v>
      </c>
      <c r="E178" s="6" t="s">
        <v>2702</v>
      </c>
      <c r="F178" s="6" t="s">
        <v>2736</v>
      </c>
      <c r="G178" s="6" t="s">
        <v>2444</v>
      </c>
      <c r="H178" s="6" t="s">
        <v>2737</v>
      </c>
      <c r="I178" s="6">
        <v>4</v>
      </c>
      <c r="J178" s="6">
        <v>1</v>
      </c>
      <c r="K178" s="6">
        <v>0.25</v>
      </c>
      <c r="L178" s="6">
        <v>1.1000000000000001</v>
      </c>
      <c r="M178" s="6">
        <v>1.1000000000000001</v>
      </c>
      <c r="N178" s="6">
        <v>1</v>
      </c>
      <c r="O178" s="6">
        <v>1</v>
      </c>
    </row>
    <row r="179" spans="1:15" hidden="1">
      <c r="A179" s="6" t="s">
        <v>2452</v>
      </c>
      <c r="B179" s="6" t="s">
        <v>2453</v>
      </c>
      <c r="C179" s="6" t="s">
        <v>19</v>
      </c>
      <c r="D179" s="6" t="s">
        <v>2701</v>
      </c>
      <c r="E179" s="6" t="s">
        <v>2702</v>
      </c>
      <c r="F179" s="6" t="s">
        <v>2738</v>
      </c>
      <c r="G179" s="6" t="s">
        <v>2444</v>
      </c>
      <c r="H179" s="6" t="s">
        <v>2739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1</v>
      </c>
    </row>
    <row r="180" spans="1:15" hidden="1">
      <c r="A180" s="6" t="s">
        <v>2452</v>
      </c>
      <c r="B180" s="6" t="s">
        <v>2453</v>
      </c>
      <c r="C180" s="6" t="s">
        <v>19</v>
      </c>
      <c r="D180" s="6" t="s">
        <v>2701</v>
      </c>
      <c r="E180" s="6" t="s">
        <v>2702</v>
      </c>
      <c r="F180" s="6" t="s">
        <v>2738</v>
      </c>
      <c r="G180" s="6" t="s">
        <v>2444</v>
      </c>
      <c r="H180" s="6" t="s">
        <v>2738</v>
      </c>
      <c r="I180" s="6">
        <v>2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1</v>
      </c>
    </row>
    <row r="181" spans="1:15" hidden="1">
      <c r="A181" s="6" t="s">
        <v>2452</v>
      </c>
      <c r="B181" s="6" t="s">
        <v>2453</v>
      </c>
      <c r="C181" s="6" t="s">
        <v>19</v>
      </c>
      <c r="D181" s="6" t="s">
        <v>2701</v>
      </c>
      <c r="E181" s="6" t="s">
        <v>2702</v>
      </c>
      <c r="F181" s="6" t="s">
        <v>2740</v>
      </c>
      <c r="G181" s="6" t="s">
        <v>2444</v>
      </c>
      <c r="H181" s="6" t="s">
        <v>2741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1</v>
      </c>
    </row>
    <row r="182" spans="1:15" hidden="1">
      <c r="A182" s="6" t="s">
        <v>2452</v>
      </c>
      <c r="B182" s="6" t="s">
        <v>2453</v>
      </c>
      <c r="C182" s="6" t="s">
        <v>19</v>
      </c>
      <c r="D182" s="6" t="s">
        <v>2701</v>
      </c>
      <c r="E182" s="6" t="s">
        <v>2702</v>
      </c>
      <c r="F182" s="6" t="s">
        <v>2742</v>
      </c>
      <c r="G182" s="6" t="s">
        <v>2444</v>
      </c>
      <c r="H182" s="6" t="s">
        <v>2743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1</v>
      </c>
    </row>
    <row r="183" spans="1:15" hidden="1">
      <c r="A183" s="6" t="s">
        <v>2452</v>
      </c>
      <c r="B183" s="6" t="s">
        <v>2453</v>
      </c>
      <c r="C183" s="6" t="s">
        <v>19</v>
      </c>
      <c r="D183" s="6" t="s">
        <v>2701</v>
      </c>
      <c r="E183" s="6" t="s">
        <v>2702</v>
      </c>
      <c r="F183" s="6" t="s">
        <v>2742</v>
      </c>
      <c r="G183" s="6" t="s">
        <v>2444</v>
      </c>
      <c r="H183" s="6" t="s">
        <v>2742</v>
      </c>
      <c r="I183" s="6">
        <v>5</v>
      </c>
      <c r="J183" s="6">
        <v>1</v>
      </c>
      <c r="K183" s="6">
        <v>0.2</v>
      </c>
      <c r="L183" s="6">
        <v>0.13</v>
      </c>
      <c r="M183" s="6">
        <v>0.13</v>
      </c>
      <c r="N183" s="6">
        <v>0.66670000000000007</v>
      </c>
      <c r="O183" s="6">
        <v>0.66670000000000007</v>
      </c>
    </row>
    <row r="184" spans="1:15" hidden="1">
      <c r="A184" s="6" t="s">
        <v>2452</v>
      </c>
      <c r="B184" s="6" t="s">
        <v>2453</v>
      </c>
      <c r="C184" s="6" t="s">
        <v>19</v>
      </c>
      <c r="D184" s="6" t="s">
        <v>2701</v>
      </c>
      <c r="E184" s="6" t="s">
        <v>2702</v>
      </c>
      <c r="F184" s="6" t="s">
        <v>2744</v>
      </c>
      <c r="G184" s="6" t="s">
        <v>2444</v>
      </c>
      <c r="H184" s="6" t="s">
        <v>2745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1</v>
      </c>
      <c r="O184" s="6">
        <v>0</v>
      </c>
    </row>
    <row r="185" spans="1:15" hidden="1">
      <c r="A185" s="6" t="s">
        <v>2452</v>
      </c>
      <c r="B185" s="6" t="s">
        <v>2453</v>
      </c>
      <c r="C185" s="6" t="s">
        <v>19</v>
      </c>
      <c r="D185" s="6" t="s">
        <v>2701</v>
      </c>
      <c r="E185" s="6" t="s">
        <v>2702</v>
      </c>
      <c r="F185" s="6" t="s">
        <v>2746</v>
      </c>
      <c r="G185" s="6" t="s">
        <v>2444</v>
      </c>
      <c r="H185" s="6" t="s">
        <v>2747</v>
      </c>
      <c r="I185" s="6">
        <v>4</v>
      </c>
      <c r="J185" s="6">
        <v>2</v>
      </c>
      <c r="K185" s="6">
        <v>0.5</v>
      </c>
      <c r="L185" s="6">
        <v>1.32</v>
      </c>
      <c r="M185" s="6">
        <v>2.64</v>
      </c>
      <c r="N185" s="6">
        <v>1</v>
      </c>
      <c r="O185" s="6">
        <v>1</v>
      </c>
    </row>
    <row r="186" spans="1:15" hidden="1">
      <c r="A186" s="6" t="s">
        <v>2452</v>
      </c>
      <c r="B186" s="6" t="s">
        <v>2453</v>
      </c>
      <c r="C186" s="6" t="s">
        <v>19</v>
      </c>
      <c r="D186" s="6" t="s">
        <v>2701</v>
      </c>
      <c r="E186" s="6" t="s">
        <v>2702</v>
      </c>
      <c r="F186" s="6" t="s">
        <v>2748</v>
      </c>
      <c r="G186" s="6" t="s">
        <v>2444</v>
      </c>
      <c r="H186" s="6" t="s">
        <v>2748</v>
      </c>
      <c r="I186" s="6">
        <v>2</v>
      </c>
      <c r="J186" s="6">
        <v>0</v>
      </c>
      <c r="K186" s="6">
        <v>0</v>
      </c>
      <c r="L186" s="6">
        <v>0</v>
      </c>
      <c r="M186" s="6">
        <v>0</v>
      </c>
      <c r="N186" s="6">
        <v>1</v>
      </c>
      <c r="O186" s="6">
        <v>0</v>
      </c>
    </row>
    <row r="187" spans="1:15" hidden="1">
      <c r="A187" s="6" t="s">
        <v>2452</v>
      </c>
      <c r="B187" s="6" t="s">
        <v>2453</v>
      </c>
      <c r="C187" s="6" t="s">
        <v>19</v>
      </c>
      <c r="D187" s="6" t="s">
        <v>2701</v>
      </c>
      <c r="E187" s="6" t="s">
        <v>2702</v>
      </c>
      <c r="F187" s="6" t="s">
        <v>2749</v>
      </c>
      <c r="G187" s="6" t="s">
        <v>2444</v>
      </c>
      <c r="H187" s="6" t="s">
        <v>2750</v>
      </c>
      <c r="I187" s="6">
        <v>2</v>
      </c>
      <c r="J187" s="6">
        <v>1</v>
      </c>
      <c r="K187" s="6">
        <v>0.5</v>
      </c>
      <c r="L187" s="6">
        <v>1.25</v>
      </c>
      <c r="M187" s="6">
        <v>1.25</v>
      </c>
      <c r="N187" s="6">
        <v>1</v>
      </c>
      <c r="O187" s="6">
        <v>1</v>
      </c>
    </row>
    <row r="188" spans="1:15" hidden="1">
      <c r="A188" s="6" t="s">
        <v>2452</v>
      </c>
      <c r="B188" s="6" t="s">
        <v>2453</v>
      </c>
      <c r="C188" s="6" t="s">
        <v>19</v>
      </c>
      <c r="D188" s="6" t="s">
        <v>2701</v>
      </c>
      <c r="E188" s="6" t="s">
        <v>2702</v>
      </c>
      <c r="F188" s="6" t="s">
        <v>2751</v>
      </c>
      <c r="G188" s="6" t="s">
        <v>2444</v>
      </c>
      <c r="H188" s="6" t="s">
        <v>2752</v>
      </c>
      <c r="I188" s="6">
        <v>1</v>
      </c>
      <c r="J188" s="6">
        <v>1</v>
      </c>
      <c r="K188" s="6">
        <v>1</v>
      </c>
      <c r="L188" s="6">
        <v>0.14000000000000001</v>
      </c>
      <c r="M188" s="6">
        <v>0.14000000000000001</v>
      </c>
      <c r="N188" s="6">
        <v>1</v>
      </c>
      <c r="O188" s="6">
        <v>1</v>
      </c>
    </row>
    <row r="189" spans="1:15" hidden="1">
      <c r="A189" s="6" t="s">
        <v>2452</v>
      </c>
      <c r="B189" s="6" t="s">
        <v>2453</v>
      </c>
      <c r="C189" s="6" t="s">
        <v>19</v>
      </c>
      <c r="D189" s="6" t="s">
        <v>2701</v>
      </c>
      <c r="E189" s="6" t="s">
        <v>2702</v>
      </c>
      <c r="F189" s="6" t="s">
        <v>2753</v>
      </c>
      <c r="G189" s="6" t="s">
        <v>2444</v>
      </c>
      <c r="H189" s="6" t="s">
        <v>2754</v>
      </c>
      <c r="I189" s="6">
        <v>4</v>
      </c>
      <c r="J189" s="6">
        <v>1</v>
      </c>
      <c r="K189" s="6">
        <v>0.25</v>
      </c>
      <c r="L189" s="6">
        <v>1.35</v>
      </c>
      <c r="M189" s="6">
        <v>1.35</v>
      </c>
      <c r="N189" s="6">
        <v>1</v>
      </c>
      <c r="O189" s="6">
        <v>1</v>
      </c>
    </row>
    <row r="190" spans="1:15" hidden="1">
      <c r="A190" s="6" t="s">
        <v>2452</v>
      </c>
      <c r="B190" s="6" t="s">
        <v>2453</v>
      </c>
      <c r="C190" s="6" t="s">
        <v>19</v>
      </c>
      <c r="D190" s="6" t="s">
        <v>2701</v>
      </c>
      <c r="E190" s="6" t="s">
        <v>2702</v>
      </c>
      <c r="F190" s="6" t="s">
        <v>2755</v>
      </c>
      <c r="G190" s="6" t="s">
        <v>2444</v>
      </c>
      <c r="H190" s="6" t="s">
        <v>2756</v>
      </c>
      <c r="I190" s="6">
        <v>1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1</v>
      </c>
    </row>
    <row r="191" spans="1:15" hidden="1">
      <c r="A191" s="6" t="s">
        <v>2452</v>
      </c>
      <c r="B191" s="6" t="s">
        <v>2453</v>
      </c>
      <c r="C191" s="6" t="s">
        <v>19</v>
      </c>
      <c r="D191" s="6" t="s">
        <v>2701</v>
      </c>
      <c r="E191" s="6" t="s">
        <v>2702</v>
      </c>
      <c r="F191" s="6" t="s">
        <v>2757</v>
      </c>
      <c r="G191" s="6" t="s">
        <v>2444</v>
      </c>
      <c r="H191" s="6" t="s">
        <v>2758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</row>
    <row r="192" spans="1:15" hidden="1">
      <c r="A192" s="6" t="s">
        <v>2452</v>
      </c>
      <c r="B192" s="6" t="s">
        <v>2453</v>
      </c>
      <c r="C192" s="6" t="s">
        <v>19</v>
      </c>
      <c r="D192" s="6" t="s">
        <v>2701</v>
      </c>
      <c r="E192" s="6" t="s">
        <v>2702</v>
      </c>
      <c r="F192" s="6" t="s">
        <v>2757</v>
      </c>
      <c r="G192" s="6" t="s">
        <v>2444</v>
      </c>
      <c r="H192" s="6" t="s">
        <v>2757</v>
      </c>
      <c r="I192" s="6">
        <v>4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1</v>
      </c>
    </row>
    <row r="193" spans="1:15" hidden="1">
      <c r="A193" s="6" t="s">
        <v>2452</v>
      </c>
      <c r="B193" s="6" t="s">
        <v>2453</v>
      </c>
      <c r="C193" s="6" t="s">
        <v>19</v>
      </c>
      <c r="D193" s="6" t="s">
        <v>2701</v>
      </c>
      <c r="E193" s="6" t="s">
        <v>2702</v>
      </c>
      <c r="F193" s="6" t="s">
        <v>2759</v>
      </c>
      <c r="G193" s="6" t="s">
        <v>2444</v>
      </c>
      <c r="H193" s="6" t="s">
        <v>2760</v>
      </c>
      <c r="I193" s="6">
        <v>2</v>
      </c>
      <c r="J193" s="6">
        <v>0</v>
      </c>
      <c r="K193" s="6">
        <v>0</v>
      </c>
      <c r="L193" s="6">
        <v>0</v>
      </c>
      <c r="M193" s="6">
        <v>0</v>
      </c>
      <c r="N193" s="6">
        <v>1</v>
      </c>
      <c r="O193" s="6">
        <v>1</v>
      </c>
    </row>
    <row r="194" spans="1:15" hidden="1">
      <c r="A194" s="6" t="s">
        <v>2452</v>
      </c>
      <c r="B194" s="6" t="s">
        <v>2453</v>
      </c>
      <c r="C194" s="6" t="s">
        <v>19</v>
      </c>
      <c r="D194" s="6" t="s">
        <v>2701</v>
      </c>
      <c r="E194" s="6" t="s">
        <v>2761</v>
      </c>
      <c r="F194" s="6" t="s">
        <v>2762</v>
      </c>
      <c r="G194" s="6" t="s">
        <v>2444</v>
      </c>
      <c r="H194" s="6" t="s">
        <v>2763</v>
      </c>
      <c r="I194" s="6">
        <v>4</v>
      </c>
      <c r="J194" s="6">
        <v>0</v>
      </c>
      <c r="K194" s="6">
        <v>0</v>
      </c>
      <c r="L194" s="6">
        <v>0</v>
      </c>
      <c r="M194" s="6">
        <v>0</v>
      </c>
      <c r="N194" s="6">
        <v>0.5</v>
      </c>
      <c r="O194" s="6">
        <v>0</v>
      </c>
    </row>
    <row r="195" spans="1:15" hidden="1">
      <c r="A195" s="6" t="s">
        <v>2452</v>
      </c>
      <c r="B195" s="6" t="s">
        <v>2453</v>
      </c>
      <c r="C195" s="6" t="s">
        <v>19</v>
      </c>
      <c r="D195" s="6" t="s">
        <v>2701</v>
      </c>
      <c r="E195" s="6" t="s">
        <v>2764</v>
      </c>
      <c r="F195" s="6" t="s">
        <v>2765</v>
      </c>
      <c r="G195" s="6" t="s">
        <v>2444</v>
      </c>
      <c r="H195" s="6" t="s">
        <v>2766</v>
      </c>
      <c r="I195" s="6">
        <v>1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</row>
    <row r="196" spans="1:15" hidden="1">
      <c r="A196" s="6" t="s">
        <v>2452</v>
      </c>
      <c r="B196" s="6" t="s">
        <v>2453</v>
      </c>
      <c r="C196" s="6" t="s">
        <v>19</v>
      </c>
      <c r="D196" s="6" t="s">
        <v>2701</v>
      </c>
      <c r="E196" s="6" t="s">
        <v>2767</v>
      </c>
      <c r="F196" s="6" t="s">
        <v>2768</v>
      </c>
      <c r="G196" s="6" t="s">
        <v>2444</v>
      </c>
      <c r="H196" s="6" t="s">
        <v>2769</v>
      </c>
      <c r="I196" s="6">
        <v>1</v>
      </c>
      <c r="J196" s="6">
        <v>1</v>
      </c>
      <c r="K196" s="6">
        <v>1</v>
      </c>
      <c r="L196" s="6">
        <v>0.1</v>
      </c>
      <c r="M196" s="6">
        <v>0.1</v>
      </c>
      <c r="N196" s="6">
        <v>1</v>
      </c>
      <c r="O196" s="6">
        <v>1</v>
      </c>
    </row>
    <row r="197" spans="1:15" hidden="1">
      <c r="A197" s="6" t="s">
        <v>2452</v>
      </c>
      <c r="B197" s="6" t="s">
        <v>2453</v>
      </c>
      <c r="C197" s="6" t="s">
        <v>19</v>
      </c>
      <c r="D197" s="6" t="s">
        <v>2701</v>
      </c>
      <c r="E197" s="6" t="s">
        <v>2767</v>
      </c>
      <c r="F197" s="6" t="s">
        <v>2770</v>
      </c>
      <c r="G197" s="6" t="s">
        <v>2444</v>
      </c>
      <c r="H197" s="6" t="s">
        <v>2771</v>
      </c>
      <c r="I197" s="6">
        <v>1</v>
      </c>
      <c r="J197" s="6">
        <v>1</v>
      </c>
      <c r="K197" s="6">
        <v>1</v>
      </c>
      <c r="L197" s="6">
        <v>0.12</v>
      </c>
      <c r="M197" s="6">
        <v>0.12</v>
      </c>
      <c r="N197" s="6">
        <v>1</v>
      </c>
      <c r="O197" s="6">
        <v>1</v>
      </c>
    </row>
    <row r="198" spans="1:15" hidden="1">
      <c r="A198" s="6" t="s">
        <v>2452</v>
      </c>
      <c r="B198" s="6" t="s">
        <v>2453</v>
      </c>
      <c r="C198" s="6" t="s">
        <v>19</v>
      </c>
      <c r="D198" s="6" t="s">
        <v>2701</v>
      </c>
      <c r="E198" s="6" t="s">
        <v>2772</v>
      </c>
      <c r="F198" s="6" t="s">
        <v>2773</v>
      </c>
      <c r="G198" s="6" t="s">
        <v>2444</v>
      </c>
      <c r="H198" s="6" t="s">
        <v>2774</v>
      </c>
      <c r="I198" s="6">
        <v>2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</row>
    <row r="199" spans="1:15" hidden="1">
      <c r="A199" s="6" t="s">
        <v>2452</v>
      </c>
      <c r="B199" s="6" t="s">
        <v>2453</v>
      </c>
      <c r="C199" s="6" t="s">
        <v>19</v>
      </c>
      <c r="D199" s="6" t="s">
        <v>2701</v>
      </c>
      <c r="E199" s="6" t="s">
        <v>2772</v>
      </c>
      <c r="F199" s="6" t="s">
        <v>2773</v>
      </c>
      <c r="G199" s="6" t="s">
        <v>2444</v>
      </c>
      <c r="H199" s="6" t="s">
        <v>2773</v>
      </c>
      <c r="I199" s="6">
        <v>2</v>
      </c>
      <c r="J199" s="6">
        <v>1</v>
      </c>
      <c r="K199" s="6">
        <v>0.5</v>
      </c>
      <c r="L199" s="6">
        <v>0.04</v>
      </c>
      <c r="M199" s="6">
        <v>0.04</v>
      </c>
      <c r="N199" s="6">
        <v>1</v>
      </c>
      <c r="O199" s="6">
        <v>1</v>
      </c>
    </row>
    <row r="200" spans="1:15" hidden="1">
      <c r="A200" s="6" t="s">
        <v>2452</v>
      </c>
      <c r="B200" s="6" t="s">
        <v>2453</v>
      </c>
      <c r="C200" s="6" t="s">
        <v>19</v>
      </c>
      <c r="D200" s="6" t="s">
        <v>2701</v>
      </c>
      <c r="E200" s="6" t="s">
        <v>2775</v>
      </c>
      <c r="F200" s="6" t="s">
        <v>2776</v>
      </c>
      <c r="G200" s="6" t="s">
        <v>2444</v>
      </c>
      <c r="H200" s="6" t="s">
        <v>2776</v>
      </c>
      <c r="I200" s="6">
        <v>2</v>
      </c>
      <c r="J200" s="6">
        <v>0</v>
      </c>
      <c r="K200" s="6">
        <v>0</v>
      </c>
      <c r="L200" s="6">
        <v>0</v>
      </c>
      <c r="M200" s="6">
        <v>0</v>
      </c>
      <c r="N200" s="6">
        <v>1</v>
      </c>
      <c r="O200" s="6">
        <v>1</v>
      </c>
    </row>
    <row r="201" spans="1:15" hidden="1">
      <c r="A201" s="6" t="s">
        <v>2452</v>
      </c>
      <c r="B201" s="6" t="s">
        <v>2453</v>
      </c>
      <c r="C201" s="6" t="s">
        <v>19</v>
      </c>
      <c r="D201" s="6" t="s">
        <v>2777</v>
      </c>
      <c r="E201" s="6" t="s">
        <v>2702</v>
      </c>
      <c r="F201" s="6" t="s">
        <v>2778</v>
      </c>
      <c r="G201" s="6" t="s">
        <v>2444</v>
      </c>
      <c r="H201" s="6" t="s">
        <v>2779</v>
      </c>
      <c r="I201" s="6">
        <v>3</v>
      </c>
      <c r="J201" s="6">
        <v>0</v>
      </c>
      <c r="K201" s="6">
        <v>0</v>
      </c>
      <c r="L201" s="6">
        <v>0</v>
      </c>
      <c r="M201" s="6">
        <v>0</v>
      </c>
      <c r="N201" s="6">
        <v>1</v>
      </c>
      <c r="O201" s="6">
        <v>1</v>
      </c>
    </row>
    <row r="202" spans="1:15" hidden="1">
      <c r="A202" s="6" t="s">
        <v>2452</v>
      </c>
      <c r="B202" s="6" t="s">
        <v>2453</v>
      </c>
      <c r="C202" s="6" t="s">
        <v>19</v>
      </c>
      <c r="D202" s="6" t="s">
        <v>2777</v>
      </c>
      <c r="E202" s="6" t="s">
        <v>2780</v>
      </c>
      <c r="F202" s="6" t="s">
        <v>2512</v>
      </c>
      <c r="G202" s="6" t="s">
        <v>2444</v>
      </c>
      <c r="H202" s="6" t="s">
        <v>2781</v>
      </c>
      <c r="I202" s="6">
        <v>1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</row>
    <row r="203" spans="1:15" hidden="1">
      <c r="A203" s="6" t="s">
        <v>2452</v>
      </c>
      <c r="B203" s="6" t="s">
        <v>2453</v>
      </c>
      <c r="C203" s="6" t="s">
        <v>19</v>
      </c>
      <c r="D203" s="6" t="s">
        <v>2777</v>
      </c>
      <c r="E203" s="6" t="s">
        <v>2780</v>
      </c>
      <c r="F203" s="6" t="s">
        <v>2782</v>
      </c>
      <c r="G203" s="6" t="s">
        <v>2444</v>
      </c>
      <c r="H203" s="6" t="s">
        <v>2783</v>
      </c>
      <c r="I203" s="6">
        <v>2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</row>
    <row r="204" spans="1:15" hidden="1">
      <c r="A204" s="6" t="s">
        <v>2452</v>
      </c>
      <c r="B204" s="6" t="s">
        <v>2453</v>
      </c>
      <c r="C204" s="6" t="s">
        <v>19</v>
      </c>
      <c r="D204" s="6" t="s">
        <v>2777</v>
      </c>
      <c r="E204" s="6" t="s">
        <v>2780</v>
      </c>
      <c r="F204" s="6" t="s">
        <v>2782</v>
      </c>
      <c r="G204" s="6" t="s">
        <v>2444</v>
      </c>
      <c r="H204" s="6" t="s">
        <v>2782</v>
      </c>
      <c r="I204" s="6">
        <v>2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hidden="1">
      <c r="A205" s="6" t="s">
        <v>2452</v>
      </c>
      <c r="B205" s="6" t="s">
        <v>2453</v>
      </c>
      <c r="C205" s="6" t="s">
        <v>19</v>
      </c>
      <c r="D205" s="6" t="s">
        <v>2777</v>
      </c>
      <c r="E205" s="6" t="s">
        <v>2784</v>
      </c>
      <c r="F205" s="6" t="s">
        <v>2785</v>
      </c>
      <c r="G205" s="6" t="s">
        <v>2444</v>
      </c>
      <c r="H205" s="6" t="s">
        <v>2786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</row>
    <row r="206" spans="1:15" hidden="1">
      <c r="A206" s="6" t="s">
        <v>2452</v>
      </c>
      <c r="B206" s="6" t="s">
        <v>2453</v>
      </c>
      <c r="C206" s="6" t="s">
        <v>19</v>
      </c>
      <c r="D206" s="6" t="s">
        <v>2787</v>
      </c>
      <c r="E206" s="6" t="s">
        <v>2788</v>
      </c>
      <c r="F206" s="6" t="s">
        <v>2789</v>
      </c>
      <c r="G206" s="6" t="s">
        <v>2444</v>
      </c>
      <c r="H206" s="6" t="s">
        <v>2790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1</v>
      </c>
    </row>
    <row r="207" spans="1:15" hidden="1">
      <c r="A207" s="6" t="s">
        <v>2452</v>
      </c>
      <c r="B207" s="6" t="s">
        <v>2453</v>
      </c>
      <c r="C207" s="6" t="s">
        <v>19</v>
      </c>
      <c r="D207" s="6" t="s">
        <v>2787</v>
      </c>
      <c r="E207" s="6" t="s">
        <v>2791</v>
      </c>
      <c r="F207" s="6" t="s">
        <v>2792</v>
      </c>
      <c r="G207" s="6" t="s">
        <v>2444</v>
      </c>
      <c r="H207" s="6" t="s">
        <v>2793</v>
      </c>
      <c r="I207" s="6">
        <v>3</v>
      </c>
      <c r="J207" s="6">
        <v>0</v>
      </c>
      <c r="K207" s="6">
        <v>0</v>
      </c>
      <c r="L207" s="6">
        <v>0</v>
      </c>
      <c r="M207" s="6">
        <v>0</v>
      </c>
      <c r="N207" s="6">
        <v>0.5</v>
      </c>
      <c r="O207" s="6">
        <v>0.5</v>
      </c>
    </row>
    <row r="208" spans="1:15" hidden="1">
      <c r="A208" s="6" t="s">
        <v>2452</v>
      </c>
      <c r="B208" s="6" t="s">
        <v>2453</v>
      </c>
      <c r="C208" s="6" t="s">
        <v>19</v>
      </c>
      <c r="D208" s="6" t="s">
        <v>2787</v>
      </c>
      <c r="E208" s="6" t="s">
        <v>2791</v>
      </c>
      <c r="F208" s="6" t="s">
        <v>2794</v>
      </c>
      <c r="G208" s="6" t="s">
        <v>2444</v>
      </c>
      <c r="H208" s="6" t="s">
        <v>2795</v>
      </c>
      <c r="I208" s="6">
        <v>2</v>
      </c>
      <c r="J208" s="6">
        <v>0</v>
      </c>
      <c r="K208" s="6">
        <v>0</v>
      </c>
      <c r="L208" s="6">
        <v>0</v>
      </c>
      <c r="M208" s="6">
        <v>0</v>
      </c>
      <c r="N208" s="6">
        <v>1</v>
      </c>
      <c r="O208" s="6">
        <v>1</v>
      </c>
    </row>
    <row r="209" spans="1:15" hidden="1">
      <c r="A209" s="6" t="s">
        <v>2452</v>
      </c>
      <c r="B209" s="6" t="s">
        <v>2453</v>
      </c>
      <c r="C209" s="6" t="s">
        <v>19</v>
      </c>
      <c r="D209" s="6" t="s">
        <v>2787</v>
      </c>
      <c r="E209" s="6" t="s">
        <v>2791</v>
      </c>
      <c r="F209" s="6" t="s">
        <v>2796</v>
      </c>
      <c r="G209" s="6" t="s">
        <v>2444</v>
      </c>
      <c r="H209" s="6" t="s">
        <v>2797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</row>
    <row r="210" spans="1:15" hidden="1">
      <c r="A210" s="6" t="s">
        <v>2452</v>
      </c>
      <c r="B210" s="6" t="s">
        <v>2453</v>
      </c>
      <c r="C210" s="6" t="s">
        <v>19</v>
      </c>
      <c r="D210" s="6" t="s">
        <v>2787</v>
      </c>
      <c r="E210" s="6" t="s">
        <v>2798</v>
      </c>
      <c r="F210" s="6" t="s">
        <v>2799</v>
      </c>
      <c r="G210" s="6" t="s">
        <v>2444</v>
      </c>
      <c r="H210" s="6" t="s">
        <v>2800</v>
      </c>
      <c r="I210" s="6">
        <v>2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1</v>
      </c>
    </row>
    <row r="211" spans="1:15" hidden="1">
      <c r="A211" s="6" t="s">
        <v>2452</v>
      </c>
      <c r="B211" s="6" t="s">
        <v>2453</v>
      </c>
      <c r="C211" s="6" t="s">
        <v>19</v>
      </c>
      <c r="D211" s="6" t="s">
        <v>2787</v>
      </c>
      <c r="E211" s="6" t="s">
        <v>2798</v>
      </c>
      <c r="F211" s="6" t="s">
        <v>2801</v>
      </c>
      <c r="G211" s="6" t="s">
        <v>2444</v>
      </c>
      <c r="H211" s="6" t="s">
        <v>2802</v>
      </c>
      <c r="I211" s="6">
        <v>1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</row>
    <row r="212" spans="1:15" hidden="1">
      <c r="A212" s="6" t="s">
        <v>2452</v>
      </c>
      <c r="B212" s="6" t="s">
        <v>2453</v>
      </c>
      <c r="C212" s="6" t="s">
        <v>19</v>
      </c>
      <c r="D212" s="6" t="s">
        <v>2803</v>
      </c>
      <c r="E212" s="6" t="s">
        <v>2804</v>
      </c>
      <c r="F212" s="6" t="s">
        <v>2805</v>
      </c>
      <c r="G212" s="6" t="s">
        <v>2444</v>
      </c>
      <c r="H212" s="6" t="s">
        <v>2805</v>
      </c>
      <c r="I212" s="6">
        <v>2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1</v>
      </c>
    </row>
    <row r="213" spans="1:15" hidden="1">
      <c r="A213" s="6" t="s">
        <v>2452</v>
      </c>
      <c r="B213" s="6" t="s">
        <v>2453</v>
      </c>
      <c r="C213" s="6" t="s">
        <v>19</v>
      </c>
      <c r="D213" s="6" t="s">
        <v>2803</v>
      </c>
      <c r="E213" s="6" t="s">
        <v>2806</v>
      </c>
      <c r="F213" s="6" t="s">
        <v>2807</v>
      </c>
      <c r="G213" s="6" t="s">
        <v>2444</v>
      </c>
      <c r="H213" s="6" t="s">
        <v>2808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</row>
    <row r="214" spans="1:15" hidden="1">
      <c r="A214" s="6" t="s">
        <v>2452</v>
      </c>
      <c r="B214" s="6" t="s">
        <v>2453</v>
      </c>
      <c r="C214" s="6" t="s">
        <v>19</v>
      </c>
      <c r="D214" s="6" t="s">
        <v>2803</v>
      </c>
      <c r="E214" s="6" t="s">
        <v>2809</v>
      </c>
      <c r="F214" s="6" t="s">
        <v>2810</v>
      </c>
      <c r="G214" s="6" t="s">
        <v>2444</v>
      </c>
      <c r="H214" s="6" t="s">
        <v>2811</v>
      </c>
      <c r="I214" s="6">
        <v>1</v>
      </c>
      <c r="J214" s="6">
        <v>1</v>
      </c>
      <c r="K214" s="6">
        <v>1</v>
      </c>
      <c r="L214" s="6">
        <v>0.04</v>
      </c>
      <c r="M214" s="6">
        <v>0.04</v>
      </c>
      <c r="N214" s="6">
        <v>1</v>
      </c>
      <c r="O214" s="6">
        <v>1</v>
      </c>
    </row>
    <row r="215" spans="1:15" hidden="1">
      <c r="A215" s="6" t="s">
        <v>2452</v>
      </c>
      <c r="B215" s="6" t="s">
        <v>2453</v>
      </c>
      <c r="C215" s="6" t="s">
        <v>19</v>
      </c>
      <c r="D215" s="6" t="s">
        <v>2812</v>
      </c>
      <c r="E215" s="6" t="s">
        <v>2813</v>
      </c>
      <c r="F215" s="6" t="s">
        <v>2814</v>
      </c>
      <c r="G215" s="6" t="s">
        <v>2444</v>
      </c>
      <c r="H215" s="6" t="s">
        <v>2815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1</v>
      </c>
      <c r="O215" s="6">
        <v>1</v>
      </c>
    </row>
    <row r="216" spans="1:15" hidden="1">
      <c r="A216" s="6" t="s">
        <v>2452</v>
      </c>
      <c r="B216" s="6" t="s">
        <v>2453</v>
      </c>
      <c r="C216" s="6" t="s">
        <v>19</v>
      </c>
      <c r="D216" s="6" t="s">
        <v>2812</v>
      </c>
      <c r="E216" s="6" t="s">
        <v>2816</v>
      </c>
      <c r="G216" s="6" t="s">
        <v>2444</v>
      </c>
      <c r="H216" s="6" t="s">
        <v>2817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1</v>
      </c>
    </row>
    <row r="217" spans="1:15" hidden="1">
      <c r="A217" s="6" t="s">
        <v>2452</v>
      </c>
      <c r="B217" s="6" t="s">
        <v>2453</v>
      </c>
      <c r="C217" s="6" t="s">
        <v>19</v>
      </c>
      <c r="D217" s="6" t="s">
        <v>2812</v>
      </c>
      <c r="E217" s="6" t="s">
        <v>2816</v>
      </c>
      <c r="F217" s="6" t="s">
        <v>2818</v>
      </c>
      <c r="G217" s="6" t="s">
        <v>2444</v>
      </c>
      <c r="H217" s="6" t="s">
        <v>2819</v>
      </c>
      <c r="I217" s="6">
        <v>1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</row>
    <row r="218" spans="1:15" hidden="1">
      <c r="A218" s="6" t="s">
        <v>2452</v>
      </c>
      <c r="B218" s="6" t="s">
        <v>2453</v>
      </c>
      <c r="C218" s="6" t="s">
        <v>19</v>
      </c>
      <c r="D218" s="6" t="s">
        <v>2812</v>
      </c>
      <c r="E218" s="6" t="s">
        <v>2816</v>
      </c>
      <c r="F218" s="6" t="s">
        <v>2820</v>
      </c>
      <c r="G218" s="6" t="s">
        <v>2444</v>
      </c>
      <c r="H218" s="6" t="s">
        <v>2821</v>
      </c>
      <c r="I218" s="6">
        <v>2</v>
      </c>
      <c r="J218" s="6">
        <v>1</v>
      </c>
      <c r="K218" s="6">
        <v>0.5</v>
      </c>
      <c r="L218" s="6">
        <v>7.0000000000000007E-2</v>
      </c>
      <c r="M218" s="6">
        <v>7.0000000000000007E-2</v>
      </c>
      <c r="N218" s="6">
        <v>1</v>
      </c>
      <c r="O218" s="6">
        <v>1</v>
      </c>
    </row>
    <row r="219" spans="1:15" hidden="1">
      <c r="A219" s="6" t="s">
        <v>2452</v>
      </c>
      <c r="B219" s="6" t="s">
        <v>2453</v>
      </c>
      <c r="C219" s="6" t="s">
        <v>19</v>
      </c>
      <c r="D219" s="6" t="s">
        <v>2822</v>
      </c>
      <c r="E219" s="6" t="s">
        <v>2823</v>
      </c>
      <c r="F219" s="6" t="s">
        <v>2824</v>
      </c>
      <c r="G219" s="6" t="s">
        <v>2444</v>
      </c>
      <c r="H219" s="6" t="s">
        <v>2825</v>
      </c>
      <c r="I219" s="6">
        <v>1</v>
      </c>
      <c r="J219" s="6">
        <v>0</v>
      </c>
      <c r="K219" s="6">
        <v>0</v>
      </c>
      <c r="L219" s="6">
        <v>0</v>
      </c>
      <c r="M219" s="6">
        <v>0</v>
      </c>
      <c r="N219" s="6">
        <v>1</v>
      </c>
      <c r="O219" s="6">
        <v>1</v>
      </c>
    </row>
    <row r="220" spans="1:15" hidden="1">
      <c r="A220" s="6" t="s">
        <v>2452</v>
      </c>
      <c r="B220" s="6" t="s">
        <v>2453</v>
      </c>
      <c r="C220" s="6" t="s">
        <v>19</v>
      </c>
      <c r="D220" s="6" t="s">
        <v>2822</v>
      </c>
      <c r="E220" s="6" t="s">
        <v>2823</v>
      </c>
      <c r="F220" s="6" t="s">
        <v>2824</v>
      </c>
      <c r="G220" s="6" t="s">
        <v>2444</v>
      </c>
      <c r="H220" s="6" t="s">
        <v>2826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</row>
    <row r="221" spans="1:15" hidden="1">
      <c r="A221" s="6" t="s">
        <v>2452</v>
      </c>
      <c r="B221" s="6" t="s">
        <v>2453</v>
      </c>
      <c r="C221" s="6" t="s">
        <v>19</v>
      </c>
      <c r="D221" s="6" t="s">
        <v>2822</v>
      </c>
      <c r="E221" s="6" t="s">
        <v>2823</v>
      </c>
      <c r="F221" s="6" t="s">
        <v>2824</v>
      </c>
      <c r="G221" s="6" t="s">
        <v>2444</v>
      </c>
      <c r="H221" s="6" t="s">
        <v>2824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1</v>
      </c>
      <c r="O221" s="6">
        <v>0</v>
      </c>
    </row>
    <row r="222" spans="1:15" hidden="1">
      <c r="A222" s="6" t="s">
        <v>2452</v>
      </c>
      <c r="B222" s="6" t="s">
        <v>2453</v>
      </c>
      <c r="C222" s="6" t="s">
        <v>19</v>
      </c>
      <c r="D222" s="6" t="s">
        <v>2822</v>
      </c>
      <c r="E222" s="6" t="s">
        <v>2823</v>
      </c>
      <c r="F222" s="6" t="s">
        <v>2827</v>
      </c>
      <c r="G222" s="6" t="s">
        <v>2444</v>
      </c>
      <c r="H222" s="6" t="s">
        <v>2828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>
        <v>1</v>
      </c>
      <c r="O222" s="6">
        <v>1</v>
      </c>
    </row>
    <row r="223" spans="1:15" hidden="1">
      <c r="A223" s="6" t="s">
        <v>2452</v>
      </c>
      <c r="B223" s="6" t="s">
        <v>2453</v>
      </c>
      <c r="C223" s="6" t="s">
        <v>19</v>
      </c>
      <c r="D223" s="6" t="s">
        <v>2822</v>
      </c>
      <c r="E223" s="6" t="s">
        <v>2823</v>
      </c>
      <c r="F223" s="6" t="s">
        <v>2829</v>
      </c>
      <c r="G223" s="6" t="s">
        <v>2444</v>
      </c>
      <c r="H223" s="6" t="s">
        <v>2830</v>
      </c>
      <c r="I223" s="6">
        <v>1</v>
      </c>
      <c r="J223" s="6">
        <v>0</v>
      </c>
      <c r="K223" s="6">
        <v>0</v>
      </c>
      <c r="L223" s="6">
        <v>0</v>
      </c>
      <c r="M223" s="6">
        <v>0</v>
      </c>
      <c r="N223" s="6">
        <v>1</v>
      </c>
      <c r="O223" s="6">
        <v>1</v>
      </c>
    </row>
    <row r="224" spans="1:15" hidden="1">
      <c r="A224" s="6" t="s">
        <v>2452</v>
      </c>
      <c r="B224" s="6" t="s">
        <v>2453</v>
      </c>
      <c r="C224" s="6" t="s">
        <v>19</v>
      </c>
      <c r="D224" s="6" t="s">
        <v>2822</v>
      </c>
      <c r="E224" s="6" t="s">
        <v>2823</v>
      </c>
      <c r="F224" s="6" t="s">
        <v>2831</v>
      </c>
      <c r="G224" s="6" t="s">
        <v>2444</v>
      </c>
      <c r="H224" s="6" t="s">
        <v>2832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</row>
    <row r="225" spans="1:15" hidden="1">
      <c r="A225" s="6" t="s">
        <v>2452</v>
      </c>
      <c r="B225" s="6" t="s">
        <v>2453</v>
      </c>
      <c r="C225" s="6" t="s">
        <v>19</v>
      </c>
      <c r="D225" s="6" t="s">
        <v>2822</v>
      </c>
      <c r="E225" s="6" t="s">
        <v>2823</v>
      </c>
      <c r="F225" s="6" t="s">
        <v>2833</v>
      </c>
      <c r="G225" s="6" t="s">
        <v>2444</v>
      </c>
      <c r="H225" s="6" t="s">
        <v>2834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1</v>
      </c>
    </row>
    <row r="226" spans="1:15" hidden="1">
      <c r="A226" s="6" t="s">
        <v>2452</v>
      </c>
      <c r="B226" s="6" t="s">
        <v>2453</v>
      </c>
      <c r="C226" s="6" t="s">
        <v>19</v>
      </c>
      <c r="D226" s="6" t="s">
        <v>2822</v>
      </c>
      <c r="E226" s="6" t="s">
        <v>2823</v>
      </c>
      <c r="F226" s="6" t="s">
        <v>2835</v>
      </c>
      <c r="G226" s="6" t="s">
        <v>2444</v>
      </c>
      <c r="H226" s="6" t="s">
        <v>2836</v>
      </c>
      <c r="I226" s="6">
        <v>2</v>
      </c>
      <c r="J226" s="6">
        <v>1</v>
      </c>
      <c r="K226" s="6">
        <v>0.5</v>
      </c>
      <c r="L226" s="6">
        <v>0.88</v>
      </c>
      <c r="M226" s="6">
        <v>0.88</v>
      </c>
      <c r="N226" s="6">
        <v>1</v>
      </c>
      <c r="O226" s="6">
        <v>1</v>
      </c>
    </row>
    <row r="227" spans="1:15" hidden="1">
      <c r="A227" s="6" t="s">
        <v>2452</v>
      </c>
      <c r="B227" s="6" t="s">
        <v>2453</v>
      </c>
      <c r="C227" s="6" t="s">
        <v>19</v>
      </c>
      <c r="D227" s="6" t="s">
        <v>2822</v>
      </c>
      <c r="E227" s="6" t="s">
        <v>2624</v>
      </c>
      <c r="F227" s="6" t="s">
        <v>2837</v>
      </c>
      <c r="G227" s="6" t="s">
        <v>2444</v>
      </c>
      <c r="H227" s="6" t="s">
        <v>2838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1</v>
      </c>
      <c r="O227" s="6">
        <v>1</v>
      </c>
    </row>
    <row r="228" spans="1:15" hidden="1">
      <c r="A228" s="6" t="s">
        <v>2452</v>
      </c>
      <c r="B228" s="6" t="s">
        <v>2453</v>
      </c>
      <c r="C228" s="6" t="s">
        <v>19</v>
      </c>
      <c r="D228" s="6" t="s">
        <v>2822</v>
      </c>
      <c r="E228" s="6" t="s">
        <v>2624</v>
      </c>
      <c r="F228" s="6" t="s">
        <v>2837</v>
      </c>
      <c r="G228" s="6" t="s">
        <v>2444</v>
      </c>
      <c r="H228" s="6" t="s">
        <v>2839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>
        <v>1</v>
      </c>
      <c r="O228" s="6">
        <v>1</v>
      </c>
    </row>
    <row r="229" spans="1:15" hidden="1">
      <c r="A229" s="6" t="s">
        <v>2452</v>
      </c>
      <c r="B229" s="6" t="s">
        <v>2453</v>
      </c>
      <c r="C229" s="6" t="s">
        <v>19</v>
      </c>
      <c r="D229" s="6" t="s">
        <v>2822</v>
      </c>
      <c r="E229" s="6" t="s">
        <v>2624</v>
      </c>
      <c r="F229" s="6" t="s">
        <v>2840</v>
      </c>
      <c r="G229" s="6" t="s">
        <v>2444</v>
      </c>
      <c r="H229" s="6" t="s">
        <v>2841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</row>
    <row r="230" spans="1:15" hidden="1">
      <c r="A230" s="6" t="s">
        <v>2452</v>
      </c>
      <c r="B230" s="6" t="s">
        <v>2453</v>
      </c>
      <c r="C230" s="6" t="s">
        <v>19</v>
      </c>
      <c r="D230" s="6" t="s">
        <v>2822</v>
      </c>
      <c r="E230" s="6" t="s">
        <v>2624</v>
      </c>
      <c r="F230" s="6" t="s">
        <v>2842</v>
      </c>
      <c r="G230" s="6" t="s">
        <v>2444</v>
      </c>
      <c r="H230" s="6" t="s">
        <v>2843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>
        <v>1</v>
      </c>
      <c r="O230" s="6">
        <v>1</v>
      </c>
    </row>
    <row r="231" spans="1:15" hidden="1">
      <c r="A231" s="6" t="s">
        <v>2452</v>
      </c>
      <c r="B231" s="6" t="s">
        <v>2453</v>
      </c>
      <c r="C231" s="6" t="s">
        <v>19</v>
      </c>
      <c r="D231" s="6" t="s">
        <v>2822</v>
      </c>
      <c r="E231" s="6" t="s">
        <v>2624</v>
      </c>
      <c r="F231" s="6" t="s">
        <v>2842</v>
      </c>
      <c r="G231" s="6" t="s">
        <v>2444</v>
      </c>
      <c r="H231" s="6" t="s">
        <v>2844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</row>
    <row r="232" spans="1:15" hidden="1">
      <c r="A232" s="6" t="s">
        <v>2452</v>
      </c>
      <c r="B232" s="6" t="s">
        <v>2453</v>
      </c>
      <c r="C232" s="6" t="s">
        <v>19</v>
      </c>
      <c r="D232" s="6" t="s">
        <v>2822</v>
      </c>
      <c r="E232" s="6" t="s">
        <v>2624</v>
      </c>
      <c r="F232" s="6" t="s">
        <v>2842</v>
      </c>
      <c r="G232" s="6" t="s">
        <v>2444</v>
      </c>
      <c r="H232" s="6" t="s">
        <v>2842</v>
      </c>
      <c r="I232" s="6">
        <v>5</v>
      </c>
      <c r="J232" s="6">
        <v>0</v>
      </c>
      <c r="K232" s="6">
        <v>0</v>
      </c>
      <c r="L232" s="6">
        <v>0</v>
      </c>
      <c r="M232" s="6">
        <v>0</v>
      </c>
      <c r="N232" s="6">
        <v>0.75</v>
      </c>
      <c r="O232" s="6">
        <v>0.75</v>
      </c>
    </row>
    <row r="233" spans="1:15" hidden="1">
      <c r="A233" s="6" t="s">
        <v>2452</v>
      </c>
      <c r="B233" s="6" t="s">
        <v>2453</v>
      </c>
      <c r="C233" s="6" t="s">
        <v>19</v>
      </c>
      <c r="D233" s="6" t="s">
        <v>2822</v>
      </c>
      <c r="E233" s="6" t="s">
        <v>2624</v>
      </c>
      <c r="F233" s="6" t="s">
        <v>2845</v>
      </c>
      <c r="G233" s="6" t="s">
        <v>2444</v>
      </c>
      <c r="H233" s="6" t="s">
        <v>2846</v>
      </c>
      <c r="I233" s="6">
        <v>3</v>
      </c>
      <c r="J233" s="6">
        <v>0</v>
      </c>
      <c r="K233" s="6">
        <v>0</v>
      </c>
      <c r="L233" s="6">
        <v>0</v>
      </c>
      <c r="M233" s="6">
        <v>0</v>
      </c>
      <c r="N233" s="6">
        <v>0.5</v>
      </c>
      <c r="O233" s="6">
        <v>0.5</v>
      </c>
    </row>
    <row r="234" spans="1:15" hidden="1">
      <c r="A234" s="6" t="s">
        <v>2452</v>
      </c>
      <c r="B234" s="6" t="s">
        <v>2453</v>
      </c>
      <c r="C234" s="6" t="s">
        <v>19</v>
      </c>
      <c r="D234" s="6" t="s">
        <v>2847</v>
      </c>
      <c r="E234" s="6" t="s">
        <v>2848</v>
      </c>
      <c r="F234" s="6" t="s">
        <v>2849</v>
      </c>
      <c r="G234" s="6" t="s">
        <v>2444</v>
      </c>
      <c r="H234" s="6" t="s">
        <v>2850</v>
      </c>
      <c r="I234" s="6">
        <v>3</v>
      </c>
      <c r="J234" s="6">
        <v>0</v>
      </c>
      <c r="K234" s="6">
        <v>0</v>
      </c>
      <c r="L234" s="6">
        <v>0</v>
      </c>
      <c r="M234" s="6">
        <v>0</v>
      </c>
      <c r="N234" s="6">
        <v>1</v>
      </c>
      <c r="O234" s="6">
        <v>1</v>
      </c>
    </row>
    <row r="235" spans="1:15" hidden="1">
      <c r="A235" s="6" t="s">
        <v>2452</v>
      </c>
      <c r="B235" s="6" t="s">
        <v>2453</v>
      </c>
      <c r="C235" s="6" t="s">
        <v>19</v>
      </c>
      <c r="D235" s="6" t="s">
        <v>2847</v>
      </c>
      <c r="E235" s="6" t="s">
        <v>2851</v>
      </c>
      <c r="G235" s="6" t="s">
        <v>2444</v>
      </c>
      <c r="H235" s="6" t="s">
        <v>2852</v>
      </c>
      <c r="I235" s="6">
        <v>4</v>
      </c>
      <c r="J235" s="6">
        <v>0</v>
      </c>
      <c r="K235" s="6">
        <v>0</v>
      </c>
      <c r="L235" s="6">
        <v>0</v>
      </c>
      <c r="M235" s="6">
        <v>0</v>
      </c>
      <c r="N235" s="6">
        <v>1</v>
      </c>
      <c r="O235" s="6">
        <v>1</v>
      </c>
    </row>
    <row r="236" spans="1:15" hidden="1">
      <c r="A236" s="6" t="s">
        <v>2452</v>
      </c>
      <c r="B236" s="6" t="s">
        <v>2453</v>
      </c>
      <c r="C236" s="6" t="s">
        <v>19</v>
      </c>
      <c r="D236" s="6" t="s">
        <v>2847</v>
      </c>
      <c r="E236" s="6" t="s">
        <v>2851</v>
      </c>
      <c r="G236" s="6" t="s">
        <v>2444</v>
      </c>
      <c r="H236" s="6" t="s">
        <v>2853</v>
      </c>
      <c r="I236" s="6">
        <v>1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</row>
    <row r="237" spans="1:15" hidden="1">
      <c r="A237" s="6" t="s">
        <v>2452</v>
      </c>
      <c r="B237" s="6" t="s">
        <v>2453</v>
      </c>
      <c r="C237" s="6" t="s">
        <v>19</v>
      </c>
      <c r="D237" s="6" t="s">
        <v>2847</v>
      </c>
      <c r="E237" s="6" t="s">
        <v>2851</v>
      </c>
      <c r="F237" s="6" t="s">
        <v>2854</v>
      </c>
      <c r="G237" s="6" t="s">
        <v>2444</v>
      </c>
      <c r="H237" s="6" t="s">
        <v>2855</v>
      </c>
      <c r="I237" s="6">
        <v>2</v>
      </c>
      <c r="J237" s="6">
        <v>0</v>
      </c>
      <c r="K237" s="6">
        <v>0</v>
      </c>
      <c r="L237" s="6">
        <v>0</v>
      </c>
      <c r="M237" s="6">
        <v>0</v>
      </c>
      <c r="N237" s="6">
        <v>1</v>
      </c>
      <c r="O237" s="6">
        <v>1</v>
      </c>
    </row>
    <row r="238" spans="1:15" hidden="1">
      <c r="A238" s="6" t="s">
        <v>2452</v>
      </c>
      <c r="B238" s="6" t="s">
        <v>2453</v>
      </c>
      <c r="C238" s="6" t="s">
        <v>19</v>
      </c>
      <c r="D238" s="6" t="s">
        <v>2847</v>
      </c>
      <c r="E238" s="6" t="s">
        <v>2851</v>
      </c>
      <c r="F238" s="6" t="s">
        <v>2856</v>
      </c>
      <c r="G238" s="6" t="s">
        <v>2444</v>
      </c>
      <c r="H238" s="6" t="s">
        <v>2857</v>
      </c>
      <c r="I238" s="6">
        <v>5</v>
      </c>
      <c r="J238" s="6">
        <v>0</v>
      </c>
      <c r="K238" s="6">
        <v>0</v>
      </c>
      <c r="L238" s="6">
        <v>0</v>
      </c>
      <c r="M238" s="6">
        <v>0</v>
      </c>
      <c r="N238" s="6">
        <v>0.66670000000000007</v>
      </c>
      <c r="O238" s="6">
        <v>0.66670000000000007</v>
      </c>
    </row>
    <row r="239" spans="1:15" hidden="1">
      <c r="A239" s="6" t="s">
        <v>2452</v>
      </c>
      <c r="B239" s="6" t="s">
        <v>2453</v>
      </c>
      <c r="C239" s="6" t="s">
        <v>19</v>
      </c>
      <c r="D239" s="6" t="s">
        <v>2847</v>
      </c>
      <c r="E239" s="6" t="s">
        <v>2851</v>
      </c>
      <c r="F239" s="6" t="s">
        <v>2858</v>
      </c>
      <c r="G239" s="6" t="s">
        <v>2444</v>
      </c>
      <c r="H239" s="6" t="s">
        <v>2859</v>
      </c>
      <c r="I239" s="6">
        <v>5</v>
      </c>
      <c r="J239" s="6">
        <v>0</v>
      </c>
      <c r="K239" s="6">
        <v>0</v>
      </c>
      <c r="L239" s="6">
        <v>0</v>
      </c>
      <c r="M239" s="6">
        <v>0</v>
      </c>
      <c r="N239" s="6">
        <v>1</v>
      </c>
      <c r="O239" s="6">
        <v>1</v>
      </c>
    </row>
    <row r="240" spans="1:15" hidden="1">
      <c r="A240" s="6" t="s">
        <v>2452</v>
      </c>
      <c r="B240" s="6" t="s">
        <v>2453</v>
      </c>
      <c r="C240" s="6" t="s">
        <v>19</v>
      </c>
      <c r="D240" s="6" t="s">
        <v>2847</v>
      </c>
      <c r="E240" s="6" t="s">
        <v>2851</v>
      </c>
      <c r="F240" s="6" t="s">
        <v>2860</v>
      </c>
      <c r="G240" s="6" t="s">
        <v>2444</v>
      </c>
      <c r="H240" s="6" t="s">
        <v>2861</v>
      </c>
      <c r="I240" s="6">
        <v>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</row>
    <row r="241" spans="1:15" hidden="1">
      <c r="A241" s="6" t="s">
        <v>2452</v>
      </c>
      <c r="B241" s="6" t="s">
        <v>2453</v>
      </c>
      <c r="C241" s="6" t="s">
        <v>19</v>
      </c>
      <c r="D241" s="6" t="s">
        <v>2847</v>
      </c>
      <c r="E241" s="6" t="s">
        <v>2851</v>
      </c>
      <c r="F241" s="6" t="s">
        <v>2860</v>
      </c>
      <c r="G241" s="6" t="s">
        <v>2444</v>
      </c>
      <c r="H241" s="6" t="s">
        <v>2862</v>
      </c>
      <c r="I241" s="6">
        <v>2</v>
      </c>
      <c r="J241" s="6">
        <v>1</v>
      </c>
      <c r="K241" s="6">
        <v>0.5</v>
      </c>
      <c r="L241" s="6">
        <v>1.81</v>
      </c>
      <c r="M241" s="6">
        <v>1.81</v>
      </c>
      <c r="N241" s="6">
        <v>1</v>
      </c>
      <c r="O241" s="6">
        <v>1</v>
      </c>
    </row>
    <row r="242" spans="1:15" hidden="1">
      <c r="A242" s="6" t="s">
        <v>2452</v>
      </c>
      <c r="B242" s="6" t="s">
        <v>2453</v>
      </c>
      <c r="C242" s="6" t="s">
        <v>19</v>
      </c>
      <c r="D242" s="6" t="s">
        <v>2847</v>
      </c>
      <c r="E242" s="6" t="s">
        <v>2851</v>
      </c>
      <c r="F242" s="6" t="s">
        <v>2863</v>
      </c>
      <c r="G242" s="6" t="s">
        <v>2444</v>
      </c>
      <c r="H242" s="6" t="s">
        <v>2864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</row>
    <row r="243" spans="1:15" hidden="1">
      <c r="A243" s="6" t="s">
        <v>2452</v>
      </c>
      <c r="B243" s="6" t="s">
        <v>2453</v>
      </c>
      <c r="C243" s="6" t="s">
        <v>19</v>
      </c>
      <c r="D243" s="6" t="s">
        <v>2847</v>
      </c>
      <c r="E243" s="6" t="s">
        <v>2851</v>
      </c>
      <c r="F243" s="6" t="s">
        <v>2865</v>
      </c>
      <c r="G243" s="6" t="s">
        <v>2444</v>
      </c>
      <c r="H243" s="6" t="s">
        <v>2866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6">
        <v>1</v>
      </c>
    </row>
    <row r="244" spans="1:15" hidden="1">
      <c r="A244" s="6" t="s">
        <v>2452</v>
      </c>
      <c r="B244" s="6" t="s">
        <v>2453</v>
      </c>
      <c r="C244" s="6" t="s">
        <v>19</v>
      </c>
      <c r="D244" s="6" t="s">
        <v>2847</v>
      </c>
      <c r="E244" s="6" t="s">
        <v>2851</v>
      </c>
      <c r="F244" s="6" t="s">
        <v>2867</v>
      </c>
      <c r="G244" s="6" t="s">
        <v>2444</v>
      </c>
      <c r="H244" s="6" t="s">
        <v>2868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</row>
    <row r="245" spans="1:15" hidden="1">
      <c r="A245" s="6" t="s">
        <v>2452</v>
      </c>
      <c r="B245" s="6" t="s">
        <v>2453</v>
      </c>
      <c r="C245" s="6" t="s">
        <v>19</v>
      </c>
      <c r="D245" s="6" t="s">
        <v>2847</v>
      </c>
      <c r="E245" s="6" t="s">
        <v>2851</v>
      </c>
      <c r="F245" s="6" t="s">
        <v>2869</v>
      </c>
      <c r="G245" s="6" t="s">
        <v>2444</v>
      </c>
      <c r="H245" s="6" t="s">
        <v>2869</v>
      </c>
      <c r="I245" s="6">
        <v>2</v>
      </c>
      <c r="J245" s="6">
        <v>1</v>
      </c>
      <c r="K245" s="6">
        <v>0.5</v>
      </c>
      <c r="L245" s="6">
        <v>0.13</v>
      </c>
      <c r="M245" s="6">
        <v>0.13</v>
      </c>
      <c r="N245" s="6">
        <v>1</v>
      </c>
      <c r="O245" s="6">
        <v>1</v>
      </c>
    </row>
    <row r="246" spans="1:15" hidden="1">
      <c r="A246" s="6" t="s">
        <v>2452</v>
      </c>
      <c r="B246" s="6" t="s">
        <v>2453</v>
      </c>
      <c r="C246" s="6" t="s">
        <v>19</v>
      </c>
      <c r="D246" s="6" t="s">
        <v>2847</v>
      </c>
      <c r="E246" s="6" t="s">
        <v>2851</v>
      </c>
      <c r="F246" s="6" t="s">
        <v>2870</v>
      </c>
      <c r="G246" s="6" t="s">
        <v>2444</v>
      </c>
      <c r="H246" s="6" t="s">
        <v>2871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</row>
    <row r="247" spans="1:15" hidden="1">
      <c r="A247" s="6" t="s">
        <v>2452</v>
      </c>
      <c r="B247" s="6" t="s">
        <v>2453</v>
      </c>
      <c r="C247" s="6" t="s">
        <v>19</v>
      </c>
      <c r="D247" s="6" t="s">
        <v>2847</v>
      </c>
      <c r="E247" s="6" t="s">
        <v>2851</v>
      </c>
      <c r="F247" s="6" t="s">
        <v>2872</v>
      </c>
      <c r="G247" s="6" t="s">
        <v>2444</v>
      </c>
      <c r="H247" s="6" t="s">
        <v>2873</v>
      </c>
      <c r="I247" s="6">
        <v>1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</row>
    <row r="248" spans="1:15" hidden="1">
      <c r="A248" s="6" t="s">
        <v>2452</v>
      </c>
      <c r="B248" s="6" t="s">
        <v>2453</v>
      </c>
      <c r="C248" s="6" t="s">
        <v>19</v>
      </c>
      <c r="D248" s="6" t="s">
        <v>2847</v>
      </c>
      <c r="E248" s="6" t="s">
        <v>2851</v>
      </c>
      <c r="F248" s="6" t="s">
        <v>2872</v>
      </c>
      <c r="G248" s="6" t="s">
        <v>2444</v>
      </c>
      <c r="H248" s="6" t="s">
        <v>2874</v>
      </c>
      <c r="I248" s="6">
        <v>1</v>
      </c>
      <c r="J248" s="6">
        <v>1</v>
      </c>
      <c r="K248" s="6">
        <v>1</v>
      </c>
      <c r="L248" s="6">
        <v>0.23</v>
      </c>
      <c r="M248" s="6">
        <v>0.23</v>
      </c>
      <c r="N248" s="6">
        <v>0</v>
      </c>
      <c r="O248" s="6">
        <v>0</v>
      </c>
    </row>
    <row r="249" spans="1:15" hidden="1">
      <c r="A249" s="6" t="s">
        <v>2452</v>
      </c>
      <c r="B249" s="6" t="s">
        <v>2453</v>
      </c>
      <c r="C249" s="6" t="s">
        <v>19</v>
      </c>
      <c r="D249" s="6" t="s">
        <v>2847</v>
      </c>
      <c r="E249" s="6" t="s">
        <v>2851</v>
      </c>
      <c r="F249" s="6" t="s">
        <v>2872</v>
      </c>
      <c r="G249" s="6" t="s">
        <v>2444</v>
      </c>
      <c r="H249" s="6" t="s">
        <v>2872</v>
      </c>
      <c r="I249" s="6">
        <v>1</v>
      </c>
      <c r="J249" s="6">
        <v>1</v>
      </c>
      <c r="K249" s="6">
        <v>1</v>
      </c>
      <c r="L249" s="6">
        <v>0.56999999999999995</v>
      </c>
      <c r="M249" s="6">
        <v>0.56999999999999995</v>
      </c>
      <c r="N249" s="6">
        <v>1</v>
      </c>
      <c r="O249" s="6">
        <v>1</v>
      </c>
    </row>
    <row r="250" spans="1:15" hidden="1">
      <c r="A250" s="6" t="s">
        <v>2452</v>
      </c>
      <c r="B250" s="6" t="s">
        <v>2453</v>
      </c>
      <c r="C250" s="6" t="s">
        <v>19</v>
      </c>
      <c r="D250" s="6" t="s">
        <v>2847</v>
      </c>
      <c r="E250" s="6" t="s">
        <v>2851</v>
      </c>
      <c r="F250" s="6" t="s">
        <v>2875</v>
      </c>
      <c r="G250" s="6" t="s">
        <v>2444</v>
      </c>
      <c r="H250" s="6" t="s">
        <v>2876</v>
      </c>
      <c r="I250" s="6">
        <v>1</v>
      </c>
      <c r="J250" s="6">
        <v>1</v>
      </c>
      <c r="K250" s="6">
        <v>1</v>
      </c>
      <c r="L250" s="6">
        <v>0.08</v>
      </c>
      <c r="M250" s="6">
        <v>0.08</v>
      </c>
      <c r="N250" s="6">
        <v>1</v>
      </c>
      <c r="O250" s="6">
        <v>1</v>
      </c>
    </row>
    <row r="251" spans="1:15" hidden="1">
      <c r="A251" s="6" t="s">
        <v>2452</v>
      </c>
      <c r="B251" s="6" t="s">
        <v>2453</v>
      </c>
      <c r="C251" s="6" t="s">
        <v>19</v>
      </c>
      <c r="D251" s="6" t="s">
        <v>2847</v>
      </c>
      <c r="E251" s="6" t="s">
        <v>2851</v>
      </c>
      <c r="F251" s="6" t="s">
        <v>2877</v>
      </c>
      <c r="G251" s="6" t="s">
        <v>2444</v>
      </c>
      <c r="H251" s="6" t="s">
        <v>2877</v>
      </c>
      <c r="I251" s="6">
        <v>2</v>
      </c>
      <c r="J251" s="6">
        <v>0</v>
      </c>
      <c r="K251" s="6">
        <v>0</v>
      </c>
      <c r="L251" s="6">
        <v>0</v>
      </c>
      <c r="M251" s="6">
        <v>0</v>
      </c>
      <c r="N251" s="6">
        <v>1</v>
      </c>
      <c r="O251" s="6">
        <v>1</v>
      </c>
    </row>
    <row r="252" spans="1:15" hidden="1">
      <c r="A252" s="6" t="s">
        <v>2452</v>
      </c>
      <c r="B252" s="6" t="s">
        <v>2453</v>
      </c>
      <c r="C252" s="6" t="s">
        <v>19</v>
      </c>
      <c r="D252" s="6" t="s">
        <v>2847</v>
      </c>
      <c r="E252" s="6" t="s">
        <v>2851</v>
      </c>
      <c r="F252" s="6" t="s">
        <v>2878</v>
      </c>
      <c r="G252" s="6" t="s">
        <v>2444</v>
      </c>
      <c r="H252" s="6" t="s">
        <v>2879</v>
      </c>
      <c r="I252" s="6">
        <v>2</v>
      </c>
      <c r="J252" s="6">
        <v>0</v>
      </c>
      <c r="K252" s="6">
        <v>0</v>
      </c>
      <c r="L252" s="6">
        <v>0</v>
      </c>
      <c r="M252" s="6">
        <v>0</v>
      </c>
      <c r="N252" s="6">
        <v>1</v>
      </c>
      <c r="O252" s="6">
        <v>1</v>
      </c>
    </row>
    <row r="253" spans="1:15" hidden="1">
      <c r="A253" s="6" t="s">
        <v>2452</v>
      </c>
      <c r="B253" s="6" t="s">
        <v>2453</v>
      </c>
      <c r="C253" s="6" t="s">
        <v>19</v>
      </c>
      <c r="D253" s="6" t="s">
        <v>2847</v>
      </c>
      <c r="E253" s="6" t="s">
        <v>2851</v>
      </c>
      <c r="F253" s="6" t="s">
        <v>2880</v>
      </c>
      <c r="G253" s="6" t="s">
        <v>2444</v>
      </c>
      <c r="H253" s="6" t="s">
        <v>2881</v>
      </c>
      <c r="I253" s="6">
        <v>1</v>
      </c>
      <c r="J253" s="6">
        <v>0</v>
      </c>
      <c r="K253" s="6">
        <v>0</v>
      </c>
      <c r="L253" s="6">
        <v>0</v>
      </c>
      <c r="M253" s="6">
        <v>0</v>
      </c>
      <c r="N253" s="6">
        <v>1</v>
      </c>
      <c r="O253" s="6">
        <v>1</v>
      </c>
    </row>
    <row r="254" spans="1:15" hidden="1">
      <c r="A254" s="6" t="s">
        <v>2452</v>
      </c>
      <c r="B254" s="6" t="s">
        <v>2453</v>
      </c>
      <c r="C254" s="6" t="s">
        <v>19</v>
      </c>
      <c r="D254" s="6" t="s">
        <v>2847</v>
      </c>
      <c r="E254" s="6" t="s">
        <v>2851</v>
      </c>
      <c r="F254" s="6" t="s">
        <v>2882</v>
      </c>
      <c r="G254" s="6" t="s">
        <v>2444</v>
      </c>
      <c r="H254" s="6" t="s">
        <v>2883</v>
      </c>
      <c r="I254" s="6">
        <v>5</v>
      </c>
      <c r="J254" s="6">
        <v>0</v>
      </c>
      <c r="K254" s="6">
        <v>0</v>
      </c>
      <c r="L254" s="6">
        <v>0</v>
      </c>
      <c r="M254" s="6">
        <v>0</v>
      </c>
      <c r="N254" s="6">
        <v>0.5</v>
      </c>
      <c r="O254" s="6">
        <v>0.5</v>
      </c>
    </row>
    <row r="255" spans="1:15" hidden="1">
      <c r="A255" s="6" t="s">
        <v>2452</v>
      </c>
      <c r="B255" s="6" t="s">
        <v>2453</v>
      </c>
      <c r="C255" s="6" t="s">
        <v>19</v>
      </c>
      <c r="D255" s="6" t="s">
        <v>2847</v>
      </c>
      <c r="E255" s="6" t="s">
        <v>2851</v>
      </c>
      <c r="F255" s="6" t="s">
        <v>2884</v>
      </c>
      <c r="G255" s="6" t="s">
        <v>2444</v>
      </c>
      <c r="H255" s="6" t="s">
        <v>2885</v>
      </c>
      <c r="I255" s="6">
        <v>1</v>
      </c>
      <c r="J255" s="6">
        <v>0</v>
      </c>
      <c r="K255" s="6">
        <v>0</v>
      </c>
      <c r="L255" s="6">
        <v>0</v>
      </c>
      <c r="M255" s="6">
        <v>0</v>
      </c>
      <c r="N255" s="6">
        <v>1</v>
      </c>
      <c r="O255" s="6">
        <v>1</v>
      </c>
    </row>
    <row r="256" spans="1:15" hidden="1">
      <c r="A256" s="6" t="s">
        <v>2452</v>
      </c>
      <c r="B256" s="6" t="s">
        <v>2453</v>
      </c>
      <c r="C256" s="6" t="s">
        <v>19</v>
      </c>
      <c r="D256" s="6" t="s">
        <v>2847</v>
      </c>
      <c r="E256" s="6" t="s">
        <v>2851</v>
      </c>
      <c r="F256" s="6" t="s">
        <v>2886</v>
      </c>
      <c r="G256" s="6" t="s">
        <v>2444</v>
      </c>
      <c r="H256" s="6" t="s">
        <v>2887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>
        <v>1</v>
      </c>
      <c r="O256" s="6">
        <v>1</v>
      </c>
    </row>
    <row r="257" spans="1:15" hidden="1">
      <c r="A257" s="6" t="s">
        <v>2452</v>
      </c>
      <c r="B257" s="6" t="s">
        <v>2453</v>
      </c>
      <c r="C257" s="6" t="s">
        <v>19</v>
      </c>
      <c r="D257" s="6" t="s">
        <v>2847</v>
      </c>
      <c r="E257" s="6" t="s">
        <v>2851</v>
      </c>
      <c r="F257" s="6" t="s">
        <v>2888</v>
      </c>
      <c r="G257" s="6" t="s">
        <v>2444</v>
      </c>
      <c r="H257" s="6" t="s">
        <v>2889</v>
      </c>
      <c r="I257" s="6">
        <v>8</v>
      </c>
      <c r="J257" s="6">
        <v>0</v>
      </c>
      <c r="K257" s="6">
        <v>0</v>
      </c>
      <c r="L257" s="6">
        <v>0</v>
      </c>
      <c r="M257" s="6">
        <v>0</v>
      </c>
      <c r="N257" s="6">
        <v>0.6</v>
      </c>
      <c r="O257" s="6">
        <v>0.6</v>
      </c>
    </row>
    <row r="258" spans="1:15" hidden="1">
      <c r="A258" s="6" t="s">
        <v>2452</v>
      </c>
      <c r="B258" s="6" t="s">
        <v>2453</v>
      </c>
      <c r="C258" s="6" t="s">
        <v>19</v>
      </c>
      <c r="D258" s="6" t="s">
        <v>2847</v>
      </c>
      <c r="E258" s="6" t="s">
        <v>2851</v>
      </c>
      <c r="F258" s="6" t="s">
        <v>2890</v>
      </c>
      <c r="G258" s="6" t="s">
        <v>2444</v>
      </c>
      <c r="H258" s="6" t="s">
        <v>2891</v>
      </c>
      <c r="I258" s="6">
        <v>1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</row>
    <row r="259" spans="1:15" hidden="1">
      <c r="A259" s="6" t="s">
        <v>2452</v>
      </c>
      <c r="B259" s="6" t="s">
        <v>2453</v>
      </c>
      <c r="C259" s="6" t="s">
        <v>19</v>
      </c>
      <c r="D259" s="6" t="s">
        <v>2847</v>
      </c>
      <c r="E259" s="6" t="s">
        <v>2851</v>
      </c>
      <c r="F259" s="6" t="s">
        <v>2892</v>
      </c>
      <c r="G259" s="6" t="s">
        <v>2444</v>
      </c>
      <c r="H259" s="6" t="s">
        <v>2892</v>
      </c>
      <c r="I259" s="6">
        <v>7</v>
      </c>
      <c r="J259" s="6">
        <v>0</v>
      </c>
      <c r="K259" s="6">
        <v>0</v>
      </c>
      <c r="L259" s="6">
        <v>0</v>
      </c>
      <c r="M259" s="6">
        <v>0</v>
      </c>
      <c r="N259" s="6">
        <v>0.75</v>
      </c>
      <c r="O259" s="6">
        <v>0.5</v>
      </c>
    </row>
    <row r="260" spans="1:15" hidden="1">
      <c r="A260" s="6" t="s">
        <v>2452</v>
      </c>
      <c r="B260" s="6" t="s">
        <v>2453</v>
      </c>
      <c r="C260" s="6" t="s">
        <v>19</v>
      </c>
      <c r="D260" s="6" t="s">
        <v>2847</v>
      </c>
      <c r="E260" s="6" t="s">
        <v>2851</v>
      </c>
      <c r="F260" s="6" t="s">
        <v>2893</v>
      </c>
      <c r="G260" s="6" t="s">
        <v>2444</v>
      </c>
      <c r="H260" s="6" t="s">
        <v>2894</v>
      </c>
      <c r="I260" s="6">
        <v>2</v>
      </c>
      <c r="J260" s="6">
        <v>0</v>
      </c>
      <c r="K260" s="6">
        <v>0</v>
      </c>
      <c r="L260" s="6">
        <v>0</v>
      </c>
      <c r="M260" s="6">
        <v>0</v>
      </c>
      <c r="N260" s="6">
        <v>1</v>
      </c>
      <c r="O260" s="6">
        <v>1</v>
      </c>
    </row>
    <row r="261" spans="1:15" hidden="1">
      <c r="A261" s="6" t="s">
        <v>2452</v>
      </c>
      <c r="B261" s="6" t="s">
        <v>2453</v>
      </c>
      <c r="C261" s="6" t="s">
        <v>19</v>
      </c>
      <c r="D261" s="6" t="s">
        <v>2847</v>
      </c>
      <c r="E261" s="6" t="s">
        <v>2851</v>
      </c>
      <c r="F261" s="6" t="s">
        <v>2895</v>
      </c>
      <c r="G261" s="6" t="s">
        <v>2444</v>
      </c>
      <c r="H261" s="6" t="s">
        <v>2896</v>
      </c>
      <c r="I261" s="6">
        <v>2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</row>
    <row r="262" spans="1:15" hidden="1">
      <c r="A262" s="6" t="s">
        <v>2452</v>
      </c>
      <c r="B262" s="6" t="s">
        <v>2453</v>
      </c>
      <c r="C262" s="6" t="s">
        <v>19</v>
      </c>
      <c r="D262" s="6" t="s">
        <v>2847</v>
      </c>
      <c r="E262" s="6" t="s">
        <v>2851</v>
      </c>
      <c r="F262" s="6" t="s">
        <v>2897</v>
      </c>
      <c r="G262" s="6" t="s">
        <v>2444</v>
      </c>
      <c r="H262" s="6" t="s">
        <v>2898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</row>
    <row r="263" spans="1:15" hidden="1">
      <c r="A263" s="6" t="s">
        <v>2452</v>
      </c>
      <c r="B263" s="6" t="s">
        <v>2453</v>
      </c>
      <c r="C263" s="6" t="s">
        <v>19</v>
      </c>
      <c r="D263" s="6" t="s">
        <v>2847</v>
      </c>
      <c r="E263" s="6" t="s">
        <v>2851</v>
      </c>
      <c r="F263" s="6" t="s">
        <v>2897</v>
      </c>
      <c r="G263" s="6" t="s">
        <v>2444</v>
      </c>
      <c r="H263" s="6" t="s">
        <v>2899</v>
      </c>
      <c r="I263" s="6">
        <v>3</v>
      </c>
      <c r="J263" s="6">
        <v>1</v>
      </c>
      <c r="K263" s="6">
        <v>0.33329999999999999</v>
      </c>
      <c r="L263" s="6">
        <v>0.97</v>
      </c>
      <c r="M263" s="6">
        <v>0.97</v>
      </c>
      <c r="N263" s="6">
        <v>0.33329999999999999</v>
      </c>
      <c r="O263" s="6">
        <v>0.33329999999999999</v>
      </c>
    </row>
    <row r="264" spans="1:15" hidden="1">
      <c r="A264" s="6" t="s">
        <v>2452</v>
      </c>
      <c r="B264" s="6" t="s">
        <v>2453</v>
      </c>
      <c r="C264" s="6" t="s">
        <v>19</v>
      </c>
      <c r="D264" s="6" t="s">
        <v>2847</v>
      </c>
      <c r="E264" s="6" t="s">
        <v>2851</v>
      </c>
      <c r="F264" s="6" t="s">
        <v>2900</v>
      </c>
      <c r="G264" s="6" t="s">
        <v>2444</v>
      </c>
      <c r="H264" s="6" t="s">
        <v>2900</v>
      </c>
      <c r="I264" s="6">
        <v>2</v>
      </c>
      <c r="J264" s="6">
        <v>1</v>
      </c>
      <c r="K264" s="6">
        <v>0.5</v>
      </c>
      <c r="L264" s="6">
        <v>0.42</v>
      </c>
      <c r="M264" s="6">
        <v>0.42</v>
      </c>
      <c r="N264" s="6">
        <v>1</v>
      </c>
      <c r="O264" s="6">
        <v>1</v>
      </c>
    </row>
    <row r="265" spans="1:15" hidden="1">
      <c r="A265" s="6" t="s">
        <v>2452</v>
      </c>
      <c r="B265" s="6" t="s">
        <v>2453</v>
      </c>
      <c r="C265" s="6" t="s">
        <v>19</v>
      </c>
      <c r="D265" s="6" t="s">
        <v>2847</v>
      </c>
      <c r="E265" s="6" t="s">
        <v>2901</v>
      </c>
      <c r="F265" s="6" t="s">
        <v>2902</v>
      </c>
      <c r="G265" s="6" t="s">
        <v>2444</v>
      </c>
      <c r="H265" s="6" t="s">
        <v>2903</v>
      </c>
      <c r="I265" s="6">
        <v>4</v>
      </c>
      <c r="J265" s="6">
        <v>1</v>
      </c>
      <c r="K265" s="6">
        <v>0.25</v>
      </c>
      <c r="L265" s="6">
        <v>0.23</v>
      </c>
      <c r="M265" s="6">
        <v>0.23</v>
      </c>
      <c r="N265" s="6">
        <v>1</v>
      </c>
      <c r="O265" s="6">
        <v>1</v>
      </c>
    </row>
    <row r="266" spans="1:15" hidden="1">
      <c r="A266" s="6" t="s">
        <v>2452</v>
      </c>
      <c r="B266" s="6" t="s">
        <v>2453</v>
      </c>
      <c r="C266" s="6" t="s">
        <v>19</v>
      </c>
      <c r="D266" s="6" t="s">
        <v>2847</v>
      </c>
      <c r="E266" s="6" t="s">
        <v>2904</v>
      </c>
      <c r="F266" s="6" t="s">
        <v>2905</v>
      </c>
      <c r="G266" s="6" t="s">
        <v>2444</v>
      </c>
      <c r="H266" s="6" t="s">
        <v>2906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>
        <v>1</v>
      </c>
      <c r="O266" s="6">
        <v>1</v>
      </c>
    </row>
    <row r="267" spans="1:15" hidden="1">
      <c r="A267" s="6" t="s">
        <v>2452</v>
      </c>
      <c r="B267" s="6" t="s">
        <v>2453</v>
      </c>
      <c r="C267" s="6" t="s">
        <v>19</v>
      </c>
      <c r="D267" s="6" t="s">
        <v>2847</v>
      </c>
      <c r="E267" s="6" t="s">
        <v>2904</v>
      </c>
      <c r="F267" s="6" t="s">
        <v>2907</v>
      </c>
      <c r="G267" s="6" t="s">
        <v>2444</v>
      </c>
      <c r="H267" s="6" t="s">
        <v>2908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</row>
    <row r="268" spans="1:15" hidden="1">
      <c r="A268" s="6" t="s">
        <v>2452</v>
      </c>
      <c r="B268" s="6" t="s">
        <v>2453</v>
      </c>
      <c r="C268" s="6" t="s">
        <v>19</v>
      </c>
      <c r="D268" s="6" t="s">
        <v>2847</v>
      </c>
      <c r="E268" s="6" t="s">
        <v>2904</v>
      </c>
      <c r="F268" s="6" t="s">
        <v>2909</v>
      </c>
      <c r="G268" s="6" t="s">
        <v>2444</v>
      </c>
      <c r="H268" s="6" t="s">
        <v>2909</v>
      </c>
      <c r="I268" s="6">
        <v>1</v>
      </c>
      <c r="J268" s="6">
        <v>0</v>
      </c>
      <c r="K268" s="6">
        <v>0</v>
      </c>
      <c r="L268" s="6">
        <v>0</v>
      </c>
      <c r="M268" s="6">
        <v>0</v>
      </c>
      <c r="N268" s="6">
        <v>1</v>
      </c>
      <c r="O268" s="6">
        <v>1</v>
      </c>
    </row>
    <row r="269" spans="1:15" hidden="1">
      <c r="A269" s="6" t="s">
        <v>2452</v>
      </c>
      <c r="B269" s="6" t="s">
        <v>2453</v>
      </c>
      <c r="C269" s="6" t="s">
        <v>19</v>
      </c>
      <c r="D269" s="6" t="s">
        <v>2847</v>
      </c>
      <c r="E269" s="6" t="s">
        <v>2904</v>
      </c>
      <c r="F269" s="6" t="s">
        <v>2910</v>
      </c>
      <c r="G269" s="6" t="s">
        <v>2444</v>
      </c>
      <c r="H269" s="6" t="s">
        <v>2911</v>
      </c>
      <c r="I269" s="6">
        <v>1</v>
      </c>
      <c r="J269" s="6">
        <v>0</v>
      </c>
      <c r="K269" s="6">
        <v>0</v>
      </c>
      <c r="L269" s="6">
        <v>0</v>
      </c>
      <c r="M269" s="6">
        <v>0</v>
      </c>
      <c r="N269" s="6">
        <v>1</v>
      </c>
      <c r="O269" s="6">
        <v>1</v>
      </c>
    </row>
    <row r="270" spans="1:15" hidden="1">
      <c r="A270" s="6" t="s">
        <v>2452</v>
      </c>
      <c r="B270" s="6" t="s">
        <v>2453</v>
      </c>
      <c r="C270" s="6" t="s">
        <v>19</v>
      </c>
      <c r="D270" s="6" t="s">
        <v>2912</v>
      </c>
      <c r="E270" s="6" t="s">
        <v>2913</v>
      </c>
      <c r="F270" s="6" t="s">
        <v>2914</v>
      </c>
      <c r="G270" s="6" t="s">
        <v>2444</v>
      </c>
      <c r="H270" s="6" t="s">
        <v>2914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</row>
    <row r="271" spans="1:15" hidden="1">
      <c r="A271" s="6" t="s">
        <v>2452</v>
      </c>
      <c r="B271" s="6" t="s">
        <v>2453</v>
      </c>
      <c r="C271" s="6" t="s">
        <v>19</v>
      </c>
      <c r="D271" s="6" t="s">
        <v>2912</v>
      </c>
      <c r="E271" s="6" t="s">
        <v>2915</v>
      </c>
      <c r="F271" s="6" t="s">
        <v>2916</v>
      </c>
      <c r="G271" s="6" t="s">
        <v>2444</v>
      </c>
      <c r="H271" s="6" t="s">
        <v>2917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</row>
    <row r="272" spans="1:15" hidden="1">
      <c r="A272" s="6" t="s">
        <v>2452</v>
      </c>
      <c r="B272" s="6" t="s">
        <v>2453</v>
      </c>
      <c r="C272" s="6" t="s">
        <v>19</v>
      </c>
      <c r="D272" s="6" t="s">
        <v>2912</v>
      </c>
      <c r="E272" s="6" t="s">
        <v>2915</v>
      </c>
      <c r="F272" s="6" t="s">
        <v>2918</v>
      </c>
      <c r="G272" s="6" t="s">
        <v>2444</v>
      </c>
      <c r="H272" s="6" t="s">
        <v>2919</v>
      </c>
      <c r="I272" s="6">
        <v>1</v>
      </c>
      <c r="J272" s="6">
        <v>0</v>
      </c>
      <c r="K272" s="6">
        <v>0</v>
      </c>
      <c r="L272" s="6">
        <v>0</v>
      </c>
      <c r="M272" s="6">
        <v>0</v>
      </c>
      <c r="N272" s="6">
        <v>1</v>
      </c>
      <c r="O272" s="6">
        <v>1</v>
      </c>
    </row>
    <row r="273" spans="1:15" hidden="1">
      <c r="A273" s="6" t="s">
        <v>2452</v>
      </c>
      <c r="B273" s="6" t="s">
        <v>2453</v>
      </c>
      <c r="C273" s="6" t="s">
        <v>19</v>
      </c>
      <c r="D273" s="6" t="s">
        <v>2912</v>
      </c>
      <c r="E273" s="6" t="s">
        <v>2915</v>
      </c>
      <c r="F273" s="6" t="s">
        <v>2920</v>
      </c>
      <c r="G273" s="6" t="s">
        <v>2444</v>
      </c>
      <c r="H273" s="6" t="s">
        <v>2921</v>
      </c>
      <c r="I273" s="6">
        <v>3</v>
      </c>
      <c r="J273" s="6">
        <v>0</v>
      </c>
      <c r="K273" s="6">
        <v>0</v>
      </c>
      <c r="L273" s="6">
        <v>0</v>
      </c>
      <c r="M273" s="6">
        <v>0</v>
      </c>
      <c r="N273" s="6">
        <v>0.5</v>
      </c>
      <c r="O273" s="6">
        <v>0.5</v>
      </c>
    </row>
    <row r="274" spans="1:15" hidden="1">
      <c r="A274" s="6" t="s">
        <v>2452</v>
      </c>
      <c r="B274" s="6" t="s">
        <v>2453</v>
      </c>
      <c r="C274" s="6" t="s">
        <v>19</v>
      </c>
      <c r="D274" s="6" t="s">
        <v>2912</v>
      </c>
      <c r="E274" s="6" t="s">
        <v>2915</v>
      </c>
      <c r="F274" s="6" t="s">
        <v>2922</v>
      </c>
      <c r="G274" s="6" t="s">
        <v>2444</v>
      </c>
      <c r="H274" s="6" t="s">
        <v>2923</v>
      </c>
      <c r="I274" s="6">
        <v>2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</row>
    <row r="275" spans="1:15" hidden="1">
      <c r="A275" s="6" t="s">
        <v>2452</v>
      </c>
      <c r="B275" s="6" t="s">
        <v>2453</v>
      </c>
      <c r="C275" s="6" t="s">
        <v>19</v>
      </c>
      <c r="D275" s="6" t="s">
        <v>2912</v>
      </c>
      <c r="E275" s="6" t="s">
        <v>2915</v>
      </c>
      <c r="F275" s="6" t="s">
        <v>2924</v>
      </c>
      <c r="G275" s="6" t="s">
        <v>2444</v>
      </c>
      <c r="H275" s="6" t="s">
        <v>2925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</row>
    <row r="276" spans="1:15" hidden="1">
      <c r="A276" s="6" t="s">
        <v>2452</v>
      </c>
      <c r="B276" s="6" t="s">
        <v>2453</v>
      </c>
      <c r="C276" s="6" t="s">
        <v>19</v>
      </c>
      <c r="D276" s="6" t="s">
        <v>2912</v>
      </c>
      <c r="E276" s="6" t="s">
        <v>2926</v>
      </c>
      <c r="F276" s="6" t="s">
        <v>2927</v>
      </c>
      <c r="G276" s="6" t="s">
        <v>2444</v>
      </c>
      <c r="H276" s="6" t="s">
        <v>2928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</row>
    <row r="277" spans="1:15" hidden="1">
      <c r="A277" s="6" t="s">
        <v>2452</v>
      </c>
      <c r="B277" s="6" t="s">
        <v>2453</v>
      </c>
      <c r="C277" s="6" t="s">
        <v>19</v>
      </c>
      <c r="D277" s="6" t="s">
        <v>2912</v>
      </c>
      <c r="E277" s="6" t="s">
        <v>2929</v>
      </c>
      <c r="F277" s="6" t="s">
        <v>2930</v>
      </c>
      <c r="G277" s="6" t="s">
        <v>2444</v>
      </c>
      <c r="H277" s="6" t="s">
        <v>2931</v>
      </c>
      <c r="I277" s="6">
        <v>1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</row>
    <row r="278" spans="1:15" hidden="1">
      <c r="A278" s="6" t="s">
        <v>2452</v>
      </c>
      <c r="B278" s="6" t="s">
        <v>2453</v>
      </c>
      <c r="C278" s="6" t="s">
        <v>19</v>
      </c>
      <c r="D278" s="6" t="s">
        <v>2912</v>
      </c>
      <c r="E278" s="6" t="s">
        <v>2932</v>
      </c>
      <c r="F278" s="6" t="s">
        <v>2933</v>
      </c>
      <c r="G278" s="6" t="s">
        <v>2444</v>
      </c>
      <c r="H278" s="6" t="s">
        <v>2934</v>
      </c>
      <c r="I278" s="6">
        <v>6</v>
      </c>
      <c r="J278" s="6">
        <v>1</v>
      </c>
      <c r="K278" s="6">
        <v>0.16670000000000001</v>
      </c>
      <c r="L278" s="6">
        <v>0.92</v>
      </c>
      <c r="M278" s="6">
        <v>0.92</v>
      </c>
      <c r="N278" s="6">
        <v>0.75</v>
      </c>
      <c r="O278" s="6">
        <v>0</v>
      </c>
    </row>
    <row r="279" spans="1:15" hidden="1">
      <c r="A279" s="6" t="s">
        <v>2452</v>
      </c>
      <c r="B279" s="6" t="s">
        <v>2453</v>
      </c>
      <c r="C279" s="6" t="s">
        <v>19</v>
      </c>
      <c r="D279" s="6" t="s">
        <v>2912</v>
      </c>
      <c r="E279" s="6" t="s">
        <v>2784</v>
      </c>
      <c r="F279" s="6" t="s">
        <v>2935</v>
      </c>
      <c r="G279" s="6" t="s">
        <v>2444</v>
      </c>
      <c r="H279" s="6" t="s">
        <v>2935</v>
      </c>
      <c r="I279" s="6">
        <v>4</v>
      </c>
      <c r="J279" s="6">
        <v>1</v>
      </c>
      <c r="K279" s="6">
        <v>0.25</v>
      </c>
      <c r="L279" s="6">
        <v>0.39</v>
      </c>
      <c r="M279" s="6">
        <v>0.39</v>
      </c>
      <c r="N279" s="6">
        <v>1</v>
      </c>
      <c r="O279" s="6">
        <v>1</v>
      </c>
    </row>
    <row r="280" spans="1:15" hidden="1">
      <c r="A280" s="6" t="s">
        <v>2452</v>
      </c>
      <c r="B280" s="6" t="s">
        <v>2453</v>
      </c>
      <c r="C280" s="6" t="s">
        <v>19</v>
      </c>
      <c r="D280" s="6" t="s">
        <v>2912</v>
      </c>
      <c r="E280" s="6" t="s">
        <v>2784</v>
      </c>
      <c r="F280" s="6" t="s">
        <v>2936</v>
      </c>
      <c r="G280" s="6" t="s">
        <v>2444</v>
      </c>
      <c r="H280" s="6" t="s">
        <v>2937</v>
      </c>
      <c r="I280" s="6">
        <v>2</v>
      </c>
      <c r="J280" s="6">
        <v>0</v>
      </c>
      <c r="K280" s="6">
        <v>0</v>
      </c>
      <c r="L280" s="6">
        <v>0</v>
      </c>
      <c r="M280" s="6">
        <v>0</v>
      </c>
      <c r="N280" s="6">
        <v>1</v>
      </c>
      <c r="O280" s="6">
        <v>0</v>
      </c>
    </row>
    <row r="281" spans="1:15" hidden="1">
      <c r="A281" s="6" t="s">
        <v>2452</v>
      </c>
      <c r="B281" s="6" t="s">
        <v>2453</v>
      </c>
      <c r="C281" s="6" t="s">
        <v>19</v>
      </c>
      <c r="D281" s="6" t="s">
        <v>2912</v>
      </c>
      <c r="E281" s="6" t="s">
        <v>2938</v>
      </c>
      <c r="F281" s="6" t="s">
        <v>2939</v>
      </c>
      <c r="G281" s="6" t="s">
        <v>2444</v>
      </c>
      <c r="H281" s="6" t="s">
        <v>2939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</row>
    <row r="282" spans="1:15" hidden="1">
      <c r="A282" s="6" t="s">
        <v>2452</v>
      </c>
      <c r="B282" s="6" t="s">
        <v>2453</v>
      </c>
      <c r="C282" s="6" t="s">
        <v>19</v>
      </c>
      <c r="D282" s="6" t="s">
        <v>2912</v>
      </c>
      <c r="E282" s="6" t="s">
        <v>2940</v>
      </c>
      <c r="F282" s="6" t="s">
        <v>2941</v>
      </c>
      <c r="G282" s="6" t="s">
        <v>2444</v>
      </c>
      <c r="H282" s="6" t="s">
        <v>2942</v>
      </c>
      <c r="I282" s="6">
        <v>1</v>
      </c>
      <c r="J282" s="6">
        <v>0</v>
      </c>
      <c r="K282" s="6">
        <v>0</v>
      </c>
      <c r="L282" s="6">
        <v>0</v>
      </c>
      <c r="M282" s="6">
        <v>0</v>
      </c>
      <c r="N282" s="6">
        <v>1</v>
      </c>
      <c r="O282" s="6">
        <v>1</v>
      </c>
    </row>
    <row r="283" spans="1:15" hidden="1">
      <c r="A283" s="6" t="s">
        <v>2452</v>
      </c>
      <c r="B283" s="6" t="s">
        <v>2453</v>
      </c>
      <c r="C283" s="6" t="s">
        <v>19</v>
      </c>
      <c r="D283" s="6" t="s">
        <v>2912</v>
      </c>
      <c r="E283" s="6" t="s">
        <v>2940</v>
      </c>
      <c r="F283" s="6" t="s">
        <v>2943</v>
      </c>
      <c r="G283" s="6" t="s">
        <v>2444</v>
      </c>
      <c r="H283" s="6" t="s">
        <v>2944</v>
      </c>
      <c r="I283" s="6">
        <v>4</v>
      </c>
      <c r="J283" s="6">
        <v>1</v>
      </c>
      <c r="K283" s="6">
        <v>0.25</v>
      </c>
      <c r="L283" s="6">
        <v>2.06</v>
      </c>
      <c r="M283" s="6">
        <v>2.06</v>
      </c>
      <c r="N283" s="6">
        <v>0.33329999999999999</v>
      </c>
      <c r="O283" s="6">
        <v>0.33329999999999999</v>
      </c>
    </row>
    <row r="284" spans="1:15" hidden="1">
      <c r="A284" s="6" t="s">
        <v>2452</v>
      </c>
      <c r="B284" s="6" t="s">
        <v>2453</v>
      </c>
      <c r="C284" s="6" t="s">
        <v>19</v>
      </c>
      <c r="D284" s="6" t="s">
        <v>2945</v>
      </c>
      <c r="E284" s="6" t="s">
        <v>2946</v>
      </c>
      <c r="F284" s="6" t="s">
        <v>2947</v>
      </c>
      <c r="G284" s="6" t="s">
        <v>2444</v>
      </c>
      <c r="H284" s="6" t="s">
        <v>2948</v>
      </c>
      <c r="I284" s="6">
        <v>2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</row>
    <row r="285" spans="1:15" hidden="1">
      <c r="A285" s="6" t="s">
        <v>2452</v>
      </c>
      <c r="B285" s="6" t="s">
        <v>2453</v>
      </c>
      <c r="C285" s="6" t="s">
        <v>19</v>
      </c>
      <c r="D285" s="6" t="s">
        <v>2945</v>
      </c>
      <c r="E285" s="6" t="s">
        <v>2949</v>
      </c>
      <c r="F285" s="6" t="s">
        <v>2950</v>
      </c>
      <c r="G285" s="6" t="s">
        <v>2444</v>
      </c>
      <c r="H285" s="6" t="s">
        <v>2951</v>
      </c>
      <c r="I285" s="6">
        <v>1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</row>
    <row r="286" spans="1:15" hidden="1">
      <c r="A286" s="6" t="s">
        <v>2452</v>
      </c>
      <c r="B286" s="6" t="s">
        <v>2453</v>
      </c>
      <c r="C286" s="6" t="s">
        <v>19</v>
      </c>
      <c r="D286" s="6" t="s">
        <v>2945</v>
      </c>
      <c r="E286" s="6" t="s">
        <v>2949</v>
      </c>
      <c r="F286" s="6" t="s">
        <v>2952</v>
      </c>
      <c r="G286" s="6" t="s">
        <v>2444</v>
      </c>
      <c r="H286" s="6" t="s">
        <v>2953</v>
      </c>
      <c r="I286" s="6">
        <v>4</v>
      </c>
      <c r="J286" s="6">
        <v>1</v>
      </c>
      <c r="K286" s="6">
        <v>0.25</v>
      </c>
      <c r="L286" s="6">
        <v>0.13</v>
      </c>
      <c r="M286" s="6">
        <v>0.13</v>
      </c>
      <c r="N286" s="6">
        <v>1</v>
      </c>
      <c r="O286" s="6">
        <v>1</v>
      </c>
    </row>
    <row r="287" spans="1:15" hidden="1">
      <c r="A287" s="6" t="s">
        <v>2452</v>
      </c>
      <c r="B287" s="6" t="s">
        <v>2453</v>
      </c>
      <c r="C287" s="6" t="s">
        <v>19</v>
      </c>
      <c r="D287" s="6" t="s">
        <v>2945</v>
      </c>
      <c r="E287" s="6" t="s">
        <v>2949</v>
      </c>
      <c r="F287" s="6" t="s">
        <v>2952</v>
      </c>
      <c r="G287" s="6" t="s">
        <v>2444</v>
      </c>
      <c r="H287" s="6" t="s">
        <v>2954</v>
      </c>
      <c r="I287" s="6">
        <v>1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</row>
    <row r="288" spans="1:15" hidden="1">
      <c r="A288" s="6" t="s">
        <v>2452</v>
      </c>
      <c r="B288" s="6" t="s">
        <v>2453</v>
      </c>
      <c r="C288" s="6" t="s">
        <v>19</v>
      </c>
      <c r="D288" s="6" t="s">
        <v>2945</v>
      </c>
      <c r="E288" s="6" t="s">
        <v>2949</v>
      </c>
      <c r="F288" s="6" t="s">
        <v>2952</v>
      </c>
      <c r="G288" s="6" t="s">
        <v>2444</v>
      </c>
      <c r="H288" s="6" t="s">
        <v>2955</v>
      </c>
      <c r="I288" s="6">
        <v>2</v>
      </c>
      <c r="J288" s="6">
        <v>2</v>
      </c>
      <c r="K288" s="6">
        <v>1</v>
      </c>
      <c r="L288" s="6">
        <v>0.38</v>
      </c>
      <c r="M288" s="6">
        <v>0.76</v>
      </c>
      <c r="N288" s="6">
        <v>1</v>
      </c>
      <c r="O288" s="6">
        <v>1</v>
      </c>
    </row>
    <row r="289" spans="1:15" hidden="1">
      <c r="A289" s="6" t="s">
        <v>2452</v>
      </c>
      <c r="B289" s="6" t="s">
        <v>2453</v>
      </c>
      <c r="C289" s="6" t="s">
        <v>19</v>
      </c>
      <c r="D289" s="6" t="s">
        <v>2945</v>
      </c>
      <c r="E289" s="6" t="s">
        <v>2949</v>
      </c>
      <c r="F289" s="6" t="s">
        <v>2952</v>
      </c>
      <c r="G289" s="6" t="s">
        <v>2444</v>
      </c>
      <c r="H289" s="6" t="s">
        <v>2956</v>
      </c>
      <c r="I289" s="6">
        <v>2</v>
      </c>
      <c r="J289" s="6">
        <v>1</v>
      </c>
      <c r="K289" s="6">
        <v>0.5</v>
      </c>
      <c r="L289" s="6">
        <v>0.92</v>
      </c>
      <c r="M289" s="6">
        <v>0.92</v>
      </c>
      <c r="N289" s="6">
        <v>1</v>
      </c>
      <c r="O289" s="6">
        <v>1</v>
      </c>
    </row>
    <row r="290" spans="1:15" hidden="1">
      <c r="A290" s="6" t="s">
        <v>2452</v>
      </c>
      <c r="B290" s="6" t="s">
        <v>2453</v>
      </c>
      <c r="C290" s="6" t="s">
        <v>19</v>
      </c>
      <c r="D290" s="6" t="s">
        <v>2945</v>
      </c>
      <c r="E290" s="6" t="s">
        <v>2949</v>
      </c>
      <c r="F290" s="6" t="s">
        <v>2952</v>
      </c>
      <c r="G290" s="6" t="s">
        <v>2444</v>
      </c>
      <c r="H290" s="6" t="s">
        <v>2957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</row>
    <row r="291" spans="1:15" hidden="1">
      <c r="A291" s="6" t="s">
        <v>2452</v>
      </c>
      <c r="B291" s="6" t="s">
        <v>2453</v>
      </c>
      <c r="C291" s="6" t="s">
        <v>19</v>
      </c>
      <c r="D291" s="6" t="s">
        <v>2945</v>
      </c>
      <c r="E291" s="6" t="s">
        <v>2949</v>
      </c>
      <c r="F291" s="6" t="s">
        <v>2958</v>
      </c>
      <c r="G291" s="6" t="s">
        <v>2444</v>
      </c>
      <c r="H291" s="6" t="s">
        <v>2959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</row>
    <row r="292" spans="1:15" hidden="1">
      <c r="A292" s="6" t="s">
        <v>2452</v>
      </c>
      <c r="B292" s="6" t="s">
        <v>2453</v>
      </c>
      <c r="C292" s="6" t="s">
        <v>19</v>
      </c>
      <c r="D292" s="6" t="s">
        <v>2945</v>
      </c>
      <c r="E292" s="6" t="s">
        <v>2949</v>
      </c>
      <c r="F292" s="6" t="s">
        <v>2960</v>
      </c>
      <c r="G292" s="6" t="s">
        <v>2444</v>
      </c>
      <c r="H292" s="6" t="s">
        <v>2961</v>
      </c>
      <c r="I292" s="6">
        <v>1</v>
      </c>
      <c r="J292" s="6">
        <v>0</v>
      </c>
      <c r="K292" s="6">
        <v>0</v>
      </c>
      <c r="L292" s="6">
        <v>0</v>
      </c>
      <c r="M292" s="6">
        <v>0</v>
      </c>
      <c r="N292" s="6">
        <v>1</v>
      </c>
      <c r="O292" s="6">
        <v>1</v>
      </c>
    </row>
    <row r="293" spans="1:15" hidden="1">
      <c r="A293" s="6" t="s">
        <v>2452</v>
      </c>
      <c r="B293" s="6" t="s">
        <v>2453</v>
      </c>
      <c r="C293" s="6" t="s">
        <v>19</v>
      </c>
      <c r="D293" s="6" t="s">
        <v>2945</v>
      </c>
      <c r="E293" s="6" t="s">
        <v>2949</v>
      </c>
      <c r="F293" s="6" t="s">
        <v>2962</v>
      </c>
      <c r="G293" s="6" t="s">
        <v>2444</v>
      </c>
      <c r="H293" s="6" t="s">
        <v>2963</v>
      </c>
      <c r="I293" s="6">
        <v>1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</row>
    <row r="294" spans="1:15" hidden="1">
      <c r="A294" s="6" t="s">
        <v>2452</v>
      </c>
      <c r="B294" s="6" t="s">
        <v>2453</v>
      </c>
      <c r="C294" s="6" t="s">
        <v>19</v>
      </c>
      <c r="D294" s="6" t="s">
        <v>2945</v>
      </c>
      <c r="E294" s="6" t="s">
        <v>2949</v>
      </c>
      <c r="F294" s="6" t="s">
        <v>2962</v>
      </c>
      <c r="G294" s="6" t="s">
        <v>2444</v>
      </c>
      <c r="H294" s="6" t="s">
        <v>2964</v>
      </c>
      <c r="I294" s="6">
        <v>1</v>
      </c>
      <c r="J294" s="6">
        <v>0</v>
      </c>
      <c r="K294" s="6">
        <v>0</v>
      </c>
      <c r="L294" s="6">
        <v>0</v>
      </c>
      <c r="M294" s="6">
        <v>0</v>
      </c>
      <c r="N294" s="6">
        <v>1</v>
      </c>
      <c r="O294" s="6">
        <v>1</v>
      </c>
    </row>
    <row r="295" spans="1:15" hidden="1">
      <c r="A295" s="6" t="s">
        <v>2452</v>
      </c>
      <c r="B295" s="6" t="s">
        <v>2453</v>
      </c>
      <c r="C295" s="6" t="s">
        <v>19</v>
      </c>
      <c r="D295" s="6" t="s">
        <v>2965</v>
      </c>
      <c r="E295" s="6" t="s">
        <v>2966</v>
      </c>
      <c r="F295" s="6" t="s">
        <v>2967</v>
      </c>
      <c r="G295" s="6" t="s">
        <v>2444</v>
      </c>
      <c r="H295" s="6" t="s">
        <v>2968</v>
      </c>
      <c r="I295" s="6">
        <v>6</v>
      </c>
      <c r="J295" s="6">
        <v>1</v>
      </c>
      <c r="K295" s="6">
        <v>0.16670000000000001</v>
      </c>
      <c r="L295" s="6">
        <v>1.21</v>
      </c>
      <c r="M295" s="6">
        <v>1.21</v>
      </c>
      <c r="N295" s="6">
        <v>1</v>
      </c>
      <c r="O295" s="6">
        <v>1</v>
      </c>
    </row>
    <row r="296" spans="1:15" hidden="1">
      <c r="A296" s="6" t="s">
        <v>2452</v>
      </c>
      <c r="B296" s="6" t="s">
        <v>2453</v>
      </c>
      <c r="C296" s="6" t="s">
        <v>19</v>
      </c>
      <c r="D296" s="6" t="s">
        <v>2965</v>
      </c>
      <c r="E296" s="6" t="s">
        <v>2966</v>
      </c>
      <c r="F296" s="6" t="s">
        <v>2967</v>
      </c>
      <c r="G296" s="6" t="s">
        <v>2444</v>
      </c>
      <c r="H296" s="6" t="s">
        <v>2969</v>
      </c>
      <c r="I296" s="6">
        <v>1</v>
      </c>
      <c r="J296" s="6">
        <v>1</v>
      </c>
      <c r="K296" s="6">
        <v>1</v>
      </c>
      <c r="L296" s="6">
        <v>0.23</v>
      </c>
      <c r="M296" s="6">
        <v>0.23</v>
      </c>
      <c r="N296" s="6">
        <v>1</v>
      </c>
      <c r="O296" s="6">
        <v>1</v>
      </c>
    </row>
    <row r="297" spans="1:15" hidden="1">
      <c r="A297" s="6" t="s">
        <v>2452</v>
      </c>
      <c r="B297" s="6" t="s">
        <v>2453</v>
      </c>
      <c r="C297" s="6" t="s">
        <v>19</v>
      </c>
      <c r="D297" s="6" t="s">
        <v>2970</v>
      </c>
      <c r="E297" s="6" t="s">
        <v>2798</v>
      </c>
      <c r="F297" s="6" t="s">
        <v>2971</v>
      </c>
      <c r="G297" s="6" t="s">
        <v>2444</v>
      </c>
      <c r="H297" s="6" t="s">
        <v>2972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>
        <v>1</v>
      </c>
      <c r="O297" s="6">
        <v>0</v>
      </c>
    </row>
    <row r="298" spans="1:15" hidden="1">
      <c r="A298" s="6" t="s">
        <v>2452</v>
      </c>
      <c r="B298" s="6" t="s">
        <v>2453</v>
      </c>
      <c r="C298" s="6" t="s">
        <v>19</v>
      </c>
      <c r="D298" s="6" t="s">
        <v>2973</v>
      </c>
      <c r="E298" s="6" t="s">
        <v>2851</v>
      </c>
      <c r="F298" s="6" t="s">
        <v>2974</v>
      </c>
      <c r="G298" s="6" t="s">
        <v>2444</v>
      </c>
      <c r="H298" s="6" t="s">
        <v>2975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</row>
    <row r="299" spans="1:15" hidden="1">
      <c r="A299" s="6" t="s">
        <v>2452</v>
      </c>
      <c r="B299" s="6" t="s">
        <v>2453</v>
      </c>
      <c r="C299" s="6" t="s">
        <v>19</v>
      </c>
      <c r="D299" s="6" t="s">
        <v>2973</v>
      </c>
      <c r="E299" s="6" t="s">
        <v>2851</v>
      </c>
      <c r="F299" s="6" t="s">
        <v>2976</v>
      </c>
      <c r="G299" s="6" t="s">
        <v>2444</v>
      </c>
      <c r="H299" s="6" t="s">
        <v>2977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</row>
    <row r="300" spans="1:15" hidden="1">
      <c r="A300" s="6" t="s">
        <v>2452</v>
      </c>
      <c r="B300" s="6" t="s">
        <v>2453</v>
      </c>
      <c r="C300" s="6" t="s">
        <v>19</v>
      </c>
      <c r="D300" s="6" t="s">
        <v>2973</v>
      </c>
      <c r="E300" s="6" t="s">
        <v>2851</v>
      </c>
      <c r="F300" s="6" t="s">
        <v>2978</v>
      </c>
      <c r="G300" s="6" t="s">
        <v>2444</v>
      </c>
      <c r="H300" s="6" t="s">
        <v>2979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</row>
    <row r="301" spans="1:15" hidden="1">
      <c r="A301" s="6" t="s">
        <v>2452</v>
      </c>
      <c r="B301" s="6" t="s">
        <v>2453</v>
      </c>
      <c r="C301" s="6" t="s">
        <v>19</v>
      </c>
      <c r="D301" s="6" t="s">
        <v>2973</v>
      </c>
      <c r="E301" s="6" t="s">
        <v>2851</v>
      </c>
      <c r="F301" s="6" t="s">
        <v>2980</v>
      </c>
      <c r="G301" s="6" t="s">
        <v>2444</v>
      </c>
      <c r="H301" s="6" t="s">
        <v>2981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</row>
    <row r="302" spans="1:15" hidden="1">
      <c r="A302" s="6" t="s">
        <v>2452</v>
      </c>
      <c r="B302" s="6" t="s">
        <v>2453</v>
      </c>
      <c r="C302" s="6" t="s">
        <v>19</v>
      </c>
      <c r="D302" s="6" t="s">
        <v>2973</v>
      </c>
      <c r="E302" s="6" t="s">
        <v>2982</v>
      </c>
      <c r="F302" s="6" t="s">
        <v>2983</v>
      </c>
      <c r="G302" s="6" t="s">
        <v>2444</v>
      </c>
      <c r="H302" s="6" t="s">
        <v>2984</v>
      </c>
      <c r="I302" s="6">
        <v>2</v>
      </c>
      <c r="J302" s="6">
        <v>1</v>
      </c>
      <c r="K302" s="6">
        <v>0.5</v>
      </c>
      <c r="L302" s="6">
        <v>0.52</v>
      </c>
      <c r="M302" s="6">
        <v>0.52</v>
      </c>
      <c r="N302" s="6">
        <v>1</v>
      </c>
      <c r="O302" s="6">
        <v>1</v>
      </c>
    </row>
    <row r="303" spans="1:15" hidden="1">
      <c r="A303" s="6" t="s">
        <v>2452</v>
      </c>
      <c r="B303" s="6" t="s">
        <v>2453</v>
      </c>
      <c r="C303" s="6" t="s">
        <v>19</v>
      </c>
      <c r="D303" s="6" t="s">
        <v>2973</v>
      </c>
      <c r="E303" s="6" t="s">
        <v>2982</v>
      </c>
      <c r="F303" s="6" t="s">
        <v>2985</v>
      </c>
      <c r="G303" s="6" t="s">
        <v>2444</v>
      </c>
      <c r="H303" s="6" t="s">
        <v>2986</v>
      </c>
      <c r="I303" s="6">
        <v>1</v>
      </c>
      <c r="J303" s="6">
        <v>0</v>
      </c>
      <c r="K303" s="6">
        <v>0</v>
      </c>
      <c r="L303" s="6">
        <v>0</v>
      </c>
      <c r="M303" s="6">
        <v>0</v>
      </c>
      <c r="N303" s="6">
        <v>1</v>
      </c>
      <c r="O303" s="6">
        <v>1</v>
      </c>
    </row>
    <row r="304" spans="1:15" hidden="1">
      <c r="A304" s="6" t="s">
        <v>2452</v>
      </c>
      <c r="B304" s="6" t="s">
        <v>2453</v>
      </c>
      <c r="C304" s="6" t="s">
        <v>19</v>
      </c>
      <c r="D304" s="6" t="s">
        <v>2973</v>
      </c>
      <c r="E304" s="6" t="s">
        <v>2982</v>
      </c>
      <c r="F304" s="6" t="s">
        <v>2987</v>
      </c>
      <c r="G304" s="6" t="s">
        <v>2444</v>
      </c>
      <c r="H304" s="6" t="s">
        <v>2988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>
        <v>1</v>
      </c>
      <c r="O304" s="6">
        <v>1</v>
      </c>
    </row>
    <row r="305" spans="1:15" hidden="1">
      <c r="A305" s="6" t="s">
        <v>2452</v>
      </c>
      <c r="B305" s="6" t="s">
        <v>2453</v>
      </c>
      <c r="C305" s="6" t="s">
        <v>19</v>
      </c>
      <c r="D305" s="6" t="s">
        <v>2989</v>
      </c>
      <c r="E305" s="6" t="s">
        <v>2614</v>
      </c>
      <c r="G305" s="6" t="s">
        <v>2444</v>
      </c>
      <c r="H305" s="6" t="s">
        <v>2990</v>
      </c>
      <c r="I305" s="6">
        <v>1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</row>
    <row r="306" spans="1:15" hidden="1">
      <c r="A306" s="6" t="s">
        <v>2452</v>
      </c>
      <c r="B306" s="6" t="s">
        <v>2453</v>
      </c>
      <c r="C306" s="6" t="s">
        <v>19</v>
      </c>
      <c r="D306" s="6" t="s">
        <v>2989</v>
      </c>
      <c r="E306" s="6" t="s">
        <v>2614</v>
      </c>
      <c r="G306" s="6" t="s">
        <v>2444</v>
      </c>
      <c r="H306" s="6" t="s">
        <v>2991</v>
      </c>
      <c r="I306" s="6">
        <v>1</v>
      </c>
      <c r="J306" s="6">
        <v>1</v>
      </c>
      <c r="K306" s="6">
        <v>1</v>
      </c>
      <c r="L306" s="6">
        <v>0.17</v>
      </c>
      <c r="M306" s="6">
        <v>0.17</v>
      </c>
      <c r="N306" s="6">
        <v>1</v>
      </c>
      <c r="O306" s="6">
        <v>1</v>
      </c>
    </row>
    <row r="307" spans="1:15" hidden="1">
      <c r="A307" s="6" t="s">
        <v>2452</v>
      </c>
      <c r="B307" s="6" t="s">
        <v>2453</v>
      </c>
      <c r="C307" s="6" t="s">
        <v>19</v>
      </c>
      <c r="D307" s="6" t="s">
        <v>2989</v>
      </c>
      <c r="E307" s="6" t="s">
        <v>2614</v>
      </c>
      <c r="G307" s="6" t="s">
        <v>2444</v>
      </c>
      <c r="H307" s="6" t="s">
        <v>2992</v>
      </c>
      <c r="I307" s="6">
        <v>1</v>
      </c>
      <c r="J307" s="6">
        <v>0</v>
      </c>
      <c r="K307" s="6">
        <v>0</v>
      </c>
      <c r="L307" s="6">
        <v>0</v>
      </c>
      <c r="M307" s="6">
        <v>0</v>
      </c>
      <c r="N307" s="6">
        <v>1</v>
      </c>
      <c r="O307" s="6">
        <v>1</v>
      </c>
    </row>
    <row r="308" spans="1:15" hidden="1">
      <c r="A308" s="6" t="s">
        <v>2452</v>
      </c>
      <c r="B308" s="6" t="s">
        <v>2453</v>
      </c>
      <c r="C308" s="6" t="s">
        <v>19</v>
      </c>
      <c r="D308" s="6" t="s">
        <v>2989</v>
      </c>
      <c r="E308" s="6" t="s">
        <v>2614</v>
      </c>
      <c r="F308" s="6" t="s">
        <v>2993</v>
      </c>
      <c r="G308" s="6" t="s">
        <v>2444</v>
      </c>
      <c r="H308" s="6" t="s">
        <v>2993</v>
      </c>
      <c r="I308" s="6">
        <v>1</v>
      </c>
      <c r="J308" s="6">
        <v>0</v>
      </c>
      <c r="K308" s="6">
        <v>0</v>
      </c>
      <c r="L308" s="6">
        <v>0</v>
      </c>
      <c r="M308" s="6">
        <v>0</v>
      </c>
      <c r="N308" s="6">
        <v>1</v>
      </c>
      <c r="O308" s="6">
        <v>0</v>
      </c>
    </row>
    <row r="309" spans="1:15" hidden="1">
      <c r="A309" s="6" t="s">
        <v>2452</v>
      </c>
      <c r="B309" s="6" t="s">
        <v>2453</v>
      </c>
      <c r="C309" s="6" t="s">
        <v>19</v>
      </c>
      <c r="D309" s="6" t="s">
        <v>2989</v>
      </c>
      <c r="E309" s="6" t="s">
        <v>2614</v>
      </c>
      <c r="F309" s="6" t="s">
        <v>2994</v>
      </c>
      <c r="G309" s="6" t="s">
        <v>2444</v>
      </c>
      <c r="H309" s="6" t="s">
        <v>2995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</row>
    <row r="310" spans="1:15" hidden="1">
      <c r="A310" s="6" t="s">
        <v>2452</v>
      </c>
      <c r="B310" s="6" t="s">
        <v>2453</v>
      </c>
      <c r="C310" s="6" t="s">
        <v>19</v>
      </c>
      <c r="D310" s="6" t="s">
        <v>2989</v>
      </c>
      <c r="E310" s="6" t="s">
        <v>2614</v>
      </c>
      <c r="F310" s="6" t="s">
        <v>2996</v>
      </c>
      <c r="G310" s="6" t="s">
        <v>2444</v>
      </c>
      <c r="H310" s="6" t="s">
        <v>2997</v>
      </c>
      <c r="I310" s="6">
        <v>1</v>
      </c>
      <c r="J310" s="6">
        <v>0</v>
      </c>
      <c r="K310" s="6">
        <v>0</v>
      </c>
      <c r="L310" s="6">
        <v>0</v>
      </c>
      <c r="M310" s="6">
        <v>0</v>
      </c>
      <c r="N310" s="6">
        <v>1</v>
      </c>
      <c r="O310" s="6">
        <v>1</v>
      </c>
    </row>
    <row r="311" spans="1:15" hidden="1">
      <c r="A311" s="6" t="s">
        <v>2452</v>
      </c>
      <c r="B311" s="6" t="s">
        <v>2453</v>
      </c>
      <c r="C311" s="6" t="s">
        <v>19</v>
      </c>
      <c r="D311" s="6" t="s">
        <v>2989</v>
      </c>
      <c r="E311" s="6" t="s">
        <v>2614</v>
      </c>
      <c r="F311" s="6" t="s">
        <v>2998</v>
      </c>
      <c r="G311" s="6" t="s">
        <v>2444</v>
      </c>
      <c r="H311" s="6" t="s">
        <v>2999</v>
      </c>
      <c r="I311" s="6">
        <v>1</v>
      </c>
      <c r="J311" s="6">
        <v>0</v>
      </c>
      <c r="K311" s="6">
        <v>0</v>
      </c>
      <c r="L311" s="6">
        <v>0</v>
      </c>
      <c r="M311" s="6">
        <v>0</v>
      </c>
      <c r="N311" s="6">
        <v>1</v>
      </c>
      <c r="O311" s="6">
        <v>1</v>
      </c>
    </row>
    <row r="312" spans="1:15" hidden="1">
      <c r="A312" s="6" t="s">
        <v>2452</v>
      </c>
      <c r="B312" s="6" t="s">
        <v>2453</v>
      </c>
      <c r="C312" s="6" t="s">
        <v>19</v>
      </c>
      <c r="D312" s="6" t="s">
        <v>2989</v>
      </c>
      <c r="E312" s="6" t="s">
        <v>2614</v>
      </c>
      <c r="F312" s="6" t="s">
        <v>3000</v>
      </c>
      <c r="G312" s="6" t="s">
        <v>2444</v>
      </c>
      <c r="H312" s="6" t="s">
        <v>3001</v>
      </c>
      <c r="I312" s="6">
        <v>2</v>
      </c>
      <c r="J312" s="6">
        <v>1</v>
      </c>
      <c r="K312" s="6">
        <v>0.5</v>
      </c>
      <c r="L312" s="6">
        <v>1.47</v>
      </c>
      <c r="M312" s="6">
        <v>1.47</v>
      </c>
      <c r="N312" s="6">
        <v>1</v>
      </c>
      <c r="O312" s="6">
        <v>1</v>
      </c>
    </row>
    <row r="313" spans="1:15" hidden="1">
      <c r="A313" s="6" t="s">
        <v>2452</v>
      </c>
      <c r="B313" s="6" t="s">
        <v>2453</v>
      </c>
      <c r="C313" s="6" t="s">
        <v>19</v>
      </c>
      <c r="D313" s="6" t="s">
        <v>2989</v>
      </c>
      <c r="E313" s="6" t="s">
        <v>2614</v>
      </c>
      <c r="F313" s="6" t="s">
        <v>2620</v>
      </c>
      <c r="G313" s="6" t="s">
        <v>2444</v>
      </c>
      <c r="H313" s="6" t="s">
        <v>3002</v>
      </c>
      <c r="I313" s="6">
        <v>2</v>
      </c>
      <c r="J313" s="6">
        <v>0</v>
      </c>
      <c r="K313" s="6">
        <v>0</v>
      </c>
      <c r="L313" s="6">
        <v>0</v>
      </c>
      <c r="M313" s="6">
        <v>0</v>
      </c>
      <c r="N313" s="6">
        <v>0.5</v>
      </c>
      <c r="O313" s="6">
        <v>0.5</v>
      </c>
    </row>
    <row r="314" spans="1:15" hidden="1">
      <c r="A314" s="6" t="s">
        <v>2452</v>
      </c>
      <c r="B314" s="6" t="s">
        <v>2453</v>
      </c>
      <c r="C314" s="6" t="s">
        <v>19</v>
      </c>
      <c r="D314" s="6" t="s">
        <v>2989</v>
      </c>
      <c r="E314" s="6" t="s">
        <v>2614</v>
      </c>
      <c r="F314" s="6" t="s">
        <v>2620</v>
      </c>
      <c r="G314" s="6" t="s">
        <v>2444</v>
      </c>
      <c r="H314" s="6" t="s">
        <v>3003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>
        <v>1</v>
      </c>
      <c r="O314" s="6">
        <v>1</v>
      </c>
    </row>
    <row r="315" spans="1:15" hidden="1">
      <c r="A315" s="6" t="s">
        <v>2452</v>
      </c>
      <c r="B315" s="6" t="s">
        <v>2453</v>
      </c>
      <c r="C315" s="6" t="s">
        <v>19</v>
      </c>
      <c r="D315" s="6" t="s">
        <v>2989</v>
      </c>
      <c r="E315" s="6" t="s">
        <v>2614</v>
      </c>
      <c r="F315" s="6" t="s">
        <v>2620</v>
      </c>
      <c r="G315" s="6" t="s">
        <v>2444</v>
      </c>
      <c r="H315" s="6" t="s">
        <v>2620</v>
      </c>
      <c r="I315" s="6">
        <v>2</v>
      </c>
      <c r="J315" s="6">
        <v>0</v>
      </c>
      <c r="K315" s="6">
        <v>0</v>
      </c>
      <c r="L315" s="6">
        <v>0</v>
      </c>
      <c r="M315" s="6">
        <v>0</v>
      </c>
      <c r="N315" s="6">
        <v>1</v>
      </c>
      <c r="O315" s="6">
        <v>1</v>
      </c>
    </row>
    <row r="316" spans="1:15" hidden="1">
      <c r="A316" s="6" t="s">
        <v>2452</v>
      </c>
      <c r="B316" s="6" t="s">
        <v>2453</v>
      </c>
      <c r="C316" s="6" t="s">
        <v>19</v>
      </c>
      <c r="D316" s="6" t="s">
        <v>2989</v>
      </c>
      <c r="E316" s="6" t="s">
        <v>2614</v>
      </c>
      <c r="F316" s="6" t="s">
        <v>3004</v>
      </c>
      <c r="G316" s="6" t="s">
        <v>2444</v>
      </c>
      <c r="H316" s="6" t="s">
        <v>3005</v>
      </c>
      <c r="I316" s="6">
        <v>6</v>
      </c>
      <c r="J316" s="6">
        <v>0</v>
      </c>
      <c r="K316" s="6">
        <v>0</v>
      </c>
      <c r="L316" s="6">
        <v>0</v>
      </c>
      <c r="M316" s="6">
        <v>0</v>
      </c>
      <c r="N316" s="6">
        <v>1</v>
      </c>
      <c r="O316" s="6">
        <v>1</v>
      </c>
    </row>
    <row r="317" spans="1:15" hidden="1">
      <c r="A317" s="6" t="s">
        <v>2452</v>
      </c>
      <c r="B317" s="6" t="s">
        <v>2453</v>
      </c>
      <c r="C317" s="6" t="s">
        <v>19</v>
      </c>
      <c r="D317" s="6" t="s">
        <v>2989</v>
      </c>
      <c r="E317" s="6" t="s">
        <v>2614</v>
      </c>
      <c r="F317" s="6" t="s">
        <v>3006</v>
      </c>
      <c r="G317" s="6" t="s">
        <v>2444</v>
      </c>
      <c r="H317" s="6" t="s">
        <v>3007</v>
      </c>
      <c r="I317" s="6">
        <v>1</v>
      </c>
      <c r="J317" s="6">
        <v>1</v>
      </c>
      <c r="K317" s="6">
        <v>1</v>
      </c>
      <c r="L317" s="6">
        <v>0.04</v>
      </c>
      <c r="M317" s="6">
        <v>0.04</v>
      </c>
      <c r="N317" s="6">
        <v>1</v>
      </c>
      <c r="O317" s="6">
        <v>1</v>
      </c>
    </row>
    <row r="318" spans="1:15" hidden="1">
      <c r="A318" s="6" t="s">
        <v>2452</v>
      </c>
      <c r="B318" s="6" t="s">
        <v>2453</v>
      </c>
      <c r="C318" s="6" t="s">
        <v>19</v>
      </c>
      <c r="D318" s="6" t="s">
        <v>2989</v>
      </c>
      <c r="E318" s="6" t="s">
        <v>2614</v>
      </c>
      <c r="F318" s="6" t="s">
        <v>3008</v>
      </c>
      <c r="G318" s="6" t="s">
        <v>2444</v>
      </c>
      <c r="H318" s="6" t="s">
        <v>3009</v>
      </c>
      <c r="I318" s="6">
        <v>1</v>
      </c>
      <c r="J318" s="6">
        <v>0</v>
      </c>
      <c r="K318" s="6">
        <v>0</v>
      </c>
      <c r="L318" s="6">
        <v>0</v>
      </c>
      <c r="M318" s="6">
        <v>0</v>
      </c>
      <c r="N318" s="6">
        <v>1</v>
      </c>
      <c r="O318" s="6">
        <v>1</v>
      </c>
    </row>
    <row r="319" spans="1:15" hidden="1">
      <c r="A319" s="6" t="s">
        <v>2452</v>
      </c>
      <c r="B319" s="6" t="s">
        <v>2453</v>
      </c>
      <c r="C319" s="6" t="s">
        <v>19</v>
      </c>
      <c r="D319" s="6" t="s">
        <v>2989</v>
      </c>
      <c r="E319" s="6" t="s">
        <v>2614</v>
      </c>
      <c r="F319" s="6" t="s">
        <v>3010</v>
      </c>
      <c r="G319" s="6" t="s">
        <v>2444</v>
      </c>
      <c r="H319" s="6" t="s">
        <v>3010</v>
      </c>
      <c r="I319" s="6">
        <v>2</v>
      </c>
      <c r="J319" s="6">
        <v>0</v>
      </c>
      <c r="K319" s="6">
        <v>0</v>
      </c>
      <c r="L319" s="6">
        <v>0</v>
      </c>
      <c r="M319" s="6">
        <v>0</v>
      </c>
      <c r="N319" s="6">
        <v>1</v>
      </c>
      <c r="O319" s="6">
        <v>1</v>
      </c>
    </row>
    <row r="320" spans="1:15" hidden="1">
      <c r="A320" s="6" t="s">
        <v>2452</v>
      </c>
      <c r="B320" s="6" t="s">
        <v>2453</v>
      </c>
      <c r="C320" s="6" t="s">
        <v>19</v>
      </c>
      <c r="D320" s="6" t="s">
        <v>2989</v>
      </c>
      <c r="E320" s="6" t="s">
        <v>2614</v>
      </c>
      <c r="F320" s="6" t="s">
        <v>3011</v>
      </c>
      <c r="G320" s="6" t="s">
        <v>2444</v>
      </c>
      <c r="H320" s="6" t="s">
        <v>3011</v>
      </c>
      <c r="I320" s="6">
        <v>2</v>
      </c>
      <c r="J320" s="6">
        <v>0</v>
      </c>
      <c r="K320" s="6">
        <v>0</v>
      </c>
      <c r="L320" s="6">
        <v>0</v>
      </c>
      <c r="M320" s="6">
        <v>0</v>
      </c>
      <c r="N320" s="6">
        <v>1</v>
      </c>
      <c r="O320" s="6">
        <v>1</v>
      </c>
    </row>
    <row r="321" spans="1:15" hidden="1">
      <c r="A321" s="6" t="s">
        <v>2452</v>
      </c>
      <c r="B321" s="6" t="s">
        <v>2453</v>
      </c>
      <c r="C321" s="6" t="s">
        <v>19</v>
      </c>
      <c r="D321" s="6" t="s">
        <v>2989</v>
      </c>
      <c r="E321" s="6" t="s">
        <v>2614</v>
      </c>
      <c r="F321" s="6" t="s">
        <v>3012</v>
      </c>
      <c r="G321" s="6" t="s">
        <v>2444</v>
      </c>
      <c r="H321" s="6" t="s">
        <v>3013</v>
      </c>
      <c r="I321" s="6">
        <v>1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</row>
    <row r="322" spans="1:15" hidden="1">
      <c r="A322" s="6" t="s">
        <v>2452</v>
      </c>
      <c r="B322" s="6" t="s">
        <v>2453</v>
      </c>
      <c r="C322" s="6" t="s">
        <v>19</v>
      </c>
      <c r="D322" s="6" t="s">
        <v>2989</v>
      </c>
      <c r="E322" s="6" t="s">
        <v>2614</v>
      </c>
      <c r="F322" s="6" t="s">
        <v>3014</v>
      </c>
      <c r="G322" s="6" t="s">
        <v>2444</v>
      </c>
      <c r="H322" s="6" t="s">
        <v>3015</v>
      </c>
      <c r="I322" s="6">
        <v>2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</row>
    <row r="323" spans="1:15" hidden="1">
      <c r="A323" s="6" t="s">
        <v>2452</v>
      </c>
      <c r="B323" s="6" t="s">
        <v>2453</v>
      </c>
      <c r="C323" s="6" t="s">
        <v>19</v>
      </c>
      <c r="D323" s="6" t="s">
        <v>2989</v>
      </c>
      <c r="E323" s="6" t="s">
        <v>2614</v>
      </c>
      <c r="F323" s="6" t="s">
        <v>2910</v>
      </c>
      <c r="G323" s="6" t="s">
        <v>2444</v>
      </c>
      <c r="H323" s="6" t="s">
        <v>3016</v>
      </c>
      <c r="I323" s="6">
        <v>1</v>
      </c>
      <c r="J323" s="6">
        <v>0</v>
      </c>
      <c r="K323" s="6">
        <v>0</v>
      </c>
      <c r="L323" s="6">
        <v>0</v>
      </c>
      <c r="M323" s="6">
        <v>0</v>
      </c>
      <c r="N323" s="6">
        <v>1</v>
      </c>
      <c r="O323" s="6">
        <v>1</v>
      </c>
    </row>
    <row r="324" spans="1:15" hidden="1">
      <c r="A324" s="6" t="s">
        <v>2452</v>
      </c>
      <c r="B324" s="6" t="s">
        <v>2453</v>
      </c>
      <c r="C324" s="6" t="s">
        <v>19</v>
      </c>
      <c r="D324" s="6" t="s">
        <v>2989</v>
      </c>
      <c r="E324" s="6" t="s">
        <v>2614</v>
      </c>
      <c r="F324" s="6" t="s">
        <v>3017</v>
      </c>
      <c r="G324" s="6" t="s">
        <v>2444</v>
      </c>
      <c r="H324" s="6" t="s">
        <v>3018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</row>
    <row r="325" spans="1:15" hidden="1">
      <c r="A325" s="6" t="s">
        <v>2452</v>
      </c>
      <c r="B325" s="6" t="s">
        <v>2453</v>
      </c>
      <c r="C325" s="6" t="s">
        <v>19</v>
      </c>
      <c r="D325" s="6" t="s">
        <v>2989</v>
      </c>
      <c r="E325" s="6" t="s">
        <v>2614</v>
      </c>
      <c r="F325" s="6" t="s">
        <v>3019</v>
      </c>
      <c r="G325" s="6" t="s">
        <v>2444</v>
      </c>
      <c r="H325" s="6" t="s">
        <v>3020</v>
      </c>
      <c r="I325" s="6">
        <v>1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</row>
    <row r="326" spans="1:15" hidden="1">
      <c r="A326" s="6" t="s">
        <v>2452</v>
      </c>
      <c r="B326" s="6" t="s">
        <v>2453</v>
      </c>
      <c r="C326" s="6" t="s">
        <v>19</v>
      </c>
      <c r="D326" s="6" t="s">
        <v>2989</v>
      </c>
      <c r="E326" s="6" t="s">
        <v>2614</v>
      </c>
      <c r="F326" s="6" t="s">
        <v>3021</v>
      </c>
      <c r="G326" s="6" t="s">
        <v>2444</v>
      </c>
      <c r="H326" s="6" t="s">
        <v>3021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</row>
    <row r="327" spans="1:15" hidden="1">
      <c r="A327" s="6" t="s">
        <v>2452</v>
      </c>
      <c r="B327" s="6" t="s">
        <v>2453</v>
      </c>
      <c r="C327" s="6" t="s">
        <v>19</v>
      </c>
      <c r="D327" s="6" t="s">
        <v>2989</v>
      </c>
      <c r="E327" s="6" t="s">
        <v>2619</v>
      </c>
      <c r="F327" s="6" t="s">
        <v>3022</v>
      </c>
      <c r="G327" s="6" t="s">
        <v>2444</v>
      </c>
      <c r="H327" s="6" t="s">
        <v>3023</v>
      </c>
      <c r="I327" s="6">
        <v>2</v>
      </c>
      <c r="J327" s="6">
        <v>0</v>
      </c>
      <c r="K327" s="6">
        <v>0</v>
      </c>
      <c r="L327" s="6">
        <v>0</v>
      </c>
      <c r="M327" s="6">
        <v>0</v>
      </c>
      <c r="N327" s="6">
        <v>1</v>
      </c>
      <c r="O327" s="6">
        <v>1</v>
      </c>
    </row>
    <row r="328" spans="1:15" hidden="1">
      <c r="A328" s="6" t="s">
        <v>2452</v>
      </c>
      <c r="B328" s="6" t="s">
        <v>2453</v>
      </c>
      <c r="C328" s="6" t="s">
        <v>19</v>
      </c>
      <c r="D328" s="6" t="s">
        <v>2989</v>
      </c>
      <c r="E328" s="6" t="s">
        <v>2619</v>
      </c>
      <c r="F328" s="6" t="s">
        <v>3024</v>
      </c>
      <c r="G328" s="6" t="s">
        <v>2444</v>
      </c>
      <c r="H328" s="6" t="s">
        <v>3025</v>
      </c>
      <c r="I328" s="6">
        <v>2</v>
      </c>
      <c r="J328" s="6">
        <v>1</v>
      </c>
      <c r="K328" s="6">
        <v>0.5</v>
      </c>
      <c r="L328" s="6">
        <v>1.24</v>
      </c>
      <c r="M328" s="6">
        <v>1.24</v>
      </c>
      <c r="N328" s="6">
        <v>1</v>
      </c>
      <c r="O328" s="6">
        <v>1</v>
      </c>
    </row>
    <row r="329" spans="1:15" hidden="1">
      <c r="A329" s="6" t="s">
        <v>2452</v>
      </c>
      <c r="B329" s="6" t="s">
        <v>2453</v>
      </c>
      <c r="C329" s="6" t="s">
        <v>19</v>
      </c>
      <c r="D329" s="6" t="s">
        <v>2989</v>
      </c>
      <c r="E329" s="6" t="s">
        <v>2619</v>
      </c>
      <c r="F329" s="6" t="s">
        <v>3026</v>
      </c>
      <c r="G329" s="6" t="s">
        <v>2444</v>
      </c>
      <c r="H329" s="6" t="s">
        <v>3027</v>
      </c>
      <c r="I329" s="6">
        <v>2</v>
      </c>
      <c r="J329" s="6">
        <v>0</v>
      </c>
      <c r="K329" s="6">
        <v>0</v>
      </c>
      <c r="L329" s="6">
        <v>0</v>
      </c>
      <c r="M329" s="6">
        <v>0</v>
      </c>
      <c r="N329" s="6">
        <v>1</v>
      </c>
      <c r="O329" s="6">
        <v>1</v>
      </c>
    </row>
    <row r="330" spans="1:15" hidden="1">
      <c r="A330" s="6" t="s">
        <v>2452</v>
      </c>
      <c r="B330" s="6" t="s">
        <v>2453</v>
      </c>
      <c r="C330" s="6" t="s">
        <v>19</v>
      </c>
      <c r="D330" s="6" t="s">
        <v>2989</v>
      </c>
      <c r="E330" s="6" t="s">
        <v>2619</v>
      </c>
      <c r="F330" s="6" t="s">
        <v>3028</v>
      </c>
      <c r="G330" s="6" t="s">
        <v>2444</v>
      </c>
      <c r="H330" s="6" t="s">
        <v>3029</v>
      </c>
      <c r="I330" s="6">
        <v>1</v>
      </c>
      <c r="J330" s="6">
        <v>0</v>
      </c>
      <c r="K330" s="6">
        <v>0</v>
      </c>
      <c r="L330" s="6">
        <v>0</v>
      </c>
      <c r="M330" s="6">
        <v>0</v>
      </c>
      <c r="N330" s="6">
        <v>1</v>
      </c>
      <c r="O330" s="6">
        <v>1</v>
      </c>
    </row>
    <row r="331" spans="1:15" hidden="1">
      <c r="A331" s="6" t="s">
        <v>2452</v>
      </c>
      <c r="B331" s="6" t="s">
        <v>2453</v>
      </c>
      <c r="C331" s="6" t="s">
        <v>19</v>
      </c>
      <c r="D331" s="6" t="s">
        <v>2989</v>
      </c>
      <c r="E331" s="6" t="s">
        <v>2619</v>
      </c>
      <c r="F331" s="6" t="s">
        <v>3030</v>
      </c>
      <c r="G331" s="6" t="s">
        <v>2444</v>
      </c>
      <c r="H331" s="6" t="s">
        <v>3031</v>
      </c>
      <c r="I331" s="6">
        <v>2</v>
      </c>
      <c r="J331" s="6">
        <v>0</v>
      </c>
      <c r="K331" s="6">
        <v>0</v>
      </c>
      <c r="L331" s="6">
        <v>0</v>
      </c>
      <c r="M331" s="6">
        <v>0</v>
      </c>
      <c r="N331" s="6">
        <v>1</v>
      </c>
      <c r="O331" s="6">
        <v>1</v>
      </c>
    </row>
    <row r="332" spans="1:15" hidden="1">
      <c r="A332" s="6" t="s">
        <v>2452</v>
      </c>
      <c r="B332" s="6" t="s">
        <v>2453</v>
      </c>
      <c r="C332" s="6" t="s">
        <v>19</v>
      </c>
      <c r="D332" s="6" t="s">
        <v>3032</v>
      </c>
      <c r="F332" s="6" t="s">
        <v>3033</v>
      </c>
      <c r="G332" s="6" t="s">
        <v>2444</v>
      </c>
      <c r="H332" s="6" t="s">
        <v>3033</v>
      </c>
      <c r="I332" s="6">
        <v>1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</row>
    <row r="333" spans="1:15" hidden="1">
      <c r="A333" s="6" t="s">
        <v>2452</v>
      </c>
      <c r="B333" s="6" t="s">
        <v>2453</v>
      </c>
      <c r="C333" s="6" t="s">
        <v>19</v>
      </c>
      <c r="D333" s="6" t="s">
        <v>3032</v>
      </c>
      <c r="E333" s="6" t="s">
        <v>2848</v>
      </c>
      <c r="G333" s="6" t="s">
        <v>2444</v>
      </c>
      <c r="H333" s="6" t="s">
        <v>3034</v>
      </c>
      <c r="I333" s="6">
        <v>1</v>
      </c>
      <c r="J333" s="6">
        <v>0</v>
      </c>
      <c r="K333" s="6">
        <v>0</v>
      </c>
      <c r="L333" s="6">
        <v>0</v>
      </c>
      <c r="M333" s="6">
        <v>0</v>
      </c>
      <c r="N333" s="6">
        <v>1</v>
      </c>
      <c r="O333" s="6">
        <v>1</v>
      </c>
    </row>
    <row r="334" spans="1:15" hidden="1">
      <c r="A334" s="6" t="s">
        <v>2452</v>
      </c>
      <c r="B334" s="6" t="s">
        <v>2453</v>
      </c>
      <c r="C334" s="6" t="s">
        <v>19</v>
      </c>
      <c r="D334" s="6" t="s">
        <v>3032</v>
      </c>
      <c r="E334" s="6" t="s">
        <v>2848</v>
      </c>
      <c r="F334" s="6" t="s">
        <v>3035</v>
      </c>
      <c r="G334" s="6" t="s">
        <v>2444</v>
      </c>
      <c r="H334" s="6" t="s">
        <v>3036</v>
      </c>
      <c r="I334" s="6">
        <v>1</v>
      </c>
      <c r="J334" s="6">
        <v>0</v>
      </c>
      <c r="K334" s="6">
        <v>0</v>
      </c>
      <c r="L334" s="6">
        <v>0</v>
      </c>
      <c r="M334" s="6">
        <v>0</v>
      </c>
      <c r="N334" s="6">
        <v>1</v>
      </c>
      <c r="O334" s="6">
        <v>1</v>
      </c>
    </row>
    <row r="335" spans="1:15" hidden="1">
      <c r="A335" s="6" t="s">
        <v>2452</v>
      </c>
      <c r="B335" s="6" t="s">
        <v>2453</v>
      </c>
      <c r="C335" s="6" t="s">
        <v>19</v>
      </c>
      <c r="D335" s="6" t="s">
        <v>3032</v>
      </c>
      <c r="E335" s="6" t="s">
        <v>2848</v>
      </c>
      <c r="F335" s="6" t="s">
        <v>3037</v>
      </c>
      <c r="G335" s="6" t="s">
        <v>2444</v>
      </c>
      <c r="H335" s="6" t="s">
        <v>3038</v>
      </c>
      <c r="I335" s="6">
        <v>10</v>
      </c>
      <c r="J335" s="6">
        <v>1</v>
      </c>
      <c r="K335" s="6">
        <v>0.1</v>
      </c>
      <c r="L335" s="6">
        <v>1.1399999999999999</v>
      </c>
      <c r="M335" s="6">
        <v>1.1399999999999999</v>
      </c>
      <c r="N335" s="6">
        <v>1</v>
      </c>
      <c r="O335" s="6">
        <v>1</v>
      </c>
    </row>
    <row r="336" spans="1:15" hidden="1">
      <c r="A336" s="6" t="s">
        <v>2452</v>
      </c>
      <c r="B336" s="6" t="s">
        <v>2453</v>
      </c>
      <c r="C336" s="6" t="s">
        <v>19</v>
      </c>
      <c r="D336" s="6" t="s">
        <v>3032</v>
      </c>
      <c r="E336" s="6" t="s">
        <v>2848</v>
      </c>
      <c r="F336" s="6" t="s">
        <v>3039</v>
      </c>
      <c r="G336" s="6" t="s">
        <v>2444</v>
      </c>
      <c r="H336" s="6" t="s">
        <v>3040</v>
      </c>
      <c r="I336" s="6">
        <v>7</v>
      </c>
      <c r="J336" s="6">
        <v>1</v>
      </c>
      <c r="K336" s="6">
        <v>0.1429</v>
      </c>
      <c r="L336" s="6">
        <v>0.75</v>
      </c>
      <c r="M336" s="6">
        <v>0.75</v>
      </c>
      <c r="N336" s="6">
        <v>0.75</v>
      </c>
      <c r="O336" s="6">
        <v>0.75</v>
      </c>
    </row>
    <row r="337" spans="1:15" hidden="1">
      <c r="A337" s="6" t="s">
        <v>2452</v>
      </c>
      <c r="B337" s="6" t="s">
        <v>2453</v>
      </c>
      <c r="C337" s="6" t="s">
        <v>19</v>
      </c>
      <c r="D337" s="6" t="s">
        <v>3032</v>
      </c>
      <c r="E337" s="6" t="s">
        <v>2848</v>
      </c>
      <c r="F337" s="6" t="s">
        <v>3041</v>
      </c>
      <c r="G337" s="6" t="s">
        <v>2444</v>
      </c>
      <c r="H337" s="6" t="s">
        <v>3042</v>
      </c>
      <c r="I337" s="6">
        <v>1</v>
      </c>
      <c r="J337" s="6">
        <v>1</v>
      </c>
      <c r="K337" s="6">
        <v>1</v>
      </c>
      <c r="L337" s="6">
        <v>0.09</v>
      </c>
      <c r="M337" s="6">
        <v>0.09</v>
      </c>
      <c r="N337" s="6">
        <v>1</v>
      </c>
      <c r="O337" s="6">
        <v>1</v>
      </c>
    </row>
    <row r="338" spans="1:15" hidden="1">
      <c r="A338" s="6" t="s">
        <v>2452</v>
      </c>
      <c r="B338" s="6" t="s">
        <v>2453</v>
      </c>
      <c r="C338" s="6" t="s">
        <v>19</v>
      </c>
      <c r="D338" s="6" t="s">
        <v>3032</v>
      </c>
      <c r="E338" s="6" t="s">
        <v>3043</v>
      </c>
      <c r="G338" s="6" t="s">
        <v>2444</v>
      </c>
      <c r="H338" s="6" t="s">
        <v>3044</v>
      </c>
      <c r="I338" s="6">
        <v>1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</row>
    <row r="339" spans="1:15" hidden="1">
      <c r="A339" s="6" t="s">
        <v>2452</v>
      </c>
      <c r="B339" s="6" t="s">
        <v>2453</v>
      </c>
      <c r="C339" s="6" t="s">
        <v>19</v>
      </c>
      <c r="D339" s="6" t="s">
        <v>3032</v>
      </c>
      <c r="E339" s="6" t="s">
        <v>3043</v>
      </c>
      <c r="F339" s="6" t="s">
        <v>3045</v>
      </c>
      <c r="G339" s="6" t="s">
        <v>2444</v>
      </c>
      <c r="H339" s="6" t="s">
        <v>3046</v>
      </c>
      <c r="I339" s="6">
        <v>1</v>
      </c>
      <c r="J339" s="6">
        <v>0</v>
      </c>
      <c r="K339" s="6">
        <v>0</v>
      </c>
      <c r="L339" s="6">
        <v>0</v>
      </c>
      <c r="M339" s="6">
        <v>0</v>
      </c>
      <c r="N339" s="6">
        <v>1</v>
      </c>
      <c r="O339" s="6">
        <v>1</v>
      </c>
    </row>
    <row r="340" spans="1:15" hidden="1">
      <c r="A340" s="6" t="s">
        <v>2452</v>
      </c>
      <c r="B340" s="6" t="s">
        <v>2453</v>
      </c>
      <c r="C340" s="6" t="s">
        <v>19</v>
      </c>
      <c r="D340" s="6" t="s">
        <v>3032</v>
      </c>
      <c r="E340" s="6" t="s">
        <v>3047</v>
      </c>
      <c r="F340" s="6" t="s">
        <v>3048</v>
      </c>
      <c r="G340" s="6" t="s">
        <v>2444</v>
      </c>
      <c r="H340" s="6" t="s">
        <v>3049</v>
      </c>
      <c r="I340" s="6">
        <v>2</v>
      </c>
      <c r="J340" s="6">
        <v>0</v>
      </c>
      <c r="K340" s="6">
        <v>0</v>
      </c>
      <c r="L340" s="6">
        <v>0</v>
      </c>
      <c r="M340" s="6">
        <v>0</v>
      </c>
      <c r="N340" s="6">
        <v>1</v>
      </c>
      <c r="O340" s="6">
        <v>1</v>
      </c>
    </row>
    <row r="341" spans="1:15" hidden="1">
      <c r="A341" s="6" t="s">
        <v>2452</v>
      </c>
      <c r="B341" s="6" t="s">
        <v>2453</v>
      </c>
      <c r="C341" s="6" t="s">
        <v>19</v>
      </c>
      <c r="D341" s="6" t="s">
        <v>3032</v>
      </c>
      <c r="E341" s="6" t="s">
        <v>3047</v>
      </c>
      <c r="F341" s="6" t="s">
        <v>3048</v>
      </c>
      <c r="G341" s="6" t="s">
        <v>2444</v>
      </c>
      <c r="H341" s="6" t="s">
        <v>3050</v>
      </c>
      <c r="I341" s="6">
        <v>2</v>
      </c>
      <c r="J341" s="6">
        <v>0</v>
      </c>
      <c r="K341" s="6">
        <v>0</v>
      </c>
      <c r="L341" s="6">
        <v>0</v>
      </c>
      <c r="M341" s="6">
        <v>0</v>
      </c>
      <c r="N341" s="6">
        <v>1</v>
      </c>
      <c r="O341" s="6">
        <v>1</v>
      </c>
    </row>
    <row r="342" spans="1:15" hidden="1">
      <c r="A342" s="6" t="s">
        <v>2452</v>
      </c>
      <c r="B342" s="6" t="s">
        <v>2453</v>
      </c>
      <c r="C342" s="6" t="s">
        <v>19</v>
      </c>
      <c r="D342" s="6" t="s">
        <v>3032</v>
      </c>
      <c r="E342" s="6" t="s">
        <v>3047</v>
      </c>
      <c r="F342" s="6" t="s">
        <v>3051</v>
      </c>
      <c r="G342" s="6" t="s">
        <v>2444</v>
      </c>
      <c r="H342" s="6" t="s">
        <v>3052</v>
      </c>
      <c r="I342" s="6">
        <v>1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</row>
    <row r="343" spans="1:15" hidden="1">
      <c r="A343" s="6" t="s">
        <v>2452</v>
      </c>
      <c r="B343" s="6" t="s">
        <v>2453</v>
      </c>
      <c r="C343" s="6" t="s">
        <v>19</v>
      </c>
      <c r="D343" s="6" t="s">
        <v>3032</v>
      </c>
      <c r="E343" s="6" t="s">
        <v>3047</v>
      </c>
      <c r="F343" s="6" t="s">
        <v>3053</v>
      </c>
      <c r="G343" s="6" t="s">
        <v>2444</v>
      </c>
      <c r="H343" s="6" t="s">
        <v>3054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>
        <v>1</v>
      </c>
      <c r="O343" s="6">
        <v>1</v>
      </c>
    </row>
    <row r="344" spans="1:15" hidden="1">
      <c r="A344" s="6" t="s">
        <v>2452</v>
      </c>
      <c r="B344" s="6" t="s">
        <v>2453</v>
      </c>
      <c r="C344" s="6" t="s">
        <v>19</v>
      </c>
      <c r="D344" s="6" t="s">
        <v>3032</v>
      </c>
      <c r="E344" s="6" t="s">
        <v>2614</v>
      </c>
      <c r="G344" s="6" t="s">
        <v>2444</v>
      </c>
      <c r="H344" s="6" t="s">
        <v>3055</v>
      </c>
      <c r="I344" s="6">
        <v>1</v>
      </c>
      <c r="J344" s="6">
        <v>0</v>
      </c>
      <c r="K344" s="6">
        <v>0</v>
      </c>
      <c r="L344" s="6">
        <v>0</v>
      </c>
      <c r="M344" s="6">
        <v>0</v>
      </c>
      <c r="N344" s="6">
        <v>1</v>
      </c>
      <c r="O344" s="6">
        <v>1</v>
      </c>
    </row>
    <row r="345" spans="1:15" hidden="1">
      <c r="A345" s="6" t="s">
        <v>2452</v>
      </c>
      <c r="B345" s="6" t="s">
        <v>2453</v>
      </c>
      <c r="C345" s="6" t="s">
        <v>19</v>
      </c>
      <c r="D345" s="6" t="s">
        <v>3032</v>
      </c>
      <c r="E345" s="6" t="s">
        <v>2614</v>
      </c>
      <c r="G345" s="6" t="s">
        <v>2444</v>
      </c>
      <c r="H345" s="6" t="s">
        <v>3056</v>
      </c>
      <c r="I345" s="6">
        <v>1</v>
      </c>
      <c r="J345" s="6">
        <v>1</v>
      </c>
      <c r="K345" s="6">
        <v>1</v>
      </c>
      <c r="L345" s="6">
        <v>0.08</v>
      </c>
      <c r="M345" s="6">
        <v>0.08</v>
      </c>
      <c r="N345" s="6">
        <v>1</v>
      </c>
      <c r="O345" s="6">
        <v>1</v>
      </c>
    </row>
    <row r="346" spans="1:15" hidden="1">
      <c r="A346" s="6" t="s">
        <v>2452</v>
      </c>
      <c r="B346" s="6" t="s">
        <v>2453</v>
      </c>
      <c r="C346" s="6" t="s">
        <v>19</v>
      </c>
      <c r="D346" s="6" t="s">
        <v>3032</v>
      </c>
      <c r="E346" s="6" t="s">
        <v>2614</v>
      </c>
      <c r="G346" s="6" t="s">
        <v>2444</v>
      </c>
      <c r="H346" s="6" t="s">
        <v>3057</v>
      </c>
      <c r="I346" s="6">
        <v>2</v>
      </c>
      <c r="J346" s="6">
        <v>0</v>
      </c>
      <c r="K346" s="6">
        <v>0</v>
      </c>
      <c r="L346" s="6">
        <v>0</v>
      </c>
      <c r="M346" s="6">
        <v>0</v>
      </c>
      <c r="N346" s="6">
        <v>1</v>
      </c>
      <c r="O346" s="6">
        <v>1</v>
      </c>
    </row>
    <row r="347" spans="1:15" hidden="1">
      <c r="A347" s="6" t="s">
        <v>2452</v>
      </c>
      <c r="B347" s="6" t="s">
        <v>2453</v>
      </c>
      <c r="C347" s="6" t="s">
        <v>19</v>
      </c>
      <c r="D347" s="6" t="s">
        <v>3032</v>
      </c>
      <c r="E347" s="6" t="s">
        <v>2614</v>
      </c>
      <c r="F347" s="6" t="s">
        <v>3058</v>
      </c>
      <c r="G347" s="6" t="s">
        <v>2444</v>
      </c>
      <c r="H347" s="6" t="s">
        <v>3059</v>
      </c>
      <c r="I347" s="6">
        <v>1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</row>
    <row r="348" spans="1:15" hidden="1">
      <c r="A348" s="6" t="s">
        <v>2452</v>
      </c>
      <c r="B348" s="6" t="s">
        <v>2453</v>
      </c>
      <c r="C348" s="6" t="s">
        <v>19</v>
      </c>
      <c r="D348" s="6" t="s">
        <v>3032</v>
      </c>
      <c r="E348" s="6" t="s">
        <v>2614</v>
      </c>
      <c r="F348" s="6" t="s">
        <v>3060</v>
      </c>
      <c r="G348" s="6" t="s">
        <v>2444</v>
      </c>
      <c r="H348" s="6" t="s">
        <v>3061</v>
      </c>
      <c r="I348" s="6">
        <v>1</v>
      </c>
      <c r="J348" s="6">
        <v>0</v>
      </c>
      <c r="K348" s="6">
        <v>0</v>
      </c>
      <c r="L348" s="6">
        <v>0</v>
      </c>
      <c r="M348" s="6">
        <v>0</v>
      </c>
      <c r="N348" s="6">
        <v>1</v>
      </c>
      <c r="O348" s="6">
        <v>1</v>
      </c>
    </row>
    <row r="349" spans="1:15" hidden="1">
      <c r="A349" s="6" t="s">
        <v>2452</v>
      </c>
      <c r="B349" s="6" t="s">
        <v>2453</v>
      </c>
      <c r="C349" s="6" t="s">
        <v>19</v>
      </c>
      <c r="D349" s="6" t="s">
        <v>3032</v>
      </c>
      <c r="E349" s="6" t="s">
        <v>2614</v>
      </c>
      <c r="F349" s="6" t="s">
        <v>3060</v>
      </c>
      <c r="G349" s="6" t="s">
        <v>2444</v>
      </c>
      <c r="H349" s="6" t="s">
        <v>3062</v>
      </c>
      <c r="I349" s="6">
        <v>1</v>
      </c>
      <c r="J349" s="6">
        <v>0</v>
      </c>
      <c r="K349" s="6">
        <v>0</v>
      </c>
      <c r="L349" s="6">
        <v>0</v>
      </c>
      <c r="M349" s="6">
        <v>0</v>
      </c>
      <c r="N349" s="6">
        <v>1</v>
      </c>
      <c r="O349" s="6">
        <v>1</v>
      </c>
    </row>
    <row r="350" spans="1:15" hidden="1">
      <c r="A350" s="6" t="s">
        <v>2452</v>
      </c>
      <c r="B350" s="6" t="s">
        <v>2453</v>
      </c>
      <c r="C350" s="6" t="s">
        <v>19</v>
      </c>
      <c r="D350" s="6" t="s">
        <v>3032</v>
      </c>
      <c r="E350" s="6" t="s">
        <v>2614</v>
      </c>
      <c r="F350" s="6" t="s">
        <v>3060</v>
      </c>
      <c r="G350" s="6" t="s">
        <v>2444</v>
      </c>
      <c r="H350" s="6" t="s">
        <v>3063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>
        <v>1</v>
      </c>
      <c r="O350" s="6">
        <v>1</v>
      </c>
    </row>
    <row r="351" spans="1:15" hidden="1">
      <c r="A351" s="6" t="s">
        <v>2452</v>
      </c>
      <c r="B351" s="6" t="s">
        <v>2453</v>
      </c>
      <c r="C351" s="6" t="s">
        <v>19</v>
      </c>
      <c r="D351" s="6" t="s">
        <v>3032</v>
      </c>
      <c r="E351" s="6" t="s">
        <v>2614</v>
      </c>
      <c r="F351" s="6" t="s">
        <v>3064</v>
      </c>
      <c r="G351" s="6" t="s">
        <v>2444</v>
      </c>
      <c r="H351" s="6" t="s">
        <v>3065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</row>
    <row r="352" spans="1:15" hidden="1">
      <c r="A352" s="6" t="s">
        <v>2452</v>
      </c>
      <c r="B352" s="6" t="s">
        <v>2453</v>
      </c>
      <c r="C352" s="6" t="s">
        <v>19</v>
      </c>
      <c r="D352" s="6" t="s">
        <v>3032</v>
      </c>
      <c r="E352" s="6" t="s">
        <v>2614</v>
      </c>
      <c r="F352" s="6" t="s">
        <v>3066</v>
      </c>
      <c r="G352" s="6" t="s">
        <v>2444</v>
      </c>
      <c r="H352" s="6" t="s">
        <v>3066</v>
      </c>
      <c r="I352" s="6">
        <v>2</v>
      </c>
      <c r="J352" s="6">
        <v>0</v>
      </c>
      <c r="K352" s="6">
        <v>0</v>
      </c>
      <c r="L352" s="6">
        <v>0</v>
      </c>
      <c r="M352" s="6">
        <v>0</v>
      </c>
      <c r="N352" s="6">
        <v>1</v>
      </c>
      <c r="O352" s="6">
        <v>1</v>
      </c>
    </row>
    <row r="353" spans="1:15" hidden="1">
      <c r="A353" s="6" t="s">
        <v>2452</v>
      </c>
      <c r="B353" s="6" t="s">
        <v>2453</v>
      </c>
      <c r="C353" s="6" t="s">
        <v>19</v>
      </c>
      <c r="D353" s="6" t="s">
        <v>3032</v>
      </c>
      <c r="E353" s="6" t="s">
        <v>2614</v>
      </c>
      <c r="F353" s="6" t="s">
        <v>3067</v>
      </c>
      <c r="G353" s="6" t="s">
        <v>2444</v>
      </c>
      <c r="H353" s="6" t="s">
        <v>3068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>
        <v>1</v>
      </c>
      <c r="O353" s="6">
        <v>1</v>
      </c>
    </row>
    <row r="354" spans="1:15" hidden="1">
      <c r="A354" s="6" t="s">
        <v>2452</v>
      </c>
      <c r="B354" s="6" t="s">
        <v>2453</v>
      </c>
      <c r="C354" s="6" t="s">
        <v>19</v>
      </c>
      <c r="D354" s="6" t="s">
        <v>3032</v>
      </c>
      <c r="E354" s="6" t="s">
        <v>2614</v>
      </c>
      <c r="F354" s="6" t="s">
        <v>3069</v>
      </c>
      <c r="G354" s="6" t="s">
        <v>2444</v>
      </c>
      <c r="H354" s="6" t="s">
        <v>3069</v>
      </c>
      <c r="I354" s="6">
        <v>2</v>
      </c>
      <c r="J354" s="6">
        <v>1</v>
      </c>
      <c r="K354" s="6">
        <v>0.5</v>
      </c>
      <c r="L354" s="6">
        <v>0.04</v>
      </c>
      <c r="M354" s="6">
        <v>0.04</v>
      </c>
      <c r="N354" s="6">
        <v>1</v>
      </c>
      <c r="O354" s="6">
        <v>1</v>
      </c>
    </row>
    <row r="355" spans="1:15" hidden="1">
      <c r="A355" s="6" t="s">
        <v>2452</v>
      </c>
      <c r="B355" s="6" t="s">
        <v>2453</v>
      </c>
      <c r="C355" s="6" t="s">
        <v>19</v>
      </c>
      <c r="D355" s="6" t="s">
        <v>3032</v>
      </c>
      <c r="E355" s="6" t="s">
        <v>2614</v>
      </c>
      <c r="F355" s="6" t="s">
        <v>3070</v>
      </c>
      <c r="G355" s="6" t="s">
        <v>2444</v>
      </c>
      <c r="H355" s="6" t="s">
        <v>3070</v>
      </c>
      <c r="I355" s="6">
        <v>4</v>
      </c>
      <c r="J355" s="6">
        <v>1</v>
      </c>
      <c r="K355" s="6">
        <v>0.25</v>
      </c>
      <c r="L355" s="6">
        <v>0.33</v>
      </c>
      <c r="M355" s="6">
        <v>0.33</v>
      </c>
      <c r="N355" s="6">
        <v>1</v>
      </c>
      <c r="O355" s="6">
        <v>1</v>
      </c>
    </row>
    <row r="356" spans="1:15" hidden="1">
      <c r="A356" s="6" t="s">
        <v>2452</v>
      </c>
      <c r="B356" s="6" t="s">
        <v>2453</v>
      </c>
      <c r="C356" s="6" t="s">
        <v>19</v>
      </c>
      <c r="D356" s="6" t="s">
        <v>3032</v>
      </c>
      <c r="E356" s="6" t="s">
        <v>2614</v>
      </c>
      <c r="F356" s="6" t="s">
        <v>3071</v>
      </c>
      <c r="G356" s="6" t="s">
        <v>2444</v>
      </c>
      <c r="H356" s="6" t="s">
        <v>3072</v>
      </c>
      <c r="I356" s="6">
        <v>1</v>
      </c>
      <c r="J356" s="6">
        <v>0</v>
      </c>
      <c r="K356" s="6">
        <v>0</v>
      </c>
      <c r="L356" s="6">
        <v>0</v>
      </c>
      <c r="M356" s="6">
        <v>0</v>
      </c>
      <c r="N356" s="6">
        <v>1</v>
      </c>
      <c r="O356" s="6">
        <v>1</v>
      </c>
    </row>
    <row r="357" spans="1:15" hidden="1">
      <c r="A357" s="6" t="s">
        <v>2452</v>
      </c>
      <c r="B357" s="6" t="s">
        <v>2453</v>
      </c>
      <c r="C357" s="6" t="s">
        <v>19</v>
      </c>
      <c r="D357" s="6" t="s">
        <v>3032</v>
      </c>
      <c r="E357" s="6" t="s">
        <v>2614</v>
      </c>
      <c r="F357" s="6" t="s">
        <v>3032</v>
      </c>
      <c r="G357" s="6" t="s">
        <v>2444</v>
      </c>
      <c r="H357" s="6" t="s">
        <v>3073</v>
      </c>
      <c r="I357" s="6">
        <v>1</v>
      </c>
      <c r="J357" s="6">
        <v>0</v>
      </c>
      <c r="K357" s="6">
        <v>0</v>
      </c>
      <c r="L357" s="6">
        <v>0</v>
      </c>
      <c r="M357" s="6">
        <v>0</v>
      </c>
      <c r="N357" s="6">
        <v>1</v>
      </c>
      <c r="O357" s="6">
        <v>1</v>
      </c>
    </row>
    <row r="358" spans="1:15" hidden="1">
      <c r="A358" s="6" t="s">
        <v>2452</v>
      </c>
      <c r="B358" s="6" t="s">
        <v>2453</v>
      </c>
      <c r="C358" s="6" t="s">
        <v>19</v>
      </c>
      <c r="D358" s="6" t="s">
        <v>3032</v>
      </c>
      <c r="E358" s="6" t="s">
        <v>2614</v>
      </c>
      <c r="F358" s="6" t="s">
        <v>3032</v>
      </c>
      <c r="G358" s="6" t="s">
        <v>2444</v>
      </c>
      <c r="H358" s="6" t="s">
        <v>3074</v>
      </c>
      <c r="I358" s="6">
        <v>2</v>
      </c>
      <c r="J358" s="6">
        <v>0</v>
      </c>
      <c r="K358" s="6">
        <v>0</v>
      </c>
      <c r="L358" s="6">
        <v>0</v>
      </c>
      <c r="M358" s="6">
        <v>0</v>
      </c>
      <c r="N358" s="6">
        <v>1</v>
      </c>
      <c r="O358" s="6">
        <v>1</v>
      </c>
    </row>
    <row r="359" spans="1:15" hidden="1">
      <c r="A359" s="6" t="s">
        <v>2452</v>
      </c>
      <c r="B359" s="6" t="s">
        <v>2453</v>
      </c>
      <c r="C359" s="6" t="s">
        <v>19</v>
      </c>
      <c r="D359" s="6" t="s">
        <v>3032</v>
      </c>
      <c r="E359" s="6" t="s">
        <v>2614</v>
      </c>
      <c r="F359" s="6" t="s">
        <v>3032</v>
      </c>
      <c r="G359" s="6" t="s">
        <v>2444</v>
      </c>
      <c r="H359" s="6" t="s">
        <v>3075</v>
      </c>
      <c r="I359" s="6">
        <v>2</v>
      </c>
      <c r="J359" s="6">
        <v>0</v>
      </c>
      <c r="K359" s="6">
        <v>0</v>
      </c>
      <c r="L359" s="6">
        <v>0</v>
      </c>
      <c r="M359" s="6">
        <v>0</v>
      </c>
      <c r="N359" s="6">
        <v>0.5</v>
      </c>
      <c r="O359" s="6">
        <v>0.5</v>
      </c>
    </row>
    <row r="360" spans="1:15" hidden="1">
      <c r="A360" s="6" t="s">
        <v>2452</v>
      </c>
      <c r="B360" s="6" t="s">
        <v>2453</v>
      </c>
      <c r="C360" s="6" t="s">
        <v>19</v>
      </c>
      <c r="D360" s="6" t="s">
        <v>3032</v>
      </c>
      <c r="E360" s="6" t="s">
        <v>2614</v>
      </c>
      <c r="F360" s="6" t="s">
        <v>3032</v>
      </c>
      <c r="G360" s="6" t="s">
        <v>2444</v>
      </c>
      <c r="H360" s="6" t="s">
        <v>3076</v>
      </c>
      <c r="I360" s="6">
        <v>2</v>
      </c>
      <c r="J360" s="6">
        <v>0</v>
      </c>
      <c r="K360" s="6">
        <v>0</v>
      </c>
      <c r="L360" s="6">
        <v>0</v>
      </c>
      <c r="M360" s="6">
        <v>0</v>
      </c>
      <c r="N360" s="6">
        <v>1</v>
      </c>
      <c r="O360" s="6">
        <v>1</v>
      </c>
    </row>
    <row r="361" spans="1:15" hidden="1">
      <c r="A361" s="6" t="s">
        <v>2452</v>
      </c>
      <c r="B361" s="6" t="s">
        <v>2453</v>
      </c>
      <c r="C361" s="6" t="s">
        <v>19</v>
      </c>
      <c r="D361" s="6" t="s">
        <v>3032</v>
      </c>
      <c r="E361" s="6" t="s">
        <v>2614</v>
      </c>
      <c r="F361" s="6" t="s">
        <v>3032</v>
      </c>
      <c r="G361" s="6" t="s">
        <v>2444</v>
      </c>
      <c r="H361" s="6" t="s">
        <v>3077</v>
      </c>
      <c r="I361" s="6">
        <v>1</v>
      </c>
      <c r="J361" s="6">
        <v>0</v>
      </c>
      <c r="K361" s="6">
        <v>0</v>
      </c>
      <c r="L361" s="6">
        <v>0</v>
      </c>
      <c r="M361" s="6">
        <v>0</v>
      </c>
      <c r="N361" s="6">
        <v>1</v>
      </c>
      <c r="O361" s="6">
        <v>1</v>
      </c>
    </row>
    <row r="362" spans="1:15" hidden="1">
      <c r="A362" s="6" t="s">
        <v>2452</v>
      </c>
      <c r="B362" s="6" t="s">
        <v>2453</v>
      </c>
      <c r="C362" s="6" t="s">
        <v>19</v>
      </c>
      <c r="D362" s="6" t="s">
        <v>3032</v>
      </c>
      <c r="E362" s="6" t="s">
        <v>2614</v>
      </c>
      <c r="F362" s="6" t="s">
        <v>3032</v>
      </c>
      <c r="G362" s="6" t="s">
        <v>2444</v>
      </c>
      <c r="H362" s="6" t="s">
        <v>3078</v>
      </c>
      <c r="I362" s="6">
        <v>5</v>
      </c>
      <c r="J362" s="6">
        <v>0</v>
      </c>
      <c r="K362" s="6">
        <v>0</v>
      </c>
      <c r="L362" s="6">
        <v>0</v>
      </c>
      <c r="M362" s="6">
        <v>0</v>
      </c>
      <c r="N362" s="6">
        <v>0.8</v>
      </c>
      <c r="O362" s="6">
        <v>0.8</v>
      </c>
    </row>
    <row r="363" spans="1:15" hidden="1">
      <c r="A363" s="6" t="s">
        <v>2452</v>
      </c>
      <c r="B363" s="6" t="s">
        <v>2453</v>
      </c>
      <c r="C363" s="6" t="s">
        <v>19</v>
      </c>
      <c r="D363" s="6" t="s">
        <v>3032</v>
      </c>
      <c r="E363" s="6" t="s">
        <v>2614</v>
      </c>
      <c r="F363" s="6" t="s">
        <v>3032</v>
      </c>
      <c r="G363" s="6" t="s">
        <v>2444</v>
      </c>
      <c r="H363" s="6" t="s">
        <v>3079</v>
      </c>
      <c r="I363" s="6">
        <v>3</v>
      </c>
      <c r="J363" s="6">
        <v>1</v>
      </c>
      <c r="K363" s="6">
        <v>0.33329999999999999</v>
      </c>
      <c r="L363" s="6">
        <v>0.78</v>
      </c>
      <c r="M363" s="6">
        <v>0.78</v>
      </c>
      <c r="N363" s="6">
        <v>0.5</v>
      </c>
      <c r="O363" s="6">
        <v>0.5</v>
      </c>
    </row>
    <row r="364" spans="1:15" hidden="1">
      <c r="A364" s="6" t="s">
        <v>2452</v>
      </c>
      <c r="B364" s="6" t="s">
        <v>2453</v>
      </c>
      <c r="C364" s="6" t="s">
        <v>19</v>
      </c>
      <c r="D364" s="6" t="s">
        <v>3032</v>
      </c>
      <c r="E364" s="6" t="s">
        <v>2614</v>
      </c>
      <c r="F364" s="6" t="s">
        <v>3032</v>
      </c>
      <c r="G364" s="6" t="s">
        <v>2444</v>
      </c>
      <c r="H364" s="6" t="s">
        <v>3080</v>
      </c>
      <c r="I364" s="6">
        <v>1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</row>
    <row r="365" spans="1:15" hidden="1">
      <c r="A365" s="6" t="s">
        <v>2452</v>
      </c>
      <c r="B365" s="6" t="s">
        <v>2453</v>
      </c>
      <c r="C365" s="6" t="s">
        <v>19</v>
      </c>
      <c r="D365" s="6" t="s">
        <v>3032</v>
      </c>
      <c r="E365" s="6" t="s">
        <v>2614</v>
      </c>
      <c r="F365" s="6" t="s">
        <v>3032</v>
      </c>
      <c r="G365" s="6" t="s">
        <v>2444</v>
      </c>
      <c r="H365" s="6" t="s">
        <v>3081</v>
      </c>
      <c r="I365" s="6">
        <v>2</v>
      </c>
      <c r="J365" s="6">
        <v>0</v>
      </c>
      <c r="K365" s="6">
        <v>0</v>
      </c>
      <c r="L365" s="6">
        <v>0</v>
      </c>
      <c r="M365" s="6">
        <v>0</v>
      </c>
      <c r="N365" s="6">
        <v>0.5</v>
      </c>
      <c r="O365" s="6">
        <v>0.5</v>
      </c>
    </row>
    <row r="366" spans="1:15" hidden="1">
      <c r="A366" s="6" t="s">
        <v>2452</v>
      </c>
      <c r="B366" s="6" t="s">
        <v>2453</v>
      </c>
      <c r="C366" s="6" t="s">
        <v>19</v>
      </c>
      <c r="D366" s="6" t="s">
        <v>3032</v>
      </c>
      <c r="E366" s="6" t="s">
        <v>2614</v>
      </c>
      <c r="F366" s="6" t="s">
        <v>3032</v>
      </c>
      <c r="G366" s="6" t="s">
        <v>2444</v>
      </c>
      <c r="H366" s="6" t="s">
        <v>3082</v>
      </c>
      <c r="I366" s="6">
        <v>10</v>
      </c>
      <c r="J366" s="6">
        <v>2</v>
      </c>
      <c r="K366" s="6">
        <v>0.2</v>
      </c>
      <c r="L366" s="6">
        <v>1.01</v>
      </c>
      <c r="M366" s="6">
        <v>2.0299999999999998</v>
      </c>
      <c r="N366" s="6">
        <v>0.83329999999999993</v>
      </c>
      <c r="O366" s="6">
        <v>0.66670000000000007</v>
      </c>
    </row>
    <row r="367" spans="1:15" hidden="1">
      <c r="A367" s="6" t="s">
        <v>2452</v>
      </c>
      <c r="B367" s="6" t="s">
        <v>2453</v>
      </c>
      <c r="C367" s="6" t="s">
        <v>19</v>
      </c>
      <c r="D367" s="6" t="s">
        <v>3032</v>
      </c>
      <c r="E367" s="6" t="s">
        <v>2614</v>
      </c>
      <c r="F367" s="6" t="s">
        <v>3032</v>
      </c>
      <c r="G367" s="6" t="s">
        <v>2444</v>
      </c>
      <c r="H367" s="6" t="s">
        <v>3083</v>
      </c>
      <c r="I367" s="6">
        <v>2</v>
      </c>
      <c r="J367" s="6">
        <v>0</v>
      </c>
      <c r="K367" s="6">
        <v>0</v>
      </c>
      <c r="L367" s="6">
        <v>0</v>
      </c>
      <c r="M367" s="6">
        <v>0</v>
      </c>
      <c r="N367" s="6">
        <v>1</v>
      </c>
      <c r="O367" s="6">
        <v>1</v>
      </c>
    </row>
    <row r="368" spans="1:15" hidden="1">
      <c r="A368" s="6" t="s">
        <v>2452</v>
      </c>
      <c r="B368" s="6" t="s">
        <v>2453</v>
      </c>
      <c r="C368" s="6" t="s">
        <v>19</v>
      </c>
      <c r="D368" s="6" t="s">
        <v>3032</v>
      </c>
      <c r="E368" s="6" t="s">
        <v>2614</v>
      </c>
      <c r="F368" s="6" t="s">
        <v>3032</v>
      </c>
      <c r="G368" s="6" t="s">
        <v>2444</v>
      </c>
      <c r="H368" s="6" t="s">
        <v>3084</v>
      </c>
      <c r="I368" s="6">
        <v>1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</row>
    <row r="369" spans="1:15" hidden="1">
      <c r="A369" s="6" t="s">
        <v>2452</v>
      </c>
      <c r="B369" s="6" t="s">
        <v>2453</v>
      </c>
      <c r="C369" s="6" t="s">
        <v>19</v>
      </c>
      <c r="D369" s="6" t="s">
        <v>3032</v>
      </c>
      <c r="E369" s="6" t="s">
        <v>2614</v>
      </c>
      <c r="F369" s="6" t="s">
        <v>3032</v>
      </c>
      <c r="G369" s="6" t="s">
        <v>2444</v>
      </c>
      <c r="H369" s="6" t="s">
        <v>3032</v>
      </c>
      <c r="I369" s="6">
        <v>3</v>
      </c>
      <c r="J369" s="6">
        <v>1</v>
      </c>
      <c r="K369" s="6">
        <v>0.33329999999999999</v>
      </c>
      <c r="L369" s="6">
        <v>0.91</v>
      </c>
      <c r="M369" s="6">
        <v>0.91</v>
      </c>
      <c r="N369" s="6">
        <v>0.5</v>
      </c>
      <c r="O369" s="6">
        <v>0.5</v>
      </c>
    </row>
    <row r="370" spans="1:15" hidden="1">
      <c r="A370" s="6" t="s">
        <v>2452</v>
      </c>
      <c r="B370" s="6" t="s">
        <v>2453</v>
      </c>
      <c r="C370" s="6" t="s">
        <v>19</v>
      </c>
      <c r="D370" s="6" t="s">
        <v>3032</v>
      </c>
      <c r="E370" s="6" t="s">
        <v>2614</v>
      </c>
      <c r="F370" s="6" t="s">
        <v>3085</v>
      </c>
      <c r="G370" s="6" t="s">
        <v>2444</v>
      </c>
      <c r="H370" s="6" t="s">
        <v>3086</v>
      </c>
      <c r="I370" s="6">
        <v>1</v>
      </c>
      <c r="J370" s="6">
        <v>0</v>
      </c>
      <c r="K370" s="6">
        <v>0</v>
      </c>
      <c r="L370" s="6">
        <v>0</v>
      </c>
      <c r="M370" s="6">
        <v>0</v>
      </c>
      <c r="N370" s="6">
        <v>1</v>
      </c>
      <c r="O370" s="6">
        <v>1</v>
      </c>
    </row>
    <row r="371" spans="1:15" hidden="1">
      <c r="A371" s="6" t="s">
        <v>2452</v>
      </c>
      <c r="B371" s="6" t="s">
        <v>2453</v>
      </c>
      <c r="C371" s="6" t="s">
        <v>19</v>
      </c>
      <c r="D371" s="6" t="s">
        <v>3032</v>
      </c>
      <c r="E371" s="6" t="s">
        <v>2614</v>
      </c>
      <c r="F371" s="6" t="s">
        <v>3087</v>
      </c>
      <c r="G371" s="6" t="s">
        <v>2444</v>
      </c>
      <c r="H371" s="6" t="s">
        <v>3088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</row>
    <row r="372" spans="1:15" hidden="1">
      <c r="A372" s="6" t="s">
        <v>2452</v>
      </c>
      <c r="B372" s="6" t="s">
        <v>2453</v>
      </c>
      <c r="C372" s="6" t="s">
        <v>19</v>
      </c>
      <c r="D372" s="6" t="s">
        <v>3032</v>
      </c>
      <c r="E372" s="6" t="s">
        <v>2614</v>
      </c>
      <c r="F372" s="6" t="s">
        <v>3089</v>
      </c>
      <c r="G372" s="6" t="s">
        <v>2444</v>
      </c>
      <c r="H372" s="6" t="s">
        <v>3090</v>
      </c>
      <c r="I372" s="6">
        <v>4</v>
      </c>
      <c r="J372" s="6">
        <v>0</v>
      </c>
      <c r="K372" s="6">
        <v>0</v>
      </c>
      <c r="L372" s="6">
        <v>0</v>
      </c>
      <c r="M372" s="6">
        <v>0</v>
      </c>
      <c r="N372" s="6">
        <v>1</v>
      </c>
      <c r="O372" s="6">
        <v>1</v>
      </c>
    </row>
    <row r="373" spans="1:15" hidden="1">
      <c r="A373" s="6" t="s">
        <v>2452</v>
      </c>
      <c r="B373" s="6" t="s">
        <v>2453</v>
      </c>
      <c r="C373" s="6" t="s">
        <v>19</v>
      </c>
      <c r="D373" s="6" t="s">
        <v>3032</v>
      </c>
      <c r="E373" s="6" t="s">
        <v>2614</v>
      </c>
      <c r="F373" s="6" t="s">
        <v>3091</v>
      </c>
      <c r="G373" s="6" t="s">
        <v>2444</v>
      </c>
      <c r="H373" s="6" t="s">
        <v>3092</v>
      </c>
      <c r="I373" s="6">
        <v>2</v>
      </c>
      <c r="J373" s="6">
        <v>1</v>
      </c>
      <c r="K373" s="6">
        <v>0.5</v>
      </c>
      <c r="L373" s="6">
        <v>0.92</v>
      </c>
      <c r="M373" s="6">
        <v>0.92</v>
      </c>
      <c r="N373" s="6">
        <v>1</v>
      </c>
      <c r="O373" s="6">
        <v>1</v>
      </c>
    </row>
    <row r="374" spans="1:15" hidden="1">
      <c r="A374" s="6" t="s">
        <v>2452</v>
      </c>
      <c r="B374" s="6" t="s">
        <v>2453</v>
      </c>
      <c r="C374" s="6" t="s">
        <v>19</v>
      </c>
      <c r="D374" s="6" t="s">
        <v>3032</v>
      </c>
      <c r="E374" s="6" t="s">
        <v>2614</v>
      </c>
      <c r="F374" s="6" t="s">
        <v>3093</v>
      </c>
      <c r="G374" s="6" t="s">
        <v>2444</v>
      </c>
      <c r="H374" s="6" t="s">
        <v>3094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>
        <v>1</v>
      </c>
      <c r="O374" s="6">
        <v>0</v>
      </c>
    </row>
    <row r="375" spans="1:15" hidden="1">
      <c r="A375" s="6" t="s">
        <v>2452</v>
      </c>
      <c r="B375" s="6" t="s">
        <v>2453</v>
      </c>
      <c r="C375" s="6" t="s">
        <v>19</v>
      </c>
      <c r="D375" s="6" t="s">
        <v>3032</v>
      </c>
      <c r="E375" s="6" t="s">
        <v>2614</v>
      </c>
      <c r="F375" s="6" t="s">
        <v>3095</v>
      </c>
      <c r="G375" s="6" t="s">
        <v>2444</v>
      </c>
      <c r="H375" s="6" t="s">
        <v>3096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>
        <v>1</v>
      </c>
      <c r="O375" s="6">
        <v>1</v>
      </c>
    </row>
    <row r="376" spans="1:15" hidden="1">
      <c r="A376" s="6" t="s">
        <v>2452</v>
      </c>
      <c r="B376" s="6" t="s">
        <v>2453</v>
      </c>
      <c r="C376" s="6" t="s">
        <v>19</v>
      </c>
      <c r="D376" s="6" t="s">
        <v>3032</v>
      </c>
      <c r="E376" s="6" t="s">
        <v>3097</v>
      </c>
      <c r="G376" s="6" t="s">
        <v>2444</v>
      </c>
      <c r="H376" s="6" t="s">
        <v>3098</v>
      </c>
      <c r="I376" s="6">
        <v>1</v>
      </c>
      <c r="J376" s="6">
        <v>0</v>
      </c>
      <c r="K376" s="6">
        <v>0</v>
      </c>
      <c r="L376" s="6">
        <v>0</v>
      </c>
      <c r="M376" s="6">
        <v>0</v>
      </c>
      <c r="N376" s="6">
        <v>1</v>
      </c>
      <c r="O376" s="6">
        <v>1</v>
      </c>
    </row>
    <row r="377" spans="1:15" hidden="1">
      <c r="A377" s="6" t="s">
        <v>2452</v>
      </c>
      <c r="B377" s="6" t="s">
        <v>2453</v>
      </c>
      <c r="C377" s="6" t="s">
        <v>19</v>
      </c>
      <c r="D377" s="6" t="s">
        <v>3032</v>
      </c>
      <c r="E377" s="6" t="s">
        <v>3097</v>
      </c>
      <c r="F377" s="6" t="s">
        <v>3099</v>
      </c>
      <c r="G377" s="6" t="s">
        <v>2444</v>
      </c>
      <c r="H377" s="6" t="s">
        <v>3100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1</v>
      </c>
      <c r="O377" s="6">
        <v>1</v>
      </c>
    </row>
    <row r="378" spans="1:15" hidden="1">
      <c r="A378" s="6" t="s">
        <v>2452</v>
      </c>
      <c r="B378" s="6" t="s">
        <v>2453</v>
      </c>
      <c r="C378" s="6" t="s">
        <v>19</v>
      </c>
      <c r="D378" s="6" t="s">
        <v>3032</v>
      </c>
      <c r="E378" s="6" t="s">
        <v>3097</v>
      </c>
      <c r="F378" s="6" t="s">
        <v>2978</v>
      </c>
      <c r="G378" s="6" t="s">
        <v>2444</v>
      </c>
      <c r="H378" s="6" t="s">
        <v>3101</v>
      </c>
      <c r="I378" s="6">
        <v>3</v>
      </c>
      <c r="J378" s="6">
        <v>0</v>
      </c>
      <c r="K378" s="6">
        <v>0</v>
      </c>
      <c r="L378" s="6">
        <v>0</v>
      </c>
      <c r="M378" s="6">
        <v>0</v>
      </c>
      <c r="N378" s="6">
        <v>0.5</v>
      </c>
      <c r="O378" s="6">
        <v>0.5</v>
      </c>
    </row>
    <row r="379" spans="1:15" hidden="1">
      <c r="A379" s="6" t="s">
        <v>2452</v>
      </c>
      <c r="B379" s="6" t="s">
        <v>2453</v>
      </c>
      <c r="C379" s="6" t="s">
        <v>19</v>
      </c>
      <c r="D379" s="6" t="s">
        <v>3032</v>
      </c>
      <c r="E379" s="6" t="s">
        <v>3102</v>
      </c>
      <c r="F379" s="6" t="s">
        <v>3103</v>
      </c>
      <c r="G379" s="6" t="s">
        <v>2444</v>
      </c>
      <c r="H379" s="6" t="s">
        <v>3104</v>
      </c>
      <c r="I379" s="6">
        <v>2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</row>
    <row r="380" spans="1:15" hidden="1">
      <c r="A380" s="6" t="s">
        <v>2452</v>
      </c>
      <c r="B380" s="6" t="s">
        <v>2453</v>
      </c>
      <c r="C380" s="6" t="s">
        <v>19</v>
      </c>
      <c r="D380" s="6" t="s">
        <v>3032</v>
      </c>
      <c r="E380" s="6" t="s">
        <v>3102</v>
      </c>
      <c r="F380" s="6" t="s">
        <v>3105</v>
      </c>
      <c r="G380" s="6" t="s">
        <v>2444</v>
      </c>
      <c r="H380" s="6" t="s">
        <v>3106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</row>
    <row r="381" spans="1:15" hidden="1">
      <c r="A381" s="6" t="s">
        <v>2452</v>
      </c>
      <c r="B381" s="6" t="s">
        <v>2453</v>
      </c>
      <c r="C381" s="6" t="s">
        <v>19</v>
      </c>
      <c r="D381" s="6" t="s">
        <v>3032</v>
      </c>
      <c r="E381" s="6" t="s">
        <v>3107</v>
      </c>
      <c r="F381" s="6" t="s">
        <v>3108</v>
      </c>
      <c r="G381" s="6" t="s">
        <v>2444</v>
      </c>
      <c r="H381" s="6" t="s">
        <v>3109</v>
      </c>
      <c r="I381" s="6">
        <v>1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</row>
    <row r="382" spans="1:15" hidden="1">
      <c r="A382" s="6" t="s">
        <v>2452</v>
      </c>
      <c r="B382" s="6" t="s">
        <v>2453</v>
      </c>
      <c r="C382" s="6" t="s">
        <v>19</v>
      </c>
      <c r="D382" s="6" t="s">
        <v>3110</v>
      </c>
      <c r="G382" s="6" t="s">
        <v>2444</v>
      </c>
      <c r="H382" s="6" t="s">
        <v>3111</v>
      </c>
      <c r="I382" s="6">
        <v>2</v>
      </c>
      <c r="J382" s="6">
        <v>1</v>
      </c>
      <c r="K382" s="6">
        <v>0.5</v>
      </c>
      <c r="L382" s="6">
        <v>1.36</v>
      </c>
      <c r="M382" s="6">
        <v>1.36</v>
      </c>
      <c r="N382" s="6">
        <v>1</v>
      </c>
      <c r="O382" s="6">
        <v>1</v>
      </c>
    </row>
    <row r="383" spans="1:15" hidden="1">
      <c r="A383" s="6" t="s">
        <v>2452</v>
      </c>
      <c r="B383" s="6" t="s">
        <v>2453</v>
      </c>
      <c r="C383" s="6" t="s">
        <v>19</v>
      </c>
      <c r="D383" s="6" t="s">
        <v>3110</v>
      </c>
      <c r="F383" s="6" t="s">
        <v>3112</v>
      </c>
      <c r="G383" s="6" t="s">
        <v>2444</v>
      </c>
      <c r="H383" s="6" t="s">
        <v>3112</v>
      </c>
      <c r="I383" s="6">
        <v>2</v>
      </c>
      <c r="J383" s="6">
        <v>0</v>
      </c>
      <c r="K383" s="6">
        <v>0</v>
      </c>
      <c r="L383" s="6">
        <v>0</v>
      </c>
      <c r="M383" s="6">
        <v>0</v>
      </c>
      <c r="N383" s="6">
        <v>1</v>
      </c>
      <c r="O383" s="6">
        <v>1</v>
      </c>
    </row>
    <row r="384" spans="1:15" hidden="1">
      <c r="A384" s="6" t="s">
        <v>2452</v>
      </c>
      <c r="B384" s="6" t="s">
        <v>2453</v>
      </c>
      <c r="C384" s="6" t="s">
        <v>19</v>
      </c>
      <c r="D384" s="6" t="s">
        <v>3110</v>
      </c>
      <c r="E384" s="6" t="s">
        <v>3113</v>
      </c>
      <c r="F384" s="6" t="s">
        <v>3114</v>
      </c>
      <c r="G384" s="6" t="s">
        <v>2444</v>
      </c>
      <c r="H384" s="6" t="s">
        <v>3115</v>
      </c>
      <c r="I384" s="6">
        <v>4</v>
      </c>
      <c r="J384" s="6">
        <v>2</v>
      </c>
      <c r="K384" s="6">
        <v>0.5</v>
      </c>
      <c r="L384" s="6">
        <v>1.81</v>
      </c>
      <c r="M384" s="6">
        <v>3.63</v>
      </c>
      <c r="N384" s="6">
        <v>1</v>
      </c>
      <c r="O384" s="6">
        <v>1</v>
      </c>
    </row>
    <row r="385" spans="1:15" hidden="1">
      <c r="A385" s="6" t="s">
        <v>2452</v>
      </c>
      <c r="B385" s="6" t="s">
        <v>2453</v>
      </c>
      <c r="C385" s="6" t="s">
        <v>19</v>
      </c>
      <c r="D385" s="6" t="s">
        <v>3110</v>
      </c>
      <c r="E385" s="6" t="s">
        <v>3116</v>
      </c>
      <c r="F385" s="6" t="s">
        <v>3117</v>
      </c>
      <c r="G385" s="6" t="s">
        <v>2444</v>
      </c>
      <c r="H385" s="6" t="s">
        <v>3118</v>
      </c>
      <c r="I385" s="6">
        <v>3</v>
      </c>
      <c r="J385" s="6">
        <v>0</v>
      </c>
      <c r="K385" s="6">
        <v>0</v>
      </c>
      <c r="L385" s="6">
        <v>0</v>
      </c>
      <c r="M385" s="6">
        <v>0</v>
      </c>
      <c r="N385" s="6">
        <v>1</v>
      </c>
      <c r="O385" s="6">
        <v>1</v>
      </c>
    </row>
    <row r="386" spans="1:15" hidden="1">
      <c r="A386" s="6" t="s">
        <v>2452</v>
      </c>
      <c r="B386" s="6" t="s">
        <v>2453</v>
      </c>
      <c r="C386" s="6" t="s">
        <v>19</v>
      </c>
      <c r="D386" s="6" t="s">
        <v>3110</v>
      </c>
      <c r="E386" s="6" t="s">
        <v>3116</v>
      </c>
      <c r="F386" s="6" t="s">
        <v>3119</v>
      </c>
      <c r="G386" s="6" t="s">
        <v>2444</v>
      </c>
      <c r="H386" s="6" t="s">
        <v>3120</v>
      </c>
      <c r="I386" s="6">
        <v>4</v>
      </c>
      <c r="J386" s="6">
        <v>1</v>
      </c>
      <c r="K386" s="6">
        <v>0.25</v>
      </c>
      <c r="L386" s="6">
        <v>0.71</v>
      </c>
      <c r="M386" s="6">
        <v>0.71</v>
      </c>
      <c r="N386" s="6">
        <v>1</v>
      </c>
      <c r="O386" s="6">
        <v>1</v>
      </c>
    </row>
    <row r="387" spans="1:15" hidden="1">
      <c r="A387" s="6" t="s">
        <v>2452</v>
      </c>
      <c r="B387" s="6" t="s">
        <v>2453</v>
      </c>
      <c r="C387" s="6" t="s">
        <v>19</v>
      </c>
      <c r="D387" s="6" t="s">
        <v>3110</v>
      </c>
      <c r="E387" s="6" t="s">
        <v>3116</v>
      </c>
      <c r="F387" s="6" t="s">
        <v>3121</v>
      </c>
      <c r="G387" s="6" t="s">
        <v>2444</v>
      </c>
      <c r="H387" s="6" t="s">
        <v>3122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>
        <v>1</v>
      </c>
      <c r="O387" s="6">
        <v>1</v>
      </c>
    </row>
    <row r="388" spans="1:15" hidden="1">
      <c r="A388" s="6" t="s">
        <v>2452</v>
      </c>
      <c r="B388" s="6" t="s">
        <v>2453</v>
      </c>
      <c r="C388" s="6" t="s">
        <v>19</v>
      </c>
      <c r="D388" s="6" t="s">
        <v>3110</v>
      </c>
      <c r="E388" s="6" t="s">
        <v>3116</v>
      </c>
      <c r="F388" s="6" t="s">
        <v>3123</v>
      </c>
      <c r="G388" s="6" t="s">
        <v>2444</v>
      </c>
      <c r="H388" s="6" t="s">
        <v>3124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1</v>
      </c>
      <c r="O388" s="6">
        <v>0</v>
      </c>
    </row>
    <row r="389" spans="1:15" hidden="1">
      <c r="A389" s="6" t="s">
        <v>2452</v>
      </c>
      <c r="B389" s="6" t="s">
        <v>2453</v>
      </c>
      <c r="C389" s="6" t="s">
        <v>19</v>
      </c>
      <c r="D389" s="6" t="s">
        <v>3110</v>
      </c>
      <c r="E389" s="6" t="s">
        <v>3116</v>
      </c>
      <c r="F389" s="6" t="s">
        <v>3125</v>
      </c>
      <c r="G389" s="6" t="s">
        <v>2444</v>
      </c>
      <c r="H389" s="6" t="s">
        <v>3126</v>
      </c>
      <c r="I389" s="6">
        <v>2</v>
      </c>
      <c r="J389" s="6">
        <v>0</v>
      </c>
      <c r="K389" s="6">
        <v>0</v>
      </c>
      <c r="L389" s="6">
        <v>0</v>
      </c>
      <c r="M389" s="6">
        <v>0</v>
      </c>
      <c r="N389" s="6">
        <v>1</v>
      </c>
      <c r="O389" s="6">
        <v>1</v>
      </c>
    </row>
    <row r="390" spans="1:15" hidden="1">
      <c r="A390" s="6" t="s">
        <v>2452</v>
      </c>
      <c r="B390" s="6" t="s">
        <v>2453</v>
      </c>
      <c r="C390" s="6" t="s">
        <v>19</v>
      </c>
      <c r="D390" s="6" t="s">
        <v>3110</v>
      </c>
      <c r="E390" s="6" t="s">
        <v>3116</v>
      </c>
      <c r="F390" s="6" t="s">
        <v>3127</v>
      </c>
      <c r="G390" s="6" t="s">
        <v>2444</v>
      </c>
      <c r="H390" s="6" t="s">
        <v>3128</v>
      </c>
      <c r="I390" s="6">
        <v>1</v>
      </c>
      <c r="J390" s="6">
        <v>1</v>
      </c>
      <c r="K390" s="6">
        <v>1</v>
      </c>
      <c r="L390" s="6">
        <v>7.0000000000000007E-2</v>
      </c>
      <c r="M390" s="6">
        <v>7.0000000000000007E-2</v>
      </c>
      <c r="N390" s="6">
        <v>1</v>
      </c>
      <c r="O390" s="6">
        <v>1</v>
      </c>
    </row>
    <row r="391" spans="1:15" hidden="1">
      <c r="A391" s="6" t="s">
        <v>2452</v>
      </c>
      <c r="B391" s="6" t="s">
        <v>2453</v>
      </c>
      <c r="C391" s="6" t="s">
        <v>19</v>
      </c>
      <c r="D391" s="6" t="s">
        <v>3110</v>
      </c>
      <c r="E391" s="6" t="s">
        <v>3129</v>
      </c>
      <c r="F391" s="6" t="s">
        <v>3130</v>
      </c>
      <c r="G391" s="6" t="s">
        <v>2444</v>
      </c>
      <c r="H391" s="6" t="s">
        <v>3131</v>
      </c>
      <c r="I391" s="6">
        <v>1</v>
      </c>
      <c r="J391" s="6">
        <v>0</v>
      </c>
      <c r="K391" s="6">
        <v>0</v>
      </c>
      <c r="L391" s="6">
        <v>0</v>
      </c>
      <c r="M391" s="6">
        <v>0</v>
      </c>
      <c r="N391" s="6">
        <v>1</v>
      </c>
      <c r="O391" s="6">
        <v>1</v>
      </c>
    </row>
    <row r="392" spans="1:15" hidden="1">
      <c r="A392" s="6" t="s">
        <v>2452</v>
      </c>
      <c r="B392" s="6" t="s">
        <v>2453</v>
      </c>
      <c r="C392" s="6" t="s">
        <v>19</v>
      </c>
      <c r="D392" s="6" t="s">
        <v>3110</v>
      </c>
      <c r="E392" s="6" t="s">
        <v>3129</v>
      </c>
      <c r="F392" s="6" t="s">
        <v>3132</v>
      </c>
      <c r="G392" s="6" t="s">
        <v>2444</v>
      </c>
      <c r="H392" s="6" t="s">
        <v>3133</v>
      </c>
      <c r="I392" s="6">
        <v>1</v>
      </c>
      <c r="J392" s="6">
        <v>0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</row>
    <row r="393" spans="1:15" hidden="1">
      <c r="A393" s="6" t="s">
        <v>2452</v>
      </c>
      <c r="B393" s="6" t="s">
        <v>2453</v>
      </c>
      <c r="C393" s="6" t="s">
        <v>19</v>
      </c>
      <c r="D393" s="6" t="s">
        <v>3110</v>
      </c>
      <c r="E393" s="6" t="s">
        <v>2619</v>
      </c>
      <c r="F393" s="6" t="s">
        <v>3134</v>
      </c>
      <c r="G393" s="6" t="s">
        <v>2444</v>
      </c>
      <c r="H393" s="6" t="s">
        <v>3135</v>
      </c>
      <c r="I393" s="6">
        <v>1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</row>
    <row r="394" spans="1:15" hidden="1">
      <c r="A394" s="6" t="s">
        <v>2452</v>
      </c>
      <c r="B394" s="6" t="s">
        <v>2453</v>
      </c>
      <c r="C394" s="6" t="s">
        <v>19</v>
      </c>
      <c r="D394" s="6" t="s">
        <v>3110</v>
      </c>
      <c r="E394" s="6" t="s">
        <v>2619</v>
      </c>
      <c r="F394" s="6" t="s">
        <v>3136</v>
      </c>
      <c r="G394" s="6" t="s">
        <v>2444</v>
      </c>
      <c r="H394" s="6" t="s">
        <v>3137</v>
      </c>
      <c r="I394" s="6">
        <v>1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</row>
    <row r="395" spans="1:15" hidden="1">
      <c r="A395" s="6" t="s">
        <v>2452</v>
      </c>
      <c r="B395" s="6" t="s">
        <v>2453</v>
      </c>
      <c r="C395" s="6" t="s">
        <v>19</v>
      </c>
      <c r="D395" s="6" t="s">
        <v>3110</v>
      </c>
      <c r="E395" s="6" t="s">
        <v>2619</v>
      </c>
      <c r="F395" s="6" t="s">
        <v>3138</v>
      </c>
      <c r="G395" s="6" t="s">
        <v>2444</v>
      </c>
      <c r="H395" s="6" t="s">
        <v>3139</v>
      </c>
      <c r="I395" s="6">
        <v>2</v>
      </c>
      <c r="J395" s="6">
        <v>0</v>
      </c>
      <c r="K395" s="6">
        <v>0</v>
      </c>
      <c r="L395" s="6">
        <v>0</v>
      </c>
      <c r="M395" s="6">
        <v>0</v>
      </c>
      <c r="N395" s="6">
        <v>1</v>
      </c>
      <c r="O395" s="6">
        <v>1</v>
      </c>
    </row>
    <row r="396" spans="1:15" hidden="1">
      <c r="A396" s="6" t="s">
        <v>2452</v>
      </c>
      <c r="B396" s="6" t="s">
        <v>2453</v>
      </c>
      <c r="C396" s="6" t="s">
        <v>19</v>
      </c>
      <c r="D396" s="6" t="s">
        <v>3110</v>
      </c>
      <c r="E396" s="6" t="s">
        <v>2619</v>
      </c>
      <c r="F396" s="6" t="s">
        <v>3140</v>
      </c>
      <c r="G396" s="6" t="s">
        <v>2444</v>
      </c>
      <c r="H396" s="6" t="s">
        <v>3141</v>
      </c>
      <c r="I396" s="6">
        <v>1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</row>
    <row r="397" spans="1:15" hidden="1">
      <c r="A397" s="6" t="s">
        <v>2452</v>
      </c>
      <c r="B397" s="6" t="s">
        <v>2453</v>
      </c>
      <c r="C397" s="6" t="s">
        <v>19</v>
      </c>
      <c r="D397" s="6" t="s">
        <v>3110</v>
      </c>
      <c r="E397" s="6" t="s">
        <v>2619</v>
      </c>
      <c r="F397" s="6" t="s">
        <v>3140</v>
      </c>
      <c r="G397" s="6" t="s">
        <v>2444</v>
      </c>
      <c r="H397" s="6" t="s">
        <v>3142</v>
      </c>
      <c r="I397" s="6">
        <v>1</v>
      </c>
      <c r="J397" s="6">
        <v>0</v>
      </c>
      <c r="K397" s="6">
        <v>0</v>
      </c>
      <c r="L397" s="6">
        <v>0</v>
      </c>
      <c r="M397" s="6">
        <v>0</v>
      </c>
      <c r="N397" s="6">
        <v>1</v>
      </c>
      <c r="O397" s="6">
        <v>1</v>
      </c>
    </row>
    <row r="398" spans="1:15" hidden="1">
      <c r="A398" s="6" t="s">
        <v>2452</v>
      </c>
      <c r="B398" s="6" t="s">
        <v>2453</v>
      </c>
      <c r="C398" s="6" t="s">
        <v>19</v>
      </c>
      <c r="D398" s="6" t="s">
        <v>3110</v>
      </c>
      <c r="E398" s="6" t="s">
        <v>2619</v>
      </c>
      <c r="F398" s="6" t="s">
        <v>3140</v>
      </c>
      <c r="G398" s="6" t="s">
        <v>2444</v>
      </c>
      <c r="H398" s="6" t="s">
        <v>3143</v>
      </c>
      <c r="I398" s="6">
        <v>3</v>
      </c>
      <c r="J398" s="6">
        <v>0</v>
      </c>
      <c r="K398" s="6">
        <v>0</v>
      </c>
      <c r="L398" s="6">
        <v>0</v>
      </c>
      <c r="M398" s="6">
        <v>0</v>
      </c>
      <c r="N398" s="6">
        <v>1</v>
      </c>
      <c r="O398" s="6">
        <v>1</v>
      </c>
    </row>
    <row r="399" spans="1:15" hidden="1">
      <c r="A399" s="6" t="s">
        <v>2452</v>
      </c>
      <c r="B399" s="6" t="s">
        <v>2453</v>
      </c>
      <c r="C399" s="6" t="s">
        <v>19</v>
      </c>
      <c r="D399" s="6" t="s">
        <v>3110</v>
      </c>
      <c r="E399" s="6" t="s">
        <v>2619</v>
      </c>
      <c r="F399" s="6" t="s">
        <v>3140</v>
      </c>
      <c r="G399" s="6" t="s">
        <v>2444</v>
      </c>
      <c r="H399" s="6" t="s">
        <v>3144</v>
      </c>
      <c r="I399" s="6">
        <v>1</v>
      </c>
      <c r="J399" s="6">
        <v>0</v>
      </c>
      <c r="K399" s="6">
        <v>0</v>
      </c>
      <c r="L399" s="6">
        <v>0</v>
      </c>
      <c r="M399" s="6">
        <v>0</v>
      </c>
      <c r="N399" s="6">
        <v>1</v>
      </c>
      <c r="O399" s="6">
        <v>1</v>
      </c>
    </row>
    <row r="400" spans="1:15" hidden="1">
      <c r="A400" s="6" t="s">
        <v>2452</v>
      </c>
      <c r="B400" s="6" t="s">
        <v>2453</v>
      </c>
      <c r="C400" s="6" t="s">
        <v>19</v>
      </c>
      <c r="D400" s="6" t="s">
        <v>3110</v>
      </c>
      <c r="E400" s="6" t="s">
        <v>2619</v>
      </c>
      <c r="F400" s="6" t="s">
        <v>3140</v>
      </c>
      <c r="G400" s="6" t="s">
        <v>2444</v>
      </c>
      <c r="H400" s="6" t="s">
        <v>3145</v>
      </c>
      <c r="I400" s="6">
        <v>1</v>
      </c>
      <c r="J400" s="6">
        <v>0</v>
      </c>
      <c r="K400" s="6">
        <v>0</v>
      </c>
      <c r="L400" s="6">
        <v>0</v>
      </c>
      <c r="M400" s="6">
        <v>0</v>
      </c>
      <c r="N400" s="6">
        <v>1</v>
      </c>
      <c r="O400" s="6">
        <v>1</v>
      </c>
    </row>
    <row r="401" spans="1:15" hidden="1">
      <c r="A401" s="6" t="s">
        <v>2452</v>
      </c>
      <c r="B401" s="6" t="s">
        <v>2453</v>
      </c>
      <c r="C401" s="6" t="s">
        <v>19</v>
      </c>
      <c r="D401" s="6" t="s">
        <v>3110</v>
      </c>
      <c r="E401" s="6" t="s">
        <v>2619</v>
      </c>
      <c r="F401" s="6" t="s">
        <v>3140</v>
      </c>
      <c r="G401" s="6" t="s">
        <v>2444</v>
      </c>
      <c r="H401" s="6" t="s">
        <v>3146</v>
      </c>
      <c r="I401" s="6">
        <v>1</v>
      </c>
      <c r="J401" s="6">
        <v>0</v>
      </c>
      <c r="K401" s="6">
        <v>0</v>
      </c>
      <c r="L401" s="6">
        <v>0</v>
      </c>
      <c r="M401" s="6">
        <v>0</v>
      </c>
      <c r="N401" s="6">
        <v>1</v>
      </c>
      <c r="O401" s="6">
        <v>1</v>
      </c>
    </row>
    <row r="402" spans="1:15" hidden="1">
      <c r="A402" s="6" t="s">
        <v>2452</v>
      </c>
      <c r="B402" s="6" t="s">
        <v>2453</v>
      </c>
      <c r="C402" s="6" t="s">
        <v>19</v>
      </c>
      <c r="D402" s="6" t="s">
        <v>3110</v>
      </c>
      <c r="E402" s="6" t="s">
        <v>2619</v>
      </c>
      <c r="F402" s="6" t="s">
        <v>3140</v>
      </c>
      <c r="G402" s="6" t="s">
        <v>2444</v>
      </c>
      <c r="H402" s="6" t="s">
        <v>3147</v>
      </c>
      <c r="I402" s="6">
        <v>2</v>
      </c>
      <c r="J402" s="6">
        <v>0</v>
      </c>
      <c r="K402" s="6">
        <v>0</v>
      </c>
      <c r="L402" s="6">
        <v>0</v>
      </c>
      <c r="M402" s="6">
        <v>0</v>
      </c>
      <c r="N402" s="6">
        <v>1</v>
      </c>
      <c r="O402" s="6">
        <v>1</v>
      </c>
    </row>
    <row r="403" spans="1:15" hidden="1">
      <c r="A403" s="6" t="s">
        <v>2452</v>
      </c>
      <c r="B403" s="6" t="s">
        <v>2453</v>
      </c>
      <c r="C403" s="6" t="s">
        <v>19</v>
      </c>
      <c r="D403" s="6" t="s">
        <v>3110</v>
      </c>
      <c r="E403" s="6" t="s">
        <v>2619</v>
      </c>
      <c r="F403" s="6" t="s">
        <v>3140</v>
      </c>
      <c r="G403" s="6" t="s">
        <v>2444</v>
      </c>
      <c r="H403" s="6" t="s">
        <v>3140</v>
      </c>
      <c r="I403" s="6">
        <v>2</v>
      </c>
      <c r="J403" s="6">
        <v>1</v>
      </c>
      <c r="K403" s="6">
        <v>0.5</v>
      </c>
      <c r="L403" s="6">
        <v>0.26</v>
      </c>
      <c r="M403" s="6">
        <v>0.26</v>
      </c>
      <c r="N403" s="6">
        <v>1</v>
      </c>
      <c r="O403" s="6">
        <v>1</v>
      </c>
    </row>
    <row r="404" spans="1:15" hidden="1">
      <c r="A404" s="6" t="s">
        <v>2452</v>
      </c>
      <c r="B404" s="6" t="s">
        <v>2453</v>
      </c>
      <c r="C404" s="6" t="s">
        <v>19</v>
      </c>
      <c r="D404" s="6" t="s">
        <v>3110</v>
      </c>
      <c r="E404" s="6" t="s">
        <v>2619</v>
      </c>
      <c r="F404" s="6" t="s">
        <v>2892</v>
      </c>
      <c r="G404" s="6" t="s">
        <v>2444</v>
      </c>
      <c r="H404" s="6" t="s">
        <v>3148</v>
      </c>
      <c r="I404" s="6">
        <v>1</v>
      </c>
      <c r="J404" s="6">
        <v>0</v>
      </c>
      <c r="K404" s="6">
        <v>0</v>
      </c>
      <c r="L404" s="6">
        <v>0</v>
      </c>
      <c r="M404" s="6">
        <v>0</v>
      </c>
      <c r="N404" s="6">
        <v>1</v>
      </c>
      <c r="O404" s="6">
        <v>1</v>
      </c>
    </row>
    <row r="405" spans="1:15" hidden="1">
      <c r="A405" s="6" t="s">
        <v>2452</v>
      </c>
      <c r="B405" s="6" t="s">
        <v>2453</v>
      </c>
      <c r="C405" s="6" t="s">
        <v>19</v>
      </c>
      <c r="D405" s="6" t="s">
        <v>3110</v>
      </c>
      <c r="E405" s="6" t="s">
        <v>2619</v>
      </c>
      <c r="F405" s="6" t="s">
        <v>3019</v>
      </c>
      <c r="G405" s="6" t="s">
        <v>2444</v>
      </c>
      <c r="H405" s="6" t="s">
        <v>3149</v>
      </c>
      <c r="I405" s="6">
        <v>8</v>
      </c>
      <c r="J405" s="6">
        <v>0</v>
      </c>
      <c r="K405" s="6">
        <v>0</v>
      </c>
      <c r="L405" s="6">
        <v>0</v>
      </c>
      <c r="M405" s="6">
        <v>0</v>
      </c>
      <c r="N405" s="6">
        <v>1</v>
      </c>
      <c r="O405" s="6">
        <v>1</v>
      </c>
    </row>
    <row r="406" spans="1:15" hidden="1">
      <c r="A406" s="6" t="s">
        <v>2452</v>
      </c>
      <c r="B406" s="6" t="s">
        <v>2453</v>
      </c>
      <c r="C406" s="6" t="s">
        <v>19</v>
      </c>
      <c r="D406" s="6" t="s">
        <v>3110</v>
      </c>
      <c r="E406" s="6" t="s">
        <v>2619</v>
      </c>
      <c r="F406" s="6" t="s">
        <v>3150</v>
      </c>
      <c r="G406" s="6" t="s">
        <v>2444</v>
      </c>
      <c r="H406" s="6" t="s">
        <v>3151</v>
      </c>
      <c r="I406" s="6">
        <v>3</v>
      </c>
      <c r="J406" s="6">
        <v>0</v>
      </c>
      <c r="K406" s="6">
        <v>0</v>
      </c>
      <c r="L406" s="6">
        <v>0</v>
      </c>
      <c r="M406" s="6">
        <v>0</v>
      </c>
      <c r="N406" s="6">
        <v>0.5</v>
      </c>
      <c r="O406" s="6">
        <v>0.5</v>
      </c>
    </row>
    <row r="407" spans="1:15" hidden="1">
      <c r="A407" s="6" t="s">
        <v>2452</v>
      </c>
      <c r="B407" s="6" t="s">
        <v>2453</v>
      </c>
      <c r="C407" s="6" t="s">
        <v>19</v>
      </c>
      <c r="D407" s="6" t="s">
        <v>3110</v>
      </c>
      <c r="E407" s="6" t="s">
        <v>3152</v>
      </c>
      <c r="F407" s="6" t="s">
        <v>3153</v>
      </c>
      <c r="G407" s="6" t="s">
        <v>2444</v>
      </c>
      <c r="H407" s="6" t="s">
        <v>3154</v>
      </c>
      <c r="I407" s="6">
        <v>2</v>
      </c>
      <c r="J407" s="6">
        <v>1</v>
      </c>
      <c r="K407" s="6">
        <v>0.5</v>
      </c>
      <c r="L407" s="6">
        <v>0.88</v>
      </c>
      <c r="M407" s="6">
        <v>0.88</v>
      </c>
      <c r="N407" s="6">
        <v>1</v>
      </c>
      <c r="O407" s="6">
        <v>1</v>
      </c>
    </row>
    <row r="408" spans="1:15" hidden="1">
      <c r="A408" s="6" t="s">
        <v>2452</v>
      </c>
      <c r="B408" s="6" t="s">
        <v>2453</v>
      </c>
      <c r="C408" s="6" t="s">
        <v>19</v>
      </c>
      <c r="D408" s="6" t="s">
        <v>3110</v>
      </c>
      <c r="E408" s="6" t="s">
        <v>3152</v>
      </c>
      <c r="F408" s="6" t="s">
        <v>3155</v>
      </c>
      <c r="G408" s="6" t="s">
        <v>2444</v>
      </c>
      <c r="H408" s="6" t="s">
        <v>3156</v>
      </c>
      <c r="I408" s="6">
        <v>2</v>
      </c>
      <c r="J408" s="6">
        <v>0</v>
      </c>
      <c r="K408" s="6">
        <v>0</v>
      </c>
      <c r="L408" s="6">
        <v>0</v>
      </c>
      <c r="M408" s="6">
        <v>0</v>
      </c>
      <c r="N408" s="6">
        <v>1</v>
      </c>
      <c r="O408" s="6">
        <v>1</v>
      </c>
    </row>
    <row r="409" spans="1:15" hidden="1">
      <c r="A409" s="6" t="s">
        <v>2452</v>
      </c>
      <c r="B409" s="6" t="s">
        <v>2453</v>
      </c>
      <c r="C409" s="6" t="s">
        <v>19</v>
      </c>
      <c r="D409" s="6" t="s">
        <v>3110</v>
      </c>
      <c r="E409" s="6" t="s">
        <v>3152</v>
      </c>
      <c r="F409" s="6" t="s">
        <v>3157</v>
      </c>
      <c r="G409" s="6" t="s">
        <v>2444</v>
      </c>
      <c r="H409" s="6" t="s">
        <v>3158</v>
      </c>
      <c r="I409" s="6">
        <v>1</v>
      </c>
      <c r="J409" s="6">
        <v>1</v>
      </c>
      <c r="K409" s="6">
        <v>1</v>
      </c>
      <c r="L409" s="6">
        <v>0.82</v>
      </c>
      <c r="M409" s="6">
        <v>0.82</v>
      </c>
      <c r="N409" s="6">
        <v>1</v>
      </c>
      <c r="O409" s="6">
        <v>0</v>
      </c>
    </row>
    <row r="410" spans="1:15" hidden="1">
      <c r="A410" s="6" t="s">
        <v>2452</v>
      </c>
      <c r="B410" s="6" t="s">
        <v>2453</v>
      </c>
      <c r="C410" s="6" t="s">
        <v>19</v>
      </c>
      <c r="D410" s="6" t="s">
        <v>3110</v>
      </c>
      <c r="E410" s="6" t="s">
        <v>3152</v>
      </c>
      <c r="F410" s="6" t="s">
        <v>3159</v>
      </c>
      <c r="G410" s="6" t="s">
        <v>2444</v>
      </c>
      <c r="H410" s="6" t="s">
        <v>3160</v>
      </c>
      <c r="I410" s="6">
        <v>2</v>
      </c>
      <c r="J410" s="6">
        <v>0</v>
      </c>
      <c r="K410" s="6">
        <v>0</v>
      </c>
      <c r="L410" s="6">
        <v>0</v>
      </c>
      <c r="M410" s="6">
        <v>0</v>
      </c>
      <c r="N410" s="6">
        <v>1</v>
      </c>
      <c r="O410" s="6">
        <v>0</v>
      </c>
    </row>
    <row r="411" spans="1:15" hidden="1">
      <c r="A411" s="6" t="s">
        <v>2452</v>
      </c>
      <c r="B411" s="6" t="s">
        <v>2453</v>
      </c>
      <c r="C411" s="6" t="s">
        <v>19</v>
      </c>
      <c r="D411" s="6" t="s">
        <v>3110</v>
      </c>
      <c r="E411" s="6" t="s">
        <v>3152</v>
      </c>
      <c r="F411" s="6" t="s">
        <v>3161</v>
      </c>
      <c r="G411" s="6" t="s">
        <v>2444</v>
      </c>
      <c r="H411" s="6" t="s">
        <v>3162</v>
      </c>
      <c r="I411" s="6">
        <v>1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</row>
    <row r="412" spans="1:15" hidden="1">
      <c r="A412" s="6" t="s">
        <v>2452</v>
      </c>
      <c r="B412" s="6" t="s">
        <v>2453</v>
      </c>
      <c r="C412" s="6" t="s">
        <v>19</v>
      </c>
      <c r="D412" s="6" t="s">
        <v>3110</v>
      </c>
      <c r="E412" s="6" t="s">
        <v>3152</v>
      </c>
      <c r="F412" s="6" t="s">
        <v>3161</v>
      </c>
      <c r="G412" s="6" t="s">
        <v>2444</v>
      </c>
      <c r="H412" s="6" t="s">
        <v>3163</v>
      </c>
      <c r="I412" s="6">
        <v>1</v>
      </c>
      <c r="J412" s="6">
        <v>0</v>
      </c>
      <c r="K412" s="6">
        <v>0</v>
      </c>
      <c r="L412" s="6">
        <v>0</v>
      </c>
      <c r="M412" s="6">
        <v>0</v>
      </c>
      <c r="N412" s="6">
        <v>1</v>
      </c>
      <c r="O412" s="6">
        <v>1</v>
      </c>
    </row>
    <row r="413" spans="1:15" hidden="1">
      <c r="A413" s="6" t="s">
        <v>2452</v>
      </c>
      <c r="B413" s="6" t="s">
        <v>2453</v>
      </c>
      <c r="C413" s="6" t="s">
        <v>19</v>
      </c>
      <c r="D413" s="6" t="s">
        <v>3110</v>
      </c>
      <c r="E413" s="6" t="s">
        <v>3152</v>
      </c>
      <c r="F413" s="6" t="s">
        <v>3161</v>
      </c>
      <c r="G413" s="6" t="s">
        <v>2444</v>
      </c>
      <c r="H413" s="6" t="s">
        <v>3164</v>
      </c>
      <c r="I413" s="6">
        <v>2</v>
      </c>
      <c r="J413" s="6">
        <v>0</v>
      </c>
      <c r="K413" s="6">
        <v>0</v>
      </c>
      <c r="L413" s="6">
        <v>0</v>
      </c>
      <c r="M413" s="6">
        <v>0</v>
      </c>
      <c r="N413" s="6">
        <v>1</v>
      </c>
      <c r="O413" s="6">
        <v>1</v>
      </c>
    </row>
    <row r="414" spans="1:15" hidden="1">
      <c r="A414" s="6" t="s">
        <v>2452</v>
      </c>
      <c r="B414" s="6" t="s">
        <v>2453</v>
      </c>
      <c r="C414" s="6" t="s">
        <v>19</v>
      </c>
      <c r="D414" s="6" t="s">
        <v>3110</v>
      </c>
      <c r="E414" s="6" t="s">
        <v>3152</v>
      </c>
      <c r="F414" s="6" t="s">
        <v>3165</v>
      </c>
      <c r="G414" s="6" t="s">
        <v>2444</v>
      </c>
      <c r="H414" s="6" t="s">
        <v>3166</v>
      </c>
      <c r="I414" s="6">
        <v>2</v>
      </c>
      <c r="J414" s="6">
        <v>0</v>
      </c>
      <c r="K414" s="6">
        <v>0</v>
      </c>
      <c r="L414" s="6">
        <v>0</v>
      </c>
      <c r="M414" s="6">
        <v>0</v>
      </c>
      <c r="N414" s="6">
        <v>1</v>
      </c>
      <c r="O414" s="6">
        <v>1</v>
      </c>
    </row>
    <row r="415" spans="1:15" hidden="1">
      <c r="A415" s="6" t="s">
        <v>2452</v>
      </c>
      <c r="B415" s="6" t="s">
        <v>2453</v>
      </c>
      <c r="C415" s="6" t="s">
        <v>19</v>
      </c>
      <c r="D415" s="6" t="s">
        <v>3110</v>
      </c>
      <c r="E415" s="6" t="s">
        <v>3167</v>
      </c>
      <c r="G415" s="6" t="s">
        <v>2444</v>
      </c>
      <c r="H415" s="6" t="s">
        <v>3168</v>
      </c>
      <c r="I415" s="6">
        <v>1</v>
      </c>
      <c r="J415" s="6">
        <v>0</v>
      </c>
      <c r="K415" s="6">
        <v>0</v>
      </c>
      <c r="L415" s="6">
        <v>0</v>
      </c>
      <c r="M415" s="6">
        <v>0</v>
      </c>
      <c r="N415" s="6">
        <v>1</v>
      </c>
      <c r="O415" s="6">
        <v>1</v>
      </c>
    </row>
    <row r="416" spans="1:15" hidden="1">
      <c r="A416" s="6" t="s">
        <v>2452</v>
      </c>
      <c r="B416" s="6" t="s">
        <v>2453</v>
      </c>
      <c r="C416" s="6" t="s">
        <v>19</v>
      </c>
      <c r="D416" s="6" t="s">
        <v>3110</v>
      </c>
      <c r="E416" s="6" t="s">
        <v>3167</v>
      </c>
      <c r="F416" s="6" t="s">
        <v>3169</v>
      </c>
      <c r="G416" s="6" t="s">
        <v>2444</v>
      </c>
      <c r="H416" s="6" t="s">
        <v>3170</v>
      </c>
      <c r="I416" s="6">
        <v>2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</row>
    <row r="417" spans="1:15" hidden="1">
      <c r="A417" s="6" t="s">
        <v>2452</v>
      </c>
      <c r="B417" s="6" t="s">
        <v>2453</v>
      </c>
      <c r="C417" s="6" t="s">
        <v>19</v>
      </c>
      <c r="D417" s="6" t="s">
        <v>3110</v>
      </c>
      <c r="E417" s="6" t="s">
        <v>3167</v>
      </c>
      <c r="F417" s="6" t="s">
        <v>3171</v>
      </c>
      <c r="G417" s="6" t="s">
        <v>2444</v>
      </c>
      <c r="H417" s="6" t="s">
        <v>3172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</row>
    <row r="418" spans="1:15" hidden="1">
      <c r="A418" s="6" t="s">
        <v>2452</v>
      </c>
      <c r="B418" s="6" t="s">
        <v>2453</v>
      </c>
      <c r="C418" s="6" t="s">
        <v>19</v>
      </c>
      <c r="D418" s="6" t="s">
        <v>3110</v>
      </c>
      <c r="E418" s="6" t="s">
        <v>3167</v>
      </c>
      <c r="F418" s="6" t="s">
        <v>3173</v>
      </c>
      <c r="G418" s="6" t="s">
        <v>2444</v>
      </c>
      <c r="H418" s="6" t="s">
        <v>3174</v>
      </c>
      <c r="I418" s="6">
        <v>1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</row>
    <row r="419" spans="1:15" hidden="1">
      <c r="A419" s="6" t="s">
        <v>2452</v>
      </c>
      <c r="B419" s="6" t="s">
        <v>2453</v>
      </c>
      <c r="C419" s="6" t="s">
        <v>19</v>
      </c>
      <c r="D419" s="6" t="s">
        <v>3175</v>
      </c>
      <c r="E419" s="6" t="s">
        <v>2901</v>
      </c>
      <c r="F419" s="6" t="s">
        <v>3176</v>
      </c>
      <c r="G419" s="6" t="s">
        <v>2444</v>
      </c>
      <c r="H419" s="6" t="s">
        <v>3177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</row>
    <row r="420" spans="1:15" hidden="1">
      <c r="A420" s="6" t="s">
        <v>2452</v>
      </c>
      <c r="B420" s="6" t="s">
        <v>2453</v>
      </c>
      <c r="C420" s="6" t="s">
        <v>19</v>
      </c>
      <c r="D420" s="6" t="s">
        <v>3175</v>
      </c>
      <c r="E420" s="6" t="s">
        <v>2901</v>
      </c>
      <c r="F420" s="6" t="s">
        <v>3178</v>
      </c>
      <c r="G420" s="6" t="s">
        <v>2444</v>
      </c>
      <c r="H420" s="6" t="s">
        <v>3179</v>
      </c>
      <c r="I420" s="6">
        <v>1</v>
      </c>
      <c r="J420" s="6">
        <v>0</v>
      </c>
      <c r="K420" s="6">
        <v>0</v>
      </c>
      <c r="L420" s="6">
        <v>0</v>
      </c>
      <c r="M420" s="6">
        <v>0</v>
      </c>
      <c r="N420" s="6">
        <v>1</v>
      </c>
      <c r="O420" s="6">
        <v>1</v>
      </c>
    </row>
    <row r="421" spans="1:15" hidden="1">
      <c r="A421" s="6" t="s">
        <v>2452</v>
      </c>
      <c r="B421" s="6" t="s">
        <v>2453</v>
      </c>
      <c r="C421" s="6" t="s">
        <v>19</v>
      </c>
      <c r="D421" s="6" t="s">
        <v>3175</v>
      </c>
      <c r="E421" s="6" t="s">
        <v>2901</v>
      </c>
      <c r="F421" s="6" t="s">
        <v>3180</v>
      </c>
      <c r="G421" s="6" t="s">
        <v>2444</v>
      </c>
      <c r="H421" s="6" t="s">
        <v>3180</v>
      </c>
      <c r="I421" s="6">
        <v>2</v>
      </c>
      <c r="J421" s="6">
        <v>0</v>
      </c>
      <c r="K421" s="6">
        <v>0</v>
      </c>
      <c r="L421" s="6">
        <v>0</v>
      </c>
      <c r="M421" s="6">
        <v>0</v>
      </c>
      <c r="N421" s="6">
        <v>1</v>
      </c>
      <c r="O421" s="6">
        <v>1</v>
      </c>
    </row>
    <row r="422" spans="1:15" hidden="1">
      <c r="A422" s="6" t="s">
        <v>2452</v>
      </c>
      <c r="B422" s="6" t="s">
        <v>2453</v>
      </c>
      <c r="C422" s="6" t="s">
        <v>19</v>
      </c>
      <c r="D422" s="6" t="s">
        <v>3181</v>
      </c>
      <c r="E422" s="6" t="s">
        <v>3182</v>
      </c>
      <c r="F422" s="6" t="s">
        <v>3183</v>
      </c>
      <c r="G422" s="6" t="s">
        <v>2444</v>
      </c>
      <c r="H422" s="6" t="s">
        <v>3184</v>
      </c>
      <c r="I422" s="6">
        <v>2</v>
      </c>
      <c r="J422" s="6">
        <v>1</v>
      </c>
      <c r="K422" s="6">
        <v>0.5</v>
      </c>
      <c r="L422" s="6">
        <v>0.47</v>
      </c>
      <c r="M422" s="6">
        <v>0.47</v>
      </c>
      <c r="N422" s="6">
        <v>1</v>
      </c>
      <c r="O422" s="6">
        <v>1</v>
      </c>
    </row>
    <row r="423" spans="1:15" hidden="1">
      <c r="A423" s="6" t="s">
        <v>2452</v>
      </c>
      <c r="B423" s="6" t="s">
        <v>2453</v>
      </c>
      <c r="C423" s="6" t="s">
        <v>19</v>
      </c>
      <c r="D423" s="6" t="s">
        <v>3181</v>
      </c>
      <c r="E423" s="6" t="s">
        <v>3185</v>
      </c>
      <c r="F423" s="6" t="s">
        <v>3171</v>
      </c>
      <c r="G423" s="6" t="s">
        <v>2444</v>
      </c>
      <c r="H423" s="6" t="s">
        <v>3186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>
        <v>1</v>
      </c>
      <c r="O423" s="6">
        <v>1</v>
      </c>
    </row>
    <row r="424" spans="1:15" hidden="1">
      <c r="A424" s="6" t="s">
        <v>2452</v>
      </c>
      <c r="B424" s="6" t="s">
        <v>2453</v>
      </c>
      <c r="C424" s="6" t="s">
        <v>19</v>
      </c>
      <c r="D424" s="6" t="s">
        <v>3181</v>
      </c>
      <c r="E424" s="6" t="s">
        <v>3185</v>
      </c>
      <c r="F424" s="6" t="s">
        <v>3171</v>
      </c>
      <c r="G424" s="6" t="s">
        <v>2444</v>
      </c>
      <c r="H424" s="6" t="s">
        <v>3171</v>
      </c>
      <c r="I424" s="6">
        <v>12</v>
      </c>
      <c r="J424" s="6">
        <v>0</v>
      </c>
      <c r="K424" s="6">
        <v>0</v>
      </c>
      <c r="L424" s="6">
        <v>0</v>
      </c>
      <c r="M424" s="6">
        <v>0</v>
      </c>
      <c r="N424" s="6">
        <v>1</v>
      </c>
      <c r="O424" s="6">
        <v>1</v>
      </c>
    </row>
    <row r="425" spans="1:15" hidden="1">
      <c r="A425" s="6" t="s">
        <v>2452</v>
      </c>
      <c r="B425" s="6" t="s">
        <v>2453</v>
      </c>
      <c r="C425" s="6" t="s">
        <v>19</v>
      </c>
      <c r="D425" s="6" t="s">
        <v>3181</v>
      </c>
      <c r="E425" s="6" t="s">
        <v>3185</v>
      </c>
      <c r="F425" s="6" t="s">
        <v>3187</v>
      </c>
      <c r="G425" s="6" t="s">
        <v>2444</v>
      </c>
      <c r="H425" s="6" t="s">
        <v>3188</v>
      </c>
      <c r="I425" s="6">
        <v>1</v>
      </c>
      <c r="J425" s="6">
        <v>0</v>
      </c>
      <c r="K425" s="6">
        <v>0</v>
      </c>
      <c r="L425" s="6">
        <v>0</v>
      </c>
      <c r="M425" s="6">
        <v>0</v>
      </c>
      <c r="N425" s="6">
        <v>1</v>
      </c>
      <c r="O425" s="6">
        <v>1</v>
      </c>
    </row>
    <row r="426" spans="1:15" hidden="1">
      <c r="A426" s="6" t="s">
        <v>2452</v>
      </c>
      <c r="B426" s="6" t="s">
        <v>2453</v>
      </c>
      <c r="C426" s="6" t="s">
        <v>19</v>
      </c>
      <c r="D426" s="6" t="s">
        <v>3181</v>
      </c>
      <c r="E426" s="6" t="s">
        <v>3185</v>
      </c>
      <c r="F426" s="6" t="s">
        <v>3189</v>
      </c>
      <c r="G426" s="6" t="s">
        <v>2444</v>
      </c>
      <c r="H426" s="6" t="s">
        <v>3190</v>
      </c>
      <c r="I426" s="6">
        <v>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</row>
    <row r="427" spans="1:15" hidden="1">
      <c r="A427" s="6" t="s">
        <v>2452</v>
      </c>
      <c r="B427" s="6" t="s">
        <v>2453</v>
      </c>
      <c r="C427" s="6" t="s">
        <v>19</v>
      </c>
      <c r="D427" s="6" t="s">
        <v>3181</v>
      </c>
      <c r="E427" s="6" t="s">
        <v>3185</v>
      </c>
      <c r="F427" s="6" t="s">
        <v>3189</v>
      </c>
      <c r="G427" s="6" t="s">
        <v>2444</v>
      </c>
      <c r="H427" s="6" t="s">
        <v>3189</v>
      </c>
      <c r="I427" s="6">
        <v>1</v>
      </c>
      <c r="J427" s="6">
        <v>0</v>
      </c>
      <c r="K427" s="6">
        <v>0</v>
      </c>
      <c r="L427" s="6">
        <v>0</v>
      </c>
      <c r="M427" s="6">
        <v>0</v>
      </c>
      <c r="N427" s="6">
        <v>1</v>
      </c>
      <c r="O427" s="6">
        <v>1</v>
      </c>
    </row>
    <row r="428" spans="1:15" hidden="1">
      <c r="A428" s="6" t="s">
        <v>2452</v>
      </c>
      <c r="B428" s="6" t="s">
        <v>2453</v>
      </c>
      <c r="C428" s="6" t="s">
        <v>19</v>
      </c>
      <c r="D428" s="6" t="s">
        <v>3181</v>
      </c>
      <c r="E428" s="6" t="s">
        <v>3185</v>
      </c>
      <c r="F428" s="6" t="s">
        <v>3191</v>
      </c>
      <c r="G428" s="6" t="s">
        <v>2444</v>
      </c>
      <c r="H428" s="6" t="s">
        <v>3192</v>
      </c>
      <c r="I428" s="6">
        <v>1</v>
      </c>
      <c r="J428" s="6">
        <v>0</v>
      </c>
      <c r="K428" s="6">
        <v>0</v>
      </c>
      <c r="L428" s="6">
        <v>0</v>
      </c>
      <c r="M428" s="6">
        <v>0</v>
      </c>
      <c r="N428" s="6">
        <v>1</v>
      </c>
      <c r="O428" s="6">
        <v>1</v>
      </c>
    </row>
    <row r="429" spans="1:15" hidden="1">
      <c r="A429" s="6" t="s">
        <v>2452</v>
      </c>
      <c r="B429" s="6" t="s">
        <v>2453</v>
      </c>
      <c r="C429" s="6" t="s">
        <v>19</v>
      </c>
      <c r="D429" s="6" t="s">
        <v>3181</v>
      </c>
      <c r="E429" s="6" t="s">
        <v>3185</v>
      </c>
      <c r="F429" s="6" t="s">
        <v>3193</v>
      </c>
      <c r="G429" s="6" t="s">
        <v>2444</v>
      </c>
      <c r="H429" s="6" t="s">
        <v>3194</v>
      </c>
      <c r="I429" s="6">
        <v>1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</row>
    <row r="430" spans="1:15" hidden="1">
      <c r="A430" s="6" t="s">
        <v>2452</v>
      </c>
      <c r="B430" s="6" t="s">
        <v>2453</v>
      </c>
      <c r="C430" s="6" t="s">
        <v>19</v>
      </c>
      <c r="D430" s="6" t="s">
        <v>3181</v>
      </c>
      <c r="E430" s="6" t="s">
        <v>3185</v>
      </c>
      <c r="F430" s="6" t="s">
        <v>3195</v>
      </c>
      <c r="G430" s="6" t="s">
        <v>2444</v>
      </c>
      <c r="H430" s="6" t="s">
        <v>3196</v>
      </c>
      <c r="I430" s="6">
        <v>2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</row>
    <row r="431" spans="1:15" hidden="1">
      <c r="A431" s="6" t="s">
        <v>2452</v>
      </c>
      <c r="B431" s="6" t="s">
        <v>2453</v>
      </c>
      <c r="C431" s="6" t="s">
        <v>19</v>
      </c>
      <c r="D431" s="6" t="s">
        <v>3181</v>
      </c>
      <c r="E431" s="6" t="s">
        <v>3197</v>
      </c>
      <c r="F431" s="6" t="s">
        <v>3198</v>
      </c>
      <c r="G431" s="6" t="s">
        <v>2444</v>
      </c>
      <c r="H431" s="6" t="s">
        <v>3199</v>
      </c>
      <c r="I431" s="6">
        <v>4</v>
      </c>
      <c r="J431" s="6">
        <v>0</v>
      </c>
      <c r="K431" s="6">
        <v>0</v>
      </c>
      <c r="L431" s="6">
        <v>0</v>
      </c>
      <c r="M431" s="6">
        <v>0</v>
      </c>
      <c r="N431" s="6">
        <v>1</v>
      </c>
      <c r="O431" s="6">
        <v>1</v>
      </c>
    </row>
    <row r="432" spans="1:15" hidden="1">
      <c r="A432" s="6" t="s">
        <v>2452</v>
      </c>
      <c r="B432" s="6" t="s">
        <v>2453</v>
      </c>
      <c r="C432" s="6" t="s">
        <v>19</v>
      </c>
      <c r="D432" s="6" t="s">
        <v>3181</v>
      </c>
      <c r="E432" s="6" t="s">
        <v>3197</v>
      </c>
      <c r="F432" s="6" t="s">
        <v>3198</v>
      </c>
      <c r="G432" s="6" t="s">
        <v>2444</v>
      </c>
      <c r="H432" s="6" t="s">
        <v>3198</v>
      </c>
      <c r="I432" s="6">
        <v>1</v>
      </c>
      <c r="J432" s="6">
        <v>0</v>
      </c>
      <c r="K432" s="6">
        <v>0</v>
      </c>
      <c r="L432" s="6">
        <v>0</v>
      </c>
      <c r="M432" s="6">
        <v>0</v>
      </c>
      <c r="N432" s="6">
        <v>1</v>
      </c>
      <c r="O432" s="6">
        <v>0</v>
      </c>
    </row>
    <row r="433" spans="1:15" hidden="1">
      <c r="A433" s="6" t="s">
        <v>2452</v>
      </c>
      <c r="B433" s="6" t="s">
        <v>2453</v>
      </c>
      <c r="C433" s="6" t="s">
        <v>19</v>
      </c>
      <c r="D433" s="6" t="s">
        <v>3181</v>
      </c>
      <c r="E433" s="6" t="s">
        <v>3200</v>
      </c>
      <c r="F433" s="6" t="s">
        <v>3201</v>
      </c>
      <c r="G433" s="6" t="s">
        <v>2444</v>
      </c>
      <c r="H433" s="6" t="s">
        <v>3201</v>
      </c>
      <c r="I433" s="6">
        <v>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</row>
    <row r="434" spans="1:15" hidden="1">
      <c r="A434" s="6" t="s">
        <v>2452</v>
      </c>
      <c r="B434" s="6" t="s">
        <v>2453</v>
      </c>
      <c r="C434" s="6" t="s">
        <v>19</v>
      </c>
      <c r="D434" s="6" t="s">
        <v>3181</v>
      </c>
      <c r="E434" s="6" t="s">
        <v>3202</v>
      </c>
      <c r="F434" s="6" t="s">
        <v>3203</v>
      </c>
      <c r="G434" s="6" t="s">
        <v>2444</v>
      </c>
      <c r="H434" s="6" t="s">
        <v>3204</v>
      </c>
      <c r="I434" s="6">
        <v>2</v>
      </c>
      <c r="J434" s="6">
        <v>0</v>
      </c>
      <c r="K434" s="6">
        <v>0</v>
      </c>
      <c r="L434" s="6">
        <v>0</v>
      </c>
      <c r="M434" s="6">
        <v>0</v>
      </c>
      <c r="N434" s="6">
        <v>1</v>
      </c>
      <c r="O434" s="6">
        <v>0</v>
      </c>
    </row>
    <row r="435" spans="1:15" hidden="1">
      <c r="A435" s="6" t="s">
        <v>2452</v>
      </c>
      <c r="B435" s="6" t="s">
        <v>2453</v>
      </c>
      <c r="C435" s="6" t="s">
        <v>19</v>
      </c>
      <c r="D435" s="6" t="s">
        <v>3181</v>
      </c>
      <c r="E435" s="6" t="s">
        <v>3202</v>
      </c>
      <c r="F435" s="6" t="s">
        <v>3203</v>
      </c>
      <c r="G435" s="6" t="s">
        <v>2444</v>
      </c>
      <c r="H435" s="6" t="s">
        <v>3205</v>
      </c>
      <c r="I435" s="6">
        <v>1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</row>
    <row r="436" spans="1:15" hidden="1">
      <c r="A436" s="6" t="s">
        <v>2452</v>
      </c>
      <c r="B436" s="6" t="s">
        <v>2453</v>
      </c>
      <c r="C436" s="6" t="s">
        <v>19</v>
      </c>
      <c r="D436" s="6" t="s">
        <v>3181</v>
      </c>
      <c r="E436" s="6" t="s">
        <v>3202</v>
      </c>
      <c r="F436" s="6" t="s">
        <v>3203</v>
      </c>
      <c r="G436" s="6" t="s">
        <v>2444</v>
      </c>
      <c r="H436" s="6" t="s">
        <v>3206</v>
      </c>
      <c r="I436" s="6">
        <v>1</v>
      </c>
      <c r="J436" s="6">
        <v>0</v>
      </c>
      <c r="K436" s="6">
        <v>0</v>
      </c>
      <c r="L436" s="6">
        <v>0</v>
      </c>
      <c r="M436" s="6">
        <v>0</v>
      </c>
      <c r="N436" s="6">
        <v>1</v>
      </c>
      <c r="O436" s="6">
        <v>1</v>
      </c>
    </row>
    <row r="437" spans="1:15" hidden="1">
      <c r="A437" s="6" t="s">
        <v>2452</v>
      </c>
      <c r="B437" s="6" t="s">
        <v>2453</v>
      </c>
      <c r="C437" s="6" t="s">
        <v>19</v>
      </c>
      <c r="D437" s="6" t="s">
        <v>3181</v>
      </c>
      <c r="E437" s="6" t="s">
        <v>3202</v>
      </c>
      <c r="F437" s="6" t="s">
        <v>3203</v>
      </c>
      <c r="G437" s="6" t="s">
        <v>2444</v>
      </c>
      <c r="H437" s="6" t="s">
        <v>3207</v>
      </c>
      <c r="I437" s="6">
        <v>1</v>
      </c>
      <c r="J437" s="6">
        <v>0</v>
      </c>
      <c r="K437" s="6">
        <v>0</v>
      </c>
      <c r="L437" s="6">
        <v>0</v>
      </c>
      <c r="M437" s="6">
        <v>0</v>
      </c>
      <c r="N437" s="6">
        <v>1</v>
      </c>
      <c r="O437" s="6">
        <v>1</v>
      </c>
    </row>
    <row r="438" spans="1:15" hidden="1">
      <c r="A438" s="6" t="s">
        <v>2452</v>
      </c>
      <c r="B438" s="6" t="s">
        <v>2453</v>
      </c>
      <c r="C438" s="6" t="s">
        <v>19</v>
      </c>
      <c r="D438" s="6" t="s">
        <v>3181</v>
      </c>
      <c r="E438" s="6" t="s">
        <v>3202</v>
      </c>
      <c r="F438" s="6" t="s">
        <v>3203</v>
      </c>
      <c r="G438" s="6" t="s">
        <v>2444</v>
      </c>
      <c r="H438" s="6" t="s">
        <v>3208</v>
      </c>
      <c r="I438" s="6">
        <v>1</v>
      </c>
      <c r="J438" s="6">
        <v>1</v>
      </c>
      <c r="K438" s="6">
        <v>1</v>
      </c>
      <c r="L438" s="6">
        <v>0.15</v>
      </c>
      <c r="M438" s="6">
        <v>0.15</v>
      </c>
      <c r="N438" s="6">
        <v>1</v>
      </c>
      <c r="O438" s="6">
        <v>1</v>
      </c>
    </row>
    <row r="439" spans="1:15" hidden="1">
      <c r="A439" s="6" t="s">
        <v>2452</v>
      </c>
      <c r="B439" s="6" t="s">
        <v>2453</v>
      </c>
      <c r="C439" s="6" t="s">
        <v>19</v>
      </c>
      <c r="D439" s="6" t="s">
        <v>3181</v>
      </c>
      <c r="E439" s="6" t="s">
        <v>3202</v>
      </c>
      <c r="F439" s="6" t="s">
        <v>3203</v>
      </c>
      <c r="G439" s="6" t="s">
        <v>2444</v>
      </c>
      <c r="H439" s="6" t="s">
        <v>3209</v>
      </c>
      <c r="I439" s="6">
        <v>2</v>
      </c>
      <c r="J439" s="6">
        <v>0</v>
      </c>
      <c r="K439" s="6">
        <v>0</v>
      </c>
      <c r="L439" s="6">
        <v>0</v>
      </c>
      <c r="M439" s="6">
        <v>0</v>
      </c>
      <c r="N439" s="6">
        <v>1</v>
      </c>
      <c r="O439" s="6">
        <v>0</v>
      </c>
    </row>
    <row r="440" spans="1:15" hidden="1">
      <c r="A440" s="6" t="s">
        <v>2452</v>
      </c>
      <c r="B440" s="6" t="s">
        <v>2453</v>
      </c>
      <c r="C440" s="6" t="s">
        <v>19</v>
      </c>
      <c r="D440" s="6" t="s">
        <v>3181</v>
      </c>
      <c r="E440" s="6" t="s">
        <v>3202</v>
      </c>
      <c r="F440" s="6" t="s">
        <v>3203</v>
      </c>
      <c r="G440" s="6" t="s">
        <v>2444</v>
      </c>
      <c r="H440" s="6" t="s">
        <v>3203</v>
      </c>
      <c r="I440" s="6">
        <v>4</v>
      </c>
      <c r="J440" s="6">
        <v>0</v>
      </c>
      <c r="K440" s="6">
        <v>0</v>
      </c>
      <c r="L440" s="6">
        <v>0</v>
      </c>
      <c r="M440" s="6">
        <v>0</v>
      </c>
      <c r="N440" s="6">
        <v>1</v>
      </c>
      <c r="O440" s="6">
        <v>0.5</v>
      </c>
    </row>
    <row r="441" spans="1:15" hidden="1">
      <c r="A441" s="6" t="s">
        <v>2452</v>
      </c>
      <c r="B441" s="6" t="s">
        <v>2453</v>
      </c>
      <c r="C441" s="6" t="s">
        <v>19</v>
      </c>
      <c r="D441" s="6" t="s">
        <v>3181</v>
      </c>
      <c r="E441" s="6" t="s">
        <v>3202</v>
      </c>
      <c r="F441" s="6" t="s">
        <v>3210</v>
      </c>
      <c r="G441" s="6" t="s">
        <v>2444</v>
      </c>
      <c r="H441" s="6" t="s">
        <v>3211</v>
      </c>
      <c r="I441" s="6">
        <v>1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</row>
    <row r="442" spans="1:15" hidden="1">
      <c r="A442" s="6" t="s">
        <v>2452</v>
      </c>
      <c r="B442" s="6" t="s">
        <v>2453</v>
      </c>
      <c r="C442" s="6" t="s">
        <v>19</v>
      </c>
      <c r="D442" s="6" t="s">
        <v>3181</v>
      </c>
      <c r="E442" s="6" t="s">
        <v>3202</v>
      </c>
      <c r="F442" s="6" t="s">
        <v>3212</v>
      </c>
      <c r="G442" s="6" t="s">
        <v>2444</v>
      </c>
      <c r="H442" s="6" t="s">
        <v>3213</v>
      </c>
      <c r="I442" s="6">
        <v>2</v>
      </c>
      <c r="J442" s="6">
        <v>0</v>
      </c>
      <c r="K442" s="6">
        <v>0</v>
      </c>
      <c r="L442" s="6">
        <v>0</v>
      </c>
      <c r="M442" s="6">
        <v>0</v>
      </c>
      <c r="N442" s="6">
        <v>1</v>
      </c>
      <c r="O442" s="6">
        <v>1</v>
      </c>
    </row>
    <row r="443" spans="1:15" hidden="1">
      <c r="A443" s="6" t="s">
        <v>2452</v>
      </c>
      <c r="B443" s="6" t="s">
        <v>2453</v>
      </c>
      <c r="C443" s="6" t="s">
        <v>19</v>
      </c>
      <c r="D443" s="6" t="s">
        <v>3181</v>
      </c>
      <c r="E443" s="6" t="s">
        <v>3202</v>
      </c>
      <c r="F443" s="6" t="s">
        <v>3212</v>
      </c>
      <c r="G443" s="6" t="s">
        <v>2444</v>
      </c>
      <c r="H443" s="6" t="s">
        <v>3214</v>
      </c>
      <c r="I443" s="6">
        <v>1</v>
      </c>
      <c r="J443" s="6">
        <v>0</v>
      </c>
      <c r="K443" s="6">
        <v>0</v>
      </c>
      <c r="L443" s="6">
        <v>0</v>
      </c>
      <c r="M443" s="6">
        <v>0</v>
      </c>
      <c r="N443" s="6">
        <v>1</v>
      </c>
      <c r="O443" s="6">
        <v>1</v>
      </c>
    </row>
    <row r="444" spans="1:15" hidden="1">
      <c r="A444" s="6" t="s">
        <v>2452</v>
      </c>
      <c r="B444" s="6" t="s">
        <v>2453</v>
      </c>
      <c r="C444" s="6" t="s">
        <v>19</v>
      </c>
      <c r="D444" s="6" t="s">
        <v>3181</v>
      </c>
      <c r="E444" s="6" t="s">
        <v>3202</v>
      </c>
      <c r="F444" s="6" t="s">
        <v>3212</v>
      </c>
      <c r="G444" s="6" t="s">
        <v>2444</v>
      </c>
      <c r="H444" s="6" t="s">
        <v>3215</v>
      </c>
      <c r="I444" s="6">
        <v>1</v>
      </c>
      <c r="J444" s="6">
        <v>0</v>
      </c>
      <c r="K444" s="6">
        <v>0</v>
      </c>
      <c r="L444" s="6">
        <v>0</v>
      </c>
      <c r="M444" s="6">
        <v>0</v>
      </c>
      <c r="N444" s="6">
        <v>1</v>
      </c>
      <c r="O444" s="6">
        <v>0</v>
      </c>
    </row>
    <row r="445" spans="1:15" hidden="1">
      <c r="A445" s="6" t="s">
        <v>2452</v>
      </c>
      <c r="B445" s="6" t="s">
        <v>2453</v>
      </c>
      <c r="C445" s="6" t="s">
        <v>19</v>
      </c>
      <c r="D445" s="6" t="s">
        <v>3181</v>
      </c>
      <c r="E445" s="6" t="s">
        <v>3216</v>
      </c>
      <c r="F445" s="6" t="s">
        <v>3217</v>
      </c>
      <c r="G445" s="6" t="s">
        <v>2444</v>
      </c>
      <c r="H445" s="6" t="s">
        <v>3218</v>
      </c>
      <c r="I445" s="6">
        <v>1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</row>
    <row r="446" spans="1:15" hidden="1">
      <c r="A446" s="6" t="s">
        <v>2452</v>
      </c>
      <c r="B446" s="6" t="s">
        <v>2453</v>
      </c>
      <c r="C446" s="6" t="s">
        <v>19</v>
      </c>
      <c r="D446" s="6" t="s">
        <v>3181</v>
      </c>
      <c r="E446" s="6" t="s">
        <v>3219</v>
      </c>
      <c r="F446" s="6" t="s">
        <v>3220</v>
      </c>
      <c r="G446" s="6" t="s">
        <v>2444</v>
      </c>
      <c r="H446" s="6" t="s">
        <v>3221</v>
      </c>
      <c r="I446" s="6">
        <v>2</v>
      </c>
      <c r="J446" s="6">
        <v>0</v>
      </c>
      <c r="K446" s="6">
        <v>0</v>
      </c>
      <c r="L446" s="6">
        <v>0</v>
      </c>
      <c r="M446" s="6">
        <v>0</v>
      </c>
      <c r="N446" s="6">
        <v>0.5</v>
      </c>
      <c r="O446" s="6">
        <v>0.5</v>
      </c>
    </row>
    <row r="447" spans="1:15" hidden="1">
      <c r="A447" s="6" t="s">
        <v>2452</v>
      </c>
      <c r="B447" s="6" t="s">
        <v>2453</v>
      </c>
      <c r="C447" s="6" t="s">
        <v>19</v>
      </c>
      <c r="D447" s="6" t="s">
        <v>3181</v>
      </c>
      <c r="E447" s="6" t="s">
        <v>3219</v>
      </c>
      <c r="F447" s="6" t="s">
        <v>3222</v>
      </c>
      <c r="G447" s="6" t="s">
        <v>2444</v>
      </c>
      <c r="H447" s="6" t="s">
        <v>3223</v>
      </c>
      <c r="I447" s="6">
        <v>1</v>
      </c>
      <c r="J447" s="6">
        <v>1</v>
      </c>
      <c r="K447" s="6">
        <v>1</v>
      </c>
      <c r="L447" s="6">
        <v>0.08</v>
      </c>
      <c r="M447" s="6">
        <v>0.08</v>
      </c>
      <c r="N447" s="6">
        <v>1</v>
      </c>
      <c r="O447" s="6">
        <v>1</v>
      </c>
    </row>
    <row r="448" spans="1:15" hidden="1">
      <c r="A448" s="6" t="s">
        <v>2452</v>
      </c>
      <c r="B448" s="6" t="s">
        <v>2453</v>
      </c>
      <c r="C448" s="6" t="s">
        <v>19</v>
      </c>
      <c r="D448" s="6" t="s">
        <v>3181</v>
      </c>
      <c r="E448" s="6" t="s">
        <v>3224</v>
      </c>
      <c r="F448" s="6" t="s">
        <v>3225</v>
      </c>
      <c r="G448" s="6" t="s">
        <v>2444</v>
      </c>
      <c r="H448" s="6" t="s">
        <v>3226</v>
      </c>
      <c r="I448" s="6">
        <v>2</v>
      </c>
      <c r="J448" s="6">
        <v>0</v>
      </c>
      <c r="K448" s="6">
        <v>0</v>
      </c>
      <c r="L448" s="6">
        <v>0</v>
      </c>
      <c r="M448" s="6">
        <v>0</v>
      </c>
      <c r="N448" s="6">
        <v>1</v>
      </c>
      <c r="O448" s="6">
        <v>0</v>
      </c>
    </row>
    <row r="449" spans="1:15" hidden="1">
      <c r="A449" s="6" t="s">
        <v>2452</v>
      </c>
      <c r="B449" s="6" t="s">
        <v>2453</v>
      </c>
      <c r="C449" s="6" t="s">
        <v>19</v>
      </c>
      <c r="D449" s="6" t="s">
        <v>3181</v>
      </c>
      <c r="E449" s="6" t="s">
        <v>3227</v>
      </c>
      <c r="F449" s="6" t="s">
        <v>3228</v>
      </c>
      <c r="G449" s="6" t="s">
        <v>2444</v>
      </c>
      <c r="H449" s="6" t="s">
        <v>3229</v>
      </c>
      <c r="I449" s="6">
        <v>1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</row>
    <row r="450" spans="1:15" hidden="1">
      <c r="A450" s="6" t="s">
        <v>2452</v>
      </c>
      <c r="B450" s="6" t="s">
        <v>2453</v>
      </c>
      <c r="C450" s="6" t="s">
        <v>19</v>
      </c>
      <c r="D450" s="6" t="s">
        <v>3230</v>
      </c>
      <c r="E450" s="6" t="s">
        <v>2982</v>
      </c>
      <c r="G450" s="6" t="s">
        <v>2444</v>
      </c>
      <c r="H450" s="6" t="s">
        <v>3231</v>
      </c>
      <c r="I450" s="6">
        <v>1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</row>
    <row r="451" spans="1:15" hidden="1">
      <c r="A451" s="6" t="s">
        <v>2452</v>
      </c>
      <c r="B451" s="6" t="s">
        <v>2453</v>
      </c>
      <c r="C451" s="6" t="s">
        <v>19</v>
      </c>
      <c r="D451" s="6" t="s">
        <v>3230</v>
      </c>
      <c r="E451" s="6" t="s">
        <v>2982</v>
      </c>
      <c r="F451" s="6" t="s">
        <v>3232</v>
      </c>
      <c r="G451" s="6" t="s">
        <v>2444</v>
      </c>
      <c r="H451" s="6" t="s">
        <v>3233</v>
      </c>
      <c r="I451" s="6">
        <v>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</row>
    <row r="452" spans="1:15" hidden="1">
      <c r="A452" s="6" t="s">
        <v>2452</v>
      </c>
      <c r="B452" s="6" t="s">
        <v>2453</v>
      </c>
      <c r="C452" s="6" t="s">
        <v>19</v>
      </c>
      <c r="D452" s="6" t="s">
        <v>3230</v>
      </c>
      <c r="E452" s="6" t="s">
        <v>2982</v>
      </c>
      <c r="F452" s="6" t="s">
        <v>3234</v>
      </c>
      <c r="G452" s="6" t="s">
        <v>2444</v>
      </c>
      <c r="H452" s="6" t="s">
        <v>3234</v>
      </c>
      <c r="I452" s="6">
        <v>6</v>
      </c>
      <c r="J452" s="6">
        <v>0</v>
      </c>
      <c r="K452" s="6">
        <v>0</v>
      </c>
      <c r="L452" s="6">
        <v>0</v>
      </c>
      <c r="M452" s="6">
        <v>0</v>
      </c>
      <c r="N452" s="6">
        <v>1</v>
      </c>
      <c r="O452" s="6">
        <v>1</v>
      </c>
    </row>
    <row r="453" spans="1:15" hidden="1">
      <c r="A453" s="6" t="s">
        <v>2452</v>
      </c>
      <c r="B453" s="6" t="s">
        <v>2453</v>
      </c>
      <c r="C453" s="6" t="s">
        <v>19</v>
      </c>
      <c r="D453" s="6" t="s">
        <v>3230</v>
      </c>
      <c r="E453" s="6" t="s">
        <v>2982</v>
      </c>
      <c r="F453" s="6" t="s">
        <v>3235</v>
      </c>
      <c r="G453" s="6" t="s">
        <v>2444</v>
      </c>
      <c r="H453" s="6" t="s">
        <v>3236</v>
      </c>
      <c r="I453" s="6">
        <v>1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</row>
    <row r="454" spans="1:15" hidden="1">
      <c r="A454" s="6" t="s">
        <v>2452</v>
      </c>
      <c r="B454" s="6" t="s">
        <v>2453</v>
      </c>
      <c r="C454" s="6" t="s">
        <v>19</v>
      </c>
      <c r="D454" s="6" t="s">
        <v>3230</v>
      </c>
      <c r="E454" s="6" t="s">
        <v>2982</v>
      </c>
      <c r="F454" s="6" t="s">
        <v>3237</v>
      </c>
      <c r="G454" s="6" t="s">
        <v>2444</v>
      </c>
      <c r="H454" s="6" t="s">
        <v>3238</v>
      </c>
      <c r="I454" s="6">
        <v>1</v>
      </c>
      <c r="J454" s="6">
        <v>0</v>
      </c>
      <c r="K454" s="6">
        <v>0</v>
      </c>
      <c r="L454" s="6">
        <v>0</v>
      </c>
      <c r="M454" s="6">
        <v>0</v>
      </c>
      <c r="N454" s="6">
        <v>1</v>
      </c>
      <c r="O454" s="6">
        <v>1</v>
      </c>
    </row>
    <row r="455" spans="1:15" hidden="1">
      <c r="A455" s="6" t="s">
        <v>2452</v>
      </c>
      <c r="B455" s="6" t="s">
        <v>2453</v>
      </c>
      <c r="C455" s="6" t="s">
        <v>19</v>
      </c>
      <c r="D455" s="6" t="s">
        <v>3239</v>
      </c>
      <c r="E455" s="6" t="s">
        <v>3240</v>
      </c>
      <c r="F455" s="6" t="s">
        <v>3241</v>
      </c>
      <c r="G455" s="6" t="s">
        <v>2444</v>
      </c>
      <c r="H455" s="6" t="s">
        <v>3242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>
        <v>1</v>
      </c>
      <c r="O455" s="6">
        <v>1</v>
      </c>
    </row>
    <row r="456" spans="1:15" hidden="1">
      <c r="A456" s="6" t="s">
        <v>2452</v>
      </c>
      <c r="B456" s="6" t="s">
        <v>2453</v>
      </c>
      <c r="C456" s="6" t="s">
        <v>19</v>
      </c>
      <c r="D456" s="6" t="s">
        <v>3239</v>
      </c>
      <c r="E456" s="6" t="s">
        <v>3243</v>
      </c>
      <c r="G456" s="6" t="s">
        <v>2444</v>
      </c>
      <c r="H456" s="6" t="s">
        <v>3244</v>
      </c>
      <c r="I456" s="6">
        <v>1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</row>
    <row r="457" spans="1:15" hidden="1">
      <c r="A457" s="6" t="s">
        <v>2452</v>
      </c>
      <c r="B457" s="6" t="s">
        <v>2453</v>
      </c>
      <c r="C457" s="6" t="s">
        <v>19</v>
      </c>
      <c r="D457" s="6" t="s">
        <v>3239</v>
      </c>
      <c r="E457" s="6" t="s">
        <v>3243</v>
      </c>
      <c r="F457" s="6" t="s">
        <v>3245</v>
      </c>
      <c r="G457" s="6" t="s">
        <v>2444</v>
      </c>
      <c r="H457" s="6" t="s">
        <v>3245</v>
      </c>
      <c r="I457" s="6">
        <v>2</v>
      </c>
      <c r="J457" s="6">
        <v>0</v>
      </c>
      <c r="K457" s="6">
        <v>0</v>
      </c>
      <c r="L457" s="6">
        <v>0</v>
      </c>
      <c r="M457" s="6">
        <v>0</v>
      </c>
      <c r="N457" s="6">
        <v>1</v>
      </c>
      <c r="O457" s="6">
        <v>0</v>
      </c>
    </row>
    <row r="458" spans="1:15" hidden="1">
      <c r="A458" s="6" t="s">
        <v>2452</v>
      </c>
      <c r="B458" s="6" t="s">
        <v>2453</v>
      </c>
      <c r="C458" s="6" t="s">
        <v>19</v>
      </c>
      <c r="D458" s="6" t="s">
        <v>3239</v>
      </c>
      <c r="E458" s="6" t="s">
        <v>3243</v>
      </c>
      <c r="F458" s="6" t="s">
        <v>3246</v>
      </c>
      <c r="G458" s="6" t="s">
        <v>2444</v>
      </c>
      <c r="H458" s="6" t="s">
        <v>3247</v>
      </c>
      <c r="I458" s="6">
        <v>5</v>
      </c>
      <c r="J458" s="6">
        <v>0</v>
      </c>
      <c r="K458" s="6">
        <v>0</v>
      </c>
      <c r="L458" s="6">
        <v>0</v>
      </c>
      <c r="M458" s="6">
        <v>0</v>
      </c>
      <c r="N458" s="6">
        <v>0.66670000000000007</v>
      </c>
      <c r="O458" s="6">
        <v>0.66670000000000007</v>
      </c>
    </row>
    <row r="459" spans="1:15" hidden="1">
      <c r="A459" s="6" t="s">
        <v>2452</v>
      </c>
      <c r="B459" s="6" t="s">
        <v>2453</v>
      </c>
      <c r="C459" s="6" t="s">
        <v>19</v>
      </c>
      <c r="D459" s="6" t="s">
        <v>3239</v>
      </c>
      <c r="E459" s="6" t="s">
        <v>3243</v>
      </c>
      <c r="F459" s="6" t="s">
        <v>3248</v>
      </c>
      <c r="G459" s="6" t="s">
        <v>2444</v>
      </c>
      <c r="H459" s="6" t="s">
        <v>3249</v>
      </c>
      <c r="I459" s="6">
        <v>1</v>
      </c>
      <c r="J459" s="6">
        <v>0</v>
      </c>
      <c r="K459" s="6">
        <v>0</v>
      </c>
      <c r="L459" s="6">
        <v>0</v>
      </c>
      <c r="M459" s="6">
        <v>0</v>
      </c>
      <c r="N459" s="6">
        <v>1</v>
      </c>
      <c r="O459" s="6">
        <v>1</v>
      </c>
    </row>
    <row r="460" spans="1:15" hidden="1">
      <c r="A460" s="6" t="s">
        <v>2452</v>
      </c>
      <c r="B460" s="6" t="s">
        <v>2453</v>
      </c>
      <c r="C460" s="6" t="s">
        <v>19</v>
      </c>
      <c r="D460" s="6" t="s">
        <v>3239</v>
      </c>
      <c r="E460" s="6" t="s">
        <v>3243</v>
      </c>
      <c r="F460" s="6" t="s">
        <v>3248</v>
      </c>
      <c r="G460" s="6" t="s">
        <v>2444</v>
      </c>
      <c r="H460" s="6" t="s">
        <v>3250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</row>
    <row r="461" spans="1:15" hidden="1">
      <c r="A461" s="6" t="s">
        <v>2452</v>
      </c>
      <c r="B461" s="6" t="s">
        <v>2453</v>
      </c>
      <c r="C461" s="6" t="s">
        <v>19</v>
      </c>
      <c r="D461" s="6" t="s">
        <v>3239</v>
      </c>
      <c r="E461" s="6" t="s">
        <v>3243</v>
      </c>
      <c r="F461" s="6" t="s">
        <v>3248</v>
      </c>
      <c r="G461" s="6" t="s">
        <v>2444</v>
      </c>
      <c r="H461" s="6" t="s">
        <v>3248</v>
      </c>
      <c r="I461" s="6">
        <v>1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</row>
    <row r="462" spans="1:15" hidden="1">
      <c r="A462" s="6" t="s">
        <v>2452</v>
      </c>
      <c r="B462" s="6" t="s">
        <v>2453</v>
      </c>
      <c r="C462" s="6" t="s">
        <v>19</v>
      </c>
      <c r="D462" s="6" t="s">
        <v>3239</v>
      </c>
      <c r="E462" s="6" t="s">
        <v>3243</v>
      </c>
      <c r="F462" s="6" t="s">
        <v>3251</v>
      </c>
      <c r="G462" s="6" t="s">
        <v>2444</v>
      </c>
      <c r="H462" s="6" t="s">
        <v>3252</v>
      </c>
      <c r="I462" s="6">
        <v>2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</row>
    <row r="463" spans="1:15" hidden="1">
      <c r="A463" s="6" t="s">
        <v>2452</v>
      </c>
      <c r="B463" s="6" t="s">
        <v>2453</v>
      </c>
      <c r="C463" s="6" t="s">
        <v>19</v>
      </c>
      <c r="D463" s="6" t="s">
        <v>3239</v>
      </c>
      <c r="E463" s="6" t="s">
        <v>3253</v>
      </c>
      <c r="F463" s="6" t="s">
        <v>3254</v>
      </c>
      <c r="G463" s="6" t="s">
        <v>2444</v>
      </c>
      <c r="H463" s="6" t="s">
        <v>3255</v>
      </c>
      <c r="I463" s="6">
        <v>1</v>
      </c>
      <c r="J463" s="6">
        <v>0</v>
      </c>
      <c r="K463" s="6">
        <v>0</v>
      </c>
      <c r="L463" s="6">
        <v>0</v>
      </c>
      <c r="M463" s="6">
        <v>0</v>
      </c>
      <c r="N463" s="6">
        <v>1</v>
      </c>
      <c r="O463" s="6">
        <v>1</v>
      </c>
    </row>
    <row r="464" spans="1:15" hidden="1">
      <c r="A464" s="6" t="s">
        <v>2452</v>
      </c>
      <c r="B464" s="6" t="s">
        <v>2453</v>
      </c>
      <c r="C464" s="6" t="s">
        <v>19</v>
      </c>
      <c r="D464" s="6" t="s">
        <v>3239</v>
      </c>
      <c r="E464" s="6" t="s">
        <v>3253</v>
      </c>
      <c r="F464" s="6" t="s">
        <v>3256</v>
      </c>
      <c r="G464" s="6" t="s">
        <v>2444</v>
      </c>
      <c r="H464" s="6" t="s">
        <v>3257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>
        <v>1</v>
      </c>
      <c r="O464" s="6">
        <v>1</v>
      </c>
    </row>
    <row r="465" spans="1:15" hidden="1">
      <c r="A465" s="6" t="s">
        <v>2452</v>
      </c>
      <c r="B465" s="6" t="s">
        <v>2453</v>
      </c>
      <c r="C465" s="6" t="s">
        <v>19</v>
      </c>
      <c r="D465" s="6" t="s">
        <v>3239</v>
      </c>
      <c r="E465" s="6" t="s">
        <v>3253</v>
      </c>
      <c r="F465" s="6" t="s">
        <v>2579</v>
      </c>
      <c r="G465" s="6" t="s">
        <v>2444</v>
      </c>
      <c r="H465" s="6" t="s">
        <v>3258</v>
      </c>
      <c r="I465" s="6">
        <v>3</v>
      </c>
      <c r="J465" s="6">
        <v>0</v>
      </c>
      <c r="K465" s="6">
        <v>0</v>
      </c>
      <c r="L465" s="6">
        <v>0</v>
      </c>
      <c r="M465" s="6">
        <v>0</v>
      </c>
      <c r="N465" s="6">
        <v>1</v>
      </c>
      <c r="O465" s="6">
        <v>1</v>
      </c>
    </row>
    <row r="466" spans="1:15" hidden="1">
      <c r="A466" s="6" t="s">
        <v>2452</v>
      </c>
      <c r="B466" s="6" t="s">
        <v>2453</v>
      </c>
      <c r="C466" s="6" t="s">
        <v>19</v>
      </c>
      <c r="D466" s="6" t="s">
        <v>3239</v>
      </c>
      <c r="E466" s="6" t="s">
        <v>3253</v>
      </c>
      <c r="F466" s="6" t="s">
        <v>2579</v>
      </c>
      <c r="G466" s="6" t="s">
        <v>2444</v>
      </c>
      <c r="H466" s="6" t="s">
        <v>3259</v>
      </c>
      <c r="I466" s="6">
        <v>1</v>
      </c>
      <c r="J466" s="6">
        <v>0</v>
      </c>
      <c r="K466" s="6">
        <v>0</v>
      </c>
      <c r="L466" s="6">
        <v>0</v>
      </c>
      <c r="M466" s="6">
        <v>0</v>
      </c>
      <c r="N466" s="6">
        <v>1</v>
      </c>
      <c r="O466" s="6">
        <v>1</v>
      </c>
    </row>
    <row r="467" spans="1:15" hidden="1">
      <c r="A467" s="6" t="s">
        <v>2452</v>
      </c>
      <c r="B467" s="6" t="s">
        <v>2453</v>
      </c>
      <c r="C467" s="6" t="s">
        <v>19</v>
      </c>
      <c r="D467" s="6" t="s">
        <v>3239</v>
      </c>
      <c r="E467" s="6" t="s">
        <v>2624</v>
      </c>
      <c r="G467" s="6" t="s">
        <v>2444</v>
      </c>
      <c r="H467" s="6" t="s">
        <v>3260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1</v>
      </c>
      <c r="O467" s="6">
        <v>1</v>
      </c>
    </row>
    <row r="468" spans="1:15" hidden="1">
      <c r="A468" s="6" t="s">
        <v>2452</v>
      </c>
      <c r="B468" s="6" t="s">
        <v>2453</v>
      </c>
      <c r="C468" s="6" t="s">
        <v>19</v>
      </c>
      <c r="D468" s="6" t="s">
        <v>3239</v>
      </c>
      <c r="E468" s="6" t="s">
        <v>2624</v>
      </c>
      <c r="G468" s="6" t="s">
        <v>2444</v>
      </c>
      <c r="H468" s="6" t="s">
        <v>3261</v>
      </c>
      <c r="I468" s="6">
        <v>1</v>
      </c>
      <c r="J468" s="6">
        <v>0</v>
      </c>
      <c r="K468" s="6">
        <v>0</v>
      </c>
      <c r="L468" s="6">
        <v>0</v>
      </c>
      <c r="M468" s="6">
        <v>0</v>
      </c>
      <c r="N468" s="6">
        <v>1</v>
      </c>
      <c r="O468" s="6">
        <v>1</v>
      </c>
    </row>
    <row r="469" spans="1:15" hidden="1">
      <c r="A469" s="6" t="s">
        <v>2452</v>
      </c>
      <c r="B469" s="6" t="s">
        <v>2453</v>
      </c>
      <c r="C469" s="6" t="s">
        <v>19</v>
      </c>
      <c r="D469" s="6" t="s">
        <v>3239</v>
      </c>
      <c r="E469" s="6" t="s">
        <v>2624</v>
      </c>
      <c r="F469" s="6" t="s">
        <v>3262</v>
      </c>
      <c r="G469" s="6" t="s">
        <v>2444</v>
      </c>
      <c r="H469" s="6" t="s">
        <v>3263</v>
      </c>
      <c r="I469" s="6">
        <v>2</v>
      </c>
      <c r="J469" s="6">
        <v>0</v>
      </c>
      <c r="K469" s="6">
        <v>0</v>
      </c>
      <c r="L469" s="6">
        <v>0</v>
      </c>
      <c r="M469" s="6">
        <v>0</v>
      </c>
      <c r="N469" s="6">
        <v>1</v>
      </c>
      <c r="O469" s="6">
        <v>1</v>
      </c>
    </row>
    <row r="470" spans="1:15" hidden="1">
      <c r="A470" s="6" t="s">
        <v>2452</v>
      </c>
      <c r="B470" s="6" t="s">
        <v>2453</v>
      </c>
      <c r="C470" s="6" t="s">
        <v>19</v>
      </c>
      <c r="D470" s="6" t="s">
        <v>3239</v>
      </c>
      <c r="E470" s="6" t="s">
        <v>2624</v>
      </c>
      <c r="F470" s="6" t="s">
        <v>3262</v>
      </c>
      <c r="G470" s="6" t="s">
        <v>2444</v>
      </c>
      <c r="H470" s="6" t="s">
        <v>3264</v>
      </c>
      <c r="I470" s="6">
        <v>2</v>
      </c>
      <c r="J470" s="6">
        <v>1</v>
      </c>
      <c r="K470" s="6">
        <v>0.5</v>
      </c>
      <c r="L470" s="6">
        <v>0.06</v>
      </c>
      <c r="M470" s="6">
        <v>0.06</v>
      </c>
      <c r="N470" s="6">
        <v>1</v>
      </c>
      <c r="O470" s="6">
        <v>1</v>
      </c>
    </row>
    <row r="471" spans="1:15" hidden="1">
      <c r="A471" s="6" t="s">
        <v>2452</v>
      </c>
      <c r="B471" s="6" t="s">
        <v>2453</v>
      </c>
      <c r="C471" s="6" t="s">
        <v>19</v>
      </c>
      <c r="D471" s="6" t="s">
        <v>3239</v>
      </c>
      <c r="E471" s="6" t="s">
        <v>2624</v>
      </c>
      <c r="F471" s="6" t="s">
        <v>3262</v>
      </c>
      <c r="G471" s="6" t="s">
        <v>2444</v>
      </c>
      <c r="H471" s="6" t="s">
        <v>3265</v>
      </c>
      <c r="I471" s="6">
        <v>1</v>
      </c>
      <c r="J471" s="6">
        <v>0</v>
      </c>
      <c r="K471" s="6">
        <v>0</v>
      </c>
      <c r="L471" s="6">
        <v>0</v>
      </c>
      <c r="M471" s="6">
        <v>0</v>
      </c>
      <c r="N471" s="6">
        <v>1</v>
      </c>
      <c r="O471" s="6">
        <v>1</v>
      </c>
    </row>
    <row r="472" spans="1:15" hidden="1">
      <c r="A472" s="6" t="s">
        <v>2452</v>
      </c>
      <c r="B472" s="6" t="s">
        <v>2453</v>
      </c>
      <c r="C472" s="6" t="s">
        <v>19</v>
      </c>
      <c r="D472" s="6" t="s">
        <v>3239</v>
      </c>
      <c r="E472" s="6" t="s">
        <v>2624</v>
      </c>
      <c r="F472" s="6" t="s">
        <v>3262</v>
      </c>
      <c r="G472" s="6" t="s">
        <v>2444</v>
      </c>
      <c r="H472" s="6" t="s">
        <v>3266</v>
      </c>
      <c r="I472" s="6">
        <v>2</v>
      </c>
      <c r="J472" s="6">
        <v>0</v>
      </c>
      <c r="K472" s="6">
        <v>0</v>
      </c>
      <c r="L472" s="6">
        <v>0</v>
      </c>
      <c r="M472" s="6">
        <v>0</v>
      </c>
      <c r="N472" s="6">
        <v>1</v>
      </c>
      <c r="O472" s="6">
        <v>1</v>
      </c>
    </row>
    <row r="473" spans="1:15" hidden="1">
      <c r="A473" s="6" t="s">
        <v>2452</v>
      </c>
      <c r="B473" s="6" t="s">
        <v>2453</v>
      </c>
      <c r="C473" s="6" t="s">
        <v>19</v>
      </c>
      <c r="D473" s="6" t="s">
        <v>3239</v>
      </c>
      <c r="E473" s="6" t="s">
        <v>2624</v>
      </c>
      <c r="F473" s="6" t="s">
        <v>3262</v>
      </c>
      <c r="G473" s="6" t="s">
        <v>2444</v>
      </c>
      <c r="H473" s="6" t="s">
        <v>3262</v>
      </c>
      <c r="I473" s="6">
        <v>2</v>
      </c>
      <c r="J473" s="6">
        <v>0</v>
      </c>
      <c r="K473" s="6">
        <v>0</v>
      </c>
      <c r="L473" s="6">
        <v>0</v>
      </c>
      <c r="M473" s="6">
        <v>0</v>
      </c>
      <c r="N473" s="6">
        <v>1</v>
      </c>
      <c r="O473" s="6">
        <v>1</v>
      </c>
    </row>
    <row r="474" spans="1:15" hidden="1">
      <c r="A474" s="6" t="s">
        <v>2452</v>
      </c>
      <c r="B474" s="6" t="s">
        <v>2453</v>
      </c>
      <c r="C474" s="6" t="s">
        <v>19</v>
      </c>
      <c r="D474" s="6" t="s">
        <v>3239</v>
      </c>
      <c r="E474" s="6" t="s">
        <v>2624</v>
      </c>
      <c r="F474" s="6" t="s">
        <v>3267</v>
      </c>
      <c r="G474" s="6" t="s">
        <v>2444</v>
      </c>
      <c r="H474" s="6" t="s">
        <v>3268</v>
      </c>
      <c r="I474" s="6">
        <v>2</v>
      </c>
      <c r="J474" s="6">
        <v>0</v>
      </c>
      <c r="K474" s="6">
        <v>0</v>
      </c>
      <c r="L474" s="6">
        <v>0</v>
      </c>
      <c r="M474" s="6">
        <v>0</v>
      </c>
      <c r="N474" s="6">
        <v>1</v>
      </c>
      <c r="O474" s="6">
        <v>1</v>
      </c>
    </row>
    <row r="475" spans="1:15" hidden="1">
      <c r="A475" s="6" t="s">
        <v>2452</v>
      </c>
      <c r="B475" s="6" t="s">
        <v>2453</v>
      </c>
      <c r="C475" s="6" t="s">
        <v>19</v>
      </c>
      <c r="D475" s="6" t="s">
        <v>3239</v>
      </c>
      <c r="E475" s="6" t="s">
        <v>2624</v>
      </c>
      <c r="F475" s="6" t="s">
        <v>3267</v>
      </c>
      <c r="G475" s="6" t="s">
        <v>2444</v>
      </c>
      <c r="H475" s="6" t="s">
        <v>3269</v>
      </c>
      <c r="I475" s="6">
        <v>1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</row>
    <row r="476" spans="1:15" hidden="1">
      <c r="A476" s="6" t="s">
        <v>2452</v>
      </c>
      <c r="B476" s="6" t="s">
        <v>2453</v>
      </c>
      <c r="C476" s="6" t="s">
        <v>19</v>
      </c>
      <c r="D476" s="6" t="s">
        <v>3239</v>
      </c>
      <c r="E476" s="6" t="s">
        <v>2624</v>
      </c>
      <c r="F476" s="6" t="s">
        <v>3270</v>
      </c>
      <c r="G476" s="6" t="s">
        <v>2444</v>
      </c>
      <c r="H476" s="6" t="s">
        <v>3271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>
        <v>1</v>
      </c>
      <c r="O476" s="6">
        <v>1</v>
      </c>
    </row>
    <row r="477" spans="1:15" hidden="1">
      <c r="A477" s="6" t="s">
        <v>2452</v>
      </c>
      <c r="B477" s="6" t="s">
        <v>2453</v>
      </c>
      <c r="C477" s="6" t="s">
        <v>19</v>
      </c>
      <c r="D477" s="6" t="s">
        <v>3239</v>
      </c>
      <c r="E477" s="6" t="s">
        <v>2624</v>
      </c>
      <c r="F477" s="6" t="s">
        <v>3270</v>
      </c>
      <c r="G477" s="6" t="s">
        <v>2444</v>
      </c>
      <c r="H477" s="6" t="s">
        <v>3272</v>
      </c>
      <c r="I477" s="6">
        <v>1</v>
      </c>
      <c r="J477" s="6">
        <v>0</v>
      </c>
      <c r="K477" s="6">
        <v>0</v>
      </c>
      <c r="L477" s="6">
        <v>0</v>
      </c>
      <c r="M477" s="6">
        <v>0</v>
      </c>
      <c r="N477" s="6">
        <v>1</v>
      </c>
      <c r="O477" s="6">
        <v>1</v>
      </c>
    </row>
    <row r="478" spans="1:15" hidden="1">
      <c r="A478" s="6" t="s">
        <v>2452</v>
      </c>
      <c r="B478" s="6" t="s">
        <v>2453</v>
      </c>
      <c r="C478" s="6" t="s">
        <v>19</v>
      </c>
      <c r="D478" s="6" t="s">
        <v>3239</v>
      </c>
      <c r="E478" s="6" t="s">
        <v>2624</v>
      </c>
      <c r="F478" s="6" t="s">
        <v>3273</v>
      </c>
      <c r="G478" s="6" t="s">
        <v>2444</v>
      </c>
      <c r="H478" s="6" t="s">
        <v>3274</v>
      </c>
      <c r="I478" s="6">
        <v>4</v>
      </c>
      <c r="J478" s="6">
        <v>0</v>
      </c>
      <c r="K478" s="6">
        <v>0</v>
      </c>
      <c r="L478" s="6">
        <v>0</v>
      </c>
      <c r="M478" s="6">
        <v>0</v>
      </c>
      <c r="N478" s="6">
        <v>0.66670000000000007</v>
      </c>
      <c r="O478" s="6">
        <v>0.66670000000000007</v>
      </c>
    </row>
    <row r="479" spans="1:15" hidden="1">
      <c r="A479" s="6" t="s">
        <v>2452</v>
      </c>
      <c r="B479" s="6" t="s">
        <v>2453</v>
      </c>
      <c r="C479" s="6" t="s">
        <v>19</v>
      </c>
      <c r="D479" s="6" t="s">
        <v>3239</v>
      </c>
      <c r="E479" s="6" t="s">
        <v>2624</v>
      </c>
      <c r="F479" s="6" t="s">
        <v>3273</v>
      </c>
      <c r="G479" s="6" t="s">
        <v>2444</v>
      </c>
      <c r="H479" s="6" t="s">
        <v>3275</v>
      </c>
      <c r="I479" s="6">
        <v>2</v>
      </c>
      <c r="J479" s="6">
        <v>0</v>
      </c>
      <c r="K479" s="6">
        <v>0</v>
      </c>
      <c r="L479" s="6">
        <v>0</v>
      </c>
      <c r="M479" s="6">
        <v>0</v>
      </c>
      <c r="N479" s="6">
        <v>1</v>
      </c>
      <c r="O479" s="6">
        <v>1</v>
      </c>
    </row>
    <row r="480" spans="1:15" hidden="1">
      <c r="A480" s="6" t="s">
        <v>2452</v>
      </c>
      <c r="B480" s="6" t="s">
        <v>2453</v>
      </c>
      <c r="C480" s="6" t="s">
        <v>19</v>
      </c>
      <c r="D480" s="6" t="s">
        <v>3239</v>
      </c>
      <c r="E480" s="6" t="s">
        <v>2624</v>
      </c>
      <c r="F480" s="6" t="s">
        <v>3276</v>
      </c>
      <c r="G480" s="6" t="s">
        <v>2444</v>
      </c>
      <c r="H480" s="6" t="s">
        <v>3277</v>
      </c>
      <c r="I480" s="6">
        <v>4</v>
      </c>
      <c r="J480" s="6">
        <v>0</v>
      </c>
      <c r="K480" s="6">
        <v>0</v>
      </c>
      <c r="L480" s="6">
        <v>0</v>
      </c>
      <c r="M480" s="6">
        <v>0</v>
      </c>
      <c r="N480" s="6">
        <v>1</v>
      </c>
      <c r="O480" s="6">
        <v>1</v>
      </c>
    </row>
    <row r="481" spans="1:15" hidden="1">
      <c r="A481" s="6" t="s">
        <v>2452</v>
      </c>
      <c r="B481" s="6" t="s">
        <v>2453</v>
      </c>
      <c r="C481" s="6" t="s">
        <v>19</v>
      </c>
      <c r="D481" s="6" t="s">
        <v>3239</v>
      </c>
      <c r="E481" s="6" t="s">
        <v>2624</v>
      </c>
      <c r="F481" s="6" t="s">
        <v>3278</v>
      </c>
      <c r="G481" s="6" t="s">
        <v>2444</v>
      </c>
      <c r="H481" s="6" t="s">
        <v>3279</v>
      </c>
      <c r="I481" s="6">
        <v>1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</row>
    <row r="482" spans="1:15" hidden="1">
      <c r="A482" s="6" t="s">
        <v>2452</v>
      </c>
      <c r="B482" s="6" t="s">
        <v>2453</v>
      </c>
      <c r="C482" s="6" t="s">
        <v>19</v>
      </c>
      <c r="D482" s="6" t="s">
        <v>3239</v>
      </c>
      <c r="E482" s="6" t="s">
        <v>2624</v>
      </c>
      <c r="F482" s="6" t="s">
        <v>3280</v>
      </c>
      <c r="G482" s="6" t="s">
        <v>2444</v>
      </c>
      <c r="H482" s="6" t="s">
        <v>3281</v>
      </c>
      <c r="I482" s="6">
        <v>1</v>
      </c>
      <c r="J482" s="6">
        <v>0</v>
      </c>
      <c r="K482" s="6">
        <v>0</v>
      </c>
      <c r="L482" s="6">
        <v>0</v>
      </c>
      <c r="M482" s="6">
        <v>0</v>
      </c>
      <c r="N482" s="6">
        <v>1</v>
      </c>
      <c r="O482" s="6">
        <v>1</v>
      </c>
    </row>
    <row r="483" spans="1:15" hidden="1">
      <c r="A483" s="6" t="s">
        <v>2452</v>
      </c>
      <c r="B483" s="6" t="s">
        <v>2453</v>
      </c>
      <c r="C483" s="6" t="s">
        <v>19</v>
      </c>
      <c r="D483" s="6" t="s">
        <v>3239</v>
      </c>
      <c r="E483" s="6" t="s">
        <v>2624</v>
      </c>
      <c r="F483" s="6" t="s">
        <v>3280</v>
      </c>
      <c r="G483" s="6" t="s">
        <v>2444</v>
      </c>
      <c r="H483" s="6" t="s">
        <v>3282</v>
      </c>
      <c r="I483" s="6">
        <v>2</v>
      </c>
      <c r="J483" s="6">
        <v>0</v>
      </c>
      <c r="K483" s="6">
        <v>0</v>
      </c>
      <c r="L483" s="6">
        <v>0</v>
      </c>
      <c r="M483" s="6">
        <v>0</v>
      </c>
      <c r="N483" s="6">
        <v>1</v>
      </c>
      <c r="O483" s="6">
        <v>1</v>
      </c>
    </row>
    <row r="484" spans="1:15" hidden="1">
      <c r="A484" s="6" t="s">
        <v>2452</v>
      </c>
      <c r="B484" s="6" t="s">
        <v>2453</v>
      </c>
      <c r="C484" s="6" t="s">
        <v>19</v>
      </c>
      <c r="D484" s="6" t="s">
        <v>3283</v>
      </c>
      <c r="E484" s="6" t="s">
        <v>3284</v>
      </c>
      <c r="F484" s="6" t="s">
        <v>3285</v>
      </c>
      <c r="G484" s="6" t="s">
        <v>2444</v>
      </c>
      <c r="H484" s="6" t="s">
        <v>3285</v>
      </c>
      <c r="I484" s="6">
        <v>2</v>
      </c>
      <c r="J484" s="6">
        <v>0</v>
      </c>
      <c r="K484" s="6">
        <v>0</v>
      </c>
      <c r="L484" s="6">
        <v>0</v>
      </c>
      <c r="M484" s="6">
        <v>0</v>
      </c>
      <c r="N484" s="6">
        <v>1</v>
      </c>
      <c r="O484" s="6">
        <v>1</v>
      </c>
    </row>
    <row r="485" spans="1:15" hidden="1">
      <c r="A485" s="6" t="s">
        <v>2452</v>
      </c>
      <c r="B485" s="6" t="s">
        <v>1934</v>
      </c>
      <c r="C485" s="6" t="s">
        <v>397</v>
      </c>
      <c r="D485" s="6" t="s">
        <v>3286</v>
      </c>
      <c r="G485" s="6" t="s">
        <v>2444</v>
      </c>
      <c r="H485" s="6" t="s">
        <v>3287</v>
      </c>
      <c r="I485" s="6">
        <v>2</v>
      </c>
      <c r="J485" s="6">
        <v>0</v>
      </c>
      <c r="K485" s="6">
        <v>0</v>
      </c>
      <c r="L485" s="6">
        <v>0</v>
      </c>
      <c r="M485" s="6">
        <v>0</v>
      </c>
      <c r="N485" s="6">
        <v>1</v>
      </c>
      <c r="O485" s="6">
        <v>1</v>
      </c>
    </row>
    <row r="486" spans="1:15" hidden="1">
      <c r="A486" s="6" t="s">
        <v>2452</v>
      </c>
      <c r="B486" s="6" t="s">
        <v>1934</v>
      </c>
      <c r="C486" s="6" t="s">
        <v>397</v>
      </c>
      <c r="D486" s="6" t="s">
        <v>3288</v>
      </c>
      <c r="G486" s="6" t="s">
        <v>2444</v>
      </c>
      <c r="H486" s="6" t="s">
        <v>3289</v>
      </c>
      <c r="I486" s="6">
        <v>3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</row>
    <row r="487" spans="1:15" hidden="1">
      <c r="A487" s="6" t="s">
        <v>2452</v>
      </c>
      <c r="B487" s="6" t="s">
        <v>1934</v>
      </c>
      <c r="C487" s="6" t="s">
        <v>397</v>
      </c>
      <c r="D487" s="6" t="s">
        <v>3288</v>
      </c>
      <c r="G487" s="6" t="s">
        <v>2444</v>
      </c>
      <c r="H487" s="6" t="s">
        <v>3290</v>
      </c>
      <c r="I487" s="6">
        <v>2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1</v>
      </c>
    </row>
    <row r="488" spans="1:15" hidden="1">
      <c r="A488" s="6" t="s">
        <v>2452</v>
      </c>
      <c r="B488" s="6" t="s">
        <v>1934</v>
      </c>
      <c r="C488" s="6" t="s">
        <v>397</v>
      </c>
      <c r="D488" s="6" t="s">
        <v>3288</v>
      </c>
      <c r="G488" s="6" t="s">
        <v>2444</v>
      </c>
      <c r="H488" s="6" t="s">
        <v>3291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</row>
    <row r="489" spans="1:15" hidden="1">
      <c r="A489" s="6" t="s">
        <v>2452</v>
      </c>
      <c r="B489" s="6" t="s">
        <v>1934</v>
      </c>
      <c r="C489" s="6" t="s">
        <v>397</v>
      </c>
      <c r="D489" s="6" t="s">
        <v>3288</v>
      </c>
      <c r="G489" s="6" t="s">
        <v>2444</v>
      </c>
      <c r="H489" s="6" t="s">
        <v>3292</v>
      </c>
      <c r="I489" s="6">
        <v>1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</row>
    <row r="490" spans="1:15" hidden="1">
      <c r="A490" s="6" t="s">
        <v>2452</v>
      </c>
      <c r="B490" s="6" t="s">
        <v>1934</v>
      </c>
      <c r="C490" s="6" t="s">
        <v>397</v>
      </c>
      <c r="D490" s="6" t="s">
        <v>3288</v>
      </c>
      <c r="G490" s="6" t="s">
        <v>2444</v>
      </c>
      <c r="H490" s="6" t="s">
        <v>3293</v>
      </c>
      <c r="I490" s="6">
        <v>1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</row>
    <row r="491" spans="1:15" hidden="1">
      <c r="A491" s="6" t="s">
        <v>2452</v>
      </c>
      <c r="B491" s="6" t="s">
        <v>1934</v>
      </c>
      <c r="C491" s="6" t="s">
        <v>397</v>
      </c>
      <c r="D491" s="6" t="s">
        <v>3288</v>
      </c>
      <c r="G491" s="6" t="s">
        <v>2444</v>
      </c>
      <c r="H491" s="6" t="s">
        <v>3294</v>
      </c>
      <c r="I491" s="6">
        <v>2</v>
      </c>
      <c r="J491" s="6">
        <v>0</v>
      </c>
      <c r="K491" s="6">
        <v>0</v>
      </c>
      <c r="L491" s="6">
        <v>0</v>
      </c>
      <c r="M491" s="6">
        <v>0</v>
      </c>
      <c r="N491" s="6">
        <v>1</v>
      </c>
      <c r="O491" s="6">
        <v>1</v>
      </c>
    </row>
    <row r="492" spans="1:15" hidden="1">
      <c r="A492" s="6" t="s">
        <v>2452</v>
      </c>
      <c r="B492" s="6" t="s">
        <v>1934</v>
      </c>
      <c r="C492" s="6" t="s">
        <v>397</v>
      </c>
      <c r="D492" s="6" t="s">
        <v>3288</v>
      </c>
      <c r="G492" s="6" t="s">
        <v>2444</v>
      </c>
      <c r="H492" s="6" t="s">
        <v>3295</v>
      </c>
      <c r="I492" s="6">
        <v>1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</row>
    <row r="493" spans="1:15" hidden="1">
      <c r="A493" s="6" t="s">
        <v>2452</v>
      </c>
      <c r="B493" s="6" t="s">
        <v>1934</v>
      </c>
      <c r="C493" s="6" t="s">
        <v>397</v>
      </c>
      <c r="D493" s="6" t="s">
        <v>3288</v>
      </c>
      <c r="F493" s="6" t="s">
        <v>3296</v>
      </c>
      <c r="G493" s="6" t="s">
        <v>2444</v>
      </c>
      <c r="H493" s="6" t="s">
        <v>3296</v>
      </c>
      <c r="I493" s="6">
        <v>4</v>
      </c>
      <c r="J493" s="6">
        <v>0</v>
      </c>
      <c r="K493" s="6">
        <v>0</v>
      </c>
      <c r="L493" s="6">
        <v>0</v>
      </c>
      <c r="M493" s="6">
        <v>0</v>
      </c>
      <c r="N493" s="6">
        <v>1</v>
      </c>
      <c r="O493" s="6">
        <v>0.75</v>
      </c>
    </row>
    <row r="494" spans="1:15" hidden="1">
      <c r="A494" s="6" t="s">
        <v>2452</v>
      </c>
      <c r="B494" s="6" t="s">
        <v>1934</v>
      </c>
      <c r="C494" s="6" t="s">
        <v>397</v>
      </c>
      <c r="D494" s="6" t="s">
        <v>3297</v>
      </c>
      <c r="G494" s="6" t="s">
        <v>2444</v>
      </c>
      <c r="H494" s="6" t="s">
        <v>3298</v>
      </c>
      <c r="I494" s="6">
        <v>3</v>
      </c>
      <c r="J494" s="6">
        <v>0</v>
      </c>
      <c r="K494" s="6">
        <v>0</v>
      </c>
      <c r="L494" s="6">
        <v>0</v>
      </c>
      <c r="M494" s="6">
        <v>0</v>
      </c>
      <c r="N494" s="6">
        <v>1</v>
      </c>
      <c r="O494" s="6">
        <v>1</v>
      </c>
    </row>
    <row r="495" spans="1:15" hidden="1">
      <c r="A495" s="6" t="s">
        <v>2452</v>
      </c>
      <c r="B495" s="6" t="s">
        <v>1934</v>
      </c>
      <c r="C495" s="6" t="s">
        <v>397</v>
      </c>
      <c r="D495" s="6" t="s">
        <v>3297</v>
      </c>
      <c r="G495" s="6" t="s">
        <v>2444</v>
      </c>
      <c r="H495" s="6" t="s">
        <v>3299</v>
      </c>
      <c r="I495" s="6">
        <v>1</v>
      </c>
      <c r="J495" s="6">
        <v>0</v>
      </c>
      <c r="K495" s="6">
        <v>0</v>
      </c>
      <c r="L495" s="6">
        <v>0</v>
      </c>
      <c r="M495" s="6">
        <v>0</v>
      </c>
      <c r="N495" s="6">
        <v>1</v>
      </c>
      <c r="O495" s="6">
        <v>1</v>
      </c>
    </row>
    <row r="496" spans="1:15" hidden="1">
      <c r="A496" s="6" t="s">
        <v>2452</v>
      </c>
      <c r="B496" s="6" t="s">
        <v>1934</v>
      </c>
      <c r="C496" s="6" t="s">
        <v>397</v>
      </c>
      <c r="D496" s="6" t="s">
        <v>3297</v>
      </c>
      <c r="G496" s="6" t="s">
        <v>2444</v>
      </c>
      <c r="H496" s="6" t="s">
        <v>3300</v>
      </c>
      <c r="I496" s="6">
        <v>2</v>
      </c>
      <c r="J496" s="6">
        <v>0</v>
      </c>
      <c r="K496" s="6">
        <v>0</v>
      </c>
      <c r="L496" s="6">
        <v>0</v>
      </c>
      <c r="M496" s="6">
        <v>0</v>
      </c>
      <c r="N496" s="6">
        <v>1</v>
      </c>
      <c r="O496" s="6">
        <v>1</v>
      </c>
    </row>
    <row r="497" spans="1:15" hidden="1">
      <c r="A497" s="6" t="s">
        <v>2452</v>
      </c>
      <c r="B497" s="6" t="s">
        <v>1934</v>
      </c>
      <c r="C497" s="6" t="s">
        <v>397</v>
      </c>
      <c r="D497" s="6" t="s">
        <v>3297</v>
      </c>
      <c r="G497" s="6" t="s">
        <v>2444</v>
      </c>
      <c r="H497" s="6" t="s">
        <v>3301</v>
      </c>
      <c r="I497" s="6">
        <v>1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</row>
    <row r="498" spans="1:15" hidden="1">
      <c r="A498" s="6" t="s">
        <v>2452</v>
      </c>
      <c r="B498" s="6" t="s">
        <v>1934</v>
      </c>
      <c r="C498" s="6" t="s">
        <v>397</v>
      </c>
      <c r="D498" s="6" t="s">
        <v>3297</v>
      </c>
      <c r="G498" s="6" t="s">
        <v>2444</v>
      </c>
      <c r="H498" s="6" t="s">
        <v>3302</v>
      </c>
      <c r="I498" s="6">
        <v>2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</row>
    <row r="499" spans="1:15" hidden="1">
      <c r="A499" s="6" t="s">
        <v>2452</v>
      </c>
      <c r="B499" s="6" t="s">
        <v>1934</v>
      </c>
      <c r="C499" s="6" t="s">
        <v>397</v>
      </c>
      <c r="D499" s="6" t="s">
        <v>3297</v>
      </c>
      <c r="G499" s="6" t="s">
        <v>2444</v>
      </c>
      <c r="H499" s="6" t="s">
        <v>3303</v>
      </c>
      <c r="I499" s="6">
        <v>2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</row>
    <row r="500" spans="1:15" hidden="1">
      <c r="A500" s="6" t="s">
        <v>2452</v>
      </c>
      <c r="B500" s="6" t="s">
        <v>1934</v>
      </c>
      <c r="C500" s="6" t="s">
        <v>397</v>
      </c>
      <c r="D500" s="6" t="s">
        <v>3297</v>
      </c>
      <c r="F500" s="6" t="s">
        <v>3304</v>
      </c>
      <c r="G500" s="6" t="s">
        <v>2444</v>
      </c>
      <c r="H500" s="6" t="s">
        <v>3304</v>
      </c>
      <c r="I500" s="6">
        <v>2</v>
      </c>
      <c r="J500" s="6">
        <v>0</v>
      </c>
      <c r="K500" s="6">
        <v>0</v>
      </c>
      <c r="L500" s="6">
        <v>0</v>
      </c>
      <c r="M500" s="6">
        <v>0</v>
      </c>
      <c r="N500" s="6">
        <v>1</v>
      </c>
      <c r="O500" s="6">
        <v>0.5</v>
      </c>
    </row>
    <row r="501" spans="1:15" hidden="1">
      <c r="A501" s="6" t="s">
        <v>2452</v>
      </c>
      <c r="B501" s="6" t="s">
        <v>1934</v>
      </c>
      <c r="C501" s="6" t="s">
        <v>397</v>
      </c>
      <c r="D501" s="6" t="s">
        <v>3305</v>
      </c>
      <c r="G501" s="6" t="s">
        <v>2444</v>
      </c>
      <c r="H501" s="6" t="s">
        <v>3306</v>
      </c>
      <c r="I501" s="6">
        <v>3</v>
      </c>
      <c r="J501" s="6">
        <v>0</v>
      </c>
      <c r="K501" s="6">
        <v>0</v>
      </c>
      <c r="L501" s="6">
        <v>0</v>
      </c>
      <c r="M501" s="6">
        <v>0</v>
      </c>
      <c r="N501" s="6">
        <v>1</v>
      </c>
      <c r="O501" s="6">
        <v>1</v>
      </c>
    </row>
    <row r="502" spans="1:15" hidden="1">
      <c r="A502" s="6" t="s">
        <v>2452</v>
      </c>
      <c r="B502" s="6" t="s">
        <v>1934</v>
      </c>
      <c r="C502" s="6" t="s">
        <v>397</v>
      </c>
      <c r="D502" s="6" t="s">
        <v>3305</v>
      </c>
      <c r="G502" s="6" t="s">
        <v>2444</v>
      </c>
      <c r="H502" s="6" t="s">
        <v>3307</v>
      </c>
      <c r="I502" s="6">
        <v>1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</row>
    <row r="503" spans="1:15" hidden="1">
      <c r="A503" s="6" t="s">
        <v>2452</v>
      </c>
      <c r="B503" s="6" t="s">
        <v>1934</v>
      </c>
      <c r="C503" s="6" t="s">
        <v>397</v>
      </c>
      <c r="D503" s="6" t="s">
        <v>3305</v>
      </c>
      <c r="G503" s="6" t="s">
        <v>2444</v>
      </c>
      <c r="H503" s="6" t="s">
        <v>3308</v>
      </c>
      <c r="I503" s="6"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</row>
    <row r="504" spans="1:15" hidden="1">
      <c r="A504" s="6" t="s">
        <v>2452</v>
      </c>
      <c r="B504" s="6" t="s">
        <v>1934</v>
      </c>
      <c r="C504" s="6" t="s">
        <v>397</v>
      </c>
      <c r="D504" s="6" t="s">
        <v>3305</v>
      </c>
      <c r="G504" s="6" t="s">
        <v>2444</v>
      </c>
      <c r="H504" s="6" t="s">
        <v>3309</v>
      </c>
      <c r="I504" s="6">
        <v>2</v>
      </c>
      <c r="J504" s="6">
        <v>0</v>
      </c>
      <c r="K504" s="6">
        <v>0</v>
      </c>
      <c r="L504" s="6">
        <v>0</v>
      </c>
      <c r="M504" s="6">
        <v>0</v>
      </c>
      <c r="N504" s="6">
        <v>1</v>
      </c>
      <c r="O504" s="6">
        <v>1</v>
      </c>
    </row>
    <row r="505" spans="1:15" hidden="1">
      <c r="A505" s="6" t="s">
        <v>2452</v>
      </c>
      <c r="B505" s="6" t="s">
        <v>1934</v>
      </c>
      <c r="C505" s="6" t="s">
        <v>397</v>
      </c>
      <c r="D505" s="6" t="s">
        <v>3305</v>
      </c>
      <c r="G505" s="6" t="s">
        <v>2444</v>
      </c>
      <c r="H505" s="6" t="s">
        <v>3310</v>
      </c>
      <c r="I505" s="6">
        <v>1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</row>
    <row r="506" spans="1:15" hidden="1">
      <c r="A506" s="6" t="s">
        <v>2452</v>
      </c>
      <c r="B506" s="6" t="s">
        <v>1934</v>
      </c>
      <c r="C506" s="6" t="s">
        <v>397</v>
      </c>
      <c r="D506" s="6" t="s">
        <v>3305</v>
      </c>
      <c r="G506" s="6" t="s">
        <v>2444</v>
      </c>
      <c r="H506" s="6" t="s">
        <v>3311</v>
      </c>
      <c r="I506" s="6">
        <v>1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</row>
    <row r="507" spans="1:15" hidden="1">
      <c r="A507" s="6" t="s">
        <v>2452</v>
      </c>
      <c r="B507" s="6" t="s">
        <v>1934</v>
      </c>
      <c r="C507" s="6" t="s">
        <v>397</v>
      </c>
      <c r="D507" s="6" t="s">
        <v>3305</v>
      </c>
      <c r="G507" s="6" t="s">
        <v>2444</v>
      </c>
      <c r="H507" s="6" t="s">
        <v>3312</v>
      </c>
      <c r="I507" s="6">
        <v>1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</row>
    <row r="508" spans="1:15" hidden="1">
      <c r="A508" s="6" t="s">
        <v>2452</v>
      </c>
      <c r="B508" s="6" t="s">
        <v>1934</v>
      </c>
      <c r="C508" s="6" t="s">
        <v>397</v>
      </c>
      <c r="D508" s="6" t="s">
        <v>3305</v>
      </c>
      <c r="G508" s="6" t="s">
        <v>2444</v>
      </c>
      <c r="H508" s="6" t="s">
        <v>3313</v>
      </c>
      <c r="I508" s="6">
        <v>2</v>
      </c>
      <c r="J508" s="6">
        <v>0</v>
      </c>
      <c r="K508" s="6">
        <v>0</v>
      </c>
      <c r="L508" s="6">
        <v>0</v>
      </c>
      <c r="M508" s="6">
        <v>0</v>
      </c>
      <c r="N508" s="6">
        <v>1</v>
      </c>
      <c r="O508" s="6">
        <v>0</v>
      </c>
    </row>
    <row r="509" spans="1:15" hidden="1">
      <c r="A509" s="6" t="s">
        <v>2452</v>
      </c>
      <c r="B509" s="6" t="s">
        <v>1934</v>
      </c>
      <c r="C509" s="6" t="s">
        <v>397</v>
      </c>
      <c r="D509" s="6" t="s">
        <v>3305</v>
      </c>
      <c r="F509" s="6" t="s">
        <v>3314</v>
      </c>
      <c r="G509" s="6" t="s">
        <v>2444</v>
      </c>
      <c r="H509" s="6" t="s">
        <v>3314</v>
      </c>
      <c r="I509" s="6">
        <v>2</v>
      </c>
      <c r="J509" s="6">
        <v>0</v>
      </c>
      <c r="K509" s="6">
        <v>0</v>
      </c>
      <c r="L509" s="6">
        <v>0</v>
      </c>
      <c r="M509" s="6">
        <v>0</v>
      </c>
      <c r="N509" s="6">
        <v>1</v>
      </c>
      <c r="O509" s="6">
        <v>0</v>
      </c>
    </row>
    <row r="510" spans="1:15" hidden="1">
      <c r="A510" s="6" t="s">
        <v>2452</v>
      </c>
      <c r="B510" s="6" t="s">
        <v>1934</v>
      </c>
      <c r="C510" s="6" t="s">
        <v>397</v>
      </c>
      <c r="D510" s="6" t="s">
        <v>3315</v>
      </c>
      <c r="G510" s="6" t="s">
        <v>2444</v>
      </c>
      <c r="H510" s="6" t="s">
        <v>3316</v>
      </c>
      <c r="I510" s="6">
        <v>2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</row>
    <row r="511" spans="1:15" hidden="1">
      <c r="A511" s="6" t="s">
        <v>2452</v>
      </c>
      <c r="B511" s="6" t="s">
        <v>1934</v>
      </c>
      <c r="C511" s="6" t="s">
        <v>397</v>
      </c>
      <c r="D511" s="6" t="s">
        <v>3315</v>
      </c>
      <c r="G511" s="6" t="s">
        <v>2444</v>
      </c>
      <c r="H511" s="6" t="s">
        <v>3317</v>
      </c>
      <c r="I511" s="6">
        <v>1</v>
      </c>
      <c r="J511" s="6">
        <v>0</v>
      </c>
      <c r="K511" s="6">
        <v>0</v>
      </c>
      <c r="L511" s="6">
        <v>0</v>
      </c>
      <c r="M511" s="6">
        <v>0</v>
      </c>
      <c r="N511" s="6">
        <v>1</v>
      </c>
      <c r="O511" s="6">
        <v>1</v>
      </c>
    </row>
    <row r="512" spans="1:15" hidden="1">
      <c r="A512" s="6" t="s">
        <v>2452</v>
      </c>
      <c r="B512" s="6" t="s">
        <v>1934</v>
      </c>
      <c r="C512" s="6" t="s">
        <v>397</v>
      </c>
      <c r="D512" s="6" t="s">
        <v>3315</v>
      </c>
      <c r="G512" s="6" t="s">
        <v>2444</v>
      </c>
      <c r="H512" s="6" t="s">
        <v>3318</v>
      </c>
      <c r="I512" s="6">
        <v>2</v>
      </c>
      <c r="J512" s="6">
        <v>0</v>
      </c>
      <c r="K512" s="6">
        <v>0</v>
      </c>
      <c r="L512" s="6">
        <v>0</v>
      </c>
      <c r="M512" s="6">
        <v>0</v>
      </c>
      <c r="N512" s="6">
        <v>1</v>
      </c>
      <c r="O512" s="6">
        <v>1</v>
      </c>
    </row>
    <row r="513" spans="1:15" hidden="1">
      <c r="A513" s="6" t="s">
        <v>2452</v>
      </c>
      <c r="B513" s="6" t="s">
        <v>1934</v>
      </c>
      <c r="C513" s="6" t="s">
        <v>397</v>
      </c>
      <c r="D513" s="6" t="s">
        <v>3315</v>
      </c>
      <c r="G513" s="6" t="s">
        <v>2444</v>
      </c>
      <c r="H513" s="6" t="s">
        <v>3319</v>
      </c>
      <c r="I513" s="6">
        <v>1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</row>
    <row r="514" spans="1:15" hidden="1">
      <c r="A514" s="6" t="s">
        <v>2452</v>
      </c>
      <c r="B514" s="6" t="s">
        <v>1934</v>
      </c>
      <c r="C514" s="6" t="s">
        <v>397</v>
      </c>
      <c r="D514" s="6" t="s">
        <v>3315</v>
      </c>
      <c r="G514" s="6" t="s">
        <v>2444</v>
      </c>
      <c r="H514" s="6" t="s">
        <v>3320</v>
      </c>
      <c r="I514" s="6">
        <v>2</v>
      </c>
      <c r="J514" s="6">
        <v>0</v>
      </c>
      <c r="K514" s="6">
        <v>0</v>
      </c>
      <c r="L514" s="6">
        <v>0</v>
      </c>
      <c r="M514" s="6">
        <v>0</v>
      </c>
      <c r="N514" s="6">
        <v>1</v>
      </c>
      <c r="O514" s="6">
        <v>1</v>
      </c>
    </row>
    <row r="515" spans="1:15" hidden="1">
      <c r="A515" s="6" t="s">
        <v>2452</v>
      </c>
      <c r="B515" s="6" t="s">
        <v>1934</v>
      </c>
      <c r="C515" s="6" t="s">
        <v>397</v>
      </c>
      <c r="D515" s="6" t="s">
        <v>3315</v>
      </c>
      <c r="F515" s="6" t="s">
        <v>3321</v>
      </c>
      <c r="G515" s="6" t="s">
        <v>2444</v>
      </c>
      <c r="H515" s="6" t="s">
        <v>3321</v>
      </c>
      <c r="I515" s="6">
        <v>2</v>
      </c>
      <c r="J515" s="6">
        <v>0</v>
      </c>
      <c r="K515" s="6">
        <v>0</v>
      </c>
      <c r="L515" s="6">
        <v>0</v>
      </c>
      <c r="M515" s="6">
        <v>0</v>
      </c>
      <c r="N515" s="6">
        <v>1</v>
      </c>
      <c r="O515" s="6">
        <v>0.5</v>
      </c>
    </row>
    <row r="516" spans="1:15" hidden="1">
      <c r="A516" s="6" t="s">
        <v>2452</v>
      </c>
      <c r="B516" s="6" t="s">
        <v>1732</v>
      </c>
      <c r="C516" s="6" t="s">
        <v>35</v>
      </c>
      <c r="D516" s="6" t="s">
        <v>3322</v>
      </c>
      <c r="G516" s="6" t="s">
        <v>2444</v>
      </c>
      <c r="H516" s="6" t="s">
        <v>3323</v>
      </c>
      <c r="I516" s="6">
        <v>5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</row>
    <row r="517" spans="1:15" hidden="1">
      <c r="A517" s="6" t="s">
        <v>2452</v>
      </c>
      <c r="B517" s="6" t="s">
        <v>1732</v>
      </c>
      <c r="C517" s="6" t="s">
        <v>35</v>
      </c>
      <c r="D517" s="6" t="s">
        <v>3322</v>
      </c>
      <c r="G517" s="6" t="s">
        <v>2444</v>
      </c>
      <c r="H517" s="6" t="s">
        <v>3324</v>
      </c>
      <c r="I517" s="6">
        <v>1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</row>
    <row r="518" spans="1:15" hidden="1">
      <c r="A518" s="6" t="s">
        <v>2452</v>
      </c>
      <c r="B518" s="6" t="s">
        <v>1732</v>
      </c>
      <c r="C518" s="6" t="s">
        <v>35</v>
      </c>
      <c r="D518" s="6" t="s">
        <v>3322</v>
      </c>
      <c r="F518" s="6" t="s">
        <v>3325</v>
      </c>
      <c r="G518" s="6" t="s">
        <v>2444</v>
      </c>
      <c r="H518" s="6" t="s">
        <v>3326</v>
      </c>
      <c r="I518" s="6">
        <v>2</v>
      </c>
      <c r="J518" s="6">
        <v>0</v>
      </c>
      <c r="K518" s="6">
        <v>0</v>
      </c>
      <c r="L518" s="6">
        <v>0</v>
      </c>
      <c r="M518" s="6">
        <v>0</v>
      </c>
      <c r="N518" s="6">
        <v>1</v>
      </c>
      <c r="O518" s="6">
        <v>1</v>
      </c>
    </row>
    <row r="519" spans="1:15" hidden="1">
      <c r="A519" s="6" t="s">
        <v>2452</v>
      </c>
      <c r="B519" s="6" t="s">
        <v>1732</v>
      </c>
      <c r="C519" s="6" t="s">
        <v>35</v>
      </c>
      <c r="D519" s="6" t="s">
        <v>3322</v>
      </c>
      <c r="F519" s="6" t="s">
        <v>3325</v>
      </c>
      <c r="G519" s="6" t="s">
        <v>2444</v>
      </c>
      <c r="H519" s="6" t="s">
        <v>3327</v>
      </c>
      <c r="I519" s="6">
        <v>1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</row>
    <row r="520" spans="1:15" hidden="1">
      <c r="A520" s="6" t="s">
        <v>2452</v>
      </c>
      <c r="B520" s="6" t="s">
        <v>1732</v>
      </c>
      <c r="C520" s="6" t="s">
        <v>35</v>
      </c>
      <c r="D520" s="6" t="s">
        <v>3322</v>
      </c>
      <c r="F520" s="6" t="s">
        <v>3325</v>
      </c>
      <c r="G520" s="6" t="s">
        <v>2444</v>
      </c>
      <c r="H520" s="6" t="s">
        <v>3328</v>
      </c>
      <c r="I520" s="6">
        <v>1</v>
      </c>
      <c r="J520" s="6">
        <v>1</v>
      </c>
      <c r="K520" s="6">
        <v>1</v>
      </c>
      <c r="L520" s="6">
        <v>0.12</v>
      </c>
      <c r="M520" s="6">
        <v>0.12</v>
      </c>
      <c r="N520" s="6">
        <v>0</v>
      </c>
      <c r="O520" s="6">
        <v>0</v>
      </c>
    </row>
    <row r="521" spans="1:15" hidden="1">
      <c r="A521" s="6" t="s">
        <v>2452</v>
      </c>
      <c r="B521" s="6" t="s">
        <v>1732</v>
      </c>
      <c r="C521" s="6" t="s">
        <v>35</v>
      </c>
      <c r="D521" s="6" t="s">
        <v>3322</v>
      </c>
      <c r="F521" s="6" t="s">
        <v>3325</v>
      </c>
      <c r="G521" s="6" t="s">
        <v>2444</v>
      </c>
      <c r="H521" s="6" t="s">
        <v>3329</v>
      </c>
      <c r="I521" s="6">
        <v>2</v>
      </c>
      <c r="J521" s="6">
        <v>0</v>
      </c>
      <c r="K521" s="6">
        <v>0</v>
      </c>
      <c r="L521" s="6">
        <v>0</v>
      </c>
      <c r="M521" s="6">
        <v>0</v>
      </c>
      <c r="N521" s="6">
        <v>0.5</v>
      </c>
      <c r="O521" s="6">
        <v>0.5</v>
      </c>
    </row>
    <row r="522" spans="1:15" hidden="1">
      <c r="A522" s="6" t="s">
        <v>2452</v>
      </c>
      <c r="B522" s="6" t="s">
        <v>1732</v>
      </c>
      <c r="C522" s="6" t="s">
        <v>35</v>
      </c>
      <c r="D522" s="6" t="s">
        <v>3322</v>
      </c>
      <c r="F522" s="6" t="s">
        <v>3325</v>
      </c>
      <c r="G522" s="6" t="s">
        <v>2444</v>
      </c>
      <c r="H522" s="6" t="s">
        <v>3330</v>
      </c>
      <c r="I522" s="6">
        <v>2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</row>
    <row r="523" spans="1:15" hidden="1">
      <c r="A523" s="6" t="s">
        <v>2452</v>
      </c>
      <c r="B523" s="6" t="s">
        <v>1732</v>
      </c>
      <c r="C523" s="6" t="s">
        <v>35</v>
      </c>
      <c r="D523" s="6" t="s">
        <v>3322</v>
      </c>
      <c r="F523" s="6" t="s">
        <v>3331</v>
      </c>
      <c r="G523" s="6" t="s">
        <v>2444</v>
      </c>
      <c r="H523" s="6" t="s">
        <v>3332</v>
      </c>
      <c r="I523" s="6">
        <v>1</v>
      </c>
      <c r="J523" s="6">
        <v>0</v>
      </c>
      <c r="K523" s="6">
        <v>0</v>
      </c>
      <c r="L523" s="6">
        <v>0</v>
      </c>
      <c r="M523" s="6">
        <v>0</v>
      </c>
      <c r="N523" s="6">
        <v>1</v>
      </c>
      <c r="O523" s="6">
        <v>1</v>
      </c>
    </row>
    <row r="524" spans="1:15" hidden="1">
      <c r="A524" s="6" t="s">
        <v>2452</v>
      </c>
      <c r="B524" s="6" t="s">
        <v>1732</v>
      </c>
      <c r="C524" s="6" t="s">
        <v>35</v>
      </c>
      <c r="D524" s="6" t="s">
        <v>3322</v>
      </c>
      <c r="F524" s="6" t="s">
        <v>3331</v>
      </c>
      <c r="G524" s="6" t="s">
        <v>2444</v>
      </c>
      <c r="H524" s="6" t="s">
        <v>3333</v>
      </c>
      <c r="I524" s="6">
        <v>1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</row>
    <row r="525" spans="1:15" hidden="1">
      <c r="A525" s="6" t="s">
        <v>2452</v>
      </c>
      <c r="B525" s="6" t="s">
        <v>1732</v>
      </c>
      <c r="C525" s="6" t="s">
        <v>35</v>
      </c>
      <c r="D525" s="6" t="s">
        <v>3322</v>
      </c>
      <c r="F525" s="6" t="s">
        <v>3331</v>
      </c>
      <c r="G525" s="6" t="s">
        <v>2444</v>
      </c>
      <c r="H525" s="6" t="s">
        <v>3334</v>
      </c>
      <c r="I525" s="6">
        <v>2</v>
      </c>
      <c r="J525" s="6">
        <v>0</v>
      </c>
      <c r="K525" s="6">
        <v>0</v>
      </c>
      <c r="L525" s="6">
        <v>0</v>
      </c>
      <c r="M525" s="6">
        <v>0</v>
      </c>
      <c r="N525" s="6">
        <v>1</v>
      </c>
      <c r="O525" s="6">
        <v>1</v>
      </c>
    </row>
    <row r="526" spans="1:15" hidden="1">
      <c r="A526" s="6" t="s">
        <v>2452</v>
      </c>
      <c r="B526" s="6" t="s">
        <v>1732</v>
      </c>
      <c r="C526" s="6" t="s">
        <v>35</v>
      </c>
      <c r="D526" s="6" t="s">
        <v>3322</v>
      </c>
      <c r="F526" s="6" t="s">
        <v>3331</v>
      </c>
      <c r="G526" s="6" t="s">
        <v>2444</v>
      </c>
      <c r="H526" s="6" t="s">
        <v>3335</v>
      </c>
      <c r="I526" s="6">
        <v>1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</row>
    <row r="527" spans="1:15" hidden="1">
      <c r="A527" s="6" t="s">
        <v>2452</v>
      </c>
      <c r="B527" s="6" t="s">
        <v>1732</v>
      </c>
      <c r="C527" s="6" t="s">
        <v>35</v>
      </c>
      <c r="D527" s="6" t="s">
        <v>3322</v>
      </c>
      <c r="F527" s="6" t="s">
        <v>3336</v>
      </c>
      <c r="G527" s="6" t="s">
        <v>2444</v>
      </c>
      <c r="H527" s="6" t="s">
        <v>3337</v>
      </c>
      <c r="I527" s="6">
        <v>1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</row>
    <row r="528" spans="1:15" hidden="1">
      <c r="A528" s="6" t="s">
        <v>2452</v>
      </c>
      <c r="B528" s="6" t="s">
        <v>1732</v>
      </c>
      <c r="C528" s="6" t="s">
        <v>35</v>
      </c>
      <c r="D528" s="6" t="s">
        <v>3322</v>
      </c>
      <c r="F528" s="6" t="s">
        <v>3338</v>
      </c>
      <c r="G528" s="6" t="s">
        <v>2444</v>
      </c>
      <c r="H528" s="6" t="s">
        <v>3339</v>
      </c>
      <c r="I528" s="6">
        <v>2</v>
      </c>
      <c r="J528" s="6">
        <v>0</v>
      </c>
      <c r="K528" s="6">
        <v>0</v>
      </c>
      <c r="L528" s="6">
        <v>0</v>
      </c>
      <c r="M528" s="6">
        <v>0</v>
      </c>
      <c r="N528" s="6">
        <v>1</v>
      </c>
      <c r="O528" s="6">
        <v>1</v>
      </c>
    </row>
    <row r="529" spans="1:15" hidden="1">
      <c r="A529" s="6" t="s">
        <v>2452</v>
      </c>
      <c r="B529" s="6" t="s">
        <v>1732</v>
      </c>
      <c r="C529" s="6" t="s">
        <v>35</v>
      </c>
      <c r="D529" s="6" t="s">
        <v>3322</v>
      </c>
      <c r="F529" s="6" t="s">
        <v>3340</v>
      </c>
      <c r="G529" s="6" t="s">
        <v>2444</v>
      </c>
      <c r="H529" s="6" t="s">
        <v>3340</v>
      </c>
      <c r="I529" s="6">
        <v>2</v>
      </c>
      <c r="J529" s="6">
        <v>0</v>
      </c>
      <c r="K529" s="6">
        <v>0</v>
      </c>
      <c r="L529" s="6">
        <v>0</v>
      </c>
      <c r="M529" s="6">
        <v>0</v>
      </c>
      <c r="N529" s="6">
        <v>1</v>
      </c>
      <c r="O529" s="6">
        <v>1</v>
      </c>
    </row>
    <row r="530" spans="1:15" hidden="1">
      <c r="A530" s="6" t="s">
        <v>2452</v>
      </c>
      <c r="B530" s="6" t="s">
        <v>1732</v>
      </c>
      <c r="C530" s="6" t="s">
        <v>35</v>
      </c>
      <c r="D530" s="6" t="s">
        <v>3341</v>
      </c>
      <c r="E530" s="6" t="s">
        <v>3342</v>
      </c>
      <c r="F530" s="6" t="s">
        <v>3305</v>
      </c>
      <c r="G530" s="6" t="s">
        <v>2444</v>
      </c>
      <c r="H530" s="6" t="s">
        <v>3343</v>
      </c>
      <c r="I530" s="6">
        <v>1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</row>
    <row r="531" spans="1:15" hidden="1">
      <c r="A531" s="6" t="s">
        <v>2452</v>
      </c>
      <c r="B531" s="6" t="s">
        <v>1732</v>
      </c>
      <c r="C531" s="6" t="s">
        <v>35</v>
      </c>
      <c r="D531" s="6" t="s">
        <v>3341</v>
      </c>
      <c r="E531" s="6" t="s">
        <v>3344</v>
      </c>
      <c r="F531" s="6" t="s">
        <v>3345</v>
      </c>
      <c r="G531" s="6" t="s">
        <v>2444</v>
      </c>
      <c r="H531" s="6" t="s">
        <v>3346</v>
      </c>
      <c r="I531" s="6">
        <v>1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</row>
    <row r="532" spans="1:15" hidden="1">
      <c r="A532" s="6" t="s">
        <v>2452</v>
      </c>
      <c r="B532" s="6" t="s">
        <v>1732</v>
      </c>
      <c r="C532" s="6" t="s">
        <v>35</v>
      </c>
      <c r="D532" s="6" t="s">
        <v>3341</v>
      </c>
      <c r="E532" s="6" t="s">
        <v>3347</v>
      </c>
      <c r="F532" s="6" t="s">
        <v>3348</v>
      </c>
      <c r="G532" s="6" t="s">
        <v>2444</v>
      </c>
      <c r="H532" s="6" t="s">
        <v>3348</v>
      </c>
      <c r="I532" s="6">
        <v>2</v>
      </c>
      <c r="J532" s="6">
        <v>1</v>
      </c>
      <c r="K532" s="6">
        <v>0.5</v>
      </c>
      <c r="L532" s="6">
        <v>0.35</v>
      </c>
      <c r="M532" s="6">
        <v>0.35</v>
      </c>
      <c r="N532" s="6">
        <v>1</v>
      </c>
      <c r="O532" s="6">
        <v>1</v>
      </c>
    </row>
    <row r="533" spans="1:15" hidden="1">
      <c r="A533" s="6" t="s">
        <v>2452</v>
      </c>
      <c r="B533" s="6" t="s">
        <v>1732</v>
      </c>
      <c r="C533" s="6" t="s">
        <v>35</v>
      </c>
      <c r="D533" s="6" t="s">
        <v>3341</v>
      </c>
      <c r="E533" s="6" t="s">
        <v>3349</v>
      </c>
      <c r="F533" s="6" t="s">
        <v>3350</v>
      </c>
      <c r="G533" s="6" t="s">
        <v>2444</v>
      </c>
      <c r="H533" s="6" t="s">
        <v>3351</v>
      </c>
      <c r="I533" s="6">
        <v>1</v>
      </c>
      <c r="J533" s="6">
        <v>0</v>
      </c>
      <c r="K533" s="6">
        <v>0</v>
      </c>
      <c r="L533" s="6">
        <v>0</v>
      </c>
      <c r="M533" s="6">
        <v>0</v>
      </c>
      <c r="N533" s="6">
        <v>1</v>
      </c>
      <c r="O533" s="6">
        <v>1</v>
      </c>
    </row>
    <row r="534" spans="1:15" hidden="1">
      <c r="A534" s="6" t="s">
        <v>2452</v>
      </c>
      <c r="B534" s="6" t="s">
        <v>1732</v>
      </c>
      <c r="C534" s="6" t="s">
        <v>35</v>
      </c>
      <c r="D534" s="6" t="s">
        <v>3341</v>
      </c>
      <c r="E534" s="6" t="s">
        <v>3349</v>
      </c>
      <c r="F534" s="6" t="s">
        <v>3352</v>
      </c>
      <c r="G534" s="6" t="s">
        <v>2444</v>
      </c>
      <c r="H534" s="6" t="s">
        <v>3353</v>
      </c>
      <c r="I534" s="6">
        <v>2</v>
      </c>
      <c r="J534" s="6">
        <v>0</v>
      </c>
      <c r="K534" s="6">
        <v>0</v>
      </c>
      <c r="L534" s="6">
        <v>0</v>
      </c>
      <c r="M534" s="6">
        <v>0</v>
      </c>
      <c r="N534" s="6">
        <v>1</v>
      </c>
      <c r="O534" s="6">
        <v>1</v>
      </c>
    </row>
    <row r="535" spans="1:15" hidden="1">
      <c r="A535" s="6" t="s">
        <v>2452</v>
      </c>
      <c r="B535" s="6" t="s">
        <v>1732</v>
      </c>
      <c r="C535" s="6" t="s">
        <v>35</v>
      </c>
      <c r="D535" s="6" t="s">
        <v>3341</v>
      </c>
      <c r="E535" s="6" t="s">
        <v>3349</v>
      </c>
      <c r="F535" s="6" t="s">
        <v>3352</v>
      </c>
      <c r="G535" s="6" t="s">
        <v>2444</v>
      </c>
      <c r="H535" s="6" t="s">
        <v>3354</v>
      </c>
      <c r="I535" s="6">
        <v>1</v>
      </c>
      <c r="J535" s="6">
        <v>0</v>
      </c>
      <c r="K535" s="6">
        <v>0</v>
      </c>
      <c r="L535" s="6">
        <v>0</v>
      </c>
      <c r="M535" s="6">
        <v>0</v>
      </c>
      <c r="N535" s="6">
        <v>1</v>
      </c>
      <c r="O535" s="6">
        <v>1</v>
      </c>
    </row>
    <row r="536" spans="1:15" hidden="1">
      <c r="A536" s="6" t="s">
        <v>2452</v>
      </c>
      <c r="B536" s="6" t="s">
        <v>1732</v>
      </c>
      <c r="C536" s="6" t="s">
        <v>35</v>
      </c>
      <c r="D536" s="6" t="s">
        <v>3341</v>
      </c>
      <c r="E536" s="6" t="s">
        <v>3349</v>
      </c>
      <c r="F536" s="6" t="s">
        <v>3352</v>
      </c>
      <c r="G536" s="6" t="s">
        <v>2444</v>
      </c>
      <c r="H536" s="6" t="s">
        <v>3355</v>
      </c>
      <c r="I536" s="6">
        <v>1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</row>
    <row r="537" spans="1:15" hidden="1">
      <c r="A537" s="6" t="s">
        <v>2452</v>
      </c>
      <c r="B537" s="6" t="s">
        <v>1732</v>
      </c>
      <c r="C537" s="6" t="s">
        <v>35</v>
      </c>
      <c r="D537" s="6" t="s">
        <v>3341</v>
      </c>
      <c r="E537" s="6" t="s">
        <v>3349</v>
      </c>
      <c r="F537" s="6" t="s">
        <v>3352</v>
      </c>
      <c r="G537" s="6" t="s">
        <v>2444</v>
      </c>
      <c r="H537" s="6" t="s">
        <v>3356</v>
      </c>
      <c r="I537" s="6">
        <v>1</v>
      </c>
      <c r="J537" s="6">
        <v>0</v>
      </c>
      <c r="K537" s="6">
        <v>0</v>
      </c>
      <c r="L537" s="6">
        <v>0</v>
      </c>
      <c r="M537" s="6">
        <v>0</v>
      </c>
      <c r="N537" s="6">
        <v>1</v>
      </c>
      <c r="O537" s="6">
        <v>1</v>
      </c>
    </row>
    <row r="538" spans="1:15" hidden="1">
      <c r="A538" s="6" t="s">
        <v>2452</v>
      </c>
      <c r="B538" s="6" t="s">
        <v>1732</v>
      </c>
      <c r="C538" s="6" t="s">
        <v>35</v>
      </c>
      <c r="D538" s="6" t="s">
        <v>3341</v>
      </c>
      <c r="E538" s="6" t="s">
        <v>3357</v>
      </c>
      <c r="F538" s="6" t="s">
        <v>3358</v>
      </c>
      <c r="G538" s="6" t="s">
        <v>2444</v>
      </c>
      <c r="H538" s="6" t="s">
        <v>3359</v>
      </c>
      <c r="I538" s="6">
        <v>2</v>
      </c>
      <c r="J538" s="6">
        <v>0</v>
      </c>
      <c r="K538" s="6">
        <v>0</v>
      </c>
      <c r="L538" s="6">
        <v>0</v>
      </c>
      <c r="M538" s="6">
        <v>0</v>
      </c>
      <c r="N538" s="6">
        <v>1</v>
      </c>
      <c r="O538" s="6">
        <v>1</v>
      </c>
    </row>
    <row r="539" spans="1:15" hidden="1">
      <c r="A539" s="6" t="s">
        <v>2452</v>
      </c>
      <c r="B539" s="6" t="s">
        <v>1732</v>
      </c>
      <c r="C539" s="6" t="s">
        <v>35</v>
      </c>
      <c r="D539" s="6" t="s">
        <v>3341</v>
      </c>
      <c r="E539" s="6" t="s">
        <v>3360</v>
      </c>
      <c r="G539" s="6" t="s">
        <v>2444</v>
      </c>
      <c r="H539" s="6" t="s">
        <v>3361</v>
      </c>
      <c r="I539" s="6">
        <v>1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</row>
    <row r="540" spans="1:15" hidden="1">
      <c r="A540" s="6" t="s">
        <v>2452</v>
      </c>
      <c r="B540" s="6" t="s">
        <v>1732</v>
      </c>
      <c r="C540" s="6" t="s">
        <v>35</v>
      </c>
      <c r="D540" s="6" t="s">
        <v>3362</v>
      </c>
      <c r="F540" s="6" t="s">
        <v>3363</v>
      </c>
      <c r="G540" s="6" t="s">
        <v>2444</v>
      </c>
      <c r="H540" s="6" t="s">
        <v>3364</v>
      </c>
      <c r="I540" s="6">
        <v>2</v>
      </c>
      <c r="J540" s="6">
        <v>0</v>
      </c>
      <c r="K540" s="6">
        <v>0</v>
      </c>
      <c r="L540" s="6">
        <v>0</v>
      </c>
      <c r="M540" s="6">
        <v>0</v>
      </c>
      <c r="N540" s="6">
        <v>1</v>
      </c>
      <c r="O540" s="6">
        <v>1</v>
      </c>
    </row>
    <row r="541" spans="1:15" hidden="1">
      <c r="A541" s="6" t="s">
        <v>2452</v>
      </c>
      <c r="B541" s="6" t="s">
        <v>1732</v>
      </c>
      <c r="C541" s="6" t="s">
        <v>35</v>
      </c>
      <c r="D541" s="6" t="s">
        <v>3365</v>
      </c>
      <c r="E541" s="6" t="s">
        <v>3366</v>
      </c>
      <c r="F541" s="6" t="s">
        <v>3367</v>
      </c>
      <c r="G541" s="6" t="s">
        <v>2444</v>
      </c>
      <c r="H541" s="6" t="s">
        <v>3368</v>
      </c>
      <c r="I541" s="6">
        <v>1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</row>
    <row r="542" spans="1:15" hidden="1">
      <c r="A542" s="6" t="s">
        <v>2452</v>
      </c>
      <c r="B542" s="6" t="s">
        <v>1732</v>
      </c>
      <c r="C542" s="6" t="s">
        <v>35</v>
      </c>
      <c r="D542" s="6" t="s">
        <v>3369</v>
      </c>
      <c r="E542" s="6" t="s">
        <v>3370</v>
      </c>
      <c r="F542" s="6" t="s">
        <v>3296</v>
      </c>
      <c r="G542" s="6" t="s">
        <v>2444</v>
      </c>
      <c r="H542" s="6" t="s">
        <v>3296</v>
      </c>
      <c r="I542" s="6">
        <v>2</v>
      </c>
      <c r="J542" s="6">
        <v>1</v>
      </c>
      <c r="K542" s="6">
        <v>0.5</v>
      </c>
      <c r="L542" s="6">
        <v>0.77</v>
      </c>
      <c r="M542" s="6">
        <v>0.77</v>
      </c>
      <c r="N542" s="6">
        <v>1</v>
      </c>
      <c r="O542" s="6">
        <v>1</v>
      </c>
    </row>
    <row r="543" spans="1:15" hidden="1">
      <c r="A543" s="6" t="s">
        <v>2452</v>
      </c>
      <c r="B543" s="6" t="s">
        <v>1732</v>
      </c>
      <c r="C543" s="6" t="s">
        <v>35</v>
      </c>
      <c r="D543" s="6" t="s">
        <v>3371</v>
      </c>
      <c r="E543" s="6" t="s">
        <v>3372</v>
      </c>
      <c r="F543" s="6" t="s">
        <v>3373</v>
      </c>
      <c r="G543" s="6" t="s">
        <v>2444</v>
      </c>
      <c r="H543" s="6" t="s">
        <v>3374</v>
      </c>
      <c r="I543" s="6">
        <v>5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</row>
    <row r="544" spans="1:15" hidden="1">
      <c r="A544" s="6" t="s">
        <v>2452</v>
      </c>
      <c r="B544" s="6" t="s">
        <v>1732</v>
      </c>
      <c r="C544" s="6" t="s">
        <v>35</v>
      </c>
      <c r="D544" s="6" t="s">
        <v>3371</v>
      </c>
      <c r="E544" s="6" t="s">
        <v>3375</v>
      </c>
      <c r="F544" s="6" t="s">
        <v>3376</v>
      </c>
      <c r="G544" s="6" t="s">
        <v>2444</v>
      </c>
      <c r="H544" s="6" t="s">
        <v>3377</v>
      </c>
      <c r="I544" s="6">
        <v>1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</row>
    <row r="545" spans="1:15" hidden="1">
      <c r="A545" s="6" t="s">
        <v>2452</v>
      </c>
      <c r="B545" s="6" t="s">
        <v>1732</v>
      </c>
      <c r="C545" s="6" t="s">
        <v>35</v>
      </c>
      <c r="D545" s="6" t="s">
        <v>3371</v>
      </c>
      <c r="E545" s="6" t="s">
        <v>3378</v>
      </c>
      <c r="F545" s="6" t="s">
        <v>3379</v>
      </c>
      <c r="G545" s="6" t="s">
        <v>2444</v>
      </c>
      <c r="H545" s="6" t="s">
        <v>3380</v>
      </c>
      <c r="I545" s="6">
        <v>7</v>
      </c>
      <c r="J545" s="6">
        <v>3</v>
      </c>
      <c r="K545" s="6">
        <v>0.42859999999999998</v>
      </c>
      <c r="L545" s="6">
        <v>0.54</v>
      </c>
      <c r="M545" s="6">
        <v>1.62</v>
      </c>
      <c r="N545" s="6">
        <v>0.75</v>
      </c>
      <c r="O545" s="6">
        <v>0.75</v>
      </c>
    </row>
    <row r="546" spans="1:15" hidden="1">
      <c r="A546" s="6" t="s">
        <v>2452</v>
      </c>
      <c r="B546" s="6" t="s">
        <v>1732</v>
      </c>
      <c r="C546" s="6" t="s">
        <v>35</v>
      </c>
      <c r="D546" s="6" t="s">
        <v>3371</v>
      </c>
      <c r="E546" s="6" t="s">
        <v>3381</v>
      </c>
      <c r="F546" s="6" t="s">
        <v>3382</v>
      </c>
      <c r="G546" s="6" t="s">
        <v>2444</v>
      </c>
      <c r="H546" s="6" t="s">
        <v>3383</v>
      </c>
      <c r="I546" s="6">
        <v>1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</row>
    <row r="547" spans="1:15" hidden="1">
      <c r="A547" s="6" t="s">
        <v>2452</v>
      </c>
      <c r="B547" s="6" t="s">
        <v>1732</v>
      </c>
      <c r="C547" s="6" t="s">
        <v>35</v>
      </c>
      <c r="D547" s="6" t="s">
        <v>3371</v>
      </c>
      <c r="E547" s="6" t="s">
        <v>3384</v>
      </c>
      <c r="F547" s="6" t="s">
        <v>3384</v>
      </c>
      <c r="G547" s="6" t="s">
        <v>2444</v>
      </c>
      <c r="H547" s="6" t="s">
        <v>3385</v>
      </c>
      <c r="I547" s="6">
        <v>1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</row>
    <row r="548" spans="1:15" hidden="1">
      <c r="A548" s="6" t="s">
        <v>2452</v>
      </c>
      <c r="B548" s="6" t="s">
        <v>1732</v>
      </c>
      <c r="C548" s="6" t="s">
        <v>35</v>
      </c>
      <c r="D548" s="6" t="s">
        <v>3371</v>
      </c>
      <c r="E548" s="6" t="s">
        <v>3386</v>
      </c>
      <c r="F548" s="6" t="s">
        <v>3387</v>
      </c>
      <c r="G548" s="6" t="s">
        <v>2444</v>
      </c>
      <c r="H548" s="6" t="s">
        <v>3388</v>
      </c>
      <c r="I548" s="6">
        <v>1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</row>
    <row r="549" spans="1:15" hidden="1">
      <c r="A549" s="6" t="s">
        <v>2452</v>
      </c>
      <c r="B549" s="6" t="s">
        <v>1732</v>
      </c>
      <c r="C549" s="6" t="s">
        <v>35</v>
      </c>
      <c r="D549" s="6" t="s">
        <v>3371</v>
      </c>
      <c r="E549" s="6" t="s">
        <v>3389</v>
      </c>
      <c r="F549" s="6" t="s">
        <v>3390</v>
      </c>
      <c r="G549" s="6" t="s">
        <v>2444</v>
      </c>
      <c r="H549" s="6" t="s">
        <v>3391</v>
      </c>
      <c r="I549" s="6">
        <v>2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</row>
    <row r="550" spans="1:15" hidden="1">
      <c r="A550" s="6" t="s">
        <v>2452</v>
      </c>
      <c r="B550" s="6" t="s">
        <v>1732</v>
      </c>
      <c r="C550" s="6" t="s">
        <v>35</v>
      </c>
      <c r="D550" s="6" t="s">
        <v>3371</v>
      </c>
      <c r="E550" s="6" t="s">
        <v>3392</v>
      </c>
      <c r="F550" s="6" t="s">
        <v>3393</v>
      </c>
      <c r="G550" s="6" t="s">
        <v>2444</v>
      </c>
      <c r="H550" s="6" t="s">
        <v>3393</v>
      </c>
      <c r="I550" s="6">
        <v>2</v>
      </c>
      <c r="J550" s="6">
        <v>0</v>
      </c>
      <c r="K550" s="6">
        <v>0</v>
      </c>
      <c r="L550" s="6">
        <v>0</v>
      </c>
      <c r="M550" s="6">
        <v>0</v>
      </c>
      <c r="N550" s="6">
        <v>1</v>
      </c>
      <c r="O550" s="6">
        <v>1</v>
      </c>
    </row>
    <row r="551" spans="1:15" hidden="1">
      <c r="A551" s="6" t="s">
        <v>2452</v>
      </c>
      <c r="B551" s="6" t="s">
        <v>1732</v>
      </c>
      <c r="C551" s="6" t="s">
        <v>35</v>
      </c>
      <c r="D551" s="6" t="s">
        <v>3371</v>
      </c>
      <c r="E551" s="6" t="s">
        <v>3394</v>
      </c>
      <c r="F551" s="6" t="s">
        <v>3395</v>
      </c>
      <c r="G551" s="6" t="s">
        <v>2444</v>
      </c>
      <c r="H551" s="6" t="s">
        <v>3396</v>
      </c>
      <c r="I551" s="6">
        <v>1</v>
      </c>
      <c r="J551" s="6">
        <v>0</v>
      </c>
      <c r="K551" s="6">
        <v>0</v>
      </c>
      <c r="L551" s="6">
        <v>0</v>
      </c>
      <c r="M551" s="6">
        <v>0</v>
      </c>
      <c r="N551" s="6">
        <v>1</v>
      </c>
      <c r="O551" s="6">
        <v>1</v>
      </c>
    </row>
    <row r="552" spans="1:15" hidden="1">
      <c r="A552" s="6" t="s">
        <v>2452</v>
      </c>
      <c r="B552" s="6" t="s">
        <v>1732</v>
      </c>
      <c r="C552" s="6" t="s">
        <v>35</v>
      </c>
      <c r="D552" s="6" t="s">
        <v>3371</v>
      </c>
      <c r="E552" s="6" t="s">
        <v>3397</v>
      </c>
      <c r="F552" s="6" t="s">
        <v>3398</v>
      </c>
      <c r="G552" s="6" t="s">
        <v>2444</v>
      </c>
      <c r="H552" s="6" t="s">
        <v>3398</v>
      </c>
      <c r="I552" s="6">
        <v>1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</row>
    <row r="553" spans="1:15" hidden="1">
      <c r="A553" s="6" t="s">
        <v>2452</v>
      </c>
      <c r="B553" s="6" t="s">
        <v>1732</v>
      </c>
      <c r="C553" s="6" t="s">
        <v>35</v>
      </c>
      <c r="D553" s="6" t="s">
        <v>3371</v>
      </c>
      <c r="E553" s="6" t="s">
        <v>3397</v>
      </c>
      <c r="F553" s="6" t="s">
        <v>3398</v>
      </c>
      <c r="G553" s="6" t="s">
        <v>2444</v>
      </c>
      <c r="H553" s="6" t="s">
        <v>3399</v>
      </c>
      <c r="I553" s="6">
        <v>1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</row>
    <row r="554" spans="1:15" hidden="1">
      <c r="A554" s="6" t="s">
        <v>2452</v>
      </c>
      <c r="B554" s="6" t="s">
        <v>1732</v>
      </c>
      <c r="C554" s="6" t="s">
        <v>35</v>
      </c>
      <c r="D554" s="6" t="s">
        <v>3371</v>
      </c>
      <c r="E554" s="6" t="s">
        <v>3400</v>
      </c>
      <c r="F554" s="6" t="s">
        <v>3401</v>
      </c>
      <c r="G554" s="6" t="s">
        <v>2444</v>
      </c>
      <c r="H554" s="6" t="s">
        <v>3402</v>
      </c>
      <c r="I554" s="6">
        <v>3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</row>
    <row r="555" spans="1:15" hidden="1">
      <c r="A555" s="6" t="s">
        <v>2452</v>
      </c>
      <c r="B555" s="6" t="s">
        <v>1732</v>
      </c>
      <c r="C555" s="6" t="s">
        <v>35</v>
      </c>
      <c r="D555" s="6" t="s">
        <v>3371</v>
      </c>
      <c r="E555" s="6" t="s">
        <v>3400</v>
      </c>
      <c r="F555" s="6" t="s">
        <v>3400</v>
      </c>
      <c r="G555" s="6" t="s">
        <v>2444</v>
      </c>
      <c r="H555" s="6" t="s">
        <v>3403</v>
      </c>
      <c r="I555" s="6">
        <v>1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</row>
    <row r="556" spans="1:15" hidden="1">
      <c r="A556" s="6" t="s">
        <v>2452</v>
      </c>
      <c r="B556" s="6" t="s">
        <v>1732</v>
      </c>
      <c r="C556" s="6" t="s">
        <v>35</v>
      </c>
      <c r="D556" s="6" t="s">
        <v>3371</v>
      </c>
      <c r="E556" s="6" t="s">
        <v>3400</v>
      </c>
      <c r="F556" s="6" t="s">
        <v>3400</v>
      </c>
      <c r="G556" s="6" t="s">
        <v>2444</v>
      </c>
      <c r="H556" s="6" t="s">
        <v>3404</v>
      </c>
      <c r="I556" s="6">
        <v>1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</row>
    <row r="557" spans="1:15" hidden="1">
      <c r="A557" s="6" t="s">
        <v>2452</v>
      </c>
      <c r="B557" s="6" t="s">
        <v>1732</v>
      </c>
      <c r="C557" s="6" t="s">
        <v>35</v>
      </c>
      <c r="D557" s="6" t="s">
        <v>3371</v>
      </c>
      <c r="E557" s="6" t="s">
        <v>3400</v>
      </c>
      <c r="F557" s="6" t="s">
        <v>3400</v>
      </c>
      <c r="G557" s="6" t="s">
        <v>2444</v>
      </c>
      <c r="H557" s="6" t="s">
        <v>3405</v>
      </c>
      <c r="I557" s="6">
        <v>2</v>
      </c>
      <c r="J557" s="6">
        <v>0</v>
      </c>
      <c r="K557" s="6">
        <v>0</v>
      </c>
      <c r="L557" s="6">
        <v>0</v>
      </c>
      <c r="M557" s="6">
        <v>0</v>
      </c>
      <c r="N557" s="6">
        <v>1</v>
      </c>
      <c r="O557" s="6">
        <v>1</v>
      </c>
    </row>
    <row r="558" spans="1:15" hidden="1">
      <c r="A558" s="6" t="s">
        <v>2452</v>
      </c>
      <c r="B558" s="6" t="s">
        <v>1732</v>
      </c>
      <c r="C558" s="6" t="s">
        <v>35</v>
      </c>
      <c r="D558" s="6" t="s">
        <v>3371</v>
      </c>
      <c r="E558" s="6" t="s">
        <v>3400</v>
      </c>
      <c r="F558" s="6" t="s">
        <v>3400</v>
      </c>
      <c r="G558" s="6" t="s">
        <v>2444</v>
      </c>
      <c r="H558" s="6" t="s">
        <v>3406</v>
      </c>
      <c r="I558" s="6">
        <v>2</v>
      </c>
      <c r="J558" s="6">
        <v>0</v>
      </c>
      <c r="K558" s="6">
        <v>0</v>
      </c>
      <c r="L558" s="6">
        <v>0</v>
      </c>
      <c r="M558" s="6">
        <v>0</v>
      </c>
      <c r="N558" s="6">
        <v>1</v>
      </c>
      <c r="O558" s="6">
        <v>1</v>
      </c>
    </row>
    <row r="559" spans="1:15" hidden="1">
      <c r="A559" s="6" t="s">
        <v>2452</v>
      </c>
      <c r="B559" s="6" t="s">
        <v>1732</v>
      </c>
      <c r="C559" s="6" t="s">
        <v>35</v>
      </c>
      <c r="D559" s="6" t="s">
        <v>3371</v>
      </c>
      <c r="E559" s="6" t="s">
        <v>3400</v>
      </c>
      <c r="F559" s="6" t="s">
        <v>3407</v>
      </c>
      <c r="G559" s="6" t="s">
        <v>2444</v>
      </c>
      <c r="H559" s="6" t="s">
        <v>3407</v>
      </c>
      <c r="I559" s="6">
        <v>1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</row>
    <row r="560" spans="1:15" hidden="1">
      <c r="A560" s="6" t="s">
        <v>2452</v>
      </c>
      <c r="B560" s="6" t="s">
        <v>1732</v>
      </c>
      <c r="C560" s="6" t="s">
        <v>35</v>
      </c>
      <c r="D560" s="6" t="s">
        <v>3371</v>
      </c>
      <c r="E560" s="6" t="s">
        <v>3408</v>
      </c>
      <c r="F560" s="6" t="s">
        <v>3409</v>
      </c>
      <c r="G560" s="6" t="s">
        <v>2444</v>
      </c>
      <c r="H560" s="6" t="s">
        <v>3410</v>
      </c>
      <c r="I560" s="6">
        <v>1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</row>
    <row r="561" spans="1:15" hidden="1">
      <c r="A561" s="6" t="s">
        <v>2452</v>
      </c>
      <c r="B561" s="6" t="s">
        <v>1732</v>
      </c>
      <c r="C561" s="6" t="s">
        <v>35</v>
      </c>
      <c r="D561" s="6" t="s">
        <v>3371</v>
      </c>
      <c r="E561" s="6" t="s">
        <v>3411</v>
      </c>
      <c r="F561" s="6" t="s">
        <v>3412</v>
      </c>
      <c r="G561" s="6" t="s">
        <v>2444</v>
      </c>
      <c r="H561" s="6" t="s">
        <v>3413</v>
      </c>
      <c r="I561" s="6">
        <v>4</v>
      </c>
      <c r="J561" s="6">
        <v>1</v>
      </c>
      <c r="K561" s="6">
        <v>0.25</v>
      </c>
      <c r="L561" s="6">
        <v>2.04</v>
      </c>
      <c r="M561" s="6">
        <v>2.04</v>
      </c>
      <c r="N561" s="6">
        <v>1</v>
      </c>
      <c r="O561" s="6">
        <v>1</v>
      </c>
    </row>
    <row r="562" spans="1:15" hidden="1">
      <c r="A562" s="6" t="s">
        <v>2452</v>
      </c>
      <c r="B562" s="6" t="s">
        <v>1732</v>
      </c>
      <c r="C562" s="6" t="s">
        <v>35</v>
      </c>
      <c r="D562" s="6" t="s">
        <v>3371</v>
      </c>
      <c r="E562" s="6" t="s">
        <v>3411</v>
      </c>
      <c r="F562" s="6" t="s">
        <v>3414</v>
      </c>
      <c r="G562" s="6" t="s">
        <v>2444</v>
      </c>
      <c r="H562" s="6" t="s">
        <v>3415</v>
      </c>
      <c r="I562" s="6">
        <v>1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</row>
    <row r="563" spans="1:15" hidden="1">
      <c r="A563" s="6" t="s">
        <v>2452</v>
      </c>
      <c r="B563" s="6" t="s">
        <v>1732</v>
      </c>
      <c r="C563" s="6" t="s">
        <v>35</v>
      </c>
      <c r="D563" s="6" t="s">
        <v>3371</v>
      </c>
      <c r="E563" s="6" t="s">
        <v>3411</v>
      </c>
      <c r="F563" s="6" t="s">
        <v>3416</v>
      </c>
      <c r="G563" s="6" t="s">
        <v>2444</v>
      </c>
      <c r="H563" s="6" t="s">
        <v>3416</v>
      </c>
      <c r="I563" s="6">
        <v>2</v>
      </c>
      <c r="J563" s="6">
        <v>0</v>
      </c>
      <c r="K563" s="6">
        <v>0</v>
      </c>
      <c r="L563" s="6">
        <v>0</v>
      </c>
      <c r="M563" s="6">
        <v>0</v>
      </c>
      <c r="N563" s="6">
        <v>1</v>
      </c>
      <c r="O563" s="6">
        <v>1</v>
      </c>
    </row>
    <row r="564" spans="1:15" hidden="1">
      <c r="A564" s="6" t="s">
        <v>2452</v>
      </c>
      <c r="B564" s="6" t="s">
        <v>1732</v>
      </c>
      <c r="C564" s="6" t="s">
        <v>35</v>
      </c>
      <c r="D564" s="6" t="s">
        <v>3371</v>
      </c>
      <c r="E564" s="6" t="s">
        <v>3417</v>
      </c>
      <c r="F564" s="6" t="s">
        <v>3418</v>
      </c>
      <c r="G564" s="6" t="s">
        <v>2444</v>
      </c>
      <c r="H564" s="6" t="s">
        <v>3418</v>
      </c>
      <c r="I564" s="6">
        <v>1</v>
      </c>
      <c r="J564" s="6">
        <v>1</v>
      </c>
      <c r="K564" s="6">
        <v>1</v>
      </c>
      <c r="L564" s="6">
        <v>0.04</v>
      </c>
      <c r="M564" s="6">
        <v>0.04</v>
      </c>
      <c r="N564" s="6">
        <v>1</v>
      </c>
      <c r="O564" s="6">
        <v>1</v>
      </c>
    </row>
    <row r="565" spans="1:15" hidden="1">
      <c r="A565" s="6" t="s">
        <v>2452</v>
      </c>
      <c r="B565" s="6" t="s">
        <v>1732</v>
      </c>
      <c r="C565" s="6" t="s">
        <v>35</v>
      </c>
      <c r="D565" s="6" t="s">
        <v>3371</v>
      </c>
      <c r="E565" s="6" t="s">
        <v>3419</v>
      </c>
      <c r="F565" s="6" t="s">
        <v>3420</v>
      </c>
      <c r="G565" s="6" t="s">
        <v>2444</v>
      </c>
      <c r="H565" s="6" t="s">
        <v>3421</v>
      </c>
      <c r="I565" s="6">
        <v>3</v>
      </c>
      <c r="J565" s="6">
        <v>0</v>
      </c>
      <c r="K565" s="6">
        <v>0</v>
      </c>
      <c r="L565" s="6">
        <v>0</v>
      </c>
      <c r="M565" s="6">
        <v>0</v>
      </c>
      <c r="N565" s="6">
        <v>0.5</v>
      </c>
      <c r="O565" s="6">
        <v>0.5</v>
      </c>
    </row>
    <row r="566" spans="1:15" hidden="1">
      <c r="A566" s="6" t="s">
        <v>2452</v>
      </c>
      <c r="B566" s="6" t="s">
        <v>1732</v>
      </c>
      <c r="C566" s="6" t="s">
        <v>35</v>
      </c>
      <c r="D566" s="6" t="s">
        <v>3371</v>
      </c>
      <c r="E566" s="6" t="s">
        <v>3419</v>
      </c>
      <c r="F566" s="6" t="s">
        <v>3420</v>
      </c>
      <c r="G566" s="6" t="s">
        <v>2444</v>
      </c>
      <c r="H566" s="6" t="s">
        <v>3422</v>
      </c>
      <c r="I566" s="6">
        <v>2</v>
      </c>
      <c r="J566" s="6">
        <v>0</v>
      </c>
      <c r="K566" s="6">
        <v>0</v>
      </c>
      <c r="L566" s="6">
        <v>0</v>
      </c>
      <c r="M566" s="6">
        <v>0</v>
      </c>
      <c r="N566" s="6">
        <v>1</v>
      </c>
      <c r="O566" s="6">
        <v>1</v>
      </c>
    </row>
    <row r="567" spans="1:15" hidden="1">
      <c r="A567" s="6" t="s">
        <v>2452</v>
      </c>
      <c r="B567" s="6" t="s">
        <v>1732</v>
      </c>
      <c r="C567" s="6" t="s">
        <v>35</v>
      </c>
      <c r="D567" s="6" t="s">
        <v>3371</v>
      </c>
      <c r="E567" s="6" t="s">
        <v>3419</v>
      </c>
      <c r="F567" s="6" t="s">
        <v>3420</v>
      </c>
      <c r="G567" s="6" t="s">
        <v>2444</v>
      </c>
      <c r="H567" s="6" t="s">
        <v>3423</v>
      </c>
      <c r="I567" s="6">
        <v>1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</row>
    <row r="568" spans="1:15" hidden="1">
      <c r="A568" s="6" t="s">
        <v>2452</v>
      </c>
      <c r="B568" s="6" t="s">
        <v>1732</v>
      </c>
      <c r="C568" s="6" t="s">
        <v>35</v>
      </c>
      <c r="D568" s="6" t="s">
        <v>3371</v>
      </c>
      <c r="E568" s="6" t="s">
        <v>3419</v>
      </c>
      <c r="F568" s="6" t="s">
        <v>3424</v>
      </c>
      <c r="G568" s="6" t="s">
        <v>2444</v>
      </c>
      <c r="H568" s="6" t="s">
        <v>3425</v>
      </c>
      <c r="I568" s="6">
        <v>1</v>
      </c>
      <c r="J568" s="6">
        <v>0</v>
      </c>
      <c r="K568" s="6">
        <v>0</v>
      </c>
      <c r="L568" s="6">
        <v>0</v>
      </c>
      <c r="M568" s="6">
        <v>0</v>
      </c>
      <c r="N568" s="6">
        <v>1</v>
      </c>
      <c r="O568" s="6">
        <v>1</v>
      </c>
    </row>
    <row r="569" spans="1:15" hidden="1">
      <c r="A569" s="6" t="s">
        <v>2452</v>
      </c>
      <c r="B569" s="6" t="s">
        <v>1732</v>
      </c>
      <c r="C569" s="6" t="s">
        <v>35</v>
      </c>
      <c r="D569" s="6" t="s">
        <v>3371</v>
      </c>
      <c r="E569" s="6" t="s">
        <v>3419</v>
      </c>
      <c r="F569" s="6" t="s">
        <v>3426</v>
      </c>
      <c r="G569" s="6" t="s">
        <v>2444</v>
      </c>
      <c r="H569" s="6" t="s">
        <v>3427</v>
      </c>
      <c r="I569" s="6">
        <v>1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</row>
    <row r="570" spans="1:15" hidden="1">
      <c r="A570" s="6" t="s">
        <v>2452</v>
      </c>
      <c r="B570" s="6" t="s">
        <v>1732</v>
      </c>
      <c r="C570" s="6" t="s">
        <v>35</v>
      </c>
      <c r="D570" s="6" t="s">
        <v>3371</v>
      </c>
      <c r="E570" s="6" t="s">
        <v>3419</v>
      </c>
      <c r="F570" s="6" t="s">
        <v>3419</v>
      </c>
      <c r="G570" s="6" t="s">
        <v>2444</v>
      </c>
      <c r="H570" s="6" t="s">
        <v>3428</v>
      </c>
      <c r="I570" s="6">
        <v>1</v>
      </c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6">
        <v>1</v>
      </c>
    </row>
    <row r="571" spans="1:15" hidden="1">
      <c r="A571" s="6" t="s">
        <v>2452</v>
      </c>
      <c r="B571" s="6" t="s">
        <v>1732</v>
      </c>
      <c r="C571" s="6" t="s">
        <v>35</v>
      </c>
      <c r="D571" s="6" t="s">
        <v>3371</v>
      </c>
      <c r="E571" s="6" t="s">
        <v>3419</v>
      </c>
      <c r="F571" s="6" t="s">
        <v>3419</v>
      </c>
      <c r="G571" s="6" t="s">
        <v>2444</v>
      </c>
      <c r="H571" s="6" t="s">
        <v>3429</v>
      </c>
      <c r="I571" s="6">
        <v>1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</row>
    <row r="572" spans="1:15" hidden="1">
      <c r="A572" s="6" t="s">
        <v>2452</v>
      </c>
      <c r="B572" s="6" t="s">
        <v>1732</v>
      </c>
      <c r="C572" s="6" t="s">
        <v>35</v>
      </c>
      <c r="D572" s="6" t="s">
        <v>3371</v>
      </c>
      <c r="E572" s="6" t="s">
        <v>3419</v>
      </c>
      <c r="F572" s="6" t="s">
        <v>3419</v>
      </c>
      <c r="G572" s="6" t="s">
        <v>2444</v>
      </c>
      <c r="H572" s="6" t="s">
        <v>3419</v>
      </c>
      <c r="I572" s="6">
        <v>4</v>
      </c>
      <c r="J572" s="6">
        <v>0</v>
      </c>
      <c r="K572" s="6">
        <v>0</v>
      </c>
      <c r="L572" s="6">
        <v>0</v>
      </c>
      <c r="M572" s="6">
        <v>0</v>
      </c>
      <c r="N572" s="6">
        <v>1</v>
      </c>
      <c r="O572" s="6">
        <v>1</v>
      </c>
    </row>
    <row r="573" spans="1:15" hidden="1">
      <c r="A573" s="6" t="s">
        <v>2452</v>
      </c>
      <c r="B573" s="6" t="s">
        <v>1732</v>
      </c>
      <c r="C573" s="6" t="s">
        <v>35</v>
      </c>
      <c r="D573" s="6" t="s">
        <v>3371</v>
      </c>
      <c r="E573" s="6" t="s">
        <v>3419</v>
      </c>
      <c r="F573" s="6" t="s">
        <v>3430</v>
      </c>
      <c r="G573" s="6" t="s">
        <v>2444</v>
      </c>
      <c r="H573" s="6" t="s">
        <v>3431</v>
      </c>
      <c r="I573" s="6">
        <v>1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</row>
    <row r="574" spans="1:15" hidden="1">
      <c r="A574" s="6" t="s">
        <v>2452</v>
      </c>
      <c r="B574" s="6" t="s">
        <v>1732</v>
      </c>
      <c r="C574" s="6" t="s">
        <v>35</v>
      </c>
      <c r="D574" s="6" t="s">
        <v>3371</v>
      </c>
      <c r="E574" s="6" t="s">
        <v>3432</v>
      </c>
      <c r="F574" s="6" t="s">
        <v>2865</v>
      </c>
      <c r="G574" s="6" t="s">
        <v>2444</v>
      </c>
      <c r="H574" s="6" t="s">
        <v>3433</v>
      </c>
      <c r="I574" s="6">
        <v>1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</row>
    <row r="575" spans="1:15" hidden="1">
      <c r="A575" s="6" t="s">
        <v>2452</v>
      </c>
      <c r="B575" s="6" t="s">
        <v>1732</v>
      </c>
      <c r="C575" s="6" t="s">
        <v>35</v>
      </c>
      <c r="D575" s="6" t="s">
        <v>3371</v>
      </c>
      <c r="E575" s="6" t="s">
        <v>3432</v>
      </c>
      <c r="F575" s="6" t="s">
        <v>3434</v>
      </c>
      <c r="G575" s="6" t="s">
        <v>2444</v>
      </c>
      <c r="H575" s="6" t="s">
        <v>3435</v>
      </c>
      <c r="I575" s="6">
        <v>2</v>
      </c>
      <c r="J575" s="6">
        <v>0</v>
      </c>
      <c r="K575" s="6">
        <v>0</v>
      </c>
      <c r="L575" s="6">
        <v>0</v>
      </c>
      <c r="M575" s="6">
        <v>0</v>
      </c>
      <c r="N575" s="6">
        <v>1</v>
      </c>
      <c r="O575" s="6">
        <v>1</v>
      </c>
    </row>
    <row r="576" spans="1:15" hidden="1">
      <c r="A576" s="6" t="s">
        <v>2452</v>
      </c>
      <c r="B576" s="6" t="s">
        <v>1732</v>
      </c>
      <c r="C576" s="6" t="s">
        <v>35</v>
      </c>
      <c r="D576" s="6" t="s">
        <v>3371</v>
      </c>
      <c r="E576" s="6" t="s">
        <v>3432</v>
      </c>
      <c r="F576" s="6" t="s">
        <v>3432</v>
      </c>
      <c r="G576" s="6" t="s">
        <v>2444</v>
      </c>
      <c r="H576" s="6" t="s">
        <v>3436</v>
      </c>
      <c r="I576" s="6">
        <v>1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</row>
    <row r="577" spans="1:15" hidden="1">
      <c r="A577" s="6" t="s">
        <v>2452</v>
      </c>
      <c r="B577" s="6" t="s">
        <v>1732</v>
      </c>
      <c r="C577" s="6" t="s">
        <v>35</v>
      </c>
      <c r="D577" s="6" t="s">
        <v>3371</v>
      </c>
      <c r="E577" s="6" t="s">
        <v>3432</v>
      </c>
      <c r="F577" s="6" t="s">
        <v>3437</v>
      </c>
      <c r="G577" s="6" t="s">
        <v>2444</v>
      </c>
      <c r="H577" s="6" t="s">
        <v>3438</v>
      </c>
      <c r="I577" s="6">
        <v>1</v>
      </c>
      <c r="J577" s="6">
        <v>0</v>
      </c>
      <c r="K577" s="6">
        <v>0</v>
      </c>
      <c r="L577" s="6">
        <v>0</v>
      </c>
      <c r="M577" s="6">
        <v>0</v>
      </c>
      <c r="N577" s="6">
        <v>1</v>
      </c>
      <c r="O577" s="6">
        <v>1</v>
      </c>
    </row>
    <row r="578" spans="1:15" hidden="1">
      <c r="A578" s="6" t="s">
        <v>2452</v>
      </c>
      <c r="B578" s="6" t="s">
        <v>1732</v>
      </c>
      <c r="C578" s="6" t="s">
        <v>35</v>
      </c>
      <c r="D578" s="6" t="s">
        <v>3439</v>
      </c>
      <c r="F578" s="6" t="s">
        <v>3440</v>
      </c>
      <c r="G578" s="6" t="s">
        <v>2444</v>
      </c>
      <c r="H578" s="6" t="s">
        <v>3441</v>
      </c>
      <c r="I578" s="6">
        <v>1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</row>
    <row r="579" spans="1:15" hidden="1">
      <c r="A579" s="6" t="s">
        <v>2452</v>
      </c>
      <c r="B579" s="6" t="s">
        <v>1732</v>
      </c>
      <c r="C579" s="6" t="s">
        <v>35</v>
      </c>
      <c r="D579" s="6" t="s">
        <v>3439</v>
      </c>
      <c r="E579" s="6" t="s">
        <v>3442</v>
      </c>
      <c r="F579" s="6" t="s">
        <v>3443</v>
      </c>
      <c r="G579" s="6" t="s">
        <v>2444</v>
      </c>
      <c r="H579" s="6" t="s">
        <v>3444</v>
      </c>
      <c r="I579" s="6">
        <v>1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</row>
    <row r="580" spans="1:15" hidden="1">
      <c r="A580" s="6" t="s">
        <v>2452</v>
      </c>
      <c r="B580" s="6" t="s">
        <v>1732</v>
      </c>
      <c r="C580" s="6" t="s">
        <v>35</v>
      </c>
      <c r="D580" s="6" t="s">
        <v>3439</v>
      </c>
      <c r="E580" s="6" t="s">
        <v>3445</v>
      </c>
      <c r="G580" s="6" t="s">
        <v>2444</v>
      </c>
      <c r="H580" s="6" t="s">
        <v>3446</v>
      </c>
      <c r="I580" s="6">
        <v>1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</row>
    <row r="581" spans="1:15" hidden="1">
      <c r="A581" s="6" t="s">
        <v>2452</v>
      </c>
      <c r="B581" s="6" t="s">
        <v>1732</v>
      </c>
      <c r="C581" s="6" t="s">
        <v>35</v>
      </c>
      <c r="D581" s="6" t="s">
        <v>3439</v>
      </c>
      <c r="E581" s="6" t="s">
        <v>3447</v>
      </c>
      <c r="F581" s="6" t="s">
        <v>3448</v>
      </c>
      <c r="G581" s="6" t="s">
        <v>2444</v>
      </c>
      <c r="H581" s="6" t="s">
        <v>3449</v>
      </c>
      <c r="I581" s="6">
        <v>1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</row>
    <row r="582" spans="1:15" hidden="1">
      <c r="A582" s="6" t="s">
        <v>2452</v>
      </c>
      <c r="B582" s="6" t="s">
        <v>1732</v>
      </c>
      <c r="C582" s="6" t="s">
        <v>35</v>
      </c>
      <c r="D582" s="6" t="s">
        <v>3439</v>
      </c>
      <c r="E582" s="6" t="s">
        <v>3450</v>
      </c>
      <c r="F582" s="6" t="s">
        <v>3451</v>
      </c>
      <c r="G582" s="6" t="s">
        <v>2444</v>
      </c>
      <c r="H582" s="6" t="s">
        <v>3452</v>
      </c>
      <c r="I582" s="6">
        <v>1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</row>
    <row r="583" spans="1:15" hidden="1">
      <c r="A583" s="6" t="s">
        <v>2452</v>
      </c>
      <c r="B583" s="6" t="s">
        <v>1732</v>
      </c>
      <c r="C583" s="6" t="s">
        <v>35</v>
      </c>
      <c r="D583" s="6" t="s">
        <v>3439</v>
      </c>
      <c r="E583" s="6" t="s">
        <v>3453</v>
      </c>
      <c r="G583" s="6" t="s">
        <v>2444</v>
      </c>
      <c r="H583" s="6" t="s">
        <v>3454</v>
      </c>
      <c r="I583" s="6">
        <v>2</v>
      </c>
      <c r="J583" s="6">
        <v>1</v>
      </c>
      <c r="K583" s="6">
        <v>0.5</v>
      </c>
      <c r="L583" s="6">
        <v>0.77</v>
      </c>
      <c r="M583" s="6">
        <v>0.77</v>
      </c>
      <c r="N583" s="6">
        <v>1</v>
      </c>
      <c r="O583" s="6">
        <v>1</v>
      </c>
    </row>
    <row r="584" spans="1:15" hidden="1">
      <c r="A584" s="6" t="s">
        <v>2452</v>
      </c>
      <c r="B584" s="6" t="s">
        <v>1732</v>
      </c>
      <c r="C584" s="6" t="s">
        <v>35</v>
      </c>
      <c r="D584" s="6" t="s">
        <v>3439</v>
      </c>
      <c r="E584" s="6" t="s">
        <v>3453</v>
      </c>
      <c r="F584" s="6" t="s">
        <v>3455</v>
      </c>
      <c r="G584" s="6" t="s">
        <v>2444</v>
      </c>
      <c r="H584" s="6" t="s">
        <v>3456</v>
      </c>
      <c r="I584" s="6">
        <v>2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</row>
    <row r="585" spans="1:15" hidden="1">
      <c r="A585" s="6" t="s">
        <v>2452</v>
      </c>
      <c r="B585" s="6" t="s">
        <v>1732</v>
      </c>
      <c r="C585" s="6" t="s">
        <v>35</v>
      </c>
      <c r="D585" s="6" t="s">
        <v>3439</v>
      </c>
      <c r="E585" s="6" t="s">
        <v>3453</v>
      </c>
      <c r="F585" s="6" t="s">
        <v>3453</v>
      </c>
      <c r="G585" s="6" t="s">
        <v>2444</v>
      </c>
      <c r="H585" s="6" t="s">
        <v>3457</v>
      </c>
      <c r="I585" s="6">
        <v>2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</row>
    <row r="586" spans="1:15" hidden="1">
      <c r="A586" s="6" t="s">
        <v>2452</v>
      </c>
      <c r="B586" s="6" t="s">
        <v>1732</v>
      </c>
      <c r="C586" s="6" t="s">
        <v>35</v>
      </c>
      <c r="D586" s="6" t="s">
        <v>3439</v>
      </c>
      <c r="E586" s="6" t="s">
        <v>3453</v>
      </c>
      <c r="F586" s="6" t="s">
        <v>3453</v>
      </c>
      <c r="G586" s="6" t="s">
        <v>2444</v>
      </c>
      <c r="H586" s="6" t="s">
        <v>3458</v>
      </c>
      <c r="I586" s="6">
        <v>1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</row>
    <row r="587" spans="1:15" hidden="1">
      <c r="A587" s="6" t="s">
        <v>2452</v>
      </c>
      <c r="B587" s="6" t="s">
        <v>1732</v>
      </c>
      <c r="C587" s="6" t="s">
        <v>35</v>
      </c>
      <c r="D587" s="6" t="s">
        <v>3439</v>
      </c>
      <c r="E587" s="6" t="s">
        <v>3453</v>
      </c>
      <c r="F587" s="6" t="s">
        <v>3453</v>
      </c>
      <c r="G587" s="6" t="s">
        <v>2444</v>
      </c>
      <c r="H587" s="6" t="s">
        <v>3459</v>
      </c>
      <c r="I587" s="6">
        <v>1</v>
      </c>
      <c r="J587" s="6">
        <v>0</v>
      </c>
      <c r="K587" s="6">
        <v>0</v>
      </c>
      <c r="L587" s="6">
        <v>0</v>
      </c>
      <c r="M587" s="6">
        <v>0</v>
      </c>
      <c r="N587" s="6">
        <v>1</v>
      </c>
      <c r="O587" s="6">
        <v>1</v>
      </c>
    </row>
    <row r="588" spans="1:15" hidden="1">
      <c r="A588" s="6" t="s">
        <v>2452</v>
      </c>
      <c r="B588" s="6" t="s">
        <v>1732</v>
      </c>
      <c r="C588" s="6" t="s">
        <v>35</v>
      </c>
      <c r="D588" s="6" t="s">
        <v>3439</v>
      </c>
      <c r="E588" s="6" t="s">
        <v>3453</v>
      </c>
      <c r="F588" s="6" t="s">
        <v>3453</v>
      </c>
      <c r="G588" s="6" t="s">
        <v>2444</v>
      </c>
      <c r="H588" s="6" t="s">
        <v>3453</v>
      </c>
      <c r="I588" s="6">
        <v>2</v>
      </c>
      <c r="J588" s="6">
        <v>0</v>
      </c>
      <c r="K588" s="6">
        <v>0</v>
      </c>
      <c r="L588" s="6">
        <v>0</v>
      </c>
      <c r="M588" s="6">
        <v>0</v>
      </c>
      <c r="N588" s="6">
        <v>1</v>
      </c>
      <c r="O588" s="6">
        <v>0</v>
      </c>
    </row>
    <row r="589" spans="1:15" hidden="1">
      <c r="A589" s="6" t="s">
        <v>2452</v>
      </c>
      <c r="B589" s="6" t="s">
        <v>1732</v>
      </c>
      <c r="C589" s="6" t="s">
        <v>35</v>
      </c>
      <c r="D589" s="6" t="s">
        <v>3460</v>
      </c>
      <c r="G589" s="6" t="s">
        <v>2444</v>
      </c>
      <c r="H589" s="6" t="s">
        <v>3461</v>
      </c>
      <c r="I589" s="6">
        <v>1</v>
      </c>
      <c r="J589" s="6">
        <v>0</v>
      </c>
      <c r="K589" s="6">
        <v>0</v>
      </c>
      <c r="L589" s="6">
        <v>0</v>
      </c>
      <c r="M589" s="6">
        <v>0</v>
      </c>
      <c r="N589" s="6">
        <v>1</v>
      </c>
      <c r="O589" s="6">
        <v>1</v>
      </c>
    </row>
    <row r="590" spans="1:15" hidden="1">
      <c r="A590" s="6" t="s">
        <v>2452</v>
      </c>
      <c r="B590" s="6" t="s">
        <v>1732</v>
      </c>
      <c r="C590" s="6" t="s">
        <v>35</v>
      </c>
      <c r="D590" s="6" t="s">
        <v>3460</v>
      </c>
      <c r="F590" s="6" t="s">
        <v>3462</v>
      </c>
      <c r="G590" s="6" t="s">
        <v>2444</v>
      </c>
      <c r="H590" s="6" t="s">
        <v>3463</v>
      </c>
      <c r="I590" s="6">
        <v>1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</row>
    <row r="591" spans="1:15" hidden="1">
      <c r="A591" s="6" t="s">
        <v>2452</v>
      </c>
      <c r="B591" s="6" t="s">
        <v>1732</v>
      </c>
      <c r="C591" s="6" t="s">
        <v>35</v>
      </c>
      <c r="D591" s="6" t="s">
        <v>3460</v>
      </c>
      <c r="F591" s="6" t="s">
        <v>3462</v>
      </c>
      <c r="G591" s="6" t="s">
        <v>2444</v>
      </c>
      <c r="H591" s="6" t="s">
        <v>3462</v>
      </c>
      <c r="I591" s="6">
        <v>1</v>
      </c>
      <c r="J591" s="6">
        <v>0</v>
      </c>
      <c r="K591" s="6">
        <v>0</v>
      </c>
      <c r="L591" s="6">
        <v>0</v>
      </c>
      <c r="M591" s="6">
        <v>0</v>
      </c>
      <c r="N591" s="6">
        <v>1</v>
      </c>
      <c r="O591" s="6">
        <v>1</v>
      </c>
    </row>
    <row r="592" spans="1:15" hidden="1">
      <c r="A592" s="6" t="s">
        <v>2452</v>
      </c>
      <c r="B592" s="6" t="s">
        <v>1903</v>
      </c>
      <c r="C592" s="6" t="s">
        <v>279</v>
      </c>
      <c r="D592" s="6" t="s">
        <v>3464</v>
      </c>
      <c r="F592" s="6" t="s">
        <v>3465</v>
      </c>
      <c r="G592" s="6" t="s">
        <v>2444</v>
      </c>
      <c r="H592" s="6" t="s">
        <v>3466</v>
      </c>
      <c r="I592" s="6">
        <v>2</v>
      </c>
      <c r="J592" s="6">
        <v>0</v>
      </c>
      <c r="K592" s="6">
        <v>0</v>
      </c>
      <c r="L592" s="6">
        <v>0</v>
      </c>
      <c r="M592" s="6">
        <v>0</v>
      </c>
      <c r="N592" s="6">
        <v>1</v>
      </c>
      <c r="O592" s="6">
        <v>1</v>
      </c>
    </row>
    <row r="593" spans="1:15" hidden="1">
      <c r="A593" s="6" t="s">
        <v>2452</v>
      </c>
      <c r="B593" s="6" t="s">
        <v>1903</v>
      </c>
      <c r="C593" s="6" t="s">
        <v>279</v>
      </c>
      <c r="D593" s="6" t="s">
        <v>3467</v>
      </c>
      <c r="E593" s="6" t="s">
        <v>3468</v>
      </c>
      <c r="F593" s="6" t="s">
        <v>3469</v>
      </c>
      <c r="G593" s="6" t="s">
        <v>2444</v>
      </c>
      <c r="H593" s="6" t="s">
        <v>3469</v>
      </c>
      <c r="I593" s="6">
        <v>11</v>
      </c>
      <c r="J593" s="6">
        <v>2</v>
      </c>
      <c r="K593" s="6">
        <v>0.18179999999999999</v>
      </c>
      <c r="L593" s="6">
        <v>0.39</v>
      </c>
      <c r="M593" s="6">
        <v>0.79</v>
      </c>
      <c r="N593" s="6">
        <v>0.875</v>
      </c>
      <c r="O593" s="6">
        <v>0.875</v>
      </c>
    </row>
    <row r="594" spans="1:15" hidden="1">
      <c r="A594" s="6" t="s">
        <v>2452</v>
      </c>
      <c r="B594" s="6" t="s">
        <v>1903</v>
      </c>
      <c r="C594" s="6" t="s">
        <v>279</v>
      </c>
      <c r="D594" s="6" t="s">
        <v>3467</v>
      </c>
      <c r="E594" s="6" t="s">
        <v>3468</v>
      </c>
      <c r="F594" s="6" t="s">
        <v>3469</v>
      </c>
      <c r="G594" s="6" t="s">
        <v>2444</v>
      </c>
      <c r="H594" s="6" t="s">
        <v>3470</v>
      </c>
      <c r="I594" s="6">
        <v>3</v>
      </c>
      <c r="J594" s="6">
        <v>0</v>
      </c>
      <c r="K594" s="6">
        <v>0</v>
      </c>
      <c r="L594" s="6">
        <v>0</v>
      </c>
      <c r="M594" s="6">
        <v>0</v>
      </c>
      <c r="N594" s="6">
        <v>0.5</v>
      </c>
      <c r="O594" s="6">
        <v>0.5</v>
      </c>
    </row>
    <row r="595" spans="1:15">
      <c r="A595" s="6" t="s">
        <v>2452</v>
      </c>
      <c r="B595" s="6" t="s">
        <v>1861</v>
      </c>
      <c r="C595" s="6" t="s">
        <v>19</v>
      </c>
      <c r="G595" s="6" t="s">
        <v>2444</v>
      </c>
      <c r="H595" s="6" t="s">
        <v>19</v>
      </c>
      <c r="I595" s="6">
        <v>1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</row>
    <row r="596" spans="1:15">
      <c r="A596" s="6" t="s">
        <v>2452</v>
      </c>
      <c r="B596" s="6" t="s">
        <v>1861</v>
      </c>
      <c r="C596" s="6" t="s">
        <v>19</v>
      </c>
      <c r="D596" s="6" t="s">
        <v>3471</v>
      </c>
      <c r="E596" s="6" t="s">
        <v>3472</v>
      </c>
      <c r="F596" s="6" t="s">
        <v>3473</v>
      </c>
      <c r="G596" s="6" t="s">
        <v>2444</v>
      </c>
      <c r="H596" s="6" t="s">
        <v>3473</v>
      </c>
      <c r="I596" s="6">
        <v>1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</row>
    <row r="597" spans="1:15">
      <c r="A597" s="6" t="s">
        <v>2452</v>
      </c>
      <c r="B597" s="6" t="s">
        <v>1861</v>
      </c>
      <c r="C597" s="6" t="s">
        <v>19</v>
      </c>
      <c r="D597" s="6" t="s">
        <v>3471</v>
      </c>
      <c r="E597" s="6" t="s">
        <v>3472</v>
      </c>
      <c r="F597" s="6" t="s">
        <v>3474</v>
      </c>
      <c r="G597" s="6" t="s">
        <v>2444</v>
      </c>
      <c r="H597" s="6" t="s">
        <v>3474</v>
      </c>
      <c r="I597" s="6">
        <v>2</v>
      </c>
      <c r="J597" s="6">
        <v>0</v>
      </c>
      <c r="K597" s="6">
        <v>0</v>
      </c>
      <c r="L597" s="6">
        <v>0</v>
      </c>
      <c r="M597" s="6">
        <v>0</v>
      </c>
      <c r="N597" s="6">
        <v>1</v>
      </c>
      <c r="O597" s="6">
        <v>0</v>
      </c>
    </row>
    <row r="598" spans="1:15">
      <c r="A598" s="6" t="s">
        <v>2452</v>
      </c>
      <c r="B598" s="6" t="s">
        <v>1861</v>
      </c>
      <c r="C598" s="6" t="s">
        <v>19</v>
      </c>
      <c r="D598" s="6" t="s">
        <v>3475</v>
      </c>
      <c r="E598" s="6" t="s">
        <v>3476</v>
      </c>
      <c r="G598" s="6" t="s">
        <v>2444</v>
      </c>
      <c r="H598" s="6" t="s">
        <v>3477</v>
      </c>
      <c r="I598" s="6">
        <v>1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</row>
    <row r="599" spans="1:15">
      <c r="A599" s="6" t="s">
        <v>2452</v>
      </c>
      <c r="B599" s="6" t="s">
        <v>1861</v>
      </c>
      <c r="C599" s="6" t="s">
        <v>19</v>
      </c>
      <c r="D599" s="6" t="s">
        <v>3475</v>
      </c>
      <c r="E599" s="6" t="s">
        <v>3476</v>
      </c>
      <c r="F599" s="6" t="s">
        <v>3478</v>
      </c>
      <c r="G599" s="6" t="s">
        <v>2444</v>
      </c>
      <c r="H599" s="6" t="s">
        <v>3479</v>
      </c>
      <c r="I599" s="6">
        <v>1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</row>
    <row r="600" spans="1:15">
      <c r="A600" s="6" t="s">
        <v>2452</v>
      </c>
      <c r="B600" s="6" t="s">
        <v>1861</v>
      </c>
      <c r="C600" s="6" t="s">
        <v>19</v>
      </c>
      <c r="D600" s="6" t="s">
        <v>3475</v>
      </c>
      <c r="E600" s="6" t="s">
        <v>3476</v>
      </c>
      <c r="F600" s="6" t="s">
        <v>3480</v>
      </c>
      <c r="G600" s="6" t="s">
        <v>2444</v>
      </c>
      <c r="H600" s="6" t="s">
        <v>3481</v>
      </c>
      <c r="I600" s="6">
        <v>5</v>
      </c>
      <c r="J600" s="6">
        <v>0</v>
      </c>
      <c r="K600" s="6">
        <v>0</v>
      </c>
      <c r="L600" s="6">
        <v>0</v>
      </c>
      <c r="M600" s="6">
        <v>0</v>
      </c>
      <c r="N600" s="6">
        <v>0.66670000000000007</v>
      </c>
      <c r="O600" s="6">
        <v>0.66670000000000007</v>
      </c>
    </row>
    <row r="601" spans="1:15">
      <c r="A601" s="6" t="s">
        <v>2452</v>
      </c>
      <c r="B601" s="6" t="s">
        <v>1861</v>
      </c>
      <c r="C601" s="6" t="s">
        <v>19</v>
      </c>
      <c r="D601" s="6" t="s">
        <v>3475</v>
      </c>
      <c r="E601" s="6" t="s">
        <v>3476</v>
      </c>
      <c r="F601" s="6" t="s">
        <v>2477</v>
      </c>
      <c r="G601" s="6" t="s">
        <v>2444</v>
      </c>
      <c r="H601" s="6" t="s">
        <v>2477</v>
      </c>
      <c r="I601" s="6">
        <v>2</v>
      </c>
      <c r="J601" s="6">
        <v>3</v>
      </c>
      <c r="K601" s="6">
        <v>1.5</v>
      </c>
      <c r="L601" s="6">
        <v>0.6</v>
      </c>
      <c r="M601" s="6">
        <v>1.79</v>
      </c>
      <c r="N601" s="6">
        <v>1</v>
      </c>
      <c r="O601" s="6">
        <v>1</v>
      </c>
    </row>
    <row r="602" spans="1:15">
      <c r="A602" s="6" t="s">
        <v>2452</v>
      </c>
      <c r="B602" s="6" t="s">
        <v>1861</v>
      </c>
      <c r="C602" s="6" t="s">
        <v>19</v>
      </c>
      <c r="D602" s="6" t="s">
        <v>3475</v>
      </c>
      <c r="E602" s="6" t="s">
        <v>3476</v>
      </c>
      <c r="F602" s="6" t="s">
        <v>3482</v>
      </c>
      <c r="G602" s="6" t="s">
        <v>2444</v>
      </c>
      <c r="H602" s="6" t="s">
        <v>3482</v>
      </c>
      <c r="I602" s="6">
        <v>2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</row>
    <row r="603" spans="1:15">
      <c r="A603" s="6" t="s">
        <v>2452</v>
      </c>
      <c r="B603" s="6" t="s">
        <v>1861</v>
      </c>
      <c r="C603" s="6" t="s">
        <v>19</v>
      </c>
      <c r="D603" s="6" t="s">
        <v>3475</v>
      </c>
      <c r="E603" s="6" t="s">
        <v>3476</v>
      </c>
      <c r="F603" s="6" t="s">
        <v>3483</v>
      </c>
      <c r="G603" s="6" t="s">
        <v>2444</v>
      </c>
      <c r="H603" s="6" t="s">
        <v>3484</v>
      </c>
      <c r="I603" s="6">
        <v>1</v>
      </c>
      <c r="J603" s="6">
        <v>0</v>
      </c>
      <c r="K603" s="6">
        <v>0</v>
      </c>
      <c r="L603" s="6">
        <v>0</v>
      </c>
      <c r="M603" s="6">
        <v>0</v>
      </c>
      <c r="N603" s="6">
        <v>1</v>
      </c>
      <c r="O603" s="6">
        <v>1</v>
      </c>
    </row>
    <row r="604" spans="1:15">
      <c r="A604" s="6" t="s">
        <v>2452</v>
      </c>
      <c r="B604" s="6" t="s">
        <v>1861</v>
      </c>
      <c r="C604" s="6" t="s">
        <v>19</v>
      </c>
      <c r="D604" s="6" t="s">
        <v>3485</v>
      </c>
      <c r="E604" s="6" t="s">
        <v>3486</v>
      </c>
      <c r="F604" s="6" t="s">
        <v>3487</v>
      </c>
      <c r="G604" s="6" t="s">
        <v>2444</v>
      </c>
      <c r="H604" s="6" t="s">
        <v>3488</v>
      </c>
      <c r="I604" s="6">
        <v>2</v>
      </c>
      <c r="J604" s="6">
        <v>0</v>
      </c>
      <c r="K604" s="6">
        <v>0</v>
      </c>
      <c r="L604" s="6">
        <v>0</v>
      </c>
      <c r="M604" s="6">
        <v>0</v>
      </c>
      <c r="N604" s="6">
        <v>1</v>
      </c>
      <c r="O604" s="6">
        <v>1</v>
      </c>
    </row>
    <row r="605" spans="1:15">
      <c r="A605" s="6" t="s">
        <v>2452</v>
      </c>
      <c r="B605" s="6" t="s">
        <v>1861</v>
      </c>
      <c r="C605" s="6" t="s">
        <v>19</v>
      </c>
      <c r="D605" s="6" t="s">
        <v>2454</v>
      </c>
      <c r="E605" s="6" t="s">
        <v>2462</v>
      </c>
      <c r="F605" s="6" t="s">
        <v>3489</v>
      </c>
      <c r="G605" s="6" t="s">
        <v>2444</v>
      </c>
      <c r="H605" s="6" t="s">
        <v>3490</v>
      </c>
      <c r="I605" s="6">
        <v>1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</row>
    <row r="606" spans="1:15">
      <c r="A606" s="6" t="s">
        <v>2452</v>
      </c>
      <c r="B606" s="6" t="s">
        <v>1861</v>
      </c>
      <c r="C606" s="6" t="s">
        <v>19</v>
      </c>
      <c r="D606" s="6" t="s">
        <v>2454</v>
      </c>
      <c r="E606" s="6" t="s">
        <v>2465</v>
      </c>
      <c r="F606" s="6" t="s">
        <v>2477</v>
      </c>
      <c r="G606" s="6" t="s">
        <v>2444</v>
      </c>
      <c r="H606" s="6" t="s">
        <v>3491</v>
      </c>
      <c r="I606" s="6">
        <v>1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</row>
    <row r="607" spans="1:15">
      <c r="A607" s="6" t="s">
        <v>2452</v>
      </c>
      <c r="B607" s="6" t="s">
        <v>1861</v>
      </c>
      <c r="C607" s="6" t="s">
        <v>19</v>
      </c>
      <c r="D607" s="6" t="s">
        <v>2454</v>
      </c>
      <c r="E607" s="6" t="s">
        <v>2465</v>
      </c>
      <c r="F607" s="6" t="s">
        <v>2482</v>
      </c>
      <c r="G607" s="6" t="s">
        <v>2444</v>
      </c>
      <c r="H607" s="6" t="s">
        <v>3492</v>
      </c>
      <c r="I607" s="6">
        <v>1</v>
      </c>
      <c r="J607" s="6">
        <v>0</v>
      </c>
      <c r="K607" s="6">
        <v>0</v>
      </c>
      <c r="L607" s="6">
        <v>0</v>
      </c>
      <c r="M607" s="6">
        <v>0</v>
      </c>
      <c r="N607" s="6">
        <v>1</v>
      </c>
      <c r="O607" s="6">
        <v>1</v>
      </c>
    </row>
    <row r="608" spans="1:15">
      <c r="A608" s="6" t="s">
        <v>2452</v>
      </c>
      <c r="B608" s="6" t="s">
        <v>1861</v>
      </c>
      <c r="C608" s="6" t="s">
        <v>19</v>
      </c>
      <c r="D608" s="6" t="s">
        <v>2454</v>
      </c>
      <c r="E608" s="6" t="s">
        <v>2465</v>
      </c>
      <c r="F608" s="6" t="s">
        <v>2482</v>
      </c>
      <c r="G608" s="6" t="s">
        <v>2444</v>
      </c>
      <c r="H608" s="6" t="s">
        <v>3493</v>
      </c>
      <c r="I608" s="6">
        <v>1</v>
      </c>
      <c r="J608" s="6">
        <v>0</v>
      </c>
      <c r="K608" s="6">
        <v>0</v>
      </c>
      <c r="L608" s="6">
        <v>0</v>
      </c>
      <c r="M608" s="6">
        <v>0</v>
      </c>
      <c r="N608" s="6">
        <v>1</v>
      </c>
      <c r="O608" s="6">
        <v>1</v>
      </c>
    </row>
    <row r="609" spans="1:15">
      <c r="A609" s="6" t="s">
        <v>2452</v>
      </c>
      <c r="B609" s="6" t="s">
        <v>1861</v>
      </c>
      <c r="C609" s="6" t="s">
        <v>19</v>
      </c>
      <c r="D609" s="6" t="s">
        <v>2454</v>
      </c>
      <c r="E609" s="6" t="s">
        <v>2465</v>
      </c>
      <c r="F609" s="6" t="s">
        <v>2482</v>
      </c>
      <c r="G609" s="6" t="s">
        <v>2444</v>
      </c>
      <c r="H609" s="6" t="s">
        <v>2483</v>
      </c>
      <c r="I609" s="6">
        <v>1</v>
      </c>
      <c r="J609" s="6">
        <v>0</v>
      </c>
      <c r="K609" s="6">
        <v>0</v>
      </c>
      <c r="L609" s="6">
        <v>0</v>
      </c>
      <c r="M609" s="6">
        <v>0</v>
      </c>
      <c r="N609" s="6">
        <v>1</v>
      </c>
      <c r="O609" s="6">
        <v>1</v>
      </c>
    </row>
    <row r="610" spans="1:15">
      <c r="A610" s="6" t="s">
        <v>2452</v>
      </c>
      <c r="B610" s="6" t="s">
        <v>1861</v>
      </c>
      <c r="C610" s="6" t="s">
        <v>19</v>
      </c>
      <c r="D610" s="6" t="s">
        <v>2454</v>
      </c>
      <c r="E610" s="6" t="s">
        <v>2465</v>
      </c>
      <c r="F610" s="6" t="s">
        <v>2482</v>
      </c>
      <c r="G610" s="6" t="s">
        <v>2444</v>
      </c>
      <c r="H610" s="6" t="s">
        <v>3494</v>
      </c>
      <c r="I610" s="6">
        <v>1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1</v>
      </c>
    </row>
    <row r="611" spans="1:15">
      <c r="A611" s="6" t="s">
        <v>2452</v>
      </c>
      <c r="B611" s="6" t="s">
        <v>1861</v>
      </c>
      <c r="C611" s="6" t="s">
        <v>19</v>
      </c>
      <c r="D611" s="6" t="s">
        <v>2454</v>
      </c>
      <c r="E611" s="6" t="s">
        <v>2465</v>
      </c>
      <c r="F611" s="6" t="s">
        <v>2482</v>
      </c>
      <c r="G611" s="6" t="s">
        <v>2444</v>
      </c>
      <c r="H611" s="6" t="s">
        <v>3495</v>
      </c>
      <c r="I611" s="6">
        <v>3</v>
      </c>
      <c r="J611" s="6">
        <v>0</v>
      </c>
      <c r="K611" s="6">
        <v>0</v>
      </c>
      <c r="L611" s="6">
        <v>0</v>
      </c>
      <c r="M611" s="6">
        <v>0</v>
      </c>
      <c r="N611" s="6">
        <v>1</v>
      </c>
      <c r="O611" s="6">
        <v>1</v>
      </c>
    </row>
    <row r="612" spans="1:15">
      <c r="A612" s="6" t="s">
        <v>2452</v>
      </c>
      <c r="B612" s="6" t="s">
        <v>1861</v>
      </c>
      <c r="C612" s="6" t="s">
        <v>19</v>
      </c>
      <c r="D612" s="6" t="s">
        <v>2454</v>
      </c>
      <c r="E612" s="6" t="s">
        <v>2465</v>
      </c>
      <c r="F612" s="6" t="s">
        <v>2482</v>
      </c>
      <c r="G612" s="6" t="s">
        <v>2444</v>
      </c>
      <c r="H612" s="6" t="s">
        <v>3496</v>
      </c>
      <c r="I612" s="6"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</row>
    <row r="613" spans="1:15">
      <c r="A613" s="6" t="s">
        <v>2452</v>
      </c>
      <c r="B613" s="6" t="s">
        <v>1861</v>
      </c>
      <c r="C613" s="6" t="s">
        <v>19</v>
      </c>
      <c r="D613" s="6" t="s">
        <v>2454</v>
      </c>
      <c r="E613" s="6" t="s">
        <v>2465</v>
      </c>
      <c r="F613" s="6" t="s">
        <v>2482</v>
      </c>
      <c r="G613" s="6" t="s">
        <v>2444</v>
      </c>
      <c r="H613" s="6" t="s">
        <v>3497</v>
      </c>
      <c r="I613" s="6">
        <v>1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</row>
    <row r="614" spans="1:15">
      <c r="A614" s="6" t="s">
        <v>2452</v>
      </c>
      <c r="B614" s="6" t="s">
        <v>1861</v>
      </c>
      <c r="C614" s="6" t="s">
        <v>19</v>
      </c>
      <c r="D614" s="6" t="s">
        <v>2454</v>
      </c>
      <c r="E614" s="6" t="s">
        <v>2465</v>
      </c>
      <c r="F614" s="6" t="s">
        <v>2482</v>
      </c>
      <c r="G614" s="6" t="s">
        <v>2444</v>
      </c>
      <c r="H614" s="6" t="s">
        <v>3498</v>
      </c>
      <c r="I614" s="6">
        <v>3</v>
      </c>
      <c r="J614" s="6">
        <v>2</v>
      </c>
      <c r="K614" s="6">
        <v>0.66670000000000007</v>
      </c>
      <c r="L614" s="6">
        <v>0.87</v>
      </c>
      <c r="M614" s="6">
        <v>1.75</v>
      </c>
      <c r="N614" s="6">
        <v>1</v>
      </c>
      <c r="O614" s="6">
        <v>1</v>
      </c>
    </row>
    <row r="615" spans="1:15">
      <c r="A615" s="6" t="s">
        <v>2452</v>
      </c>
      <c r="B615" s="6" t="s">
        <v>1861</v>
      </c>
      <c r="C615" s="6" t="s">
        <v>19</v>
      </c>
      <c r="D615" s="6" t="s">
        <v>2454</v>
      </c>
      <c r="E615" s="6" t="s">
        <v>2465</v>
      </c>
      <c r="F615" s="6" t="s">
        <v>2482</v>
      </c>
      <c r="G615" s="6" t="s">
        <v>2444</v>
      </c>
      <c r="H615" s="6" t="s">
        <v>3499</v>
      </c>
      <c r="I615" s="6">
        <v>4</v>
      </c>
      <c r="J615" s="6">
        <v>1</v>
      </c>
      <c r="K615" s="6">
        <v>0.25</v>
      </c>
      <c r="L615" s="6">
        <v>0.75</v>
      </c>
      <c r="M615" s="6">
        <v>0.75</v>
      </c>
      <c r="N615" s="6">
        <v>0.33329999999999999</v>
      </c>
      <c r="O615" s="6">
        <v>0.33329999999999999</v>
      </c>
    </row>
    <row r="616" spans="1:15">
      <c r="A616" s="6" t="s">
        <v>2452</v>
      </c>
      <c r="B616" s="6" t="s">
        <v>1861</v>
      </c>
      <c r="C616" s="6" t="s">
        <v>19</v>
      </c>
      <c r="D616" s="6" t="s">
        <v>2454</v>
      </c>
      <c r="E616" s="6" t="s">
        <v>2465</v>
      </c>
      <c r="F616" s="6" t="s">
        <v>2482</v>
      </c>
      <c r="G616" s="6" t="s">
        <v>2444</v>
      </c>
      <c r="H616" s="6" t="s">
        <v>2482</v>
      </c>
      <c r="I616" s="6">
        <v>4</v>
      </c>
      <c r="J616" s="6">
        <v>1</v>
      </c>
      <c r="K616" s="6">
        <v>0.25</v>
      </c>
      <c r="L616" s="6">
        <v>0.05</v>
      </c>
      <c r="M616" s="6">
        <v>0.05</v>
      </c>
      <c r="N616" s="6">
        <v>1</v>
      </c>
      <c r="O616" s="6">
        <v>1</v>
      </c>
    </row>
    <row r="617" spans="1:15">
      <c r="A617" s="6" t="s">
        <v>2452</v>
      </c>
      <c r="B617" s="6" t="s">
        <v>1861</v>
      </c>
      <c r="C617" s="6" t="s">
        <v>19</v>
      </c>
      <c r="D617" s="6" t="s">
        <v>2454</v>
      </c>
      <c r="E617" s="6" t="s">
        <v>2465</v>
      </c>
      <c r="F617" s="6" t="s">
        <v>3500</v>
      </c>
      <c r="G617" s="6" t="s">
        <v>2444</v>
      </c>
      <c r="H617" s="6" t="s">
        <v>3501</v>
      </c>
      <c r="I617" s="6">
        <v>2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</row>
    <row r="618" spans="1:15">
      <c r="A618" s="6" t="s">
        <v>2452</v>
      </c>
      <c r="B618" s="6" t="s">
        <v>1861</v>
      </c>
      <c r="C618" s="6" t="s">
        <v>19</v>
      </c>
      <c r="D618" s="6" t="s">
        <v>2454</v>
      </c>
      <c r="E618" s="6" t="s">
        <v>2465</v>
      </c>
      <c r="F618" s="6" t="s">
        <v>3502</v>
      </c>
      <c r="G618" s="6" t="s">
        <v>2444</v>
      </c>
      <c r="H618" s="6" t="s">
        <v>3503</v>
      </c>
      <c r="I618" s="6">
        <v>1</v>
      </c>
      <c r="J618" s="6">
        <v>0</v>
      </c>
      <c r="K618" s="6">
        <v>0</v>
      </c>
      <c r="L618" s="6">
        <v>0</v>
      </c>
      <c r="M618" s="6">
        <v>0</v>
      </c>
      <c r="N618" s="6">
        <v>1</v>
      </c>
      <c r="O618" s="6">
        <v>1</v>
      </c>
    </row>
    <row r="619" spans="1:15">
      <c r="A619" s="6" t="s">
        <v>2452</v>
      </c>
      <c r="B619" s="6" t="s">
        <v>1861</v>
      </c>
      <c r="C619" s="6" t="s">
        <v>19</v>
      </c>
      <c r="D619" s="6" t="s">
        <v>2454</v>
      </c>
      <c r="E619" s="6" t="s">
        <v>2465</v>
      </c>
      <c r="F619" s="6" t="s">
        <v>3504</v>
      </c>
      <c r="G619" s="6" t="s">
        <v>2444</v>
      </c>
      <c r="H619" s="6" t="s">
        <v>3505</v>
      </c>
      <c r="I619" s="6">
        <v>1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</row>
    <row r="620" spans="1:15">
      <c r="A620" s="6" t="s">
        <v>2452</v>
      </c>
      <c r="B620" s="6" t="s">
        <v>1861</v>
      </c>
      <c r="C620" s="6" t="s">
        <v>19</v>
      </c>
      <c r="D620" s="6" t="s">
        <v>2454</v>
      </c>
      <c r="E620" s="6" t="s">
        <v>2465</v>
      </c>
      <c r="F620" s="6" t="s">
        <v>3506</v>
      </c>
      <c r="G620" s="6" t="s">
        <v>2444</v>
      </c>
      <c r="H620" s="6" t="s">
        <v>3506</v>
      </c>
      <c r="I620" s="6">
        <v>1</v>
      </c>
      <c r="J620" s="6">
        <v>0</v>
      </c>
      <c r="K620" s="6">
        <v>0</v>
      </c>
      <c r="L620" s="6">
        <v>0</v>
      </c>
      <c r="M620" s="6">
        <v>0</v>
      </c>
      <c r="N620" s="6">
        <v>1</v>
      </c>
      <c r="O620" s="6">
        <v>0</v>
      </c>
    </row>
    <row r="621" spans="1:15">
      <c r="A621" s="6" t="s">
        <v>2452</v>
      </c>
      <c r="B621" s="6" t="s">
        <v>1861</v>
      </c>
      <c r="C621" s="6" t="s">
        <v>19</v>
      </c>
      <c r="D621" s="6" t="s">
        <v>2454</v>
      </c>
      <c r="E621" s="6" t="s">
        <v>2465</v>
      </c>
      <c r="F621" s="6" t="s">
        <v>2501</v>
      </c>
      <c r="G621" s="6" t="s">
        <v>2444</v>
      </c>
      <c r="H621" s="6" t="s">
        <v>2502</v>
      </c>
      <c r="I621" s="6">
        <v>2</v>
      </c>
      <c r="J621" s="6">
        <v>0</v>
      </c>
      <c r="K621" s="6">
        <v>0</v>
      </c>
      <c r="L621" s="6">
        <v>0</v>
      </c>
      <c r="M621" s="6">
        <v>0</v>
      </c>
      <c r="N621" s="6">
        <v>1</v>
      </c>
      <c r="O621" s="6">
        <v>1</v>
      </c>
    </row>
    <row r="622" spans="1:15">
      <c r="A622" s="6" t="s">
        <v>2452</v>
      </c>
      <c r="B622" s="6" t="s">
        <v>1861</v>
      </c>
      <c r="C622" s="6" t="s">
        <v>19</v>
      </c>
      <c r="D622" s="6" t="s">
        <v>2454</v>
      </c>
      <c r="E622" s="6" t="s">
        <v>2465</v>
      </c>
      <c r="F622" s="6" t="s">
        <v>3507</v>
      </c>
      <c r="G622" s="6" t="s">
        <v>2444</v>
      </c>
      <c r="H622" s="6" t="s">
        <v>3508</v>
      </c>
      <c r="I622" s="6">
        <v>1</v>
      </c>
      <c r="J622" s="6">
        <v>0</v>
      </c>
      <c r="K622" s="6">
        <v>0</v>
      </c>
      <c r="L622" s="6">
        <v>0</v>
      </c>
      <c r="M622" s="6">
        <v>0</v>
      </c>
      <c r="N622" s="6">
        <v>1</v>
      </c>
      <c r="O622" s="6">
        <v>1</v>
      </c>
    </row>
    <row r="623" spans="1:15">
      <c r="A623" s="6" t="s">
        <v>2452</v>
      </c>
      <c r="B623" s="6" t="s">
        <v>1861</v>
      </c>
      <c r="C623" s="6" t="s">
        <v>19</v>
      </c>
      <c r="D623" s="6" t="s">
        <v>2454</v>
      </c>
      <c r="E623" s="6" t="s">
        <v>2465</v>
      </c>
      <c r="F623" s="6" t="s">
        <v>3509</v>
      </c>
      <c r="G623" s="6" t="s">
        <v>2444</v>
      </c>
      <c r="H623" s="6" t="s">
        <v>3510</v>
      </c>
      <c r="I623" s="6">
        <v>2</v>
      </c>
      <c r="J623" s="6">
        <v>0</v>
      </c>
      <c r="K623" s="6">
        <v>0</v>
      </c>
      <c r="L623" s="6">
        <v>0</v>
      </c>
      <c r="M623" s="6">
        <v>0</v>
      </c>
      <c r="N623" s="6">
        <v>1</v>
      </c>
      <c r="O623" s="6">
        <v>0.5</v>
      </c>
    </row>
    <row r="624" spans="1:15">
      <c r="A624" s="6" t="s">
        <v>2452</v>
      </c>
      <c r="B624" s="6" t="s">
        <v>1861</v>
      </c>
      <c r="C624" s="6" t="s">
        <v>19</v>
      </c>
      <c r="D624" s="6" t="s">
        <v>2454</v>
      </c>
      <c r="E624" s="6" t="s">
        <v>2511</v>
      </c>
      <c r="F624" s="6" t="s">
        <v>3511</v>
      </c>
      <c r="G624" s="6" t="s">
        <v>2444</v>
      </c>
      <c r="H624" s="6" t="s">
        <v>3512</v>
      </c>
      <c r="I624" s="6">
        <v>1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</row>
    <row r="625" spans="1:15">
      <c r="A625" s="6" t="s">
        <v>2452</v>
      </c>
      <c r="B625" s="6" t="s">
        <v>1861</v>
      </c>
      <c r="C625" s="6" t="s">
        <v>19</v>
      </c>
      <c r="D625" s="6" t="s">
        <v>2454</v>
      </c>
      <c r="E625" s="6" t="s">
        <v>2511</v>
      </c>
      <c r="F625" s="6" t="s">
        <v>3513</v>
      </c>
      <c r="G625" s="6" t="s">
        <v>2444</v>
      </c>
      <c r="H625" s="6" t="s">
        <v>3514</v>
      </c>
      <c r="I625" s="6">
        <v>1</v>
      </c>
      <c r="J625" s="6">
        <v>0</v>
      </c>
      <c r="K625" s="6">
        <v>0</v>
      </c>
      <c r="L625" s="6">
        <v>0</v>
      </c>
      <c r="M625" s="6">
        <v>0</v>
      </c>
      <c r="N625" s="6">
        <v>1</v>
      </c>
      <c r="O625" s="6">
        <v>0</v>
      </c>
    </row>
    <row r="626" spans="1:15">
      <c r="A626" s="6" t="s">
        <v>2452</v>
      </c>
      <c r="B626" s="6" t="s">
        <v>1861</v>
      </c>
      <c r="C626" s="6" t="s">
        <v>19</v>
      </c>
      <c r="D626" s="6" t="s">
        <v>2454</v>
      </c>
      <c r="E626" s="6" t="s">
        <v>3515</v>
      </c>
      <c r="F626" s="6" t="s">
        <v>3516</v>
      </c>
      <c r="G626" s="6" t="s">
        <v>2444</v>
      </c>
      <c r="H626" s="6" t="s">
        <v>3517</v>
      </c>
      <c r="I626" s="6">
        <v>1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</row>
    <row r="627" spans="1:15">
      <c r="A627" s="6" t="s">
        <v>2452</v>
      </c>
      <c r="B627" s="6" t="s">
        <v>1861</v>
      </c>
      <c r="C627" s="6" t="s">
        <v>19</v>
      </c>
      <c r="D627" s="6" t="s">
        <v>2454</v>
      </c>
      <c r="E627" s="6" t="s">
        <v>3515</v>
      </c>
      <c r="F627" s="6" t="s">
        <v>3518</v>
      </c>
      <c r="G627" s="6" t="s">
        <v>2444</v>
      </c>
      <c r="H627" s="6" t="s">
        <v>3519</v>
      </c>
      <c r="I627" s="6">
        <v>2</v>
      </c>
      <c r="J627" s="6">
        <v>1</v>
      </c>
      <c r="K627" s="6">
        <v>0.5</v>
      </c>
      <c r="L627" s="6">
        <v>0.88</v>
      </c>
      <c r="M627" s="6">
        <v>0.88</v>
      </c>
      <c r="N627" s="6">
        <v>1</v>
      </c>
      <c r="O627" s="6">
        <v>1</v>
      </c>
    </row>
    <row r="628" spans="1:15">
      <c r="A628" s="6" t="s">
        <v>2452</v>
      </c>
      <c r="B628" s="6" t="s">
        <v>1861</v>
      </c>
      <c r="C628" s="6" t="s">
        <v>19</v>
      </c>
      <c r="D628" s="6" t="s">
        <v>2454</v>
      </c>
      <c r="E628" s="6" t="s">
        <v>3515</v>
      </c>
      <c r="F628" s="6" t="s">
        <v>3520</v>
      </c>
      <c r="G628" s="6" t="s">
        <v>2444</v>
      </c>
      <c r="H628" s="6" t="s">
        <v>3521</v>
      </c>
      <c r="I628" s="6">
        <v>5</v>
      </c>
      <c r="J628" s="6">
        <v>0</v>
      </c>
      <c r="K628" s="6">
        <v>0</v>
      </c>
      <c r="L628" s="6">
        <v>0</v>
      </c>
      <c r="M628" s="6">
        <v>0</v>
      </c>
      <c r="N628" s="6">
        <v>0.66670000000000007</v>
      </c>
      <c r="O628" s="6">
        <v>0.66670000000000007</v>
      </c>
    </row>
    <row r="629" spans="1:15">
      <c r="A629" s="6" t="s">
        <v>2452</v>
      </c>
      <c r="B629" s="6" t="s">
        <v>1861</v>
      </c>
      <c r="C629" s="6" t="s">
        <v>19</v>
      </c>
      <c r="D629" s="6" t="s">
        <v>2454</v>
      </c>
      <c r="E629" s="6" t="s">
        <v>2516</v>
      </c>
      <c r="F629" s="6" t="s">
        <v>3522</v>
      </c>
      <c r="G629" s="6" t="s">
        <v>2444</v>
      </c>
      <c r="H629" s="6" t="s">
        <v>3523</v>
      </c>
      <c r="I629" s="6">
        <v>1</v>
      </c>
      <c r="J629" s="6">
        <v>0</v>
      </c>
      <c r="K629" s="6">
        <v>0</v>
      </c>
      <c r="L629" s="6">
        <v>0</v>
      </c>
      <c r="M629" s="6">
        <v>0</v>
      </c>
      <c r="N629" s="6">
        <v>1</v>
      </c>
      <c r="O629" s="6">
        <v>1</v>
      </c>
    </row>
    <row r="630" spans="1:15">
      <c r="A630" s="6" t="s">
        <v>2452</v>
      </c>
      <c r="B630" s="6" t="s">
        <v>1861</v>
      </c>
      <c r="C630" s="6" t="s">
        <v>19</v>
      </c>
      <c r="D630" s="6" t="s">
        <v>2454</v>
      </c>
      <c r="E630" s="6" t="s">
        <v>2516</v>
      </c>
      <c r="F630" s="6" t="s">
        <v>2524</v>
      </c>
      <c r="G630" s="6" t="s">
        <v>2444</v>
      </c>
      <c r="H630" s="6" t="s">
        <v>2525</v>
      </c>
      <c r="I630" s="6">
        <v>2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</row>
    <row r="631" spans="1:15">
      <c r="A631" s="6" t="s">
        <v>2452</v>
      </c>
      <c r="B631" s="6" t="s">
        <v>1861</v>
      </c>
      <c r="C631" s="6" t="s">
        <v>19</v>
      </c>
      <c r="D631" s="6" t="s">
        <v>2454</v>
      </c>
      <c r="E631" s="6" t="s">
        <v>2516</v>
      </c>
      <c r="F631" s="6" t="s">
        <v>2524</v>
      </c>
      <c r="G631" s="6" t="s">
        <v>2444</v>
      </c>
      <c r="H631" s="6" t="s">
        <v>3524</v>
      </c>
      <c r="I631" s="6">
        <v>2</v>
      </c>
      <c r="J631" s="6">
        <v>1</v>
      </c>
      <c r="K631" s="6">
        <v>0.5</v>
      </c>
      <c r="L631" s="6">
        <v>0.96</v>
      </c>
      <c r="M631" s="6">
        <v>0.96</v>
      </c>
      <c r="N631" s="6">
        <v>1</v>
      </c>
      <c r="O631" s="6">
        <v>1</v>
      </c>
    </row>
    <row r="632" spans="1:15">
      <c r="A632" s="6" t="s">
        <v>2452</v>
      </c>
      <c r="B632" s="6" t="s">
        <v>1861</v>
      </c>
      <c r="C632" s="6" t="s">
        <v>19</v>
      </c>
      <c r="D632" s="6" t="s">
        <v>2454</v>
      </c>
      <c r="E632" s="6" t="s">
        <v>2516</v>
      </c>
      <c r="F632" s="6" t="s">
        <v>2524</v>
      </c>
      <c r="G632" s="6" t="s">
        <v>2444</v>
      </c>
      <c r="H632" s="6" t="s">
        <v>3525</v>
      </c>
      <c r="I632" s="6">
        <v>2</v>
      </c>
      <c r="J632" s="6">
        <v>0</v>
      </c>
      <c r="K632" s="6">
        <v>0</v>
      </c>
      <c r="L632" s="6">
        <v>0</v>
      </c>
      <c r="M632" s="6">
        <v>0</v>
      </c>
      <c r="N632" s="6">
        <v>1</v>
      </c>
      <c r="O632" s="6">
        <v>0.5</v>
      </c>
    </row>
    <row r="633" spans="1:15">
      <c r="A633" s="6" t="s">
        <v>2452</v>
      </c>
      <c r="B633" s="6" t="s">
        <v>1861</v>
      </c>
      <c r="C633" s="6" t="s">
        <v>19</v>
      </c>
      <c r="D633" s="6" t="s">
        <v>2454</v>
      </c>
      <c r="E633" s="6" t="s">
        <v>2534</v>
      </c>
      <c r="F633" s="6" t="s">
        <v>2455</v>
      </c>
      <c r="G633" s="6" t="s">
        <v>2444</v>
      </c>
      <c r="H633" s="6" t="s">
        <v>3526</v>
      </c>
      <c r="I633" s="6">
        <v>1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</row>
    <row r="634" spans="1:15">
      <c r="A634" s="6" t="s">
        <v>2452</v>
      </c>
      <c r="B634" s="6" t="s">
        <v>1861</v>
      </c>
      <c r="C634" s="6" t="s">
        <v>19</v>
      </c>
      <c r="D634" s="6" t="s">
        <v>2454</v>
      </c>
      <c r="E634" s="6" t="s">
        <v>2534</v>
      </c>
      <c r="F634" s="6" t="s">
        <v>2455</v>
      </c>
      <c r="G634" s="6" t="s">
        <v>2444</v>
      </c>
      <c r="H634" s="6" t="s">
        <v>2551</v>
      </c>
      <c r="I634" s="6">
        <v>2</v>
      </c>
      <c r="J634" s="6">
        <v>1</v>
      </c>
      <c r="K634" s="6">
        <v>0.5</v>
      </c>
      <c r="L634" s="6">
        <v>0.81</v>
      </c>
      <c r="M634" s="6">
        <v>0.81</v>
      </c>
      <c r="N634" s="6">
        <v>1</v>
      </c>
      <c r="O634" s="6">
        <v>0</v>
      </c>
    </row>
    <row r="635" spans="1:15">
      <c r="A635" s="6" t="s">
        <v>2452</v>
      </c>
      <c r="B635" s="6" t="s">
        <v>1861</v>
      </c>
      <c r="C635" s="6" t="s">
        <v>19</v>
      </c>
      <c r="D635" s="6" t="s">
        <v>2454</v>
      </c>
      <c r="E635" s="6" t="s">
        <v>2553</v>
      </c>
      <c r="F635" s="6" t="s">
        <v>3527</v>
      </c>
      <c r="G635" s="6" t="s">
        <v>2444</v>
      </c>
      <c r="H635" s="6" t="s">
        <v>3528</v>
      </c>
      <c r="I635" s="6">
        <v>1</v>
      </c>
      <c r="J635" s="6">
        <v>1</v>
      </c>
      <c r="K635" s="6">
        <v>1</v>
      </c>
      <c r="L635" s="6">
        <v>0.04</v>
      </c>
      <c r="M635" s="6">
        <v>0.04</v>
      </c>
      <c r="N635" s="6">
        <v>1</v>
      </c>
      <c r="O635" s="6">
        <v>1</v>
      </c>
    </row>
    <row r="636" spans="1:15">
      <c r="A636" s="6" t="s">
        <v>2452</v>
      </c>
      <c r="B636" s="6" t="s">
        <v>1861</v>
      </c>
      <c r="C636" s="6" t="s">
        <v>19</v>
      </c>
      <c r="D636" s="6" t="s">
        <v>2454</v>
      </c>
      <c r="E636" s="6" t="s">
        <v>2553</v>
      </c>
      <c r="F636" s="6" t="s">
        <v>3529</v>
      </c>
      <c r="G636" s="6" t="s">
        <v>2444</v>
      </c>
      <c r="H636" s="6" t="s">
        <v>3529</v>
      </c>
      <c r="I636" s="6">
        <v>2</v>
      </c>
      <c r="J636" s="6">
        <v>0</v>
      </c>
      <c r="K636" s="6">
        <v>0</v>
      </c>
      <c r="L636" s="6">
        <v>0</v>
      </c>
      <c r="M636" s="6">
        <v>0</v>
      </c>
      <c r="N636" s="6">
        <v>1</v>
      </c>
      <c r="O636" s="6">
        <v>1</v>
      </c>
    </row>
    <row r="637" spans="1:15">
      <c r="A637" s="6" t="s">
        <v>2452</v>
      </c>
      <c r="B637" s="6" t="s">
        <v>1861</v>
      </c>
      <c r="C637" s="6" t="s">
        <v>19</v>
      </c>
      <c r="D637" s="6" t="s">
        <v>2454</v>
      </c>
      <c r="E637" s="6" t="s">
        <v>2553</v>
      </c>
      <c r="F637" s="6" t="s">
        <v>3530</v>
      </c>
      <c r="G637" s="6" t="s">
        <v>2444</v>
      </c>
      <c r="H637" s="6" t="s">
        <v>3530</v>
      </c>
      <c r="I637" s="6">
        <v>4</v>
      </c>
      <c r="J637" s="6">
        <v>2</v>
      </c>
      <c r="K637" s="6">
        <v>0.5</v>
      </c>
      <c r="L637" s="6">
        <v>0.45</v>
      </c>
      <c r="M637" s="6">
        <v>0.9</v>
      </c>
      <c r="N637" s="6">
        <v>1</v>
      </c>
      <c r="O637" s="6">
        <v>1</v>
      </c>
    </row>
    <row r="638" spans="1:15">
      <c r="A638" s="6" t="s">
        <v>2452</v>
      </c>
      <c r="B638" s="6" t="s">
        <v>1861</v>
      </c>
      <c r="C638" s="6" t="s">
        <v>19</v>
      </c>
      <c r="D638" s="6" t="s">
        <v>2454</v>
      </c>
      <c r="E638" s="6" t="s">
        <v>2553</v>
      </c>
      <c r="F638" s="6" t="s">
        <v>2569</v>
      </c>
      <c r="G638" s="6" t="s">
        <v>2444</v>
      </c>
      <c r="H638" s="6" t="s">
        <v>3531</v>
      </c>
      <c r="I638" s="6">
        <v>1</v>
      </c>
      <c r="J638" s="6">
        <v>0</v>
      </c>
      <c r="K638" s="6">
        <v>0</v>
      </c>
      <c r="L638" s="6">
        <v>0</v>
      </c>
      <c r="M638" s="6">
        <v>0</v>
      </c>
      <c r="N638" s="6">
        <v>1</v>
      </c>
      <c r="O638" s="6">
        <v>1</v>
      </c>
    </row>
    <row r="639" spans="1:15">
      <c r="A639" s="6" t="s">
        <v>2452</v>
      </c>
      <c r="B639" s="6" t="s">
        <v>1861</v>
      </c>
      <c r="C639" s="6" t="s">
        <v>19</v>
      </c>
      <c r="D639" s="6" t="s">
        <v>2454</v>
      </c>
      <c r="E639" s="6" t="s">
        <v>2553</v>
      </c>
      <c r="F639" s="6" t="s">
        <v>2569</v>
      </c>
      <c r="G639" s="6" t="s">
        <v>2444</v>
      </c>
      <c r="H639" s="6" t="s">
        <v>2569</v>
      </c>
      <c r="I639" s="6">
        <v>3</v>
      </c>
      <c r="J639" s="6">
        <v>0</v>
      </c>
      <c r="K639" s="6">
        <v>0</v>
      </c>
      <c r="L639" s="6">
        <v>0</v>
      </c>
      <c r="M639" s="6">
        <v>0</v>
      </c>
      <c r="N639" s="6">
        <v>0.5</v>
      </c>
      <c r="O639" s="6">
        <v>0</v>
      </c>
    </row>
    <row r="640" spans="1:15">
      <c r="A640" s="6" t="s">
        <v>2452</v>
      </c>
      <c r="B640" s="6" t="s">
        <v>1861</v>
      </c>
      <c r="C640" s="6" t="s">
        <v>19</v>
      </c>
      <c r="D640" s="6" t="s">
        <v>2454</v>
      </c>
      <c r="E640" s="6" t="s">
        <v>2553</v>
      </c>
      <c r="F640" s="6" t="s">
        <v>3532</v>
      </c>
      <c r="G640" s="6" t="s">
        <v>2444</v>
      </c>
      <c r="H640" s="6" t="s">
        <v>3533</v>
      </c>
      <c r="I640" s="6">
        <v>1</v>
      </c>
      <c r="J640" s="6">
        <v>0</v>
      </c>
      <c r="K640" s="6">
        <v>0</v>
      </c>
      <c r="L640" s="6">
        <v>0</v>
      </c>
      <c r="M640" s="6">
        <v>0</v>
      </c>
      <c r="N640" s="6">
        <v>1</v>
      </c>
      <c r="O640" s="6">
        <v>1</v>
      </c>
    </row>
    <row r="641" spans="1:15">
      <c r="A641" s="6" t="s">
        <v>2452</v>
      </c>
      <c r="B641" s="6" t="s">
        <v>1861</v>
      </c>
      <c r="C641" s="6" t="s">
        <v>19</v>
      </c>
      <c r="D641" s="6" t="s">
        <v>2454</v>
      </c>
      <c r="E641" s="6" t="s">
        <v>2553</v>
      </c>
      <c r="F641" s="6" t="s">
        <v>3534</v>
      </c>
      <c r="G641" s="6" t="s">
        <v>2444</v>
      </c>
      <c r="H641" s="6" t="s">
        <v>3535</v>
      </c>
      <c r="I641" s="6">
        <v>2</v>
      </c>
      <c r="J641" s="6">
        <v>0</v>
      </c>
      <c r="K641" s="6">
        <v>0</v>
      </c>
      <c r="L641" s="6">
        <v>0</v>
      </c>
      <c r="M641" s="6">
        <v>0</v>
      </c>
      <c r="N641" s="6">
        <v>1</v>
      </c>
      <c r="O641" s="6">
        <v>1</v>
      </c>
    </row>
    <row r="642" spans="1:15">
      <c r="A642" s="6" t="s">
        <v>2452</v>
      </c>
      <c r="B642" s="6" t="s">
        <v>1861</v>
      </c>
      <c r="C642" s="6" t="s">
        <v>19</v>
      </c>
      <c r="D642" s="6" t="s">
        <v>2454</v>
      </c>
      <c r="E642" s="6" t="s">
        <v>2553</v>
      </c>
      <c r="F642" s="6" t="s">
        <v>2582</v>
      </c>
      <c r="G642" s="6" t="s">
        <v>2444</v>
      </c>
      <c r="H642" s="6" t="s">
        <v>3536</v>
      </c>
      <c r="I642" s="6">
        <v>2</v>
      </c>
      <c r="J642" s="6">
        <v>0</v>
      </c>
      <c r="K642" s="6">
        <v>0</v>
      </c>
      <c r="L642" s="6">
        <v>0</v>
      </c>
      <c r="M642" s="6">
        <v>0</v>
      </c>
      <c r="N642" s="6">
        <v>1</v>
      </c>
      <c r="O642" s="6">
        <v>1</v>
      </c>
    </row>
    <row r="643" spans="1:15">
      <c r="A643" s="6" t="s">
        <v>2452</v>
      </c>
      <c r="B643" s="6" t="s">
        <v>1861</v>
      </c>
      <c r="C643" s="6" t="s">
        <v>19</v>
      </c>
      <c r="D643" s="6" t="s">
        <v>2454</v>
      </c>
      <c r="E643" s="6" t="s">
        <v>2553</v>
      </c>
      <c r="F643" s="6" t="s">
        <v>2587</v>
      </c>
      <c r="G643" s="6" t="s">
        <v>2444</v>
      </c>
      <c r="H643" s="6" t="s">
        <v>3537</v>
      </c>
      <c r="I643" s="6">
        <v>5</v>
      </c>
      <c r="J643" s="6">
        <v>0</v>
      </c>
      <c r="K643" s="6">
        <v>0</v>
      </c>
      <c r="L643" s="6">
        <v>0</v>
      </c>
      <c r="M643" s="6">
        <v>0</v>
      </c>
      <c r="N643" s="6">
        <v>1</v>
      </c>
      <c r="O643" s="6">
        <v>1</v>
      </c>
    </row>
    <row r="644" spans="1:15">
      <c r="A644" s="6" t="s">
        <v>2452</v>
      </c>
      <c r="B644" s="6" t="s">
        <v>1861</v>
      </c>
      <c r="C644" s="6" t="s">
        <v>19</v>
      </c>
      <c r="D644" s="6" t="s">
        <v>2454</v>
      </c>
      <c r="E644" s="6" t="s">
        <v>2553</v>
      </c>
      <c r="F644" s="6" t="s">
        <v>2587</v>
      </c>
      <c r="G644" s="6" t="s">
        <v>2444</v>
      </c>
      <c r="H644" s="6" t="s">
        <v>3538</v>
      </c>
      <c r="I644" s="6">
        <v>1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</row>
    <row r="645" spans="1:15">
      <c r="A645" s="6" t="s">
        <v>2452</v>
      </c>
      <c r="B645" s="6" t="s">
        <v>1861</v>
      </c>
      <c r="C645" s="6" t="s">
        <v>19</v>
      </c>
      <c r="D645" s="6" t="s">
        <v>2454</v>
      </c>
      <c r="E645" s="6" t="s">
        <v>2553</v>
      </c>
      <c r="F645" s="6" t="s">
        <v>2587</v>
      </c>
      <c r="G645" s="6" t="s">
        <v>2444</v>
      </c>
      <c r="H645" s="6" t="s">
        <v>3539</v>
      </c>
      <c r="I645" s="6">
        <v>2</v>
      </c>
      <c r="J645" s="6">
        <v>1</v>
      </c>
      <c r="K645" s="6">
        <v>0.5</v>
      </c>
      <c r="L645" s="6">
        <v>0.08</v>
      </c>
      <c r="M645" s="6">
        <v>0.08</v>
      </c>
      <c r="N645" s="6">
        <v>1</v>
      </c>
      <c r="O645" s="6">
        <v>1</v>
      </c>
    </row>
    <row r="646" spans="1:15">
      <c r="A646" s="6" t="s">
        <v>2452</v>
      </c>
      <c r="B646" s="6" t="s">
        <v>1861</v>
      </c>
      <c r="C646" s="6" t="s">
        <v>19</v>
      </c>
      <c r="D646" s="6" t="s">
        <v>2454</v>
      </c>
      <c r="E646" s="6" t="s">
        <v>2553</v>
      </c>
      <c r="F646" s="6" t="s">
        <v>2587</v>
      </c>
      <c r="G646" s="6" t="s">
        <v>2444</v>
      </c>
      <c r="H646" s="6" t="s">
        <v>3540</v>
      </c>
      <c r="I646" s="6">
        <v>1</v>
      </c>
      <c r="J646" s="6">
        <v>0</v>
      </c>
      <c r="K646" s="6">
        <v>0</v>
      </c>
      <c r="L646" s="6">
        <v>0</v>
      </c>
      <c r="M646" s="6">
        <v>0</v>
      </c>
      <c r="N646" s="6">
        <v>1</v>
      </c>
      <c r="O646" s="6">
        <v>1</v>
      </c>
    </row>
    <row r="647" spans="1:15">
      <c r="A647" s="6" t="s">
        <v>2452</v>
      </c>
      <c r="B647" s="6" t="s">
        <v>1861</v>
      </c>
      <c r="C647" s="6" t="s">
        <v>19</v>
      </c>
      <c r="D647" s="6" t="s">
        <v>2454</v>
      </c>
      <c r="E647" s="6" t="s">
        <v>2553</v>
      </c>
      <c r="F647" s="6" t="s">
        <v>2587</v>
      </c>
      <c r="G647" s="6" t="s">
        <v>2444</v>
      </c>
      <c r="H647" s="6" t="s">
        <v>3541</v>
      </c>
      <c r="I647" s="6">
        <v>1</v>
      </c>
      <c r="J647" s="6">
        <v>0</v>
      </c>
      <c r="K647" s="6">
        <v>0</v>
      </c>
      <c r="L647" s="6">
        <v>0</v>
      </c>
      <c r="M647" s="6">
        <v>0</v>
      </c>
      <c r="N647" s="6">
        <v>1</v>
      </c>
      <c r="O647" s="6">
        <v>1</v>
      </c>
    </row>
    <row r="648" spans="1:15">
      <c r="A648" s="6" t="s">
        <v>2452</v>
      </c>
      <c r="B648" s="6" t="s">
        <v>1861</v>
      </c>
      <c r="C648" s="6" t="s">
        <v>19</v>
      </c>
      <c r="D648" s="6" t="s">
        <v>2454</v>
      </c>
      <c r="E648" s="6" t="s">
        <v>2553</v>
      </c>
      <c r="F648" s="6" t="s">
        <v>3542</v>
      </c>
      <c r="G648" s="6" t="s">
        <v>2444</v>
      </c>
      <c r="H648" s="6" t="s">
        <v>3543</v>
      </c>
      <c r="I648" s="6">
        <v>1</v>
      </c>
      <c r="J648" s="6">
        <v>0</v>
      </c>
      <c r="K648" s="6">
        <v>0</v>
      </c>
      <c r="L648" s="6">
        <v>0</v>
      </c>
      <c r="M648" s="6">
        <v>0</v>
      </c>
      <c r="N648" s="6">
        <v>1</v>
      </c>
      <c r="O648" s="6">
        <v>1</v>
      </c>
    </row>
    <row r="649" spans="1:15">
      <c r="A649" s="6" t="s">
        <v>2452</v>
      </c>
      <c r="B649" s="6" t="s">
        <v>1861</v>
      </c>
      <c r="C649" s="6" t="s">
        <v>19</v>
      </c>
      <c r="D649" s="6" t="s">
        <v>2454</v>
      </c>
      <c r="E649" s="6" t="s">
        <v>2553</v>
      </c>
      <c r="F649" s="6" t="s">
        <v>3544</v>
      </c>
      <c r="G649" s="6" t="s">
        <v>2444</v>
      </c>
      <c r="H649" s="6" t="s">
        <v>3545</v>
      </c>
      <c r="I649" s="6">
        <v>3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</row>
    <row r="650" spans="1:15">
      <c r="A650" s="6" t="s">
        <v>2452</v>
      </c>
      <c r="B650" s="6" t="s">
        <v>1861</v>
      </c>
      <c r="C650" s="6" t="s">
        <v>19</v>
      </c>
      <c r="D650" s="6" t="s">
        <v>2454</v>
      </c>
      <c r="E650" s="6" t="s">
        <v>2553</v>
      </c>
      <c r="F650" s="6" t="s">
        <v>2589</v>
      </c>
      <c r="G650" s="6" t="s">
        <v>2444</v>
      </c>
      <c r="H650" s="6" t="s">
        <v>2589</v>
      </c>
      <c r="I650" s="6">
        <v>2</v>
      </c>
      <c r="J650" s="6">
        <v>0</v>
      </c>
      <c r="K650" s="6">
        <v>0</v>
      </c>
      <c r="L650" s="6">
        <v>0</v>
      </c>
      <c r="M650" s="6">
        <v>0</v>
      </c>
      <c r="N650" s="6">
        <v>1</v>
      </c>
      <c r="O650" s="6">
        <v>1</v>
      </c>
    </row>
    <row r="651" spans="1:15">
      <c r="A651" s="6" t="s">
        <v>2452</v>
      </c>
      <c r="B651" s="6" t="s">
        <v>1861</v>
      </c>
      <c r="C651" s="6" t="s">
        <v>19</v>
      </c>
      <c r="D651" s="6" t="s">
        <v>2454</v>
      </c>
      <c r="E651" s="6" t="s">
        <v>2595</v>
      </c>
      <c r="F651" s="6" t="s">
        <v>3546</v>
      </c>
      <c r="G651" s="6" t="s">
        <v>2444</v>
      </c>
      <c r="H651" s="6" t="s">
        <v>3547</v>
      </c>
      <c r="I651" s="6">
        <v>1</v>
      </c>
      <c r="J651" s="6">
        <v>0</v>
      </c>
      <c r="K651" s="6">
        <v>0</v>
      </c>
      <c r="L651" s="6">
        <v>0</v>
      </c>
      <c r="M651" s="6">
        <v>0</v>
      </c>
      <c r="N651" s="6">
        <v>1</v>
      </c>
      <c r="O651" s="6">
        <v>1</v>
      </c>
    </row>
    <row r="652" spans="1:15">
      <c r="A652" s="6" t="s">
        <v>2452</v>
      </c>
      <c r="B652" s="6" t="s">
        <v>1861</v>
      </c>
      <c r="C652" s="6" t="s">
        <v>19</v>
      </c>
      <c r="D652" s="6" t="s">
        <v>3548</v>
      </c>
      <c r="E652" s="6" t="s">
        <v>3549</v>
      </c>
      <c r="F652" s="6" t="s">
        <v>3550</v>
      </c>
      <c r="G652" s="6" t="s">
        <v>2444</v>
      </c>
      <c r="H652" s="6" t="s">
        <v>3550</v>
      </c>
      <c r="I652" s="6">
        <v>1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</row>
    <row r="653" spans="1:15">
      <c r="A653" s="6" t="s">
        <v>2452</v>
      </c>
      <c r="B653" s="6" t="s">
        <v>1861</v>
      </c>
      <c r="C653" s="6" t="s">
        <v>19</v>
      </c>
      <c r="D653" s="6" t="s">
        <v>3548</v>
      </c>
      <c r="E653" s="6" t="s">
        <v>3551</v>
      </c>
      <c r="F653" s="6" t="s">
        <v>3552</v>
      </c>
      <c r="G653" s="6" t="s">
        <v>2444</v>
      </c>
      <c r="H653" s="6" t="s">
        <v>3553</v>
      </c>
      <c r="I653" s="6">
        <v>3</v>
      </c>
      <c r="J653" s="6">
        <v>1</v>
      </c>
      <c r="K653" s="6">
        <v>0.33329999999999999</v>
      </c>
      <c r="L653" s="6">
        <v>0.28999999999999998</v>
      </c>
      <c r="M653" s="6">
        <v>0.28999999999999998</v>
      </c>
      <c r="N653" s="6">
        <v>1</v>
      </c>
      <c r="O653" s="6">
        <v>1</v>
      </c>
    </row>
    <row r="654" spans="1:15">
      <c r="A654" s="6" t="s">
        <v>2452</v>
      </c>
      <c r="B654" s="6" t="s">
        <v>1861</v>
      </c>
      <c r="C654" s="6" t="s">
        <v>19</v>
      </c>
      <c r="D654" s="6" t="s">
        <v>3548</v>
      </c>
      <c r="E654" s="6" t="s">
        <v>3551</v>
      </c>
      <c r="F654" s="6" t="s">
        <v>3552</v>
      </c>
      <c r="G654" s="6" t="s">
        <v>2444</v>
      </c>
      <c r="H654" s="6" t="s">
        <v>3554</v>
      </c>
      <c r="I654" s="6">
        <v>2</v>
      </c>
      <c r="J654" s="6">
        <v>0</v>
      </c>
      <c r="K654" s="6">
        <v>0</v>
      </c>
      <c r="L654" s="6">
        <v>0</v>
      </c>
      <c r="M654" s="6">
        <v>0</v>
      </c>
      <c r="N654" s="6">
        <v>1</v>
      </c>
      <c r="O654" s="6">
        <v>1</v>
      </c>
    </row>
    <row r="655" spans="1:15">
      <c r="A655" s="6" t="s">
        <v>2452</v>
      </c>
      <c r="B655" s="6" t="s">
        <v>1861</v>
      </c>
      <c r="C655" s="6" t="s">
        <v>19</v>
      </c>
      <c r="D655" s="6" t="s">
        <v>3548</v>
      </c>
      <c r="E655" s="6" t="s">
        <v>3551</v>
      </c>
      <c r="F655" s="6" t="s">
        <v>3552</v>
      </c>
      <c r="G655" s="6" t="s">
        <v>2444</v>
      </c>
      <c r="H655" s="6" t="s">
        <v>3555</v>
      </c>
      <c r="I655" s="6">
        <v>1</v>
      </c>
      <c r="J655" s="6">
        <v>0</v>
      </c>
      <c r="K655" s="6">
        <v>0</v>
      </c>
      <c r="L655" s="6">
        <v>0</v>
      </c>
      <c r="M655" s="6">
        <v>0</v>
      </c>
      <c r="N655" s="6">
        <v>1</v>
      </c>
      <c r="O655" s="6">
        <v>1</v>
      </c>
    </row>
    <row r="656" spans="1:15">
      <c r="A656" s="6" t="s">
        <v>2452</v>
      </c>
      <c r="B656" s="6" t="s">
        <v>1861</v>
      </c>
      <c r="C656" s="6" t="s">
        <v>19</v>
      </c>
      <c r="D656" s="6" t="s">
        <v>3548</v>
      </c>
      <c r="E656" s="6" t="s">
        <v>3551</v>
      </c>
      <c r="F656" s="6" t="s">
        <v>3552</v>
      </c>
      <c r="G656" s="6" t="s">
        <v>2444</v>
      </c>
      <c r="H656" s="6" t="s">
        <v>3556</v>
      </c>
      <c r="I656" s="6">
        <v>4</v>
      </c>
      <c r="J656" s="6">
        <v>0</v>
      </c>
      <c r="K656" s="6">
        <v>0</v>
      </c>
      <c r="L656" s="6">
        <v>0</v>
      </c>
      <c r="M656" s="6">
        <v>0</v>
      </c>
      <c r="N656" s="6">
        <v>1</v>
      </c>
      <c r="O656" s="6">
        <v>1</v>
      </c>
    </row>
    <row r="657" spans="1:15">
      <c r="A657" s="6" t="s">
        <v>2452</v>
      </c>
      <c r="B657" s="6" t="s">
        <v>1861</v>
      </c>
      <c r="C657" s="6" t="s">
        <v>19</v>
      </c>
      <c r="D657" s="6" t="s">
        <v>3548</v>
      </c>
      <c r="E657" s="6" t="s">
        <v>3551</v>
      </c>
      <c r="F657" s="6" t="s">
        <v>3557</v>
      </c>
      <c r="G657" s="6" t="s">
        <v>2444</v>
      </c>
      <c r="H657" s="6" t="s">
        <v>3558</v>
      </c>
      <c r="I657" s="6">
        <v>3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</row>
    <row r="658" spans="1:15">
      <c r="A658" s="6" t="s">
        <v>2452</v>
      </c>
      <c r="B658" s="6" t="s">
        <v>1861</v>
      </c>
      <c r="C658" s="6" t="s">
        <v>19</v>
      </c>
      <c r="D658" s="6" t="s">
        <v>3548</v>
      </c>
      <c r="E658" s="6" t="s">
        <v>3551</v>
      </c>
      <c r="F658" s="6" t="s">
        <v>3559</v>
      </c>
      <c r="G658" s="6" t="s">
        <v>2444</v>
      </c>
      <c r="H658" s="6" t="s">
        <v>3560</v>
      </c>
      <c r="I658" s="6">
        <v>2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</row>
    <row r="659" spans="1:15">
      <c r="A659" s="6" t="s">
        <v>2452</v>
      </c>
      <c r="B659" s="6" t="s">
        <v>1861</v>
      </c>
      <c r="C659" s="6" t="s">
        <v>19</v>
      </c>
      <c r="D659" s="6" t="s">
        <v>3548</v>
      </c>
      <c r="E659" s="6" t="s">
        <v>3551</v>
      </c>
      <c r="F659" s="6" t="s">
        <v>3559</v>
      </c>
      <c r="G659" s="6" t="s">
        <v>2444</v>
      </c>
      <c r="H659" s="6" t="s">
        <v>3559</v>
      </c>
      <c r="I659" s="6">
        <v>2</v>
      </c>
      <c r="J659" s="6">
        <v>0</v>
      </c>
      <c r="K659" s="6">
        <v>0</v>
      </c>
      <c r="L659" s="6">
        <v>0</v>
      </c>
      <c r="M659" s="6">
        <v>0</v>
      </c>
      <c r="N659" s="6">
        <v>1</v>
      </c>
      <c r="O659" s="6">
        <v>0</v>
      </c>
    </row>
    <row r="660" spans="1:15">
      <c r="A660" s="6" t="s">
        <v>2452</v>
      </c>
      <c r="B660" s="6" t="s">
        <v>1861</v>
      </c>
      <c r="C660" s="6" t="s">
        <v>19</v>
      </c>
      <c r="D660" s="6" t="s">
        <v>3548</v>
      </c>
      <c r="E660" s="6" t="s">
        <v>3551</v>
      </c>
      <c r="F660" s="6" t="s">
        <v>3561</v>
      </c>
      <c r="G660" s="6" t="s">
        <v>2444</v>
      </c>
      <c r="H660" s="6" t="s">
        <v>3561</v>
      </c>
      <c r="I660" s="6">
        <v>1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</row>
    <row r="661" spans="1:15">
      <c r="A661" s="6" t="s">
        <v>2452</v>
      </c>
      <c r="B661" s="6" t="s">
        <v>1861</v>
      </c>
      <c r="C661" s="6" t="s">
        <v>19</v>
      </c>
      <c r="D661" s="6" t="s">
        <v>2599</v>
      </c>
      <c r="E661" s="6" t="s">
        <v>2600</v>
      </c>
      <c r="F661" s="6" t="s">
        <v>3562</v>
      </c>
      <c r="G661" s="6" t="s">
        <v>2444</v>
      </c>
      <c r="H661" s="6" t="s">
        <v>3563</v>
      </c>
      <c r="I661" s="6">
        <v>1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</row>
    <row r="662" spans="1:15">
      <c r="A662" s="6" t="s">
        <v>2452</v>
      </c>
      <c r="B662" s="6" t="s">
        <v>1861</v>
      </c>
      <c r="C662" s="6" t="s">
        <v>19</v>
      </c>
      <c r="D662" s="6" t="s">
        <v>2599</v>
      </c>
      <c r="E662" s="6" t="s">
        <v>2600</v>
      </c>
      <c r="F662" s="6" t="s">
        <v>3564</v>
      </c>
      <c r="G662" s="6" t="s">
        <v>2444</v>
      </c>
      <c r="H662" s="6" t="s">
        <v>3565</v>
      </c>
      <c r="I662" s="6">
        <v>1</v>
      </c>
      <c r="J662" s="6">
        <v>0</v>
      </c>
      <c r="K662" s="6">
        <v>0</v>
      </c>
      <c r="L662" s="6">
        <v>0</v>
      </c>
      <c r="M662" s="6">
        <v>0</v>
      </c>
      <c r="N662" s="6">
        <v>1</v>
      </c>
      <c r="O662" s="6">
        <v>1</v>
      </c>
    </row>
    <row r="663" spans="1:15">
      <c r="A663" s="6" t="s">
        <v>2452</v>
      </c>
      <c r="B663" s="6" t="s">
        <v>1861</v>
      </c>
      <c r="C663" s="6" t="s">
        <v>19</v>
      </c>
      <c r="D663" s="6" t="s">
        <v>2599</v>
      </c>
      <c r="E663" s="6" t="s">
        <v>2600</v>
      </c>
      <c r="F663" s="6" t="s">
        <v>2608</v>
      </c>
      <c r="G663" s="6" t="s">
        <v>2444</v>
      </c>
      <c r="H663" s="6" t="s">
        <v>2609</v>
      </c>
      <c r="I663" s="6">
        <v>2</v>
      </c>
      <c r="J663" s="6">
        <v>1</v>
      </c>
      <c r="K663" s="6">
        <v>0.5</v>
      </c>
      <c r="L663" s="6">
        <v>0.85</v>
      </c>
      <c r="M663" s="6">
        <v>0.85</v>
      </c>
      <c r="N663" s="6">
        <v>1</v>
      </c>
      <c r="O663" s="6">
        <v>1</v>
      </c>
    </row>
    <row r="664" spans="1:15">
      <c r="A664" s="6" t="s">
        <v>2452</v>
      </c>
      <c r="B664" s="6" t="s">
        <v>1861</v>
      </c>
      <c r="C664" s="6" t="s">
        <v>19</v>
      </c>
      <c r="D664" s="6" t="s">
        <v>2599</v>
      </c>
      <c r="E664" s="6" t="s">
        <v>2600</v>
      </c>
      <c r="F664" s="6" t="s">
        <v>3566</v>
      </c>
      <c r="G664" s="6" t="s">
        <v>2444</v>
      </c>
      <c r="H664" s="6" t="s">
        <v>3567</v>
      </c>
      <c r="I664" s="6">
        <v>2</v>
      </c>
      <c r="J664" s="6">
        <v>0</v>
      </c>
      <c r="K664" s="6">
        <v>0</v>
      </c>
      <c r="L664" s="6">
        <v>0</v>
      </c>
      <c r="M664" s="6">
        <v>0</v>
      </c>
      <c r="N664" s="6">
        <v>1</v>
      </c>
      <c r="O664" s="6">
        <v>1</v>
      </c>
    </row>
    <row r="665" spans="1:15">
      <c r="A665" s="6" t="s">
        <v>2452</v>
      </c>
      <c r="B665" s="6" t="s">
        <v>1861</v>
      </c>
      <c r="C665" s="6" t="s">
        <v>19</v>
      </c>
      <c r="D665" s="6" t="s">
        <v>2599</v>
      </c>
      <c r="E665" s="6" t="s">
        <v>2600</v>
      </c>
      <c r="F665" s="6" t="s">
        <v>2610</v>
      </c>
      <c r="G665" s="6" t="s">
        <v>2444</v>
      </c>
      <c r="H665" s="6" t="s">
        <v>3568</v>
      </c>
      <c r="I665" s="6">
        <v>1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</row>
    <row r="666" spans="1:15">
      <c r="A666" s="6" t="s">
        <v>2452</v>
      </c>
      <c r="B666" s="6" t="s">
        <v>1861</v>
      </c>
      <c r="C666" s="6" t="s">
        <v>19</v>
      </c>
      <c r="D666" s="6" t="s">
        <v>2599</v>
      </c>
      <c r="E666" s="6" t="s">
        <v>2600</v>
      </c>
      <c r="F666" s="6" t="s">
        <v>3569</v>
      </c>
      <c r="G666" s="6" t="s">
        <v>2444</v>
      </c>
      <c r="H666" s="6" t="s">
        <v>3570</v>
      </c>
      <c r="I666" s="6">
        <v>2</v>
      </c>
      <c r="J666" s="6">
        <v>0</v>
      </c>
      <c r="K666" s="6">
        <v>0</v>
      </c>
      <c r="L666" s="6">
        <v>0</v>
      </c>
      <c r="M666" s="6">
        <v>0</v>
      </c>
      <c r="N666" s="6">
        <v>1</v>
      </c>
      <c r="O666" s="6">
        <v>0</v>
      </c>
    </row>
    <row r="667" spans="1:15">
      <c r="A667" s="6" t="s">
        <v>2452</v>
      </c>
      <c r="B667" s="6" t="s">
        <v>1861</v>
      </c>
      <c r="C667" s="6" t="s">
        <v>19</v>
      </c>
      <c r="D667" s="6" t="s">
        <v>2599</v>
      </c>
      <c r="E667" s="6" t="s">
        <v>2614</v>
      </c>
      <c r="F667" s="6" t="s">
        <v>3571</v>
      </c>
      <c r="G667" s="6" t="s">
        <v>2444</v>
      </c>
      <c r="H667" s="6" t="s">
        <v>3572</v>
      </c>
      <c r="I667" s="6">
        <v>6</v>
      </c>
      <c r="J667" s="6">
        <v>0</v>
      </c>
      <c r="K667" s="6">
        <v>0</v>
      </c>
      <c r="L667" s="6">
        <v>0</v>
      </c>
      <c r="M667" s="6">
        <v>0</v>
      </c>
      <c r="N667" s="6">
        <v>1</v>
      </c>
      <c r="O667" s="6">
        <v>1</v>
      </c>
    </row>
    <row r="668" spans="1:15">
      <c r="A668" s="6" t="s">
        <v>2452</v>
      </c>
      <c r="B668" s="6" t="s">
        <v>1861</v>
      </c>
      <c r="C668" s="6" t="s">
        <v>19</v>
      </c>
      <c r="D668" s="6" t="s">
        <v>2623</v>
      </c>
      <c r="E668" s="6" t="s">
        <v>2624</v>
      </c>
      <c r="F668" s="6" t="s">
        <v>2625</v>
      </c>
      <c r="G668" s="6" t="s">
        <v>2444</v>
      </c>
      <c r="H668" s="6" t="s">
        <v>3573</v>
      </c>
      <c r="I668" s="6">
        <v>1</v>
      </c>
      <c r="J668" s="6">
        <v>0</v>
      </c>
      <c r="K668" s="6">
        <v>0</v>
      </c>
      <c r="L668" s="6">
        <v>0</v>
      </c>
      <c r="M668" s="6">
        <v>0</v>
      </c>
      <c r="N668" s="6">
        <v>1</v>
      </c>
      <c r="O668" s="6">
        <v>1</v>
      </c>
    </row>
    <row r="669" spans="1:15">
      <c r="A669" s="6" t="s">
        <v>2452</v>
      </c>
      <c r="B669" s="6" t="s">
        <v>1861</v>
      </c>
      <c r="C669" s="6" t="s">
        <v>19</v>
      </c>
      <c r="D669" s="6" t="s">
        <v>2623</v>
      </c>
      <c r="E669" s="6" t="s">
        <v>2624</v>
      </c>
      <c r="F669" s="6" t="s">
        <v>2625</v>
      </c>
      <c r="G669" s="6" t="s">
        <v>2444</v>
      </c>
      <c r="H669" s="6" t="s">
        <v>2628</v>
      </c>
      <c r="I669" s="6">
        <v>1</v>
      </c>
      <c r="J669" s="6">
        <v>0</v>
      </c>
      <c r="K669" s="6">
        <v>0</v>
      </c>
      <c r="L669" s="6">
        <v>0</v>
      </c>
      <c r="M669" s="6">
        <v>0</v>
      </c>
      <c r="N669" s="6">
        <v>1</v>
      </c>
      <c r="O669" s="6">
        <v>1</v>
      </c>
    </row>
    <row r="670" spans="1:15">
      <c r="A670" s="6" t="s">
        <v>2452</v>
      </c>
      <c r="B670" s="6" t="s">
        <v>1861</v>
      </c>
      <c r="C670" s="6" t="s">
        <v>19</v>
      </c>
      <c r="D670" s="6" t="s">
        <v>2623</v>
      </c>
      <c r="E670" s="6" t="s">
        <v>2624</v>
      </c>
      <c r="F670" s="6" t="s">
        <v>2625</v>
      </c>
      <c r="G670" s="6" t="s">
        <v>2444</v>
      </c>
      <c r="H670" s="6" t="s">
        <v>3574</v>
      </c>
      <c r="I670" s="6">
        <v>1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</row>
    <row r="671" spans="1:15">
      <c r="A671" s="6" t="s">
        <v>2452</v>
      </c>
      <c r="B671" s="6" t="s">
        <v>1861</v>
      </c>
      <c r="C671" s="6" t="s">
        <v>19</v>
      </c>
      <c r="D671" s="6" t="s">
        <v>2623</v>
      </c>
      <c r="E671" s="6" t="s">
        <v>2624</v>
      </c>
      <c r="F671" s="6" t="s">
        <v>2625</v>
      </c>
      <c r="G671" s="6" t="s">
        <v>2444</v>
      </c>
      <c r="H671" s="6" t="s">
        <v>2629</v>
      </c>
      <c r="I671" s="6">
        <v>2</v>
      </c>
      <c r="J671" s="6">
        <v>0</v>
      </c>
      <c r="K671" s="6">
        <v>0</v>
      </c>
      <c r="L671" s="6">
        <v>0</v>
      </c>
      <c r="M671" s="6">
        <v>0</v>
      </c>
      <c r="N671" s="6">
        <v>0.5</v>
      </c>
      <c r="O671" s="6">
        <v>0.5</v>
      </c>
    </row>
    <row r="672" spans="1:15">
      <c r="A672" s="6" t="s">
        <v>2452</v>
      </c>
      <c r="B672" s="6" t="s">
        <v>1861</v>
      </c>
      <c r="C672" s="6" t="s">
        <v>19</v>
      </c>
      <c r="D672" s="6" t="s">
        <v>2623</v>
      </c>
      <c r="E672" s="6" t="s">
        <v>2624</v>
      </c>
      <c r="F672" s="6" t="s">
        <v>2625</v>
      </c>
      <c r="G672" s="6" t="s">
        <v>2444</v>
      </c>
      <c r="H672" s="6" t="s">
        <v>3575</v>
      </c>
      <c r="I672" s="6">
        <v>1</v>
      </c>
      <c r="J672" s="6">
        <v>0</v>
      </c>
      <c r="K672" s="6">
        <v>0</v>
      </c>
      <c r="L672" s="6">
        <v>0</v>
      </c>
      <c r="M672" s="6">
        <v>0</v>
      </c>
      <c r="N672" s="6">
        <v>1</v>
      </c>
      <c r="O672" s="6">
        <v>1</v>
      </c>
    </row>
    <row r="673" spans="1:15">
      <c r="A673" s="6" t="s">
        <v>2452</v>
      </c>
      <c r="B673" s="6" t="s">
        <v>1861</v>
      </c>
      <c r="C673" s="6" t="s">
        <v>19</v>
      </c>
      <c r="D673" s="6" t="s">
        <v>2632</v>
      </c>
      <c r="E673" s="6" t="s">
        <v>2633</v>
      </c>
      <c r="F673" s="6" t="s">
        <v>3576</v>
      </c>
      <c r="G673" s="6" t="s">
        <v>2444</v>
      </c>
      <c r="H673" s="6" t="s">
        <v>3577</v>
      </c>
      <c r="I673" s="6">
        <v>1</v>
      </c>
      <c r="J673" s="6">
        <v>0</v>
      </c>
      <c r="K673" s="6">
        <v>0</v>
      </c>
      <c r="L673" s="6">
        <v>0</v>
      </c>
      <c r="M673" s="6">
        <v>0</v>
      </c>
      <c r="N673" s="6">
        <v>1</v>
      </c>
      <c r="O673" s="6">
        <v>1</v>
      </c>
    </row>
    <row r="674" spans="1:15">
      <c r="A674" s="6" t="s">
        <v>2452</v>
      </c>
      <c r="B674" s="6" t="s">
        <v>1861</v>
      </c>
      <c r="C674" s="6" t="s">
        <v>19</v>
      </c>
      <c r="D674" s="6" t="s">
        <v>2632</v>
      </c>
      <c r="E674" s="6" t="s">
        <v>2633</v>
      </c>
      <c r="F674" s="6" t="s">
        <v>2634</v>
      </c>
      <c r="G674" s="6" t="s">
        <v>2444</v>
      </c>
      <c r="H674" s="6" t="s">
        <v>2635</v>
      </c>
      <c r="I674" s="6">
        <v>3</v>
      </c>
      <c r="J674" s="6">
        <v>0</v>
      </c>
      <c r="K674" s="6">
        <v>0</v>
      </c>
      <c r="L674" s="6">
        <v>0</v>
      </c>
      <c r="M674" s="6">
        <v>0</v>
      </c>
      <c r="N674" s="6">
        <v>0.5</v>
      </c>
      <c r="O674" s="6">
        <v>0</v>
      </c>
    </row>
    <row r="675" spans="1:15">
      <c r="A675" s="6" t="s">
        <v>2452</v>
      </c>
      <c r="B675" s="6" t="s">
        <v>1861</v>
      </c>
      <c r="C675" s="6" t="s">
        <v>19</v>
      </c>
      <c r="D675" s="6" t="s">
        <v>2632</v>
      </c>
      <c r="E675" s="6" t="s">
        <v>2633</v>
      </c>
      <c r="F675" s="6" t="s">
        <v>3578</v>
      </c>
      <c r="G675" s="6" t="s">
        <v>2444</v>
      </c>
      <c r="H675" s="6" t="s">
        <v>3579</v>
      </c>
      <c r="I675" s="6">
        <v>7</v>
      </c>
      <c r="J675" s="6">
        <v>0</v>
      </c>
      <c r="K675" s="6">
        <v>0</v>
      </c>
      <c r="L675" s="6">
        <v>0</v>
      </c>
      <c r="M675" s="6">
        <v>0</v>
      </c>
      <c r="N675" s="6">
        <v>0.85709999999999997</v>
      </c>
      <c r="O675" s="6">
        <v>0.71430000000000005</v>
      </c>
    </row>
    <row r="676" spans="1:15">
      <c r="A676" s="6" t="s">
        <v>2452</v>
      </c>
      <c r="B676" s="6" t="s">
        <v>1861</v>
      </c>
      <c r="C676" s="6" t="s">
        <v>19</v>
      </c>
      <c r="D676" s="6" t="s">
        <v>2632</v>
      </c>
      <c r="E676" s="6" t="s">
        <v>2633</v>
      </c>
      <c r="F676" s="6" t="s">
        <v>3578</v>
      </c>
      <c r="G676" s="6" t="s">
        <v>2444</v>
      </c>
      <c r="H676" s="6" t="s">
        <v>3580</v>
      </c>
      <c r="I676" s="6">
        <v>1</v>
      </c>
      <c r="J676" s="6">
        <v>0</v>
      </c>
      <c r="K676" s="6">
        <v>0</v>
      </c>
      <c r="L676" s="6">
        <v>0</v>
      </c>
      <c r="M676" s="6">
        <v>0</v>
      </c>
      <c r="N676" s="6">
        <v>1</v>
      </c>
      <c r="O676" s="6">
        <v>1</v>
      </c>
    </row>
    <row r="677" spans="1:15">
      <c r="A677" s="6" t="s">
        <v>2452</v>
      </c>
      <c r="B677" s="6" t="s">
        <v>1861</v>
      </c>
      <c r="C677" s="6" t="s">
        <v>19</v>
      </c>
      <c r="D677" s="6" t="s">
        <v>2632</v>
      </c>
      <c r="E677" s="6" t="s">
        <v>2644</v>
      </c>
      <c r="F677" s="6" t="s">
        <v>2645</v>
      </c>
      <c r="G677" s="6" t="s">
        <v>2444</v>
      </c>
      <c r="H677" s="6" t="s">
        <v>3581</v>
      </c>
      <c r="I677" s="6">
        <v>1</v>
      </c>
      <c r="J677" s="6">
        <v>0</v>
      </c>
      <c r="K677" s="6">
        <v>0</v>
      </c>
      <c r="L677" s="6">
        <v>0</v>
      </c>
      <c r="M677" s="6">
        <v>0</v>
      </c>
      <c r="N677" s="6">
        <v>1</v>
      </c>
      <c r="O677" s="6">
        <v>1</v>
      </c>
    </row>
    <row r="678" spans="1:15">
      <c r="A678" s="6" t="s">
        <v>2452</v>
      </c>
      <c r="B678" s="6" t="s">
        <v>1861</v>
      </c>
      <c r="C678" s="6" t="s">
        <v>19</v>
      </c>
      <c r="D678" s="6" t="s">
        <v>2632</v>
      </c>
      <c r="E678" s="6" t="s">
        <v>2653</v>
      </c>
      <c r="F678" s="6" t="s">
        <v>3582</v>
      </c>
      <c r="G678" s="6" t="s">
        <v>2444</v>
      </c>
      <c r="H678" s="6" t="s">
        <v>3582</v>
      </c>
      <c r="I678" s="6">
        <v>2</v>
      </c>
      <c r="J678" s="6">
        <v>0</v>
      </c>
      <c r="K678" s="6">
        <v>0</v>
      </c>
      <c r="L678" s="6">
        <v>0</v>
      </c>
      <c r="M678" s="6">
        <v>0</v>
      </c>
      <c r="N678" s="6">
        <v>1</v>
      </c>
      <c r="O678" s="6">
        <v>0</v>
      </c>
    </row>
    <row r="679" spans="1:15">
      <c r="A679" s="6" t="s">
        <v>2452</v>
      </c>
      <c r="B679" s="6" t="s">
        <v>1861</v>
      </c>
      <c r="C679" s="6" t="s">
        <v>19</v>
      </c>
      <c r="D679" s="6" t="s">
        <v>2632</v>
      </c>
      <c r="E679" s="6" t="s">
        <v>2653</v>
      </c>
      <c r="F679" s="6" t="s">
        <v>2656</v>
      </c>
      <c r="G679" s="6" t="s">
        <v>2444</v>
      </c>
      <c r="H679" s="6" t="s">
        <v>3583</v>
      </c>
      <c r="I679" s="6">
        <v>2</v>
      </c>
      <c r="J679" s="6">
        <v>0</v>
      </c>
      <c r="K679" s="6">
        <v>0</v>
      </c>
      <c r="L679" s="6">
        <v>0</v>
      </c>
      <c r="M679" s="6">
        <v>0</v>
      </c>
      <c r="N679" s="6">
        <v>1</v>
      </c>
      <c r="O679" s="6">
        <v>1</v>
      </c>
    </row>
    <row r="680" spans="1:15">
      <c r="A680" s="6" t="s">
        <v>2452</v>
      </c>
      <c r="B680" s="6" t="s">
        <v>1861</v>
      </c>
      <c r="C680" s="6" t="s">
        <v>19</v>
      </c>
      <c r="D680" s="6" t="s">
        <v>2632</v>
      </c>
      <c r="E680" s="6" t="s">
        <v>2653</v>
      </c>
      <c r="F680" s="6" t="s">
        <v>2656</v>
      </c>
      <c r="G680" s="6" t="s">
        <v>2444</v>
      </c>
      <c r="H680" s="6" t="s">
        <v>2656</v>
      </c>
      <c r="I680" s="6">
        <v>1</v>
      </c>
      <c r="J680" s="6">
        <v>0</v>
      </c>
      <c r="K680" s="6">
        <v>0</v>
      </c>
      <c r="L680" s="6">
        <v>0</v>
      </c>
      <c r="M680" s="6">
        <v>0</v>
      </c>
      <c r="N680" s="6">
        <v>1</v>
      </c>
      <c r="O680" s="6">
        <v>1</v>
      </c>
    </row>
    <row r="681" spans="1:15">
      <c r="A681" s="6" t="s">
        <v>2452</v>
      </c>
      <c r="B681" s="6" t="s">
        <v>1861</v>
      </c>
      <c r="C681" s="6" t="s">
        <v>19</v>
      </c>
      <c r="D681" s="6" t="s">
        <v>2632</v>
      </c>
      <c r="E681" s="6" t="s">
        <v>2664</v>
      </c>
      <c r="F681" s="6" t="s">
        <v>3584</v>
      </c>
      <c r="G681" s="6" t="s">
        <v>2444</v>
      </c>
      <c r="H681" s="6" t="s">
        <v>3584</v>
      </c>
      <c r="I681" s="6">
        <v>2</v>
      </c>
      <c r="J681" s="6">
        <v>0</v>
      </c>
      <c r="K681" s="6">
        <v>0</v>
      </c>
      <c r="L681" s="6">
        <v>0</v>
      </c>
      <c r="M681" s="6">
        <v>0</v>
      </c>
      <c r="N681" s="6">
        <v>1</v>
      </c>
      <c r="O681" s="6">
        <v>0</v>
      </c>
    </row>
    <row r="682" spans="1:15">
      <c r="A682" s="6" t="s">
        <v>2452</v>
      </c>
      <c r="B682" s="6" t="s">
        <v>1861</v>
      </c>
      <c r="C682" s="6" t="s">
        <v>19</v>
      </c>
      <c r="D682" s="6" t="s">
        <v>2632</v>
      </c>
      <c r="E682" s="6" t="s">
        <v>2664</v>
      </c>
      <c r="F682" s="6" t="s">
        <v>3585</v>
      </c>
      <c r="G682" s="6" t="s">
        <v>2444</v>
      </c>
      <c r="H682" s="6" t="s">
        <v>3586</v>
      </c>
      <c r="I682" s="6">
        <v>1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</row>
    <row r="683" spans="1:15">
      <c r="A683" s="6" t="s">
        <v>2452</v>
      </c>
      <c r="B683" s="6" t="s">
        <v>1861</v>
      </c>
      <c r="C683" s="6" t="s">
        <v>19</v>
      </c>
      <c r="D683" s="6" t="s">
        <v>2632</v>
      </c>
      <c r="E683" s="6" t="s">
        <v>2664</v>
      </c>
      <c r="F683" s="6" t="s">
        <v>3587</v>
      </c>
      <c r="G683" s="6" t="s">
        <v>2444</v>
      </c>
      <c r="H683" s="6" t="s">
        <v>3588</v>
      </c>
      <c r="I683" s="6">
        <v>1</v>
      </c>
      <c r="J683" s="6">
        <v>0</v>
      </c>
      <c r="K683" s="6">
        <v>0</v>
      </c>
      <c r="L683" s="6">
        <v>0</v>
      </c>
      <c r="M683" s="6">
        <v>0</v>
      </c>
      <c r="N683" s="6">
        <v>1</v>
      </c>
      <c r="O683" s="6">
        <v>1</v>
      </c>
    </row>
    <row r="684" spans="1:15">
      <c r="A684" s="6" t="s">
        <v>2452</v>
      </c>
      <c r="B684" s="6" t="s">
        <v>1861</v>
      </c>
      <c r="C684" s="6" t="s">
        <v>19</v>
      </c>
      <c r="D684" s="6" t="s">
        <v>2632</v>
      </c>
      <c r="E684" s="6" t="s">
        <v>3589</v>
      </c>
      <c r="F684" s="6" t="s">
        <v>3590</v>
      </c>
      <c r="G684" s="6" t="s">
        <v>2444</v>
      </c>
      <c r="H684" s="6" t="s">
        <v>3590</v>
      </c>
      <c r="I684" s="6">
        <v>1</v>
      </c>
      <c r="J684" s="6">
        <v>0</v>
      </c>
      <c r="K684" s="6">
        <v>0</v>
      </c>
      <c r="L684" s="6">
        <v>0</v>
      </c>
      <c r="M684" s="6">
        <v>0</v>
      </c>
      <c r="N684" s="6">
        <v>1</v>
      </c>
      <c r="O684" s="6">
        <v>0</v>
      </c>
    </row>
    <row r="685" spans="1:15">
      <c r="A685" s="6" t="s">
        <v>2452</v>
      </c>
      <c r="B685" s="6" t="s">
        <v>1861</v>
      </c>
      <c r="C685" s="6" t="s">
        <v>19</v>
      </c>
      <c r="D685" s="6" t="s">
        <v>2632</v>
      </c>
      <c r="E685" s="6" t="s">
        <v>3591</v>
      </c>
      <c r="F685" s="6" t="s">
        <v>3592</v>
      </c>
      <c r="G685" s="6" t="s">
        <v>2444</v>
      </c>
      <c r="H685" s="6" t="s">
        <v>3593</v>
      </c>
      <c r="I685" s="6">
        <v>1</v>
      </c>
      <c r="J685" s="6">
        <v>0</v>
      </c>
      <c r="K685" s="6">
        <v>0</v>
      </c>
      <c r="L685" s="6">
        <v>0</v>
      </c>
      <c r="M685" s="6">
        <v>0</v>
      </c>
      <c r="N685" s="6">
        <v>1</v>
      </c>
      <c r="O685" s="6">
        <v>1</v>
      </c>
    </row>
    <row r="686" spans="1:15">
      <c r="A686" s="6" t="s">
        <v>2452</v>
      </c>
      <c r="B686" s="6" t="s">
        <v>1861</v>
      </c>
      <c r="C686" s="6" t="s">
        <v>19</v>
      </c>
      <c r="D686" s="6" t="s">
        <v>2632</v>
      </c>
      <c r="E686" s="6" t="s">
        <v>2679</v>
      </c>
      <c r="F686" s="6" t="s">
        <v>3594</v>
      </c>
      <c r="G686" s="6" t="s">
        <v>2444</v>
      </c>
      <c r="H686" s="6" t="s">
        <v>3595</v>
      </c>
      <c r="I686" s="6">
        <v>2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1</v>
      </c>
    </row>
    <row r="687" spans="1:15">
      <c r="A687" s="6" t="s">
        <v>2452</v>
      </c>
      <c r="B687" s="6" t="s">
        <v>1861</v>
      </c>
      <c r="C687" s="6" t="s">
        <v>19</v>
      </c>
      <c r="D687" s="6" t="s">
        <v>2632</v>
      </c>
      <c r="E687" s="6" t="s">
        <v>2679</v>
      </c>
      <c r="F687" s="6" t="s">
        <v>3596</v>
      </c>
      <c r="G687" s="6" t="s">
        <v>2444</v>
      </c>
      <c r="H687" s="6" t="s">
        <v>3597</v>
      </c>
      <c r="I687" s="6">
        <v>1</v>
      </c>
      <c r="J687" s="6">
        <v>0</v>
      </c>
      <c r="K687" s="6">
        <v>0</v>
      </c>
      <c r="L687" s="6">
        <v>0</v>
      </c>
      <c r="M687" s="6">
        <v>0</v>
      </c>
      <c r="N687" s="6">
        <v>1</v>
      </c>
      <c r="O687" s="6">
        <v>1</v>
      </c>
    </row>
    <row r="688" spans="1:15">
      <c r="A688" s="6" t="s">
        <v>2452</v>
      </c>
      <c r="B688" s="6" t="s">
        <v>1861</v>
      </c>
      <c r="C688" s="6" t="s">
        <v>19</v>
      </c>
      <c r="D688" s="6" t="s">
        <v>2632</v>
      </c>
      <c r="E688" s="6" t="s">
        <v>2679</v>
      </c>
      <c r="F688" s="6" t="s">
        <v>3596</v>
      </c>
      <c r="G688" s="6" t="s">
        <v>2444</v>
      </c>
      <c r="H688" s="6" t="s">
        <v>3598</v>
      </c>
      <c r="I688" s="6">
        <v>1</v>
      </c>
      <c r="J688" s="6">
        <v>0</v>
      </c>
      <c r="K688" s="6">
        <v>0</v>
      </c>
      <c r="L688" s="6">
        <v>0</v>
      </c>
      <c r="M688" s="6">
        <v>0</v>
      </c>
      <c r="N688" s="6">
        <v>1</v>
      </c>
      <c r="O688" s="6">
        <v>0</v>
      </c>
    </row>
    <row r="689" spans="1:15">
      <c r="A689" s="6" t="s">
        <v>2452</v>
      </c>
      <c r="B689" s="6" t="s">
        <v>1861</v>
      </c>
      <c r="C689" s="6" t="s">
        <v>19</v>
      </c>
      <c r="D689" s="6" t="s">
        <v>2632</v>
      </c>
      <c r="E689" s="6" t="s">
        <v>2679</v>
      </c>
      <c r="F689" s="6" t="s">
        <v>3599</v>
      </c>
      <c r="G689" s="6" t="s">
        <v>2444</v>
      </c>
      <c r="H689" s="6" t="s">
        <v>3600</v>
      </c>
      <c r="I689" s="6">
        <v>1</v>
      </c>
      <c r="J689" s="6">
        <v>0</v>
      </c>
      <c r="K689" s="6">
        <v>0</v>
      </c>
      <c r="L689" s="6">
        <v>0</v>
      </c>
      <c r="M689" s="6">
        <v>0</v>
      </c>
      <c r="N689" s="6">
        <v>1</v>
      </c>
      <c r="O689" s="6">
        <v>1</v>
      </c>
    </row>
    <row r="690" spans="1:15">
      <c r="A690" s="6" t="s">
        <v>2452</v>
      </c>
      <c r="B690" s="6" t="s">
        <v>1861</v>
      </c>
      <c r="C690" s="6" t="s">
        <v>19</v>
      </c>
      <c r="D690" s="6" t="s">
        <v>2632</v>
      </c>
      <c r="E690" s="6" t="s">
        <v>2679</v>
      </c>
      <c r="F690" s="6" t="s">
        <v>2682</v>
      </c>
      <c r="G690" s="6" t="s">
        <v>2444</v>
      </c>
      <c r="H690" s="6" t="s">
        <v>2683</v>
      </c>
      <c r="I690" s="6">
        <v>1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</row>
    <row r="691" spans="1:15">
      <c r="A691" s="6" t="s">
        <v>2452</v>
      </c>
      <c r="B691" s="6" t="s">
        <v>1861</v>
      </c>
      <c r="C691" s="6" t="s">
        <v>19</v>
      </c>
      <c r="D691" s="6" t="s">
        <v>2632</v>
      </c>
      <c r="E691" s="6" t="s">
        <v>2679</v>
      </c>
      <c r="F691" s="6" t="s">
        <v>3601</v>
      </c>
      <c r="G691" s="6" t="s">
        <v>2444</v>
      </c>
      <c r="H691" s="6" t="s">
        <v>3602</v>
      </c>
      <c r="I691" s="6">
        <v>1</v>
      </c>
      <c r="J691" s="6">
        <v>0</v>
      </c>
      <c r="K691" s="6">
        <v>0</v>
      </c>
      <c r="L691" s="6">
        <v>0</v>
      </c>
      <c r="M691" s="6">
        <v>0</v>
      </c>
      <c r="N691" s="6">
        <v>1</v>
      </c>
      <c r="O691" s="6">
        <v>1</v>
      </c>
    </row>
    <row r="692" spans="1:15">
      <c r="A692" s="6" t="s">
        <v>2452</v>
      </c>
      <c r="B692" s="6" t="s">
        <v>1861</v>
      </c>
      <c r="C692" s="6" t="s">
        <v>19</v>
      </c>
      <c r="D692" s="6" t="s">
        <v>2632</v>
      </c>
      <c r="E692" s="6" t="s">
        <v>2679</v>
      </c>
      <c r="F692" s="6" t="s">
        <v>3603</v>
      </c>
      <c r="G692" s="6" t="s">
        <v>2444</v>
      </c>
      <c r="H692" s="6" t="s">
        <v>3604</v>
      </c>
      <c r="I692" s="6">
        <v>1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</row>
    <row r="693" spans="1:15">
      <c r="A693" s="6" t="s">
        <v>2452</v>
      </c>
      <c r="B693" s="6" t="s">
        <v>1861</v>
      </c>
      <c r="C693" s="6" t="s">
        <v>19</v>
      </c>
      <c r="D693" s="6" t="s">
        <v>2632</v>
      </c>
      <c r="E693" s="6" t="s">
        <v>2679</v>
      </c>
      <c r="F693" s="6" t="s">
        <v>2688</v>
      </c>
      <c r="G693" s="6" t="s">
        <v>2444</v>
      </c>
      <c r="H693" s="6" t="s">
        <v>3605</v>
      </c>
      <c r="I693" s="6">
        <v>1</v>
      </c>
      <c r="J693" s="6">
        <v>1</v>
      </c>
      <c r="K693" s="6">
        <v>1</v>
      </c>
      <c r="L693" s="6">
        <v>0.04</v>
      </c>
      <c r="M693" s="6">
        <v>0.04</v>
      </c>
      <c r="N693" s="6">
        <v>1</v>
      </c>
      <c r="O693" s="6">
        <v>1</v>
      </c>
    </row>
    <row r="694" spans="1:15">
      <c r="A694" s="6" t="s">
        <v>2452</v>
      </c>
      <c r="B694" s="6" t="s">
        <v>1861</v>
      </c>
      <c r="C694" s="6" t="s">
        <v>19</v>
      </c>
      <c r="D694" s="6" t="s">
        <v>3606</v>
      </c>
      <c r="F694" s="6" t="s">
        <v>3607</v>
      </c>
      <c r="G694" s="6" t="s">
        <v>2444</v>
      </c>
      <c r="H694" s="6" t="s">
        <v>3607</v>
      </c>
      <c r="I694" s="6">
        <v>1</v>
      </c>
      <c r="J694" s="6">
        <v>0</v>
      </c>
      <c r="K694" s="6">
        <v>0</v>
      </c>
      <c r="L694" s="6">
        <v>0</v>
      </c>
      <c r="M694" s="6">
        <v>0</v>
      </c>
      <c r="N694" s="6">
        <v>1</v>
      </c>
      <c r="O694" s="6">
        <v>1</v>
      </c>
    </row>
    <row r="695" spans="1:15">
      <c r="A695" s="6" t="s">
        <v>2452</v>
      </c>
      <c r="B695" s="6" t="s">
        <v>1861</v>
      </c>
      <c r="C695" s="6" t="s">
        <v>19</v>
      </c>
      <c r="D695" s="6" t="s">
        <v>3606</v>
      </c>
      <c r="E695" s="6" t="s">
        <v>3608</v>
      </c>
      <c r="F695" s="6" t="s">
        <v>3609</v>
      </c>
      <c r="G695" s="6" t="s">
        <v>2444</v>
      </c>
      <c r="H695" s="6" t="s">
        <v>3610</v>
      </c>
      <c r="I695" s="6">
        <v>4</v>
      </c>
      <c r="J695" s="6">
        <v>0</v>
      </c>
      <c r="K695" s="6">
        <v>0</v>
      </c>
      <c r="L695" s="6">
        <v>0</v>
      </c>
      <c r="M695" s="6">
        <v>0</v>
      </c>
      <c r="N695" s="6">
        <v>1</v>
      </c>
      <c r="O695" s="6">
        <v>1</v>
      </c>
    </row>
    <row r="696" spans="1:15">
      <c r="A696" s="6" t="s">
        <v>2452</v>
      </c>
      <c r="B696" s="6" t="s">
        <v>1861</v>
      </c>
      <c r="C696" s="6" t="s">
        <v>19</v>
      </c>
      <c r="D696" s="6" t="s">
        <v>3606</v>
      </c>
      <c r="E696" s="6" t="s">
        <v>3608</v>
      </c>
      <c r="F696" s="6" t="s">
        <v>3611</v>
      </c>
      <c r="G696" s="6" t="s">
        <v>2444</v>
      </c>
      <c r="H696" s="6" t="s">
        <v>3612</v>
      </c>
      <c r="I696" s="6">
        <v>2</v>
      </c>
      <c r="J696" s="6">
        <v>0</v>
      </c>
      <c r="K696" s="6">
        <v>0</v>
      </c>
      <c r="L696" s="6">
        <v>0</v>
      </c>
      <c r="M696" s="6">
        <v>0</v>
      </c>
      <c r="N696" s="6">
        <v>1</v>
      </c>
      <c r="O696" s="6">
        <v>1</v>
      </c>
    </row>
    <row r="697" spans="1:15">
      <c r="A697" s="6" t="s">
        <v>2452</v>
      </c>
      <c r="B697" s="6" t="s">
        <v>1861</v>
      </c>
      <c r="C697" s="6" t="s">
        <v>19</v>
      </c>
      <c r="D697" s="6" t="s">
        <v>3606</v>
      </c>
      <c r="E697" s="6" t="s">
        <v>3608</v>
      </c>
      <c r="F697" s="6" t="s">
        <v>3613</v>
      </c>
      <c r="G697" s="6" t="s">
        <v>2444</v>
      </c>
      <c r="H697" s="6" t="s">
        <v>3614</v>
      </c>
      <c r="I697" s="6">
        <v>1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</row>
    <row r="698" spans="1:15">
      <c r="A698" s="6" t="s">
        <v>2452</v>
      </c>
      <c r="B698" s="6" t="s">
        <v>1861</v>
      </c>
      <c r="C698" s="6" t="s">
        <v>19</v>
      </c>
      <c r="D698" s="6" t="s">
        <v>3606</v>
      </c>
      <c r="E698" s="6" t="s">
        <v>3608</v>
      </c>
      <c r="F698" s="6" t="s">
        <v>3615</v>
      </c>
      <c r="G698" s="6" t="s">
        <v>2444</v>
      </c>
      <c r="H698" s="6" t="s">
        <v>3616</v>
      </c>
      <c r="I698" s="6">
        <v>2</v>
      </c>
      <c r="J698" s="6">
        <v>0</v>
      </c>
      <c r="K698" s="6">
        <v>0</v>
      </c>
      <c r="L698" s="6">
        <v>0</v>
      </c>
      <c r="M698" s="6">
        <v>0</v>
      </c>
      <c r="N698" s="6">
        <v>1</v>
      </c>
      <c r="O698" s="6">
        <v>0</v>
      </c>
    </row>
    <row r="699" spans="1:15">
      <c r="A699" s="6" t="s">
        <v>2452</v>
      </c>
      <c r="B699" s="6" t="s">
        <v>1861</v>
      </c>
      <c r="C699" s="6" t="s">
        <v>19</v>
      </c>
      <c r="D699" s="6" t="s">
        <v>3606</v>
      </c>
      <c r="E699" s="6" t="s">
        <v>3608</v>
      </c>
      <c r="F699" s="6" t="s">
        <v>3617</v>
      </c>
      <c r="G699" s="6" t="s">
        <v>2444</v>
      </c>
      <c r="H699" s="6" t="s">
        <v>3618</v>
      </c>
      <c r="I699" s="6">
        <v>1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</row>
    <row r="700" spans="1:15">
      <c r="A700" s="6" t="s">
        <v>2452</v>
      </c>
      <c r="B700" s="6" t="s">
        <v>1861</v>
      </c>
      <c r="C700" s="6" t="s">
        <v>19</v>
      </c>
      <c r="D700" s="6" t="s">
        <v>3606</v>
      </c>
      <c r="E700" s="6" t="s">
        <v>3608</v>
      </c>
      <c r="F700" s="6" t="s">
        <v>3619</v>
      </c>
      <c r="G700" s="6" t="s">
        <v>2444</v>
      </c>
      <c r="H700" s="6" t="s">
        <v>3620</v>
      </c>
      <c r="I700" s="6">
        <v>1</v>
      </c>
      <c r="J700" s="6">
        <v>0</v>
      </c>
      <c r="K700" s="6">
        <v>0</v>
      </c>
      <c r="L700" s="6">
        <v>0</v>
      </c>
      <c r="M700" s="6">
        <v>0</v>
      </c>
      <c r="N700" s="6">
        <v>1</v>
      </c>
      <c r="O700" s="6">
        <v>1</v>
      </c>
    </row>
    <row r="701" spans="1:15">
      <c r="A701" s="6" t="s">
        <v>2452</v>
      </c>
      <c r="B701" s="6" t="s">
        <v>1861</v>
      </c>
      <c r="C701" s="6" t="s">
        <v>19</v>
      </c>
      <c r="D701" s="6" t="s">
        <v>3606</v>
      </c>
      <c r="E701" s="6" t="s">
        <v>3608</v>
      </c>
      <c r="F701" s="6" t="s">
        <v>3621</v>
      </c>
      <c r="G701" s="6" t="s">
        <v>2444</v>
      </c>
      <c r="H701" s="6" t="s">
        <v>3622</v>
      </c>
      <c r="I701" s="6">
        <v>1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</row>
    <row r="702" spans="1:15">
      <c r="A702" s="6" t="s">
        <v>2452</v>
      </c>
      <c r="B702" s="6" t="s">
        <v>1861</v>
      </c>
      <c r="C702" s="6" t="s">
        <v>19</v>
      </c>
      <c r="D702" s="6" t="s">
        <v>3606</v>
      </c>
      <c r="E702" s="6" t="s">
        <v>3608</v>
      </c>
      <c r="F702" s="6" t="s">
        <v>3623</v>
      </c>
      <c r="G702" s="6" t="s">
        <v>2444</v>
      </c>
      <c r="H702" s="6" t="s">
        <v>3624</v>
      </c>
      <c r="I702" s="6">
        <v>2</v>
      </c>
      <c r="J702" s="6">
        <v>0</v>
      </c>
      <c r="K702" s="6">
        <v>0</v>
      </c>
      <c r="L702" s="6">
        <v>0</v>
      </c>
      <c r="M702" s="6">
        <v>0</v>
      </c>
      <c r="N702" s="6">
        <v>1</v>
      </c>
      <c r="O702" s="6">
        <v>1</v>
      </c>
    </row>
    <row r="703" spans="1:15">
      <c r="A703" s="6" t="s">
        <v>2452</v>
      </c>
      <c r="B703" s="6" t="s">
        <v>1861</v>
      </c>
      <c r="C703" s="6" t="s">
        <v>19</v>
      </c>
      <c r="D703" s="6" t="s">
        <v>3606</v>
      </c>
      <c r="E703" s="6" t="s">
        <v>3625</v>
      </c>
      <c r="F703" s="6" t="s">
        <v>3626</v>
      </c>
      <c r="G703" s="6" t="s">
        <v>2444</v>
      </c>
      <c r="H703" s="6" t="s">
        <v>3627</v>
      </c>
      <c r="I703" s="6">
        <v>1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</row>
    <row r="704" spans="1:15">
      <c r="A704" s="6" t="s">
        <v>2452</v>
      </c>
      <c r="B704" s="6" t="s">
        <v>1861</v>
      </c>
      <c r="C704" s="6" t="s">
        <v>19</v>
      </c>
      <c r="D704" s="6" t="s">
        <v>3606</v>
      </c>
      <c r="E704" s="6" t="s">
        <v>3628</v>
      </c>
      <c r="F704" s="6" t="s">
        <v>3629</v>
      </c>
      <c r="G704" s="6" t="s">
        <v>2444</v>
      </c>
      <c r="H704" s="6" t="s">
        <v>3629</v>
      </c>
      <c r="I704" s="6">
        <v>1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</row>
    <row r="705" spans="1:15">
      <c r="A705" s="6" t="s">
        <v>2452</v>
      </c>
      <c r="B705" s="6" t="s">
        <v>1861</v>
      </c>
      <c r="C705" s="6" t="s">
        <v>19</v>
      </c>
      <c r="D705" s="6" t="s">
        <v>3630</v>
      </c>
      <c r="E705" s="6" t="s">
        <v>3631</v>
      </c>
      <c r="F705" s="6" t="s">
        <v>3632</v>
      </c>
      <c r="G705" s="6" t="s">
        <v>2444</v>
      </c>
      <c r="H705" s="6" t="s">
        <v>3633</v>
      </c>
      <c r="I705" s="6">
        <v>4</v>
      </c>
      <c r="J705" s="6">
        <v>0</v>
      </c>
      <c r="K705" s="6">
        <v>0</v>
      </c>
      <c r="L705" s="6">
        <v>0</v>
      </c>
      <c r="M705" s="6">
        <v>0</v>
      </c>
      <c r="N705" s="6">
        <v>0.75</v>
      </c>
      <c r="O705" s="6">
        <v>0.75</v>
      </c>
    </row>
    <row r="706" spans="1:15">
      <c r="A706" s="6" t="s">
        <v>2452</v>
      </c>
      <c r="B706" s="6" t="s">
        <v>1861</v>
      </c>
      <c r="C706" s="6" t="s">
        <v>19</v>
      </c>
      <c r="D706" s="6" t="s">
        <v>3630</v>
      </c>
      <c r="E706" s="6" t="s">
        <v>3631</v>
      </c>
      <c r="F706" s="6" t="s">
        <v>3634</v>
      </c>
      <c r="G706" s="6" t="s">
        <v>2444</v>
      </c>
      <c r="H706" s="6" t="s">
        <v>3635</v>
      </c>
      <c r="I706" s="6">
        <v>1</v>
      </c>
      <c r="J706" s="6">
        <v>0</v>
      </c>
      <c r="K706" s="6">
        <v>0</v>
      </c>
      <c r="L706" s="6">
        <v>0</v>
      </c>
      <c r="M706" s="6">
        <v>0</v>
      </c>
      <c r="N706" s="6">
        <v>1</v>
      </c>
      <c r="O706" s="6">
        <v>1</v>
      </c>
    </row>
    <row r="707" spans="1:15">
      <c r="A707" s="6" t="s">
        <v>2452</v>
      </c>
      <c r="B707" s="6" t="s">
        <v>1861</v>
      </c>
      <c r="C707" s="6" t="s">
        <v>19</v>
      </c>
      <c r="D707" s="6" t="s">
        <v>3636</v>
      </c>
      <c r="E707" s="6" t="s">
        <v>3637</v>
      </c>
      <c r="F707" s="6" t="s">
        <v>3638</v>
      </c>
      <c r="G707" s="6" t="s">
        <v>2444</v>
      </c>
      <c r="H707" s="6" t="s">
        <v>3639</v>
      </c>
      <c r="I707" s="6">
        <v>2</v>
      </c>
      <c r="J707" s="6">
        <v>0</v>
      </c>
      <c r="K707" s="6">
        <v>0</v>
      </c>
      <c r="L707" s="6">
        <v>0</v>
      </c>
      <c r="M707" s="6">
        <v>0</v>
      </c>
      <c r="N707" s="6">
        <v>1</v>
      </c>
      <c r="O707" s="6">
        <v>1</v>
      </c>
    </row>
    <row r="708" spans="1:15">
      <c r="A708" s="6" t="s">
        <v>2452</v>
      </c>
      <c r="B708" s="6" t="s">
        <v>1861</v>
      </c>
      <c r="C708" s="6" t="s">
        <v>19</v>
      </c>
      <c r="D708" s="6" t="s">
        <v>2701</v>
      </c>
      <c r="E708" s="6" t="s">
        <v>2702</v>
      </c>
      <c r="G708" s="6" t="s">
        <v>2444</v>
      </c>
      <c r="H708" s="6" t="s">
        <v>2703</v>
      </c>
      <c r="I708" s="6">
        <v>1</v>
      </c>
      <c r="J708" s="6">
        <v>0</v>
      </c>
      <c r="K708" s="6">
        <v>0</v>
      </c>
      <c r="L708" s="6">
        <v>0</v>
      </c>
      <c r="M708" s="6">
        <v>0</v>
      </c>
      <c r="N708" s="6">
        <v>1</v>
      </c>
      <c r="O708" s="6">
        <v>1</v>
      </c>
    </row>
    <row r="709" spans="1:15">
      <c r="A709" s="6" t="s">
        <v>2452</v>
      </c>
      <c r="B709" s="6" t="s">
        <v>1861</v>
      </c>
      <c r="C709" s="6" t="s">
        <v>19</v>
      </c>
      <c r="D709" s="6" t="s">
        <v>2701</v>
      </c>
      <c r="E709" s="6" t="s">
        <v>2702</v>
      </c>
      <c r="F709" s="6" t="s">
        <v>3640</v>
      </c>
      <c r="G709" s="6" t="s">
        <v>2444</v>
      </c>
      <c r="H709" s="6" t="s">
        <v>3641</v>
      </c>
      <c r="I709" s="6">
        <v>2</v>
      </c>
      <c r="J709" s="6">
        <v>0</v>
      </c>
      <c r="K709" s="6">
        <v>0</v>
      </c>
      <c r="L709" s="6">
        <v>0</v>
      </c>
      <c r="M709" s="6">
        <v>0</v>
      </c>
      <c r="N709" s="6">
        <v>1</v>
      </c>
      <c r="O709" s="6">
        <v>1</v>
      </c>
    </row>
    <row r="710" spans="1:15">
      <c r="A710" s="6" t="s">
        <v>2452</v>
      </c>
      <c r="B710" s="6" t="s">
        <v>1861</v>
      </c>
      <c r="C710" s="6" t="s">
        <v>19</v>
      </c>
      <c r="D710" s="6" t="s">
        <v>2701</v>
      </c>
      <c r="E710" s="6" t="s">
        <v>2702</v>
      </c>
      <c r="F710" s="6" t="s">
        <v>2710</v>
      </c>
      <c r="G710" s="6" t="s">
        <v>2444</v>
      </c>
      <c r="H710" s="6" t="s">
        <v>2711</v>
      </c>
      <c r="I710" s="6">
        <v>7</v>
      </c>
      <c r="J710" s="6">
        <v>0</v>
      </c>
      <c r="K710" s="6">
        <v>0</v>
      </c>
      <c r="L710" s="6">
        <v>0</v>
      </c>
      <c r="M710" s="6">
        <v>0</v>
      </c>
      <c r="N710" s="6">
        <v>0.71430000000000005</v>
      </c>
      <c r="O710" s="6">
        <v>0.57140000000000002</v>
      </c>
    </row>
    <row r="711" spans="1:15">
      <c r="A711" s="6" t="s">
        <v>2452</v>
      </c>
      <c r="B711" s="6" t="s">
        <v>1861</v>
      </c>
      <c r="C711" s="6" t="s">
        <v>19</v>
      </c>
      <c r="D711" s="6" t="s">
        <v>2701</v>
      </c>
      <c r="E711" s="6" t="s">
        <v>2702</v>
      </c>
      <c r="F711" s="6" t="s">
        <v>2710</v>
      </c>
      <c r="G711" s="6" t="s">
        <v>2444</v>
      </c>
      <c r="H711" s="6" t="s">
        <v>2712</v>
      </c>
      <c r="I711" s="6">
        <v>1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</row>
    <row r="712" spans="1:15">
      <c r="A712" s="6" t="s">
        <v>2452</v>
      </c>
      <c r="B712" s="6" t="s">
        <v>1861</v>
      </c>
      <c r="C712" s="6" t="s">
        <v>19</v>
      </c>
      <c r="D712" s="6" t="s">
        <v>2701</v>
      </c>
      <c r="E712" s="6" t="s">
        <v>2702</v>
      </c>
      <c r="F712" s="6" t="s">
        <v>2710</v>
      </c>
      <c r="G712" s="6" t="s">
        <v>2444</v>
      </c>
      <c r="H712" s="6" t="s">
        <v>3642</v>
      </c>
      <c r="I712" s="6">
        <v>2</v>
      </c>
      <c r="J712" s="6">
        <v>0</v>
      </c>
      <c r="K712" s="6">
        <v>0</v>
      </c>
      <c r="L712" s="6">
        <v>0</v>
      </c>
      <c r="M712" s="6">
        <v>0</v>
      </c>
      <c r="N712" s="6">
        <v>1</v>
      </c>
      <c r="O712" s="6">
        <v>1</v>
      </c>
    </row>
    <row r="713" spans="1:15">
      <c r="A713" s="6" t="s">
        <v>2452</v>
      </c>
      <c r="B713" s="6" t="s">
        <v>1861</v>
      </c>
      <c r="C713" s="6" t="s">
        <v>19</v>
      </c>
      <c r="D713" s="6" t="s">
        <v>2701</v>
      </c>
      <c r="E713" s="6" t="s">
        <v>2702</v>
      </c>
      <c r="F713" s="6" t="s">
        <v>2710</v>
      </c>
      <c r="G713" s="6" t="s">
        <v>2444</v>
      </c>
      <c r="H713" s="6" t="s">
        <v>3643</v>
      </c>
      <c r="I713" s="6">
        <v>1</v>
      </c>
      <c r="J713" s="6">
        <v>0</v>
      </c>
      <c r="K713" s="6">
        <v>0</v>
      </c>
      <c r="L713" s="6">
        <v>0</v>
      </c>
      <c r="M713" s="6">
        <v>0</v>
      </c>
      <c r="N713" s="6">
        <v>1</v>
      </c>
      <c r="O713" s="6">
        <v>0</v>
      </c>
    </row>
    <row r="714" spans="1:15">
      <c r="A714" s="6" t="s">
        <v>2452</v>
      </c>
      <c r="B714" s="6" t="s">
        <v>1861</v>
      </c>
      <c r="C714" s="6" t="s">
        <v>19</v>
      </c>
      <c r="D714" s="6" t="s">
        <v>2701</v>
      </c>
      <c r="E714" s="6" t="s">
        <v>2702</v>
      </c>
      <c r="F714" s="6" t="s">
        <v>2710</v>
      </c>
      <c r="G714" s="6" t="s">
        <v>2444</v>
      </c>
      <c r="H714" s="6" t="s">
        <v>3644</v>
      </c>
      <c r="I714" s="6">
        <v>1</v>
      </c>
      <c r="J714" s="6">
        <v>0</v>
      </c>
      <c r="K714" s="6">
        <v>0</v>
      </c>
      <c r="L714" s="6">
        <v>0</v>
      </c>
      <c r="M714" s="6">
        <v>0</v>
      </c>
      <c r="N714" s="6">
        <v>1</v>
      </c>
      <c r="O714" s="6">
        <v>1</v>
      </c>
    </row>
    <row r="715" spans="1:15">
      <c r="A715" s="6" t="s">
        <v>2452</v>
      </c>
      <c r="B715" s="6" t="s">
        <v>1861</v>
      </c>
      <c r="C715" s="6" t="s">
        <v>19</v>
      </c>
      <c r="D715" s="6" t="s">
        <v>2701</v>
      </c>
      <c r="E715" s="6" t="s">
        <v>2702</v>
      </c>
      <c r="F715" s="6" t="s">
        <v>2710</v>
      </c>
      <c r="G715" s="6" t="s">
        <v>2444</v>
      </c>
      <c r="H715" s="6" t="s">
        <v>2710</v>
      </c>
      <c r="I715" s="6">
        <v>1</v>
      </c>
      <c r="J715" s="6">
        <v>0</v>
      </c>
      <c r="K715" s="6">
        <v>0</v>
      </c>
      <c r="L715" s="6">
        <v>0</v>
      </c>
      <c r="M715" s="6">
        <v>0</v>
      </c>
      <c r="N715" s="6">
        <v>1</v>
      </c>
      <c r="O715" s="6">
        <v>0</v>
      </c>
    </row>
    <row r="716" spans="1:15">
      <c r="A716" s="6" t="s">
        <v>2452</v>
      </c>
      <c r="B716" s="6" t="s">
        <v>1861</v>
      </c>
      <c r="C716" s="6" t="s">
        <v>19</v>
      </c>
      <c r="D716" s="6" t="s">
        <v>2701</v>
      </c>
      <c r="E716" s="6" t="s">
        <v>2702</v>
      </c>
      <c r="F716" s="6" t="s">
        <v>2722</v>
      </c>
      <c r="G716" s="6" t="s">
        <v>2444</v>
      </c>
      <c r="H716" s="6" t="s">
        <v>3645</v>
      </c>
      <c r="I716" s="6">
        <v>1</v>
      </c>
      <c r="J716" s="6">
        <v>0</v>
      </c>
      <c r="K716" s="6">
        <v>0</v>
      </c>
      <c r="L716" s="6">
        <v>0</v>
      </c>
      <c r="M716" s="6">
        <v>0</v>
      </c>
      <c r="N716" s="6">
        <v>1</v>
      </c>
      <c r="O716" s="6">
        <v>1</v>
      </c>
    </row>
    <row r="717" spans="1:15">
      <c r="A717" s="6" t="s">
        <v>2452</v>
      </c>
      <c r="B717" s="6" t="s">
        <v>1861</v>
      </c>
      <c r="C717" s="6" t="s">
        <v>19</v>
      </c>
      <c r="D717" s="6" t="s">
        <v>2701</v>
      </c>
      <c r="E717" s="6" t="s">
        <v>2702</v>
      </c>
      <c r="F717" s="6" t="s">
        <v>3646</v>
      </c>
      <c r="G717" s="6" t="s">
        <v>2444</v>
      </c>
      <c r="H717" s="6" t="s">
        <v>3647</v>
      </c>
      <c r="I717" s="6">
        <v>1</v>
      </c>
      <c r="J717" s="6">
        <v>0</v>
      </c>
      <c r="K717" s="6">
        <v>0</v>
      </c>
      <c r="L717" s="6">
        <v>0</v>
      </c>
      <c r="M717" s="6">
        <v>0</v>
      </c>
      <c r="N717" s="6">
        <v>1</v>
      </c>
      <c r="O717" s="6">
        <v>1</v>
      </c>
    </row>
    <row r="718" spans="1:15">
      <c r="A718" s="6" t="s">
        <v>2452</v>
      </c>
      <c r="B718" s="6" t="s">
        <v>1861</v>
      </c>
      <c r="C718" s="6" t="s">
        <v>19</v>
      </c>
      <c r="D718" s="6" t="s">
        <v>2701</v>
      </c>
      <c r="E718" s="6" t="s">
        <v>2702</v>
      </c>
      <c r="F718" s="6" t="s">
        <v>3648</v>
      </c>
      <c r="G718" s="6" t="s">
        <v>2444</v>
      </c>
      <c r="H718" s="6" t="s">
        <v>3649</v>
      </c>
      <c r="I718" s="6">
        <v>1</v>
      </c>
      <c r="J718" s="6">
        <v>0</v>
      </c>
      <c r="K718" s="6">
        <v>0</v>
      </c>
      <c r="L718" s="6">
        <v>0</v>
      </c>
      <c r="M718" s="6">
        <v>0</v>
      </c>
      <c r="N718" s="6">
        <v>1</v>
      </c>
      <c r="O718" s="6">
        <v>0</v>
      </c>
    </row>
    <row r="719" spans="1:15">
      <c r="A719" s="6" t="s">
        <v>2452</v>
      </c>
      <c r="B719" s="6" t="s">
        <v>1861</v>
      </c>
      <c r="C719" s="6" t="s">
        <v>19</v>
      </c>
      <c r="D719" s="6" t="s">
        <v>2701</v>
      </c>
      <c r="E719" s="6" t="s">
        <v>2702</v>
      </c>
      <c r="F719" s="6" t="s">
        <v>2742</v>
      </c>
      <c r="G719" s="6" t="s">
        <v>2444</v>
      </c>
      <c r="H719" s="6" t="s">
        <v>3650</v>
      </c>
      <c r="I719" s="6">
        <v>1</v>
      </c>
      <c r="J719" s="6">
        <v>0</v>
      </c>
      <c r="K719" s="6">
        <v>0</v>
      </c>
      <c r="L719" s="6">
        <v>0</v>
      </c>
      <c r="M719" s="6">
        <v>0</v>
      </c>
      <c r="N719" s="6">
        <v>1</v>
      </c>
      <c r="O719" s="6">
        <v>1</v>
      </c>
    </row>
    <row r="720" spans="1:15">
      <c r="A720" s="6" t="s">
        <v>2452</v>
      </c>
      <c r="B720" s="6" t="s">
        <v>1861</v>
      </c>
      <c r="C720" s="6" t="s">
        <v>19</v>
      </c>
      <c r="D720" s="6" t="s">
        <v>2701</v>
      </c>
      <c r="E720" s="6" t="s">
        <v>2702</v>
      </c>
      <c r="F720" s="6" t="s">
        <v>3651</v>
      </c>
      <c r="G720" s="6" t="s">
        <v>2444</v>
      </c>
      <c r="H720" s="6" t="s">
        <v>3652</v>
      </c>
      <c r="I720" s="6">
        <v>2</v>
      </c>
      <c r="J720" s="6">
        <v>0</v>
      </c>
      <c r="K720" s="6">
        <v>0</v>
      </c>
      <c r="L720" s="6">
        <v>0</v>
      </c>
      <c r="M720" s="6">
        <v>0</v>
      </c>
      <c r="N720" s="6">
        <v>1</v>
      </c>
      <c r="O720" s="6">
        <v>0</v>
      </c>
    </row>
    <row r="721" spans="1:15">
      <c r="A721" s="6" t="s">
        <v>2452</v>
      </c>
      <c r="B721" s="6" t="s">
        <v>1861</v>
      </c>
      <c r="C721" s="6" t="s">
        <v>19</v>
      </c>
      <c r="D721" s="6" t="s">
        <v>2701</v>
      </c>
      <c r="E721" s="6" t="s">
        <v>2702</v>
      </c>
      <c r="F721" s="6" t="s">
        <v>3653</v>
      </c>
      <c r="G721" s="6" t="s">
        <v>2444</v>
      </c>
      <c r="H721" s="6" t="s">
        <v>3654</v>
      </c>
      <c r="I721" s="6">
        <v>1</v>
      </c>
      <c r="J721" s="6">
        <v>1</v>
      </c>
      <c r="K721" s="6">
        <v>1</v>
      </c>
      <c r="L721" s="6">
        <v>0.46</v>
      </c>
      <c r="M721" s="6">
        <v>0.46</v>
      </c>
      <c r="N721" s="6">
        <v>1</v>
      </c>
      <c r="O721" s="6">
        <v>1</v>
      </c>
    </row>
    <row r="722" spans="1:15">
      <c r="A722" s="6" t="s">
        <v>2452</v>
      </c>
      <c r="B722" s="6" t="s">
        <v>1861</v>
      </c>
      <c r="C722" s="6" t="s">
        <v>19</v>
      </c>
      <c r="D722" s="6" t="s">
        <v>2787</v>
      </c>
      <c r="E722" s="6" t="s">
        <v>2761</v>
      </c>
      <c r="F722" s="6" t="s">
        <v>3655</v>
      </c>
      <c r="G722" s="6" t="s">
        <v>2444</v>
      </c>
      <c r="H722" s="6" t="s">
        <v>3656</v>
      </c>
      <c r="I722" s="6">
        <v>1</v>
      </c>
      <c r="J722" s="6">
        <v>0</v>
      </c>
      <c r="K722" s="6">
        <v>0</v>
      </c>
      <c r="L722" s="6">
        <v>0</v>
      </c>
      <c r="M722" s="6">
        <v>0</v>
      </c>
      <c r="N722" s="6">
        <v>1</v>
      </c>
      <c r="O722" s="6">
        <v>1</v>
      </c>
    </row>
    <row r="723" spans="1:15">
      <c r="A723" s="6" t="s">
        <v>2452</v>
      </c>
      <c r="B723" s="6" t="s">
        <v>1861</v>
      </c>
      <c r="C723" s="6" t="s">
        <v>19</v>
      </c>
      <c r="D723" s="6" t="s">
        <v>2787</v>
      </c>
      <c r="E723" s="6" t="s">
        <v>2791</v>
      </c>
      <c r="F723" s="6" t="s">
        <v>3657</v>
      </c>
      <c r="G723" s="6" t="s">
        <v>2444</v>
      </c>
      <c r="H723" s="6" t="s">
        <v>3658</v>
      </c>
      <c r="I723" s="6">
        <v>1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</row>
    <row r="724" spans="1:15">
      <c r="A724" s="6" t="s">
        <v>2452</v>
      </c>
      <c r="B724" s="6" t="s">
        <v>1861</v>
      </c>
      <c r="C724" s="6" t="s">
        <v>19</v>
      </c>
      <c r="D724" s="6" t="s">
        <v>2787</v>
      </c>
      <c r="E724" s="6" t="s">
        <v>2791</v>
      </c>
      <c r="F724" s="6" t="s">
        <v>2794</v>
      </c>
      <c r="G724" s="6" t="s">
        <v>2444</v>
      </c>
      <c r="H724" s="6" t="s">
        <v>3659</v>
      </c>
      <c r="I724" s="6">
        <v>3</v>
      </c>
      <c r="J724" s="6">
        <v>0</v>
      </c>
      <c r="K724" s="6">
        <v>0</v>
      </c>
      <c r="L724" s="6">
        <v>0</v>
      </c>
      <c r="M724" s="6">
        <v>0</v>
      </c>
      <c r="N724" s="6">
        <v>0.5</v>
      </c>
      <c r="O724" s="6">
        <v>0.5</v>
      </c>
    </row>
    <row r="725" spans="1:15">
      <c r="A725" s="6" t="s">
        <v>2452</v>
      </c>
      <c r="B725" s="6" t="s">
        <v>1861</v>
      </c>
      <c r="C725" s="6" t="s">
        <v>19</v>
      </c>
      <c r="D725" s="6" t="s">
        <v>2787</v>
      </c>
      <c r="E725" s="6" t="s">
        <v>2798</v>
      </c>
      <c r="F725" s="6" t="s">
        <v>3660</v>
      </c>
      <c r="G725" s="6" t="s">
        <v>2444</v>
      </c>
      <c r="H725" s="6" t="s">
        <v>3661</v>
      </c>
      <c r="I725" s="6">
        <v>1</v>
      </c>
      <c r="J725" s="6">
        <v>0</v>
      </c>
      <c r="K725" s="6">
        <v>0</v>
      </c>
      <c r="L725" s="6">
        <v>0</v>
      </c>
      <c r="M725" s="6">
        <v>0</v>
      </c>
      <c r="N725" s="6">
        <v>1</v>
      </c>
      <c r="O725" s="6">
        <v>1</v>
      </c>
    </row>
    <row r="726" spans="1:15">
      <c r="A726" s="6" t="s">
        <v>2452</v>
      </c>
      <c r="B726" s="6" t="s">
        <v>1861</v>
      </c>
      <c r="C726" s="6" t="s">
        <v>19</v>
      </c>
      <c r="D726" s="6" t="s">
        <v>3662</v>
      </c>
      <c r="E726" s="6" t="s">
        <v>3663</v>
      </c>
      <c r="F726" s="6" t="s">
        <v>3664</v>
      </c>
      <c r="G726" s="6" t="s">
        <v>2444</v>
      </c>
      <c r="H726" s="6" t="s">
        <v>3664</v>
      </c>
      <c r="I726" s="6">
        <v>2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</row>
    <row r="727" spans="1:15">
      <c r="A727" s="6" t="s">
        <v>2452</v>
      </c>
      <c r="B727" s="6" t="s">
        <v>1861</v>
      </c>
      <c r="C727" s="6" t="s">
        <v>19</v>
      </c>
      <c r="D727" s="6" t="s">
        <v>3662</v>
      </c>
      <c r="E727" s="6" t="s">
        <v>3665</v>
      </c>
      <c r="G727" s="6" t="s">
        <v>2444</v>
      </c>
      <c r="H727" s="6" t="s">
        <v>3666</v>
      </c>
      <c r="I727" s="6">
        <v>1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</row>
    <row r="728" spans="1:15">
      <c r="A728" s="6" t="s">
        <v>2452</v>
      </c>
      <c r="B728" s="6" t="s">
        <v>1861</v>
      </c>
      <c r="C728" s="6" t="s">
        <v>19</v>
      </c>
      <c r="D728" s="6" t="s">
        <v>3662</v>
      </c>
      <c r="E728" s="6" t="s">
        <v>3667</v>
      </c>
      <c r="F728" s="6" t="s">
        <v>3668</v>
      </c>
      <c r="G728" s="6" t="s">
        <v>2444</v>
      </c>
      <c r="H728" s="6" t="s">
        <v>3669</v>
      </c>
      <c r="I728" s="6">
        <v>1</v>
      </c>
      <c r="J728" s="6">
        <v>0</v>
      </c>
      <c r="K728" s="6">
        <v>0</v>
      </c>
      <c r="L728" s="6">
        <v>0</v>
      </c>
      <c r="M728" s="6">
        <v>0</v>
      </c>
      <c r="N728" s="6">
        <v>1</v>
      </c>
      <c r="O728" s="6">
        <v>1</v>
      </c>
    </row>
    <row r="729" spans="1:15">
      <c r="A729" s="6" t="s">
        <v>2452</v>
      </c>
      <c r="B729" s="6" t="s">
        <v>1861</v>
      </c>
      <c r="C729" s="6" t="s">
        <v>19</v>
      </c>
      <c r="D729" s="6" t="s">
        <v>3670</v>
      </c>
      <c r="E729" s="6" t="s">
        <v>3671</v>
      </c>
      <c r="F729" s="6" t="s">
        <v>3672</v>
      </c>
      <c r="G729" s="6" t="s">
        <v>2444</v>
      </c>
      <c r="H729" s="6" t="s">
        <v>3673</v>
      </c>
      <c r="I729" s="6">
        <v>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</row>
    <row r="730" spans="1:15">
      <c r="A730" s="6" t="s">
        <v>2452</v>
      </c>
      <c r="B730" s="6" t="s">
        <v>1861</v>
      </c>
      <c r="C730" s="6" t="s">
        <v>19</v>
      </c>
      <c r="D730" s="6" t="s">
        <v>2812</v>
      </c>
      <c r="E730" s="6" t="s">
        <v>2816</v>
      </c>
      <c r="G730" s="6" t="s">
        <v>2444</v>
      </c>
      <c r="H730" s="6" t="s">
        <v>3674</v>
      </c>
      <c r="I730" s="6">
        <v>1</v>
      </c>
      <c r="J730" s="6">
        <v>0</v>
      </c>
      <c r="K730" s="6">
        <v>0</v>
      </c>
      <c r="L730" s="6">
        <v>0</v>
      </c>
      <c r="M730" s="6">
        <v>0</v>
      </c>
      <c r="N730" s="6">
        <v>1</v>
      </c>
      <c r="O730" s="6">
        <v>1</v>
      </c>
    </row>
    <row r="731" spans="1:15">
      <c r="A731" s="6" t="s">
        <v>2452</v>
      </c>
      <c r="B731" s="6" t="s">
        <v>1861</v>
      </c>
      <c r="C731" s="6" t="s">
        <v>19</v>
      </c>
      <c r="D731" s="6" t="s">
        <v>2812</v>
      </c>
      <c r="E731" s="6" t="s">
        <v>2816</v>
      </c>
      <c r="F731" s="6" t="s">
        <v>233</v>
      </c>
      <c r="G731" s="6" t="s">
        <v>2444</v>
      </c>
      <c r="H731" s="6" t="s">
        <v>3675</v>
      </c>
      <c r="I731" s="6">
        <v>1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</row>
    <row r="732" spans="1:15">
      <c r="A732" s="6" t="s">
        <v>2452</v>
      </c>
      <c r="B732" s="6" t="s">
        <v>1861</v>
      </c>
      <c r="C732" s="6" t="s">
        <v>19</v>
      </c>
      <c r="D732" s="6" t="s">
        <v>2812</v>
      </c>
      <c r="E732" s="6" t="s">
        <v>2816</v>
      </c>
      <c r="F732" s="6" t="s">
        <v>2820</v>
      </c>
      <c r="G732" s="6" t="s">
        <v>2444</v>
      </c>
      <c r="H732" s="6" t="s">
        <v>2821</v>
      </c>
      <c r="I732" s="6">
        <v>2</v>
      </c>
      <c r="J732" s="6">
        <v>0</v>
      </c>
      <c r="K732" s="6">
        <v>0</v>
      </c>
      <c r="L732" s="6">
        <v>0</v>
      </c>
      <c r="M732" s="6">
        <v>0</v>
      </c>
      <c r="N732" s="6">
        <v>0.5</v>
      </c>
      <c r="O732" s="6">
        <v>0.5</v>
      </c>
    </row>
    <row r="733" spans="1:15">
      <c r="A733" s="6" t="s">
        <v>2452</v>
      </c>
      <c r="B733" s="6" t="s">
        <v>1861</v>
      </c>
      <c r="C733" s="6" t="s">
        <v>19</v>
      </c>
      <c r="D733" s="6" t="s">
        <v>2822</v>
      </c>
      <c r="E733" s="6" t="s">
        <v>2624</v>
      </c>
      <c r="F733" s="6" t="s">
        <v>2837</v>
      </c>
      <c r="G733" s="6" t="s">
        <v>2444</v>
      </c>
      <c r="H733" s="6" t="s">
        <v>3676</v>
      </c>
      <c r="I733" s="6">
        <v>1</v>
      </c>
      <c r="J733" s="6">
        <v>0</v>
      </c>
      <c r="K733" s="6">
        <v>0</v>
      </c>
      <c r="L733" s="6">
        <v>0</v>
      </c>
      <c r="M733" s="6">
        <v>0</v>
      </c>
      <c r="N733" s="6">
        <v>1</v>
      </c>
      <c r="O733" s="6">
        <v>1</v>
      </c>
    </row>
    <row r="734" spans="1:15">
      <c r="A734" s="6" t="s">
        <v>2452</v>
      </c>
      <c r="B734" s="6" t="s">
        <v>1861</v>
      </c>
      <c r="C734" s="6" t="s">
        <v>19</v>
      </c>
      <c r="D734" s="6" t="s">
        <v>2822</v>
      </c>
      <c r="E734" s="6" t="s">
        <v>2624</v>
      </c>
      <c r="F734" s="6" t="s">
        <v>2837</v>
      </c>
      <c r="G734" s="6" t="s">
        <v>2444</v>
      </c>
      <c r="H734" s="6" t="s">
        <v>2839</v>
      </c>
      <c r="I734" s="6">
        <v>1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</row>
    <row r="735" spans="1:15">
      <c r="A735" s="6" t="s">
        <v>2452</v>
      </c>
      <c r="B735" s="6" t="s">
        <v>1861</v>
      </c>
      <c r="C735" s="6" t="s">
        <v>19</v>
      </c>
      <c r="D735" s="6" t="s">
        <v>2822</v>
      </c>
      <c r="E735" s="6" t="s">
        <v>2624</v>
      </c>
      <c r="F735" s="6" t="s">
        <v>2840</v>
      </c>
      <c r="G735" s="6" t="s">
        <v>2444</v>
      </c>
      <c r="H735" s="6" t="s">
        <v>3677</v>
      </c>
      <c r="I735" s="6">
        <v>1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</row>
    <row r="736" spans="1:15">
      <c r="A736" s="6" t="s">
        <v>2452</v>
      </c>
      <c r="B736" s="6" t="s">
        <v>1861</v>
      </c>
      <c r="C736" s="6" t="s">
        <v>19</v>
      </c>
      <c r="D736" s="6" t="s">
        <v>2822</v>
      </c>
      <c r="E736" s="6" t="s">
        <v>2624</v>
      </c>
      <c r="F736" s="6" t="s">
        <v>3678</v>
      </c>
      <c r="G736" s="6" t="s">
        <v>2444</v>
      </c>
      <c r="H736" s="6" t="s">
        <v>3679</v>
      </c>
      <c r="I736" s="6">
        <v>1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</row>
    <row r="737" spans="1:15">
      <c r="A737" s="6" t="s">
        <v>2452</v>
      </c>
      <c r="B737" s="6" t="s">
        <v>1861</v>
      </c>
      <c r="C737" s="6" t="s">
        <v>19</v>
      </c>
      <c r="D737" s="6" t="s">
        <v>2822</v>
      </c>
      <c r="E737" s="6" t="s">
        <v>2624</v>
      </c>
      <c r="F737" s="6" t="s">
        <v>3680</v>
      </c>
      <c r="G737" s="6" t="s">
        <v>2444</v>
      </c>
      <c r="H737" s="6" t="s">
        <v>3681</v>
      </c>
      <c r="I737" s="6">
        <v>1</v>
      </c>
      <c r="J737" s="6">
        <v>0</v>
      </c>
      <c r="K737" s="6">
        <v>0</v>
      </c>
      <c r="L737" s="6">
        <v>0</v>
      </c>
      <c r="M737" s="6">
        <v>0</v>
      </c>
      <c r="N737" s="6">
        <v>1</v>
      </c>
      <c r="O737" s="6">
        <v>1</v>
      </c>
    </row>
    <row r="738" spans="1:15">
      <c r="A738" s="6" t="s">
        <v>2452</v>
      </c>
      <c r="B738" s="6" t="s">
        <v>1861</v>
      </c>
      <c r="C738" s="6" t="s">
        <v>19</v>
      </c>
      <c r="D738" s="6" t="s">
        <v>2822</v>
      </c>
      <c r="E738" s="6" t="s">
        <v>2624</v>
      </c>
      <c r="F738" s="6" t="s">
        <v>2845</v>
      </c>
      <c r="G738" s="6" t="s">
        <v>2444</v>
      </c>
      <c r="H738" s="6" t="s">
        <v>2846</v>
      </c>
      <c r="I738" s="6">
        <v>1</v>
      </c>
      <c r="J738" s="6">
        <v>0</v>
      </c>
      <c r="K738" s="6">
        <v>0</v>
      </c>
      <c r="L738" s="6">
        <v>0</v>
      </c>
      <c r="M738" s="6">
        <v>0</v>
      </c>
      <c r="N738" s="6">
        <v>1</v>
      </c>
      <c r="O738" s="6">
        <v>0</v>
      </c>
    </row>
    <row r="739" spans="1:15">
      <c r="A739" s="6" t="s">
        <v>2452</v>
      </c>
      <c r="B739" s="6" t="s">
        <v>1861</v>
      </c>
      <c r="C739" s="6" t="s">
        <v>19</v>
      </c>
      <c r="D739" s="6" t="s">
        <v>2847</v>
      </c>
      <c r="E739" s="6" t="s">
        <v>2851</v>
      </c>
      <c r="F739" s="6" t="s">
        <v>2854</v>
      </c>
      <c r="G739" s="6" t="s">
        <v>2444</v>
      </c>
      <c r="H739" s="6" t="s">
        <v>2855</v>
      </c>
      <c r="I739" s="6">
        <v>1</v>
      </c>
      <c r="J739" s="6">
        <v>0</v>
      </c>
      <c r="K739" s="6">
        <v>0</v>
      </c>
      <c r="L739" s="6">
        <v>0</v>
      </c>
      <c r="M739" s="6">
        <v>0</v>
      </c>
      <c r="N739" s="6">
        <v>1</v>
      </c>
      <c r="O739" s="6">
        <v>1</v>
      </c>
    </row>
    <row r="740" spans="1:15">
      <c r="A740" s="6" t="s">
        <v>2452</v>
      </c>
      <c r="B740" s="6" t="s">
        <v>1861</v>
      </c>
      <c r="C740" s="6" t="s">
        <v>19</v>
      </c>
      <c r="D740" s="6" t="s">
        <v>2847</v>
      </c>
      <c r="E740" s="6" t="s">
        <v>2851</v>
      </c>
      <c r="F740" s="6" t="s">
        <v>3267</v>
      </c>
      <c r="G740" s="6" t="s">
        <v>2444</v>
      </c>
      <c r="H740" s="6" t="s">
        <v>3682</v>
      </c>
      <c r="I740" s="6">
        <v>2</v>
      </c>
      <c r="J740" s="6">
        <v>0</v>
      </c>
      <c r="K740" s="6">
        <v>0</v>
      </c>
      <c r="L740" s="6">
        <v>0</v>
      </c>
      <c r="M740" s="6">
        <v>0</v>
      </c>
      <c r="N740" s="6">
        <v>1</v>
      </c>
      <c r="O740" s="6">
        <v>1</v>
      </c>
    </row>
    <row r="741" spans="1:15">
      <c r="A741" s="6" t="s">
        <v>2452</v>
      </c>
      <c r="B741" s="6" t="s">
        <v>1861</v>
      </c>
      <c r="C741" s="6" t="s">
        <v>19</v>
      </c>
      <c r="D741" s="6" t="s">
        <v>2847</v>
      </c>
      <c r="E741" s="6" t="s">
        <v>2851</v>
      </c>
      <c r="F741" s="6" t="s">
        <v>2860</v>
      </c>
      <c r="G741" s="6" t="s">
        <v>2444</v>
      </c>
      <c r="H741" s="6" t="s">
        <v>3683</v>
      </c>
      <c r="I741" s="6">
        <v>5</v>
      </c>
      <c r="J741" s="6">
        <v>0</v>
      </c>
      <c r="K741" s="6">
        <v>0</v>
      </c>
      <c r="L741" s="6">
        <v>0</v>
      </c>
      <c r="M741" s="6">
        <v>0</v>
      </c>
      <c r="N741" s="6">
        <v>0.66670000000000007</v>
      </c>
      <c r="O741" s="6">
        <v>0.66670000000000007</v>
      </c>
    </row>
    <row r="742" spans="1:15">
      <c r="A742" s="6" t="s">
        <v>2452</v>
      </c>
      <c r="B742" s="6" t="s">
        <v>1861</v>
      </c>
      <c r="C742" s="6" t="s">
        <v>19</v>
      </c>
      <c r="D742" s="6" t="s">
        <v>2847</v>
      </c>
      <c r="E742" s="6" t="s">
        <v>2851</v>
      </c>
      <c r="F742" s="6" t="s">
        <v>2860</v>
      </c>
      <c r="G742" s="6" t="s">
        <v>2444</v>
      </c>
      <c r="H742" s="6" t="s">
        <v>3684</v>
      </c>
      <c r="I742" s="6">
        <v>1</v>
      </c>
      <c r="J742" s="6">
        <v>0</v>
      </c>
      <c r="K742" s="6">
        <v>0</v>
      </c>
      <c r="L742" s="6">
        <v>0</v>
      </c>
      <c r="M742" s="6">
        <v>0</v>
      </c>
      <c r="N742" s="6">
        <v>1</v>
      </c>
      <c r="O742" s="6">
        <v>1</v>
      </c>
    </row>
    <row r="743" spans="1:15">
      <c r="A743" s="6" t="s">
        <v>2452</v>
      </c>
      <c r="B743" s="6" t="s">
        <v>1861</v>
      </c>
      <c r="C743" s="6" t="s">
        <v>19</v>
      </c>
      <c r="D743" s="6" t="s">
        <v>2847</v>
      </c>
      <c r="E743" s="6" t="s">
        <v>2851</v>
      </c>
      <c r="F743" s="6" t="s">
        <v>3685</v>
      </c>
      <c r="G743" s="6" t="s">
        <v>2444</v>
      </c>
      <c r="H743" s="6" t="s">
        <v>3686</v>
      </c>
      <c r="I743" s="6">
        <v>1</v>
      </c>
      <c r="J743" s="6">
        <v>0</v>
      </c>
      <c r="K743" s="6">
        <v>0</v>
      </c>
      <c r="L743" s="6">
        <v>0</v>
      </c>
      <c r="M743" s="6">
        <v>0</v>
      </c>
      <c r="N743" s="6">
        <v>1</v>
      </c>
      <c r="O743" s="6">
        <v>0</v>
      </c>
    </row>
    <row r="744" spans="1:15">
      <c r="A744" s="6" t="s">
        <v>2452</v>
      </c>
      <c r="B744" s="6" t="s">
        <v>1861</v>
      </c>
      <c r="C744" s="6" t="s">
        <v>19</v>
      </c>
      <c r="D744" s="6" t="s">
        <v>2847</v>
      </c>
      <c r="E744" s="6" t="s">
        <v>2851</v>
      </c>
      <c r="F744" s="6" t="s">
        <v>3687</v>
      </c>
      <c r="G744" s="6" t="s">
        <v>2444</v>
      </c>
      <c r="H744" s="6" t="s">
        <v>3688</v>
      </c>
      <c r="I744" s="6">
        <v>1</v>
      </c>
      <c r="J744" s="6">
        <v>0</v>
      </c>
      <c r="K744" s="6">
        <v>0</v>
      </c>
      <c r="L744" s="6">
        <v>0</v>
      </c>
      <c r="M744" s="6">
        <v>0</v>
      </c>
      <c r="N744" s="6">
        <v>1</v>
      </c>
      <c r="O744" s="6">
        <v>1</v>
      </c>
    </row>
    <row r="745" spans="1:15">
      <c r="A745" s="6" t="s">
        <v>2452</v>
      </c>
      <c r="B745" s="6" t="s">
        <v>1861</v>
      </c>
      <c r="C745" s="6" t="s">
        <v>19</v>
      </c>
      <c r="D745" s="6" t="s">
        <v>2847</v>
      </c>
      <c r="E745" s="6" t="s">
        <v>2851</v>
      </c>
      <c r="F745" s="6" t="s">
        <v>2880</v>
      </c>
      <c r="G745" s="6" t="s">
        <v>2444</v>
      </c>
      <c r="H745" s="6" t="s">
        <v>2881</v>
      </c>
      <c r="I745" s="6">
        <v>1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</row>
    <row r="746" spans="1:15">
      <c r="A746" s="6" t="s">
        <v>2452</v>
      </c>
      <c r="B746" s="6" t="s">
        <v>1861</v>
      </c>
      <c r="C746" s="6" t="s">
        <v>19</v>
      </c>
      <c r="D746" s="6" t="s">
        <v>2847</v>
      </c>
      <c r="E746" s="6" t="s">
        <v>2851</v>
      </c>
      <c r="F746" s="6" t="s">
        <v>2882</v>
      </c>
      <c r="G746" s="6" t="s">
        <v>2444</v>
      </c>
      <c r="H746" s="6" t="s">
        <v>2883</v>
      </c>
      <c r="I746" s="6">
        <v>1</v>
      </c>
      <c r="J746" s="6">
        <v>0</v>
      </c>
      <c r="K746" s="6">
        <v>0</v>
      </c>
      <c r="L746" s="6">
        <v>0</v>
      </c>
      <c r="M746" s="6">
        <v>0</v>
      </c>
      <c r="N746" s="6">
        <v>1</v>
      </c>
      <c r="O746" s="6">
        <v>1</v>
      </c>
    </row>
    <row r="747" spans="1:15">
      <c r="A747" s="6" t="s">
        <v>2452</v>
      </c>
      <c r="B747" s="6" t="s">
        <v>1861</v>
      </c>
      <c r="C747" s="6" t="s">
        <v>19</v>
      </c>
      <c r="D747" s="6" t="s">
        <v>2847</v>
      </c>
      <c r="E747" s="6" t="s">
        <v>2851</v>
      </c>
      <c r="F747" s="6" t="s">
        <v>2888</v>
      </c>
      <c r="G747" s="6" t="s">
        <v>2444</v>
      </c>
      <c r="H747" s="6" t="s">
        <v>2889</v>
      </c>
      <c r="I747" s="6">
        <v>3</v>
      </c>
      <c r="J747" s="6">
        <v>1</v>
      </c>
      <c r="K747" s="6">
        <v>0.33329999999999999</v>
      </c>
      <c r="L747" s="6">
        <v>1</v>
      </c>
      <c r="M747" s="6">
        <v>1</v>
      </c>
      <c r="N747" s="6">
        <v>0.5</v>
      </c>
      <c r="O747" s="6">
        <v>0.5</v>
      </c>
    </row>
    <row r="748" spans="1:15">
      <c r="A748" s="6" t="s">
        <v>2452</v>
      </c>
      <c r="B748" s="6" t="s">
        <v>1861</v>
      </c>
      <c r="C748" s="6" t="s">
        <v>19</v>
      </c>
      <c r="D748" s="6" t="s">
        <v>2847</v>
      </c>
      <c r="E748" s="6" t="s">
        <v>2851</v>
      </c>
      <c r="F748" s="6" t="s">
        <v>2890</v>
      </c>
      <c r="G748" s="6" t="s">
        <v>2444</v>
      </c>
      <c r="H748" s="6" t="s">
        <v>2891</v>
      </c>
      <c r="I748" s="6">
        <v>1</v>
      </c>
      <c r="J748" s="6">
        <v>0</v>
      </c>
      <c r="K748" s="6">
        <v>0</v>
      </c>
      <c r="L748" s="6">
        <v>0</v>
      </c>
      <c r="M748" s="6">
        <v>0</v>
      </c>
      <c r="N748" s="6">
        <v>1</v>
      </c>
      <c r="O748" s="6">
        <v>0</v>
      </c>
    </row>
    <row r="749" spans="1:15">
      <c r="A749" s="6" t="s">
        <v>2452</v>
      </c>
      <c r="B749" s="6" t="s">
        <v>1861</v>
      </c>
      <c r="C749" s="6" t="s">
        <v>19</v>
      </c>
      <c r="D749" s="6" t="s">
        <v>2847</v>
      </c>
      <c r="E749" s="6" t="s">
        <v>2851</v>
      </c>
      <c r="F749" s="6" t="s">
        <v>2892</v>
      </c>
      <c r="G749" s="6" t="s">
        <v>2444</v>
      </c>
      <c r="H749" s="6" t="s">
        <v>3689</v>
      </c>
      <c r="I749" s="6">
        <v>2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</row>
    <row r="750" spans="1:15">
      <c r="A750" s="6" t="s">
        <v>2452</v>
      </c>
      <c r="B750" s="6" t="s">
        <v>1861</v>
      </c>
      <c r="C750" s="6" t="s">
        <v>19</v>
      </c>
      <c r="D750" s="6" t="s">
        <v>2847</v>
      </c>
      <c r="E750" s="6" t="s">
        <v>2851</v>
      </c>
      <c r="F750" s="6" t="s">
        <v>3690</v>
      </c>
      <c r="G750" s="6" t="s">
        <v>2444</v>
      </c>
      <c r="H750" s="6" t="s">
        <v>3691</v>
      </c>
      <c r="I750" s="6">
        <v>1</v>
      </c>
      <c r="J750" s="6">
        <v>0</v>
      </c>
      <c r="K750" s="6">
        <v>0</v>
      </c>
      <c r="L750" s="6">
        <v>0</v>
      </c>
      <c r="M750" s="6">
        <v>0</v>
      </c>
      <c r="N750" s="6">
        <v>1</v>
      </c>
      <c r="O750" s="6">
        <v>1</v>
      </c>
    </row>
    <row r="751" spans="1:15">
      <c r="A751" s="6" t="s">
        <v>2452</v>
      </c>
      <c r="B751" s="6" t="s">
        <v>1861</v>
      </c>
      <c r="C751" s="6" t="s">
        <v>19</v>
      </c>
      <c r="D751" s="6" t="s">
        <v>2847</v>
      </c>
      <c r="E751" s="6" t="s">
        <v>2901</v>
      </c>
      <c r="F751" s="6" t="s">
        <v>3692</v>
      </c>
      <c r="G751" s="6" t="s">
        <v>2444</v>
      </c>
      <c r="H751" s="6" t="s">
        <v>3693</v>
      </c>
      <c r="I751" s="6">
        <v>1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</row>
    <row r="752" spans="1:15">
      <c r="A752" s="6" t="s">
        <v>2452</v>
      </c>
      <c r="B752" s="6" t="s">
        <v>1861</v>
      </c>
      <c r="C752" s="6" t="s">
        <v>19</v>
      </c>
      <c r="D752" s="6" t="s">
        <v>2847</v>
      </c>
      <c r="E752" s="6" t="s">
        <v>2901</v>
      </c>
      <c r="F752" s="6" t="s">
        <v>3694</v>
      </c>
      <c r="G752" s="6" t="s">
        <v>2444</v>
      </c>
      <c r="H752" s="6" t="s">
        <v>3695</v>
      </c>
      <c r="I752" s="6">
        <v>1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</row>
    <row r="753" spans="1:15">
      <c r="A753" s="6" t="s">
        <v>2452</v>
      </c>
      <c r="B753" s="6" t="s">
        <v>1861</v>
      </c>
      <c r="C753" s="6" t="s">
        <v>19</v>
      </c>
      <c r="D753" s="6" t="s">
        <v>2847</v>
      </c>
      <c r="E753" s="6" t="s">
        <v>2904</v>
      </c>
      <c r="F753" s="6" t="s">
        <v>3696</v>
      </c>
      <c r="G753" s="6" t="s">
        <v>2444</v>
      </c>
      <c r="H753" s="6" t="s">
        <v>3697</v>
      </c>
      <c r="I753" s="6">
        <v>1</v>
      </c>
      <c r="J753" s="6">
        <v>0</v>
      </c>
      <c r="K753" s="6">
        <v>0</v>
      </c>
      <c r="L753" s="6">
        <v>0</v>
      </c>
      <c r="M753" s="6">
        <v>0</v>
      </c>
      <c r="N753" s="6">
        <v>1</v>
      </c>
      <c r="O753" s="6">
        <v>0</v>
      </c>
    </row>
    <row r="754" spans="1:15">
      <c r="A754" s="6" t="s">
        <v>2452</v>
      </c>
      <c r="B754" s="6" t="s">
        <v>1861</v>
      </c>
      <c r="C754" s="6" t="s">
        <v>19</v>
      </c>
      <c r="D754" s="6" t="s">
        <v>2847</v>
      </c>
      <c r="E754" s="6" t="s">
        <v>2904</v>
      </c>
      <c r="F754" s="6" t="s">
        <v>3664</v>
      </c>
      <c r="G754" s="6" t="s">
        <v>2444</v>
      </c>
      <c r="H754" s="6" t="s">
        <v>3698</v>
      </c>
      <c r="I754" s="6">
        <v>1</v>
      </c>
      <c r="J754" s="6">
        <v>0</v>
      </c>
      <c r="K754" s="6">
        <v>0</v>
      </c>
      <c r="L754" s="6">
        <v>0</v>
      </c>
      <c r="M754" s="6">
        <v>0</v>
      </c>
      <c r="N754" s="6">
        <v>1</v>
      </c>
      <c r="O754" s="6">
        <v>0</v>
      </c>
    </row>
    <row r="755" spans="1:15">
      <c r="A755" s="6" t="s">
        <v>2452</v>
      </c>
      <c r="B755" s="6" t="s">
        <v>1861</v>
      </c>
      <c r="C755" s="6" t="s">
        <v>19</v>
      </c>
      <c r="D755" s="6" t="s">
        <v>2912</v>
      </c>
      <c r="E755" s="6" t="s">
        <v>2913</v>
      </c>
      <c r="F755" s="6" t="s">
        <v>2914</v>
      </c>
      <c r="G755" s="6" t="s">
        <v>2444</v>
      </c>
      <c r="H755" s="6" t="s">
        <v>3699</v>
      </c>
      <c r="I755" s="6">
        <v>1</v>
      </c>
      <c r="J755" s="6">
        <v>0</v>
      </c>
      <c r="K755" s="6">
        <v>0</v>
      </c>
      <c r="L755" s="6">
        <v>0</v>
      </c>
      <c r="M755" s="6">
        <v>0</v>
      </c>
      <c r="N755" s="6">
        <v>1</v>
      </c>
      <c r="O755" s="6">
        <v>1</v>
      </c>
    </row>
    <row r="756" spans="1:15">
      <c r="A756" s="6" t="s">
        <v>2452</v>
      </c>
      <c r="B756" s="6" t="s">
        <v>1861</v>
      </c>
      <c r="C756" s="6" t="s">
        <v>19</v>
      </c>
      <c r="D756" s="6" t="s">
        <v>2912</v>
      </c>
      <c r="E756" s="6" t="s">
        <v>2915</v>
      </c>
      <c r="G756" s="6" t="s">
        <v>2444</v>
      </c>
      <c r="H756" s="6" t="s">
        <v>3700</v>
      </c>
      <c r="I756" s="6">
        <v>1</v>
      </c>
      <c r="J756" s="6">
        <v>0</v>
      </c>
      <c r="K756" s="6">
        <v>0</v>
      </c>
      <c r="L756" s="6">
        <v>0</v>
      </c>
      <c r="M756" s="6">
        <v>0</v>
      </c>
      <c r="N756" s="6">
        <v>1</v>
      </c>
      <c r="O756" s="6">
        <v>1</v>
      </c>
    </row>
    <row r="757" spans="1:15">
      <c r="A757" s="6" t="s">
        <v>2452</v>
      </c>
      <c r="B757" s="6" t="s">
        <v>1861</v>
      </c>
      <c r="C757" s="6" t="s">
        <v>19</v>
      </c>
      <c r="D757" s="6" t="s">
        <v>2912</v>
      </c>
      <c r="E757" s="6" t="s">
        <v>2915</v>
      </c>
      <c r="F757" s="6" t="s">
        <v>2601</v>
      </c>
      <c r="G757" s="6" t="s">
        <v>2444</v>
      </c>
      <c r="H757" s="6" t="s">
        <v>3701</v>
      </c>
      <c r="I757" s="6">
        <v>1</v>
      </c>
      <c r="J757" s="6">
        <v>0</v>
      </c>
      <c r="K757" s="6">
        <v>0</v>
      </c>
      <c r="L757" s="6">
        <v>0</v>
      </c>
      <c r="M757" s="6">
        <v>0</v>
      </c>
      <c r="N757" s="6">
        <v>1</v>
      </c>
      <c r="O757" s="6">
        <v>1</v>
      </c>
    </row>
    <row r="758" spans="1:15">
      <c r="A758" s="6" t="s">
        <v>2452</v>
      </c>
      <c r="B758" s="6" t="s">
        <v>1861</v>
      </c>
      <c r="C758" s="6" t="s">
        <v>19</v>
      </c>
      <c r="D758" s="6" t="s">
        <v>2912</v>
      </c>
      <c r="E758" s="6" t="s">
        <v>2915</v>
      </c>
      <c r="F758" s="6" t="s">
        <v>3702</v>
      </c>
      <c r="G758" s="6" t="s">
        <v>2444</v>
      </c>
      <c r="H758" s="6" t="s">
        <v>3703</v>
      </c>
      <c r="I758" s="6">
        <v>2</v>
      </c>
      <c r="J758" s="6">
        <v>1</v>
      </c>
      <c r="K758" s="6">
        <v>0.5</v>
      </c>
      <c r="L758" s="6">
        <v>0.66</v>
      </c>
      <c r="M758" s="6">
        <v>0.66</v>
      </c>
      <c r="N758" s="6">
        <v>1</v>
      </c>
      <c r="O758" s="6">
        <v>1</v>
      </c>
    </row>
    <row r="759" spans="1:15">
      <c r="A759" s="6" t="s">
        <v>2452</v>
      </c>
      <c r="B759" s="6" t="s">
        <v>1861</v>
      </c>
      <c r="C759" s="6" t="s">
        <v>19</v>
      </c>
      <c r="D759" s="6" t="s">
        <v>2912</v>
      </c>
      <c r="E759" s="6" t="s">
        <v>2926</v>
      </c>
      <c r="F759" s="6" t="s">
        <v>3704</v>
      </c>
      <c r="G759" s="6" t="s">
        <v>2444</v>
      </c>
      <c r="H759" s="6" t="s">
        <v>3705</v>
      </c>
      <c r="I759" s="6">
        <v>1</v>
      </c>
      <c r="J759" s="6">
        <v>0</v>
      </c>
      <c r="K759" s="6">
        <v>0</v>
      </c>
      <c r="L759" s="6">
        <v>0</v>
      </c>
      <c r="M759" s="6">
        <v>0</v>
      </c>
      <c r="N759" s="6">
        <v>1</v>
      </c>
      <c r="O759" s="6">
        <v>1</v>
      </c>
    </row>
    <row r="760" spans="1:15">
      <c r="A760" s="6" t="s">
        <v>2452</v>
      </c>
      <c r="B760" s="6" t="s">
        <v>1861</v>
      </c>
      <c r="C760" s="6" t="s">
        <v>19</v>
      </c>
      <c r="D760" s="6" t="s">
        <v>2912</v>
      </c>
      <c r="E760" s="6" t="s">
        <v>2926</v>
      </c>
      <c r="F760" s="6" t="s">
        <v>3706</v>
      </c>
      <c r="G760" s="6" t="s">
        <v>2444</v>
      </c>
      <c r="H760" s="6" t="s">
        <v>3707</v>
      </c>
      <c r="I760" s="6">
        <v>1</v>
      </c>
      <c r="J760" s="6">
        <v>0</v>
      </c>
      <c r="K760" s="6">
        <v>0</v>
      </c>
      <c r="L760" s="6">
        <v>0</v>
      </c>
      <c r="M760" s="6">
        <v>0</v>
      </c>
      <c r="N760" s="6">
        <v>1</v>
      </c>
      <c r="O760" s="6">
        <v>0</v>
      </c>
    </row>
    <row r="761" spans="1:15">
      <c r="A761" s="6" t="s">
        <v>2452</v>
      </c>
      <c r="B761" s="6" t="s">
        <v>1861</v>
      </c>
      <c r="C761" s="6" t="s">
        <v>19</v>
      </c>
      <c r="D761" s="6" t="s">
        <v>2912</v>
      </c>
      <c r="E761" s="6" t="s">
        <v>2929</v>
      </c>
      <c r="F761" s="6" t="s">
        <v>3708</v>
      </c>
      <c r="G761" s="6" t="s">
        <v>2444</v>
      </c>
      <c r="H761" s="6" t="s">
        <v>3709</v>
      </c>
      <c r="I761" s="6">
        <v>1</v>
      </c>
      <c r="J761" s="6">
        <v>1</v>
      </c>
      <c r="K761" s="6">
        <v>1</v>
      </c>
      <c r="L761" s="6">
        <v>0.47</v>
      </c>
      <c r="M761" s="6">
        <v>0.47</v>
      </c>
      <c r="N761" s="6">
        <v>1</v>
      </c>
      <c r="O761" s="6">
        <v>1</v>
      </c>
    </row>
    <row r="762" spans="1:15">
      <c r="A762" s="6" t="s">
        <v>2452</v>
      </c>
      <c r="B762" s="6" t="s">
        <v>1861</v>
      </c>
      <c r="C762" s="6" t="s">
        <v>19</v>
      </c>
      <c r="D762" s="6" t="s">
        <v>2912</v>
      </c>
      <c r="E762" s="6" t="s">
        <v>2932</v>
      </c>
      <c r="F762" s="6" t="s">
        <v>3710</v>
      </c>
      <c r="G762" s="6" t="s">
        <v>2444</v>
      </c>
      <c r="H762" s="6" t="s">
        <v>3711</v>
      </c>
      <c r="I762" s="6">
        <v>1</v>
      </c>
      <c r="J762" s="6">
        <v>0</v>
      </c>
      <c r="K762" s="6">
        <v>0</v>
      </c>
      <c r="L762" s="6">
        <v>0</v>
      </c>
      <c r="M762" s="6">
        <v>0</v>
      </c>
      <c r="N762" s="6">
        <v>1</v>
      </c>
      <c r="O762" s="6">
        <v>0</v>
      </c>
    </row>
    <row r="763" spans="1:15">
      <c r="A763" s="6" t="s">
        <v>2452</v>
      </c>
      <c r="B763" s="6" t="s">
        <v>1861</v>
      </c>
      <c r="C763" s="6" t="s">
        <v>19</v>
      </c>
      <c r="D763" s="6" t="s">
        <v>2912</v>
      </c>
      <c r="E763" s="6" t="s">
        <v>2932</v>
      </c>
      <c r="F763" s="6" t="s">
        <v>3712</v>
      </c>
      <c r="G763" s="6" t="s">
        <v>2444</v>
      </c>
      <c r="H763" s="6" t="s">
        <v>3713</v>
      </c>
      <c r="I763" s="6">
        <v>1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</row>
    <row r="764" spans="1:15">
      <c r="A764" s="6" t="s">
        <v>2452</v>
      </c>
      <c r="B764" s="6" t="s">
        <v>1861</v>
      </c>
      <c r="C764" s="6" t="s">
        <v>19</v>
      </c>
      <c r="D764" s="6" t="s">
        <v>2912</v>
      </c>
      <c r="E764" s="6" t="s">
        <v>2932</v>
      </c>
      <c r="F764" s="6" t="s">
        <v>3714</v>
      </c>
      <c r="G764" s="6" t="s">
        <v>2444</v>
      </c>
      <c r="H764" s="6" t="s">
        <v>3715</v>
      </c>
      <c r="I764" s="6">
        <v>1</v>
      </c>
      <c r="J764" s="6">
        <v>0</v>
      </c>
      <c r="K764" s="6">
        <v>0</v>
      </c>
      <c r="L764" s="6">
        <v>0</v>
      </c>
      <c r="M764" s="6">
        <v>0</v>
      </c>
      <c r="N764" s="6">
        <v>1</v>
      </c>
      <c r="O764" s="6">
        <v>1</v>
      </c>
    </row>
    <row r="765" spans="1:15">
      <c r="A765" s="6" t="s">
        <v>2452</v>
      </c>
      <c r="B765" s="6" t="s">
        <v>1861</v>
      </c>
      <c r="C765" s="6" t="s">
        <v>19</v>
      </c>
      <c r="D765" s="6" t="s">
        <v>2945</v>
      </c>
      <c r="E765" s="6" t="s">
        <v>2946</v>
      </c>
      <c r="F765" s="6" t="s">
        <v>3716</v>
      </c>
      <c r="G765" s="6" t="s">
        <v>2444</v>
      </c>
      <c r="H765" s="6" t="s">
        <v>3717</v>
      </c>
      <c r="I765" s="6">
        <v>1</v>
      </c>
      <c r="J765" s="6">
        <v>0</v>
      </c>
      <c r="K765" s="6">
        <v>0</v>
      </c>
      <c r="L765" s="6">
        <v>0</v>
      </c>
      <c r="M765" s="6">
        <v>0</v>
      </c>
      <c r="N765" s="6">
        <v>1</v>
      </c>
      <c r="O765" s="6">
        <v>0</v>
      </c>
    </row>
    <row r="766" spans="1:15">
      <c r="A766" s="6" t="s">
        <v>2452</v>
      </c>
      <c r="B766" s="6" t="s">
        <v>1861</v>
      </c>
      <c r="C766" s="6" t="s">
        <v>19</v>
      </c>
      <c r="D766" s="6" t="s">
        <v>2945</v>
      </c>
      <c r="E766" s="6" t="s">
        <v>2946</v>
      </c>
      <c r="F766" s="6" t="s">
        <v>3716</v>
      </c>
      <c r="G766" s="6" t="s">
        <v>2444</v>
      </c>
      <c r="H766" s="6" t="s">
        <v>3716</v>
      </c>
      <c r="I766" s="6">
        <v>1</v>
      </c>
      <c r="J766" s="6">
        <v>0</v>
      </c>
      <c r="K766" s="6">
        <v>0</v>
      </c>
      <c r="L766" s="6">
        <v>0</v>
      </c>
      <c r="M766" s="6">
        <v>0</v>
      </c>
      <c r="N766" s="6">
        <v>1</v>
      </c>
      <c r="O766" s="6">
        <v>0</v>
      </c>
    </row>
    <row r="767" spans="1:15">
      <c r="A767" s="6" t="s">
        <v>2452</v>
      </c>
      <c r="B767" s="6" t="s">
        <v>1861</v>
      </c>
      <c r="C767" s="6" t="s">
        <v>19</v>
      </c>
      <c r="D767" s="6" t="s">
        <v>2945</v>
      </c>
      <c r="E767" s="6" t="s">
        <v>2946</v>
      </c>
      <c r="F767" s="6" t="s">
        <v>3718</v>
      </c>
      <c r="G767" s="6" t="s">
        <v>2444</v>
      </c>
      <c r="H767" s="6" t="s">
        <v>3719</v>
      </c>
      <c r="I767" s="6">
        <v>4</v>
      </c>
      <c r="J767" s="6">
        <v>1</v>
      </c>
      <c r="K767" s="6">
        <v>0.25</v>
      </c>
      <c r="L767" s="6">
        <v>0.9</v>
      </c>
      <c r="M767" s="6">
        <v>0.9</v>
      </c>
      <c r="N767" s="6">
        <v>1</v>
      </c>
      <c r="O767" s="6">
        <v>1</v>
      </c>
    </row>
    <row r="768" spans="1:15">
      <c r="A768" s="6" t="s">
        <v>2452</v>
      </c>
      <c r="B768" s="6" t="s">
        <v>1861</v>
      </c>
      <c r="C768" s="6" t="s">
        <v>19</v>
      </c>
      <c r="D768" s="6" t="s">
        <v>2945</v>
      </c>
      <c r="E768" s="6" t="s">
        <v>2949</v>
      </c>
      <c r="F768" s="6" t="s">
        <v>3720</v>
      </c>
      <c r="G768" s="6" t="s">
        <v>2444</v>
      </c>
      <c r="H768" s="6" t="s">
        <v>3721</v>
      </c>
      <c r="I768" s="6">
        <v>2</v>
      </c>
      <c r="J768" s="6">
        <v>2</v>
      </c>
      <c r="K768" s="6">
        <v>1</v>
      </c>
      <c r="L768" s="6">
        <v>0.99</v>
      </c>
      <c r="M768" s="6">
        <v>1.98</v>
      </c>
      <c r="N768" s="6">
        <v>1</v>
      </c>
      <c r="O768" s="6">
        <v>1</v>
      </c>
    </row>
    <row r="769" spans="1:15">
      <c r="A769" s="6" t="s">
        <v>2452</v>
      </c>
      <c r="B769" s="6" t="s">
        <v>1861</v>
      </c>
      <c r="C769" s="6" t="s">
        <v>19</v>
      </c>
      <c r="D769" s="6" t="s">
        <v>2945</v>
      </c>
      <c r="E769" s="6" t="s">
        <v>2949</v>
      </c>
      <c r="F769" s="6" t="s">
        <v>3722</v>
      </c>
      <c r="G769" s="6" t="s">
        <v>2444</v>
      </c>
      <c r="H769" s="6" t="s">
        <v>3723</v>
      </c>
      <c r="I769" s="6">
        <v>1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</row>
    <row r="770" spans="1:15">
      <c r="A770" s="6" t="s">
        <v>2452</v>
      </c>
      <c r="B770" s="6" t="s">
        <v>1861</v>
      </c>
      <c r="C770" s="6" t="s">
        <v>19</v>
      </c>
      <c r="D770" s="6" t="s">
        <v>2945</v>
      </c>
      <c r="E770" s="6" t="s">
        <v>2949</v>
      </c>
      <c r="F770" s="6" t="s">
        <v>2952</v>
      </c>
      <c r="G770" s="6" t="s">
        <v>2444</v>
      </c>
      <c r="H770" s="6" t="s">
        <v>3724</v>
      </c>
      <c r="I770" s="6">
        <v>2</v>
      </c>
      <c r="J770" s="6">
        <v>0</v>
      </c>
      <c r="K770" s="6">
        <v>0</v>
      </c>
      <c r="L770" s="6">
        <v>0</v>
      </c>
      <c r="M770" s="6">
        <v>0</v>
      </c>
      <c r="N770" s="6">
        <v>1</v>
      </c>
      <c r="O770" s="6">
        <v>1</v>
      </c>
    </row>
    <row r="771" spans="1:15">
      <c r="A771" s="6" t="s">
        <v>2452</v>
      </c>
      <c r="B771" s="6" t="s">
        <v>1861</v>
      </c>
      <c r="C771" s="6" t="s">
        <v>19</v>
      </c>
      <c r="D771" s="6" t="s">
        <v>2945</v>
      </c>
      <c r="E771" s="6" t="s">
        <v>2949</v>
      </c>
      <c r="F771" s="6" t="s">
        <v>2952</v>
      </c>
      <c r="G771" s="6" t="s">
        <v>2444</v>
      </c>
      <c r="H771" s="6" t="s">
        <v>3725</v>
      </c>
      <c r="I771" s="6">
        <v>1</v>
      </c>
      <c r="J771" s="6">
        <v>0</v>
      </c>
      <c r="K771" s="6">
        <v>0</v>
      </c>
      <c r="L771" s="6">
        <v>0</v>
      </c>
      <c r="M771" s="6">
        <v>0</v>
      </c>
      <c r="N771" s="6">
        <v>1</v>
      </c>
      <c r="O771" s="6">
        <v>1</v>
      </c>
    </row>
    <row r="772" spans="1:15">
      <c r="A772" s="6" t="s">
        <v>2452</v>
      </c>
      <c r="B772" s="6" t="s">
        <v>1861</v>
      </c>
      <c r="C772" s="6" t="s">
        <v>19</v>
      </c>
      <c r="D772" s="6" t="s">
        <v>2945</v>
      </c>
      <c r="E772" s="6" t="s">
        <v>2949</v>
      </c>
      <c r="F772" s="6" t="s">
        <v>2952</v>
      </c>
      <c r="G772" s="6" t="s">
        <v>2444</v>
      </c>
      <c r="H772" s="6" t="s">
        <v>2957</v>
      </c>
      <c r="I772" s="6">
        <v>1</v>
      </c>
      <c r="J772" s="6">
        <v>0</v>
      </c>
      <c r="K772" s="6">
        <v>0</v>
      </c>
      <c r="L772" s="6">
        <v>0</v>
      </c>
      <c r="M772" s="6">
        <v>0</v>
      </c>
      <c r="N772" s="6">
        <v>1</v>
      </c>
      <c r="O772" s="6">
        <v>1</v>
      </c>
    </row>
    <row r="773" spans="1:15">
      <c r="A773" s="6" t="s">
        <v>2452</v>
      </c>
      <c r="B773" s="6" t="s">
        <v>1861</v>
      </c>
      <c r="C773" s="6" t="s">
        <v>19</v>
      </c>
      <c r="D773" s="6" t="s">
        <v>2945</v>
      </c>
      <c r="E773" s="6" t="s">
        <v>2949</v>
      </c>
      <c r="F773" s="6" t="s">
        <v>2952</v>
      </c>
      <c r="G773" s="6" t="s">
        <v>2444</v>
      </c>
      <c r="H773" s="6" t="s">
        <v>2952</v>
      </c>
      <c r="I773" s="6">
        <v>2</v>
      </c>
      <c r="J773" s="6">
        <v>1</v>
      </c>
      <c r="K773" s="6">
        <v>0.5</v>
      </c>
      <c r="L773" s="6">
        <v>7.0000000000000007E-2</v>
      </c>
      <c r="M773" s="6">
        <v>7.0000000000000007E-2</v>
      </c>
      <c r="N773" s="6">
        <v>1</v>
      </c>
      <c r="O773" s="6">
        <v>1</v>
      </c>
    </row>
    <row r="774" spans="1:15">
      <c r="A774" s="6" t="s">
        <v>2452</v>
      </c>
      <c r="B774" s="6" t="s">
        <v>1861</v>
      </c>
      <c r="C774" s="6" t="s">
        <v>19</v>
      </c>
      <c r="D774" s="6" t="s">
        <v>2945</v>
      </c>
      <c r="E774" s="6" t="s">
        <v>2949</v>
      </c>
      <c r="F774" s="6" t="s">
        <v>3726</v>
      </c>
      <c r="G774" s="6" t="s">
        <v>2444</v>
      </c>
      <c r="H774" s="6" t="s">
        <v>3727</v>
      </c>
      <c r="I774" s="6">
        <v>3</v>
      </c>
      <c r="J774" s="6">
        <v>0</v>
      </c>
      <c r="K774" s="6">
        <v>0</v>
      </c>
      <c r="L774" s="6">
        <v>0</v>
      </c>
      <c r="M774" s="6">
        <v>0</v>
      </c>
      <c r="N774" s="6">
        <v>1</v>
      </c>
      <c r="O774" s="6">
        <v>1</v>
      </c>
    </row>
    <row r="775" spans="1:15">
      <c r="A775" s="6" t="s">
        <v>2452</v>
      </c>
      <c r="B775" s="6" t="s">
        <v>1861</v>
      </c>
      <c r="C775" s="6" t="s">
        <v>19</v>
      </c>
      <c r="D775" s="6" t="s">
        <v>2945</v>
      </c>
      <c r="E775" s="6" t="s">
        <v>2949</v>
      </c>
      <c r="F775" s="6" t="s">
        <v>3728</v>
      </c>
      <c r="G775" s="6" t="s">
        <v>2444</v>
      </c>
      <c r="H775" s="6" t="s">
        <v>3728</v>
      </c>
      <c r="I775" s="6">
        <v>1</v>
      </c>
      <c r="J775" s="6">
        <v>0</v>
      </c>
      <c r="K775" s="6">
        <v>0</v>
      </c>
      <c r="L775" s="6">
        <v>0</v>
      </c>
      <c r="M775" s="6">
        <v>0</v>
      </c>
      <c r="N775" s="6">
        <v>1</v>
      </c>
      <c r="O775" s="6">
        <v>0</v>
      </c>
    </row>
    <row r="776" spans="1:15">
      <c r="A776" s="6" t="s">
        <v>2452</v>
      </c>
      <c r="B776" s="6" t="s">
        <v>1861</v>
      </c>
      <c r="C776" s="6" t="s">
        <v>19</v>
      </c>
      <c r="D776" s="6" t="s">
        <v>2945</v>
      </c>
      <c r="E776" s="6" t="s">
        <v>2949</v>
      </c>
      <c r="F776" s="6" t="s">
        <v>2962</v>
      </c>
      <c r="G776" s="6" t="s">
        <v>2444</v>
      </c>
      <c r="H776" s="6" t="s">
        <v>2963</v>
      </c>
      <c r="I776" s="6">
        <v>2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</row>
    <row r="777" spans="1:15">
      <c r="A777" s="6" t="s">
        <v>2452</v>
      </c>
      <c r="B777" s="6" t="s">
        <v>1861</v>
      </c>
      <c r="C777" s="6" t="s">
        <v>19</v>
      </c>
      <c r="D777" s="6" t="s">
        <v>2945</v>
      </c>
      <c r="E777" s="6" t="s">
        <v>2949</v>
      </c>
      <c r="F777" s="6" t="s">
        <v>2962</v>
      </c>
      <c r="G777" s="6" t="s">
        <v>2444</v>
      </c>
      <c r="H777" s="6" t="s">
        <v>3729</v>
      </c>
      <c r="I777" s="6">
        <v>4</v>
      </c>
      <c r="J777" s="6">
        <v>1</v>
      </c>
      <c r="K777" s="6">
        <v>0.25</v>
      </c>
      <c r="L777" s="6">
        <v>0.97</v>
      </c>
      <c r="M777" s="6">
        <v>0.97</v>
      </c>
      <c r="N777" s="6">
        <v>1</v>
      </c>
      <c r="O777" s="6">
        <v>1</v>
      </c>
    </row>
    <row r="778" spans="1:15">
      <c r="A778" s="6" t="s">
        <v>2452</v>
      </c>
      <c r="B778" s="6" t="s">
        <v>1861</v>
      </c>
      <c r="C778" s="6" t="s">
        <v>19</v>
      </c>
      <c r="D778" s="6" t="s">
        <v>2945</v>
      </c>
      <c r="E778" s="6" t="s">
        <v>2949</v>
      </c>
      <c r="F778" s="6" t="s">
        <v>2962</v>
      </c>
      <c r="G778" s="6" t="s">
        <v>2444</v>
      </c>
      <c r="H778" s="6" t="s">
        <v>3730</v>
      </c>
      <c r="I778" s="6">
        <v>2</v>
      </c>
      <c r="J778" s="6">
        <v>1</v>
      </c>
      <c r="K778" s="6">
        <v>0.5</v>
      </c>
      <c r="L778" s="6">
        <v>0.67</v>
      </c>
      <c r="M778" s="6">
        <v>0.67</v>
      </c>
      <c r="N778" s="6">
        <v>0</v>
      </c>
      <c r="O778" s="6">
        <v>0</v>
      </c>
    </row>
    <row r="779" spans="1:15">
      <c r="A779" s="6" t="s">
        <v>2452</v>
      </c>
      <c r="B779" s="6" t="s">
        <v>1861</v>
      </c>
      <c r="C779" s="6" t="s">
        <v>19</v>
      </c>
      <c r="D779" s="6" t="s">
        <v>2945</v>
      </c>
      <c r="E779" s="6" t="s">
        <v>2949</v>
      </c>
      <c r="F779" s="6" t="s">
        <v>3731</v>
      </c>
      <c r="G779" s="6" t="s">
        <v>2444</v>
      </c>
      <c r="H779" s="6" t="s">
        <v>3732</v>
      </c>
      <c r="I779" s="6">
        <v>2</v>
      </c>
      <c r="J779" s="6">
        <v>0</v>
      </c>
      <c r="K779" s="6">
        <v>0</v>
      </c>
      <c r="L779" s="6">
        <v>0</v>
      </c>
      <c r="M779" s="6">
        <v>0</v>
      </c>
      <c r="N779" s="6">
        <v>1</v>
      </c>
      <c r="O779" s="6">
        <v>0</v>
      </c>
    </row>
    <row r="780" spans="1:15">
      <c r="A780" s="6" t="s">
        <v>2452</v>
      </c>
      <c r="B780" s="6" t="s">
        <v>1861</v>
      </c>
      <c r="C780" s="6" t="s">
        <v>19</v>
      </c>
      <c r="D780" s="6" t="s">
        <v>3733</v>
      </c>
      <c r="E780" s="6" t="s">
        <v>3734</v>
      </c>
      <c r="F780" s="6" t="s">
        <v>2996</v>
      </c>
      <c r="G780" s="6" t="s">
        <v>2444</v>
      </c>
      <c r="H780" s="6" t="s">
        <v>3735</v>
      </c>
      <c r="I780" s="6">
        <v>1</v>
      </c>
      <c r="J780" s="6">
        <v>0</v>
      </c>
      <c r="K780" s="6">
        <v>0</v>
      </c>
      <c r="L780" s="6">
        <v>0</v>
      </c>
      <c r="M780" s="6">
        <v>0</v>
      </c>
      <c r="N780" s="6">
        <v>1</v>
      </c>
      <c r="O780" s="6">
        <v>1</v>
      </c>
    </row>
    <row r="781" spans="1:15">
      <c r="A781" s="6" t="s">
        <v>2452</v>
      </c>
      <c r="B781" s="6" t="s">
        <v>1861</v>
      </c>
      <c r="C781" s="6" t="s">
        <v>19</v>
      </c>
      <c r="D781" s="6" t="s">
        <v>3733</v>
      </c>
      <c r="E781" s="6" t="s">
        <v>3734</v>
      </c>
      <c r="F781" s="6" t="s">
        <v>3736</v>
      </c>
      <c r="G781" s="6" t="s">
        <v>2444</v>
      </c>
      <c r="H781" s="6" t="s">
        <v>3737</v>
      </c>
      <c r="I781" s="6">
        <v>1</v>
      </c>
      <c r="J781" s="6">
        <v>0</v>
      </c>
      <c r="K781" s="6">
        <v>0</v>
      </c>
      <c r="L781" s="6">
        <v>0</v>
      </c>
      <c r="M781" s="6">
        <v>0</v>
      </c>
      <c r="N781" s="6">
        <v>1</v>
      </c>
      <c r="O781" s="6">
        <v>1</v>
      </c>
    </row>
    <row r="782" spans="1:15">
      <c r="A782" s="6" t="s">
        <v>2452</v>
      </c>
      <c r="B782" s="6" t="s">
        <v>1861</v>
      </c>
      <c r="C782" s="6" t="s">
        <v>19</v>
      </c>
      <c r="D782" s="6" t="s">
        <v>2965</v>
      </c>
      <c r="E782" s="6" t="s">
        <v>3738</v>
      </c>
      <c r="F782" s="6" t="s">
        <v>3739</v>
      </c>
      <c r="G782" s="6" t="s">
        <v>2444</v>
      </c>
      <c r="H782" s="6" t="s">
        <v>3740</v>
      </c>
      <c r="I782" s="6">
        <v>1</v>
      </c>
      <c r="J782" s="6">
        <v>0</v>
      </c>
      <c r="K782" s="6">
        <v>0</v>
      </c>
      <c r="L782" s="6">
        <v>0</v>
      </c>
      <c r="M782" s="6">
        <v>0</v>
      </c>
      <c r="N782" s="6">
        <v>1</v>
      </c>
      <c r="O782" s="6">
        <v>0</v>
      </c>
    </row>
    <row r="783" spans="1:15">
      <c r="A783" s="6" t="s">
        <v>2452</v>
      </c>
      <c r="B783" s="6" t="s">
        <v>1861</v>
      </c>
      <c r="C783" s="6" t="s">
        <v>19</v>
      </c>
      <c r="D783" s="6" t="s">
        <v>2965</v>
      </c>
      <c r="E783" s="6" t="s">
        <v>2966</v>
      </c>
      <c r="F783" s="6" t="s">
        <v>2967</v>
      </c>
      <c r="G783" s="6" t="s">
        <v>2444</v>
      </c>
      <c r="H783" s="6" t="s">
        <v>3741</v>
      </c>
      <c r="I783" s="6">
        <v>1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</row>
    <row r="784" spans="1:15">
      <c r="A784" s="6" t="s">
        <v>2452</v>
      </c>
      <c r="B784" s="6" t="s">
        <v>1861</v>
      </c>
      <c r="C784" s="6" t="s">
        <v>19</v>
      </c>
      <c r="D784" s="6" t="s">
        <v>2965</v>
      </c>
      <c r="E784" s="6" t="s">
        <v>2966</v>
      </c>
      <c r="F784" s="6" t="s">
        <v>2967</v>
      </c>
      <c r="G784" s="6" t="s">
        <v>2444</v>
      </c>
      <c r="H784" s="6" t="s">
        <v>3742</v>
      </c>
      <c r="I784" s="6">
        <v>1</v>
      </c>
      <c r="J784" s="6">
        <v>0</v>
      </c>
      <c r="K784" s="6">
        <v>0</v>
      </c>
      <c r="L784" s="6">
        <v>0</v>
      </c>
      <c r="M784" s="6">
        <v>0</v>
      </c>
      <c r="N784" s="6">
        <v>1</v>
      </c>
      <c r="O784" s="6">
        <v>1</v>
      </c>
    </row>
    <row r="785" spans="1:15">
      <c r="A785" s="6" t="s">
        <v>2452</v>
      </c>
      <c r="B785" s="6" t="s">
        <v>1861</v>
      </c>
      <c r="C785" s="6" t="s">
        <v>19</v>
      </c>
      <c r="D785" s="6" t="s">
        <v>2965</v>
      </c>
      <c r="E785" s="6" t="s">
        <v>3743</v>
      </c>
      <c r="G785" s="6" t="s">
        <v>2444</v>
      </c>
      <c r="H785" s="6" t="s">
        <v>3744</v>
      </c>
      <c r="I785" s="6">
        <v>1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</row>
    <row r="786" spans="1:15">
      <c r="A786" s="6" t="s">
        <v>2452</v>
      </c>
      <c r="B786" s="6" t="s">
        <v>1861</v>
      </c>
      <c r="C786" s="6" t="s">
        <v>19</v>
      </c>
      <c r="D786" s="6" t="s">
        <v>2965</v>
      </c>
      <c r="E786" s="6" t="s">
        <v>3743</v>
      </c>
      <c r="F786" s="6" t="s">
        <v>2910</v>
      </c>
      <c r="G786" s="6" t="s">
        <v>2444</v>
      </c>
      <c r="H786" s="6" t="s">
        <v>3745</v>
      </c>
      <c r="I786" s="6">
        <v>1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</row>
    <row r="787" spans="1:15">
      <c r="A787" s="6" t="s">
        <v>2452</v>
      </c>
      <c r="B787" s="6" t="s">
        <v>1861</v>
      </c>
      <c r="C787" s="6" t="s">
        <v>19</v>
      </c>
      <c r="D787" s="6" t="s">
        <v>2965</v>
      </c>
      <c r="E787" s="6" t="s">
        <v>3746</v>
      </c>
      <c r="F787" s="6" t="s">
        <v>3747</v>
      </c>
      <c r="G787" s="6" t="s">
        <v>2444</v>
      </c>
      <c r="H787" s="6" t="s">
        <v>3748</v>
      </c>
      <c r="I787" s="6">
        <v>1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</row>
    <row r="788" spans="1:15">
      <c r="A788" s="6" t="s">
        <v>2452</v>
      </c>
      <c r="B788" s="6" t="s">
        <v>1861</v>
      </c>
      <c r="C788" s="6" t="s">
        <v>19</v>
      </c>
      <c r="D788" s="6" t="s">
        <v>2965</v>
      </c>
      <c r="E788" s="6" t="s">
        <v>2775</v>
      </c>
      <c r="F788" s="6" t="s">
        <v>3749</v>
      </c>
      <c r="G788" s="6" t="s">
        <v>2444</v>
      </c>
      <c r="H788" s="6" t="s">
        <v>3750</v>
      </c>
      <c r="I788" s="6">
        <v>1</v>
      </c>
      <c r="J788" s="6">
        <v>0</v>
      </c>
      <c r="K788" s="6">
        <v>0</v>
      </c>
      <c r="L788" s="6">
        <v>0</v>
      </c>
      <c r="M788" s="6">
        <v>0</v>
      </c>
      <c r="N788" s="6">
        <v>1</v>
      </c>
      <c r="O788" s="6">
        <v>1</v>
      </c>
    </row>
    <row r="789" spans="1:15">
      <c r="A789" s="6" t="s">
        <v>2452</v>
      </c>
      <c r="B789" s="6" t="s">
        <v>1861</v>
      </c>
      <c r="C789" s="6" t="s">
        <v>19</v>
      </c>
      <c r="D789" s="6" t="s">
        <v>3751</v>
      </c>
      <c r="E789" s="6" t="s">
        <v>3752</v>
      </c>
      <c r="F789" s="6" t="s">
        <v>3753</v>
      </c>
      <c r="G789" s="6" t="s">
        <v>2444</v>
      </c>
      <c r="H789" s="6" t="s">
        <v>3754</v>
      </c>
      <c r="I789" s="6">
        <v>2</v>
      </c>
      <c r="J789" s="6">
        <v>0</v>
      </c>
      <c r="K789" s="6">
        <v>0</v>
      </c>
      <c r="L789" s="6">
        <v>0</v>
      </c>
      <c r="M789" s="6">
        <v>0</v>
      </c>
      <c r="N789" s="6">
        <v>1</v>
      </c>
      <c r="O789" s="6">
        <v>1</v>
      </c>
    </row>
    <row r="790" spans="1:15">
      <c r="A790" s="6" t="s">
        <v>2452</v>
      </c>
      <c r="B790" s="6" t="s">
        <v>1861</v>
      </c>
      <c r="C790" s="6" t="s">
        <v>19</v>
      </c>
      <c r="D790" s="6" t="s">
        <v>3751</v>
      </c>
      <c r="E790" s="6" t="s">
        <v>3752</v>
      </c>
      <c r="F790" s="6" t="s">
        <v>3755</v>
      </c>
      <c r="G790" s="6" t="s">
        <v>2444</v>
      </c>
      <c r="H790" s="6" t="s">
        <v>3756</v>
      </c>
      <c r="I790" s="6">
        <v>1</v>
      </c>
      <c r="J790" s="6">
        <v>0</v>
      </c>
      <c r="K790" s="6">
        <v>0</v>
      </c>
      <c r="L790" s="6">
        <v>0</v>
      </c>
      <c r="M790" s="6">
        <v>0</v>
      </c>
      <c r="N790" s="6">
        <v>1</v>
      </c>
      <c r="O790" s="6">
        <v>1</v>
      </c>
    </row>
    <row r="791" spans="1:15">
      <c r="A791" s="6" t="s">
        <v>2452</v>
      </c>
      <c r="B791" s="6" t="s">
        <v>1861</v>
      </c>
      <c r="C791" s="6" t="s">
        <v>19</v>
      </c>
      <c r="D791" s="6" t="s">
        <v>3751</v>
      </c>
      <c r="E791" s="6" t="s">
        <v>3752</v>
      </c>
      <c r="F791" s="6" t="s">
        <v>3755</v>
      </c>
      <c r="G791" s="6" t="s">
        <v>2444</v>
      </c>
      <c r="H791" s="6" t="s">
        <v>3757</v>
      </c>
      <c r="I791" s="6">
        <v>1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</row>
    <row r="792" spans="1:15">
      <c r="A792" s="6" t="s">
        <v>2452</v>
      </c>
      <c r="B792" s="6" t="s">
        <v>1861</v>
      </c>
      <c r="C792" s="6" t="s">
        <v>19</v>
      </c>
      <c r="D792" s="6" t="s">
        <v>3751</v>
      </c>
      <c r="E792" s="6" t="s">
        <v>3752</v>
      </c>
      <c r="F792" s="6" t="s">
        <v>3758</v>
      </c>
      <c r="G792" s="6" t="s">
        <v>2444</v>
      </c>
      <c r="H792" s="6" t="s">
        <v>3759</v>
      </c>
      <c r="I792" s="6">
        <v>2</v>
      </c>
      <c r="J792" s="6">
        <v>0</v>
      </c>
      <c r="K792" s="6">
        <v>0</v>
      </c>
      <c r="L792" s="6">
        <v>0</v>
      </c>
      <c r="M792" s="6">
        <v>0</v>
      </c>
      <c r="N792" s="6">
        <v>1</v>
      </c>
      <c r="O792" s="6">
        <v>1</v>
      </c>
    </row>
    <row r="793" spans="1:15">
      <c r="A793" s="6" t="s">
        <v>2452</v>
      </c>
      <c r="B793" s="6" t="s">
        <v>1861</v>
      </c>
      <c r="C793" s="6" t="s">
        <v>19</v>
      </c>
      <c r="D793" s="6" t="s">
        <v>3751</v>
      </c>
      <c r="E793" s="6" t="s">
        <v>3760</v>
      </c>
      <c r="F793" s="6" t="s">
        <v>3761</v>
      </c>
      <c r="G793" s="6" t="s">
        <v>2444</v>
      </c>
      <c r="H793" s="6" t="s">
        <v>3762</v>
      </c>
      <c r="I793" s="6">
        <v>1</v>
      </c>
      <c r="J793" s="6">
        <v>1</v>
      </c>
      <c r="K793" s="6">
        <v>1</v>
      </c>
      <c r="L793" s="6">
        <v>0.04</v>
      </c>
      <c r="M793" s="6">
        <v>0.04</v>
      </c>
      <c r="N793" s="6">
        <v>1</v>
      </c>
      <c r="O793" s="6">
        <v>1</v>
      </c>
    </row>
    <row r="794" spans="1:15">
      <c r="A794" s="6" t="s">
        <v>2452</v>
      </c>
      <c r="B794" s="6" t="s">
        <v>1861</v>
      </c>
      <c r="C794" s="6" t="s">
        <v>19</v>
      </c>
      <c r="D794" s="6" t="s">
        <v>2973</v>
      </c>
      <c r="E794" s="6" t="s">
        <v>2851</v>
      </c>
      <c r="F794" s="6" t="s">
        <v>3763</v>
      </c>
      <c r="G794" s="6" t="s">
        <v>2444</v>
      </c>
      <c r="H794" s="6" t="s">
        <v>3764</v>
      </c>
      <c r="I794" s="6">
        <v>1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</row>
    <row r="795" spans="1:15">
      <c r="A795" s="6" t="s">
        <v>2452</v>
      </c>
      <c r="B795" s="6" t="s">
        <v>1861</v>
      </c>
      <c r="C795" s="6" t="s">
        <v>19</v>
      </c>
      <c r="D795" s="6" t="s">
        <v>2973</v>
      </c>
      <c r="E795" s="6" t="s">
        <v>2851</v>
      </c>
      <c r="F795" s="6" t="s">
        <v>3765</v>
      </c>
      <c r="G795" s="6" t="s">
        <v>2444</v>
      </c>
      <c r="H795" s="6" t="s">
        <v>3766</v>
      </c>
      <c r="I795" s="6">
        <v>4</v>
      </c>
      <c r="J795" s="6">
        <v>0</v>
      </c>
      <c r="K795" s="6">
        <v>0</v>
      </c>
      <c r="L795" s="6">
        <v>0</v>
      </c>
      <c r="M795" s="6">
        <v>0</v>
      </c>
      <c r="N795" s="6">
        <v>1</v>
      </c>
      <c r="O795" s="6">
        <v>1</v>
      </c>
    </row>
    <row r="796" spans="1:15">
      <c r="A796" s="6" t="s">
        <v>2452</v>
      </c>
      <c r="B796" s="6" t="s">
        <v>1861</v>
      </c>
      <c r="C796" s="6" t="s">
        <v>19</v>
      </c>
      <c r="D796" s="6" t="s">
        <v>2973</v>
      </c>
      <c r="E796" s="6" t="s">
        <v>2851</v>
      </c>
      <c r="F796" s="6" t="s">
        <v>2976</v>
      </c>
      <c r="G796" s="6" t="s">
        <v>2444</v>
      </c>
      <c r="H796" s="6" t="s">
        <v>2977</v>
      </c>
      <c r="I796" s="6">
        <v>1</v>
      </c>
      <c r="J796" s="6">
        <v>1</v>
      </c>
      <c r="K796" s="6">
        <v>1</v>
      </c>
      <c r="L796" s="6">
        <v>0.47</v>
      </c>
      <c r="M796" s="6">
        <v>0.47</v>
      </c>
      <c r="N796" s="6">
        <v>1</v>
      </c>
      <c r="O796" s="6">
        <v>1</v>
      </c>
    </row>
    <row r="797" spans="1:15">
      <c r="A797" s="6" t="s">
        <v>2452</v>
      </c>
      <c r="B797" s="6" t="s">
        <v>1861</v>
      </c>
      <c r="C797" s="6" t="s">
        <v>19</v>
      </c>
      <c r="D797" s="6" t="s">
        <v>2973</v>
      </c>
      <c r="E797" s="6" t="s">
        <v>2851</v>
      </c>
      <c r="F797" s="6" t="s">
        <v>2980</v>
      </c>
      <c r="G797" s="6" t="s">
        <v>2444</v>
      </c>
      <c r="H797" s="6" t="s">
        <v>2981</v>
      </c>
      <c r="I797" s="6">
        <v>1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</row>
    <row r="798" spans="1:15">
      <c r="A798" s="6" t="s">
        <v>2452</v>
      </c>
      <c r="B798" s="6" t="s">
        <v>1861</v>
      </c>
      <c r="C798" s="6" t="s">
        <v>19</v>
      </c>
      <c r="D798" s="6" t="s">
        <v>2989</v>
      </c>
      <c r="F798" s="6" t="s">
        <v>3767</v>
      </c>
      <c r="G798" s="6" t="s">
        <v>2444</v>
      </c>
      <c r="H798" s="6" t="s">
        <v>3767</v>
      </c>
      <c r="I798" s="6">
        <v>2</v>
      </c>
      <c r="J798" s="6">
        <v>0</v>
      </c>
      <c r="K798" s="6">
        <v>0</v>
      </c>
      <c r="L798" s="6">
        <v>0</v>
      </c>
      <c r="M798" s="6">
        <v>0</v>
      </c>
      <c r="N798" s="6">
        <v>1</v>
      </c>
      <c r="O798" s="6">
        <v>1</v>
      </c>
    </row>
    <row r="799" spans="1:15">
      <c r="A799" s="6" t="s">
        <v>2452</v>
      </c>
      <c r="B799" s="6" t="s">
        <v>1861</v>
      </c>
      <c r="C799" s="6" t="s">
        <v>19</v>
      </c>
      <c r="D799" s="6" t="s">
        <v>2989</v>
      </c>
      <c r="E799" s="6" t="s">
        <v>2614</v>
      </c>
      <c r="F799" s="6" t="s">
        <v>3768</v>
      </c>
      <c r="G799" s="6" t="s">
        <v>2444</v>
      </c>
      <c r="H799" s="6" t="s">
        <v>3769</v>
      </c>
      <c r="I799" s="6">
        <v>1</v>
      </c>
      <c r="J799" s="6">
        <v>0</v>
      </c>
      <c r="K799" s="6">
        <v>0</v>
      </c>
      <c r="L799" s="6">
        <v>0</v>
      </c>
      <c r="M799" s="6">
        <v>0</v>
      </c>
      <c r="N799" s="6">
        <v>1</v>
      </c>
      <c r="O799" s="6">
        <v>1</v>
      </c>
    </row>
    <row r="800" spans="1:15">
      <c r="A800" s="6" t="s">
        <v>2452</v>
      </c>
      <c r="B800" s="6" t="s">
        <v>1861</v>
      </c>
      <c r="C800" s="6" t="s">
        <v>19</v>
      </c>
      <c r="D800" s="6" t="s">
        <v>2989</v>
      </c>
      <c r="E800" s="6" t="s">
        <v>2614</v>
      </c>
      <c r="F800" s="6" t="s">
        <v>3770</v>
      </c>
      <c r="G800" s="6" t="s">
        <v>2444</v>
      </c>
      <c r="H800" s="6" t="s">
        <v>3771</v>
      </c>
      <c r="I800" s="6">
        <v>1</v>
      </c>
      <c r="J800" s="6">
        <v>0</v>
      </c>
      <c r="K800" s="6">
        <v>0</v>
      </c>
      <c r="L800" s="6">
        <v>0</v>
      </c>
      <c r="M800" s="6">
        <v>0</v>
      </c>
      <c r="N800" s="6">
        <v>1</v>
      </c>
      <c r="O800" s="6">
        <v>1</v>
      </c>
    </row>
    <row r="801" spans="1:15">
      <c r="A801" s="6" t="s">
        <v>2452</v>
      </c>
      <c r="B801" s="6" t="s">
        <v>1861</v>
      </c>
      <c r="C801" s="6" t="s">
        <v>19</v>
      </c>
      <c r="D801" s="6" t="s">
        <v>2989</v>
      </c>
      <c r="E801" s="6" t="s">
        <v>2614</v>
      </c>
      <c r="F801" s="6" t="s">
        <v>3772</v>
      </c>
      <c r="G801" s="6" t="s">
        <v>2444</v>
      </c>
      <c r="H801" s="6" t="s">
        <v>3773</v>
      </c>
      <c r="I801" s="6">
        <v>2</v>
      </c>
      <c r="J801" s="6">
        <v>1</v>
      </c>
      <c r="K801" s="6">
        <v>0.5</v>
      </c>
      <c r="L801" s="6">
        <v>0.86</v>
      </c>
      <c r="M801" s="6">
        <v>0.86</v>
      </c>
      <c r="N801" s="6">
        <v>1</v>
      </c>
      <c r="O801" s="6">
        <v>1</v>
      </c>
    </row>
    <row r="802" spans="1:15">
      <c r="A802" s="6" t="s">
        <v>2452</v>
      </c>
      <c r="B802" s="6" t="s">
        <v>1861</v>
      </c>
      <c r="C802" s="6" t="s">
        <v>19</v>
      </c>
      <c r="D802" s="6" t="s">
        <v>2989</v>
      </c>
      <c r="E802" s="6" t="s">
        <v>2614</v>
      </c>
      <c r="F802" s="6" t="s">
        <v>3774</v>
      </c>
      <c r="G802" s="6" t="s">
        <v>2444</v>
      </c>
      <c r="H802" s="6" t="s">
        <v>3775</v>
      </c>
      <c r="I802" s="6">
        <v>1</v>
      </c>
      <c r="J802" s="6">
        <v>0</v>
      </c>
      <c r="K802" s="6">
        <v>0</v>
      </c>
      <c r="L802" s="6">
        <v>0</v>
      </c>
      <c r="M802" s="6">
        <v>0</v>
      </c>
      <c r="N802" s="6">
        <v>1</v>
      </c>
      <c r="O802" s="6">
        <v>0</v>
      </c>
    </row>
    <row r="803" spans="1:15">
      <c r="A803" s="6" t="s">
        <v>2452</v>
      </c>
      <c r="B803" s="6" t="s">
        <v>1861</v>
      </c>
      <c r="C803" s="6" t="s">
        <v>19</v>
      </c>
      <c r="D803" s="6" t="s">
        <v>2989</v>
      </c>
      <c r="E803" s="6" t="s">
        <v>2614</v>
      </c>
      <c r="F803" s="6" t="s">
        <v>3776</v>
      </c>
      <c r="G803" s="6" t="s">
        <v>2444</v>
      </c>
      <c r="H803" s="6" t="s">
        <v>3777</v>
      </c>
      <c r="I803" s="6">
        <v>1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</row>
    <row r="804" spans="1:15">
      <c r="A804" s="6" t="s">
        <v>2452</v>
      </c>
      <c r="B804" s="6" t="s">
        <v>1861</v>
      </c>
      <c r="C804" s="6" t="s">
        <v>19</v>
      </c>
      <c r="D804" s="6" t="s">
        <v>3778</v>
      </c>
      <c r="E804" s="6" t="s">
        <v>3779</v>
      </c>
      <c r="F804" s="6" t="s">
        <v>3780</v>
      </c>
      <c r="G804" s="6" t="s">
        <v>2444</v>
      </c>
      <c r="H804" s="6" t="s">
        <v>3781</v>
      </c>
      <c r="I804" s="6">
        <v>1</v>
      </c>
      <c r="J804" s="6">
        <v>0</v>
      </c>
      <c r="K804" s="6">
        <v>0</v>
      </c>
      <c r="L804" s="6">
        <v>0</v>
      </c>
      <c r="M804" s="6">
        <v>0</v>
      </c>
      <c r="N804" s="6">
        <v>1</v>
      </c>
      <c r="O804" s="6">
        <v>1</v>
      </c>
    </row>
    <row r="805" spans="1:15">
      <c r="A805" s="6" t="s">
        <v>2452</v>
      </c>
      <c r="B805" s="6" t="s">
        <v>1861</v>
      </c>
      <c r="C805" s="6" t="s">
        <v>19</v>
      </c>
      <c r="D805" s="6" t="s">
        <v>3032</v>
      </c>
      <c r="E805" s="6" t="s">
        <v>3047</v>
      </c>
      <c r="F805" s="6" t="s">
        <v>3048</v>
      </c>
      <c r="G805" s="6" t="s">
        <v>2444</v>
      </c>
      <c r="H805" s="6" t="s">
        <v>3782</v>
      </c>
      <c r="I805" s="6">
        <v>1</v>
      </c>
      <c r="J805" s="6">
        <v>0</v>
      </c>
      <c r="K805" s="6">
        <v>0</v>
      </c>
      <c r="L805" s="6">
        <v>0</v>
      </c>
      <c r="M805" s="6">
        <v>0</v>
      </c>
      <c r="N805" s="6">
        <v>1</v>
      </c>
      <c r="O805" s="6">
        <v>0</v>
      </c>
    </row>
    <row r="806" spans="1:15">
      <c r="A806" s="6" t="s">
        <v>2452</v>
      </c>
      <c r="B806" s="6" t="s">
        <v>1861</v>
      </c>
      <c r="C806" s="6" t="s">
        <v>19</v>
      </c>
      <c r="D806" s="6" t="s">
        <v>3032</v>
      </c>
      <c r="E806" s="6" t="s">
        <v>3047</v>
      </c>
      <c r="F806" s="6" t="s">
        <v>3048</v>
      </c>
      <c r="G806" s="6" t="s">
        <v>2444</v>
      </c>
      <c r="H806" s="6" t="s">
        <v>3783</v>
      </c>
      <c r="I806" s="6">
        <v>1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</row>
    <row r="807" spans="1:15">
      <c r="A807" s="6" t="s">
        <v>2452</v>
      </c>
      <c r="B807" s="6" t="s">
        <v>1861</v>
      </c>
      <c r="C807" s="6" t="s">
        <v>19</v>
      </c>
      <c r="D807" s="6" t="s">
        <v>3032</v>
      </c>
      <c r="E807" s="6" t="s">
        <v>2614</v>
      </c>
      <c r="G807" s="6" t="s">
        <v>2444</v>
      </c>
      <c r="H807" s="6" t="s">
        <v>3784</v>
      </c>
      <c r="I807" s="6">
        <v>1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</row>
    <row r="808" spans="1:15">
      <c r="A808" s="6" t="s">
        <v>2452</v>
      </c>
      <c r="B808" s="6" t="s">
        <v>1861</v>
      </c>
      <c r="C808" s="6" t="s">
        <v>19</v>
      </c>
      <c r="D808" s="6" t="s">
        <v>3032</v>
      </c>
      <c r="E808" s="6" t="s">
        <v>2614</v>
      </c>
      <c r="F808" s="6" t="s">
        <v>3785</v>
      </c>
      <c r="G808" s="6" t="s">
        <v>2444</v>
      </c>
      <c r="H808" s="6" t="s">
        <v>3786</v>
      </c>
      <c r="I808" s="6">
        <v>1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</row>
    <row r="809" spans="1:15">
      <c r="A809" s="6" t="s">
        <v>2452</v>
      </c>
      <c r="B809" s="6" t="s">
        <v>1861</v>
      </c>
      <c r="C809" s="6" t="s">
        <v>19</v>
      </c>
      <c r="D809" s="6" t="s">
        <v>3032</v>
      </c>
      <c r="E809" s="6" t="s">
        <v>2614</v>
      </c>
      <c r="F809" s="6" t="s">
        <v>3060</v>
      </c>
      <c r="G809" s="6" t="s">
        <v>2444</v>
      </c>
      <c r="H809" s="6" t="s">
        <v>3787</v>
      </c>
      <c r="I809" s="6">
        <v>1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</row>
    <row r="810" spans="1:15">
      <c r="A810" s="6" t="s">
        <v>2452</v>
      </c>
      <c r="B810" s="6" t="s">
        <v>1861</v>
      </c>
      <c r="C810" s="6" t="s">
        <v>19</v>
      </c>
      <c r="D810" s="6" t="s">
        <v>3032</v>
      </c>
      <c r="E810" s="6" t="s">
        <v>2614</v>
      </c>
      <c r="F810" s="6" t="s">
        <v>3060</v>
      </c>
      <c r="G810" s="6" t="s">
        <v>2444</v>
      </c>
      <c r="H810" s="6" t="s">
        <v>3788</v>
      </c>
      <c r="I810" s="6">
        <v>1</v>
      </c>
      <c r="J810" s="6">
        <v>0</v>
      </c>
      <c r="K810" s="6">
        <v>0</v>
      </c>
      <c r="L810" s="6">
        <v>0</v>
      </c>
      <c r="M810" s="6">
        <v>0</v>
      </c>
      <c r="N810" s="6">
        <v>1</v>
      </c>
      <c r="O810" s="6">
        <v>1</v>
      </c>
    </row>
    <row r="811" spans="1:15">
      <c r="A811" s="6" t="s">
        <v>2452</v>
      </c>
      <c r="B811" s="6" t="s">
        <v>1861</v>
      </c>
      <c r="C811" s="6" t="s">
        <v>19</v>
      </c>
      <c r="D811" s="6" t="s">
        <v>3032</v>
      </c>
      <c r="E811" s="6" t="s">
        <v>2614</v>
      </c>
      <c r="F811" s="6" t="s">
        <v>3060</v>
      </c>
      <c r="G811" s="6" t="s">
        <v>2444</v>
      </c>
      <c r="H811" s="6" t="s">
        <v>3789</v>
      </c>
      <c r="I811" s="6">
        <v>1</v>
      </c>
      <c r="J811" s="6">
        <v>0</v>
      </c>
      <c r="K811" s="6">
        <v>0</v>
      </c>
      <c r="L811" s="6">
        <v>0</v>
      </c>
      <c r="M811" s="6">
        <v>0</v>
      </c>
      <c r="N811" s="6">
        <v>1</v>
      </c>
      <c r="O811" s="6">
        <v>1</v>
      </c>
    </row>
    <row r="812" spans="1:15">
      <c r="A812" s="6" t="s">
        <v>2452</v>
      </c>
      <c r="B812" s="6" t="s">
        <v>1861</v>
      </c>
      <c r="C812" s="6" t="s">
        <v>19</v>
      </c>
      <c r="D812" s="6" t="s">
        <v>3032</v>
      </c>
      <c r="E812" s="6" t="s">
        <v>2614</v>
      </c>
      <c r="F812" s="6" t="s">
        <v>3060</v>
      </c>
      <c r="G812" s="6" t="s">
        <v>2444</v>
      </c>
      <c r="H812" s="6" t="s">
        <v>3790</v>
      </c>
      <c r="I812" s="6">
        <v>4</v>
      </c>
      <c r="J812" s="6">
        <v>1</v>
      </c>
      <c r="K812" s="6">
        <v>0.25</v>
      </c>
      <c r="L812" s="6">
        <v>0.93</v>
      </c>
      <c r="M812" s="6">
        <v>0.93</v>
      </c>
      <c r="N812" s="6">
        <v>1</v>
      </c>
      <c r="O812" s="6">
        <v>1</v>
      </c>
    </row>
    <row r="813" spans="1:15">
      <c r="A813" s="6" t="s">
        <v>2452</v>
      </c>
      <c r="B813" s="6" t="s">
        <v>1861</v>
      </c>
      <c r="C813" s="6" t="s">
        <v>19</v>
      </c>
      <c r="D813" s="6" t="s">
        <v>3032</v>
      </c>
      <c r="E813" s="6" t="s">
        <v>2614</v>
      </c>
      <c r="F813" s="6" t="s">
        <v>3060</v>
      </c>
      <c r="G813" s="6" t="s">
        <v>2444</v>
      </c>
      <c r="H813" s="6" t="s">
        <v>3063</v>
      </c>
      <c r="I813" s="6">
        <v>1</v>
      </c>
      <c r="J813" s="6">
        <v>0</v>
      </c>
      <c r="K813" s="6">
        <v>0</v>
      </c>
      <c r="L813" s="6">
        <v>0</v>
      </c>
      <c r="M813" s="6">
        <v>0</v>
      </c>
      <c r="N813" s="6">
        <v>1</v>
      </c>
      <c r="O813" s="6">
        <v>1</v>
      </c>
    </row>
    <row r="814" spans="1:15">
      <c r="A814" s="6" t="s">
        <v>2452</v>
      </c>
      <c r="B814" s="6" t="s">
        <v>1861</v>
      </c>
      <c r="C814" s="6" t="s">
        <v>19</v>
      </c>
      <c r="D814" s="6" t="s">
        <v>3032</v>
      </c>
      <c r="E814" s="6" t="s">
        <v>2614</v>
      </c>
      <c r="F814" s="6" t="s">
        <v>3382</v>
      </c>
      <c r="G814" s="6" t="s">
        <v>2444</v>
      </c>
      <c r="H814" s="6" t="s">
        <v>3791</v>
      </c>
      <c r="I814" s="6">
        <v>1</v>
      </c>
      <c r="J814" s="6">
        <v>0</v>
      </c>
      <c r="K814" s="6">
        <v>0</v>
      </c>
      <c r="L814" s="6">
        <v>0</v>
      </c>
      <c r="M814" s="6">
        <v>0</v>
      </c>
      <c r="N814" s="6">
        <v>1</v>
      </c>
      <c r="O814" s="6">
        <v>1</v>
      </c>
    </row>
    <row r="815" spans="1:15">
      <c r="A815" s="6" t="s">
        <v>2452</v>
      </c>
      <c r="B815" s="6" t="s">
        <v>1861</v>
      </c>
      <c r="C815" s="6" t="s">
        <v>19</v>
      </c>
      <c r="D815" s="6" t="s">
        <v>3032</v>
      </c>
      <c r="E815" s="6" t="s">
        <v>2614</v>
      </c>
      <c r="F815" s="6" t="s">
        <v>3032</v>
      </c>
      <c r="G815" s="6" t="s">
        <v>2444</v>
      </c>
      <c r="H815" s="6" t="s">
        <v>3074</v>
      </c>
      <c r="I815" s="6">
        <v>1</v>
      </c>
      <c r="J815" s="6">
        <v>0</v>
      </c>
      <c r="K815" s="6">
        <v>0</v>
      </c>
      <c r="L815" s="6">
        <v>0</v>
      </c>
      <c r="M815" s="6">
        <v>0</v>
      </c>
      <c r="N815" s="6">
        <v>1</v>
      </c>
      <c r="O815" s="6">
        <v>1</v>
      </c>
    </row>
    <row r="816" spans="1:15">
      <c r="A816" s="6" t="s">
        <v>2452</v>
      </c>
      <c r="B816" s="6" t="s">
        <v>1861</v>
      </c>
      <c r="C816" s="6" t="s">
        <v>19</v>
      </c>
      <c r="D816" s="6" t="s">
        <v>3032</v>
      </c>
      <c r="E816" s="6" t="s">
        <v>2614</v>
      </c>
      <c r="F816" s="6" t="s">
        <v>3032</v>
      </c>
      <c r="G816" s="6" t="s">
        <v>2444</v>
      </c>
      <c r="H816" s="6" t="s">
        <v>3792</v>
      </c>
      <c r="I816" s="6">
        <v>1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</row>
    <row r="817" spans="1:15">
      <c r="A817" s="6" t="s">
        <v>2452</v>
      </c>
      <c r="B817" s="6" t="s">
        <v>1861</v>
      </c>
      <c r="C817" s="6" t="s">
        <v>19</v>
      </c>
      <c r="D817" s="6" t="s">
        <v>3032</v>
      </c>
      <c r="E817" s="6" t="s">
        <v>2614</v>
      </c>
      <c r="F817" s="6" t="s">
        <v>3032</v>
      </c>
      <c r="G817" s="6" t="s">
        <v>2444</v>
      </c>
      <c r="H817" s="6" t="s">
        <v>3075</v>
      </c>
      <c r="I817" s="6">
        <v>4</v>
      </c>
      <c r="J817" s="6">
        <v>0</v>
      </c>
      <c r="K817" s="6">
        <v>0</v>
      </c>
      <c r="L817" s="6">
        <v>0</v>
      </c>
      <c r="M817" s="6">
        <v>0</v>
      </c>
      <c r="N817" s="6">
        <v>1</v>
      </c>
      <c r="O817" s="6">
        <v>0.75</v>
      </c>
    </row>
    <row r="818" spans="1:15">
      <c r="A818" s="6" t="s">
        <v>2452</v>
      </c>
      <c r="B818" s="6" t="s">
        <v>1861</v>
      </c>
      <c r="C818" s="6" t="s">
        <v>19</v>
      </c>
      <c r="D818" s="6" t="s">
        <v>3032</v>
      </c>
      <c r="E818" s="6" t="s">
        <v>2614</v>
      </c>
      <c r="F818" s="6" t="s">
        <v>3032</v>
      </c>
      <c r="G818" s="6" t="s">
        <v>2444</v>
      </c>
      <c r="H818" s="6" t="s">
        <v>3076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1</v>
      </c>
      <c r="O818" s="6">
        <v>1</v>
      </c>
    </row>
    <row r="819" spans="1:15">
      <c r="A819" s="6" t="s">
        <v>2452</v>
      </c>
      <c r="B819" s="6" t="s">
        <v>1861</v>
      </c>
      <c r="C819" s="6" t="s">
        <v>19</v>
      </c>
      <c r="D819" s="6" t="s">
        <v>3032</v>
      </c>
      <c r="E819" s="6" t="s">
        <v>2614</v>
      </c>
      <c r="F819" s="6" t="s">
        <v>3032</v>
      </c>
      <c r="G819" s="6" t="s">
        <v>2444</v>
      </c>
      <c r="H819" s="6" t="s">
        <v>3077</v>
      </c>
      <c r="I819" s="6">
        <v>1</v>
      </c>
      <c r="J819" s="6">
        <v>0</v>
      </c>
      <c r="K819" s="6">
        <v>0</v>
      </c>
      <c r="L819" s="6">
        <v>0</v>
      </c>
      <c r="M819" s="6">
        <v>0</v>
      </c>
      <c r="N819" s="6">
        <v>1</v>
      </c>
      <c r="O819" s="6">
        <v>0</v>
      </c>
    </row>
    <row r="820" spans="1:15">
      <c r="A820" s="6" t="s">
        <v>2452</v>
      </c>
      <c r="B820" s="6" t="s">
        <v>1861</v>
      </c>
      <c r="C820" s="6" t="s">
        <v>19</v>
      </c>
      <c r="D820" s="6" t="s">
        <v>3032</v>
      </c>
      <c r="E820" s="6" t="s">
        <v>2614</v>
      </c>
      <c r="F820" s="6" t="s">
        <v>3032</v>
      </c>
      <c r="G820" s="6" t="s">
        <v>2444</v>
      </c>
      <c r="H820" s="6" t="s">
        <v>3078</v>
      </c>
      <c r="I820" s="6">
        <v>2</v>
      </c>
      <c r="J820" s="6">
        <v>1</v>
      </c>
      <c r="K820" s="6">
        <v>0.5</v>
      </c>
      <c r="L820" s="6">
        <v>0.36</v>
      </c>
      <c r="M820" s="6">
        <v>0.36</v>
      </c>
      <c r="N820" s="6">
        <v>1</v>
      </c>
      <c r="O820" s="6">
        <v>1</v>
      </c>
    </row>
    <row r="821" spans="1:15">
      <c r="A821" s="6" t="s">
        <v>2452</v>
      </c>
      <c r="B821" s="6" t="s">
        <v>1861</v>
      </c>
      <c r="C821" s="6" t="s">
        <v>19</v>
      </c>
      <c r="D821" s="6" t="s">
        <v>3032</v>
      </c>
      <c r="E821" s="6" t="s">
        <v>2614</v>
      </c>
      <c r="F821" s="6" t="s">
        <v>3032</v>
      </c>
      <c r="G821" s="6" t="s">
        <v>2444</v>
      </c>
      <c r="H821" s="6" t="s">
        <v>3793</v>
      </c>
      <c r="I821" s="6">
        <v>1</v>
      </c>
      <c r="J821" s="6">
        <v>1</v>
      </c>
      <c r="K821" s="6">
        <v>1</v>
      </c>
      <c r="L821" s="6">
        <v>0.45</v>
      </c>
      <c r="M821" s="6">
        <v>0.45</v>
      </c>
      <c r="N821" s="6">
        <v>1</v>
      </c>
      <c r="O821" s="6">
        <v>1</v>
      </c>
    </row>
    <row r="822" spans="1:15">
      <c r="A822" s="6" t="s">
        <v>2452</v>
      </c>
      <c r="B822" s="6" t="s">
        <v>1861</v>
      </c>
      <c r="C822" s="6" t="s">
        <v>19</v>
      </c>
      <c r="D822" s="6" t="s">
        <v>3032</v>
      </c>
      <c r="E822" s="6" t="s">
        <v>2614</v>
      </c>
      <c r="F822" s="6" t="s">
        <v>3032</v>
      </c>
      <c r="G822" s="6" t="s">
        <v>2444</v>
      </c>
      <c r="H822" s="6" t="s">
        <v>3794</v>
      </c>
      <c r="I822" s="6">
        <v>2</v>
      </c>
      <c r="J822" s="6">
        <v>1</v>
      </c>
      <c r="K822" s="6">
        <v>0.5</v>
      </c>
      <c r="L822" s="6">
        <v>0.95</v>
      </c>
      <c r="M822" s="6">
        <v>0.95</v>
      </c>
      <c r="N822" s="6">
        <v>1</v>
      </c>
      <c r="O822" s="6">
        <v>1</v>
      </c>
    </row>
    <row r="823" spans="1:15">
      <c r="A823" s="6" t="s">
        <v>2452</v>
      </c>
      <c r="B823" s="6" t="s">
        <v>1861</v>
      </c>
      <c r="C823" s="6" t="s">
        <v>19</v>
      </c>
      <c r="D823" s="6" t="s">
        <v>3032</v>
      </c>
      <c r="E823" s="6" t="s">
        <v>2614</v>
      </c>
      <c r="F823" s="6" t="s">
        <v>3032</v>
      </c>
      <c r="G823" s="6" t="s">
        <v>2444</v>
      </c>
      <c r="H823" s="6" t="s">
        <v>3795</v>
      </c>
      <c r="I823" s="6">
        <v>1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</row>
    <row r="824" spans="1:15">
      <c r="A824" s="6" t="s">
        <v>2452</v>
      </c>
      <c r="B824" s="6" t="s">
        <v>1861</v>
      </c>
      <c r="C824" s="6" t="s">
        <v>19</v>
      </c>
      <c r="D824" s="6" t="s">
        <v>3032</v>
      </c>
      <c r="E824" s="6" t="s">
        <v>2614</v>
      </c>
      <c r="F824" s="6" t="s">
        <v>3032</v>
      </c>
      <c r="G824" s="6" t="s">
        <v>2444</v>
      </c>
      <c r="H824" s="6" t="s">
        <v>3796</v>
      </c>
      <c r="I824" s="6">
        <v>2</v>
      </c>
      <c r="J824" s="6">
        <v>0</v>
      </c>
      <c r="K824" s="6">
        <v>0</v>
      </c>
      <c r="L824" s="6">
        <v>0</v>
      </c>
      <c r="M824" s="6">
        <v>0</v>
      </c>
      <c r="N824" s="6">
        <v>1</v>
      </c>
      <c r="O824" s="6">
        <v>1</v>
      </c>
    </row>
    <row r="825" spans="1:15">
      <c r="A825" s="6" t="s">
        <v>2452</v>
      </c>
      <c r="B825" s="6" t="s">
        <v>1861</v>
      </c>
      <c r="C825" s="6" t="s">
        <v>19</v>
      </c>
      <c r="D825" s="6" t="s">
        <v>3032</v>
      </c>
      <c r="E825" s="6" t="s">
        <v>2614</v>
      </c>
      <c r="F825" s="6" t="s">
        <v>3032</v>
      </c>
      <c r="G825" s="6" t="s">
        <v>2444</v>
      </c>
      <c r="H825" s="6" t="s">
        <v>3797</v>
      </c>
      <c r="I825" s="6">
        <v>1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</row>
    <row r="826" spans="1:15">
      <c r="A826" s="6" t="s">
        <v>2452</v>
      </c>
      <c r="B826" s="6" t="s">
        <v>1861</v>
      </c>
      <c r="C826" s="6" t="s">
        <v>19</v>
      </c>
      <c r="D826" s="6" t="s">
        <v>3032</v>
      </c>
      <c r="E826" s="6" t="s">
        <v>2614</v>
      </c>
      <c r="F826" s="6" t="s">
        <v>3032</v>
      </c>
      <c r="G826" s="6" t="s">
        <v>2444</v>
      </c>
      <c r="H826" s="6" t="s">
        <v>3032</v>
      </c>
      <c r="I826" s="6">
        <v>6</v>
      </c>
      <c r="J826" s="6">
        <v>0</v>
      </c>
      <c r="K826" s="6">
        <v>0</v>
      </c>
      <c r="L826" s="6">
        <v>0</v>
      </c>
      <c r="M826" s="6">
        <v>0</v>
      </c>
      <c r="N826" s="6">
        <v>1</v>
      </c>
      <c r="O826" s="6">
        <v>1</v>
      </c>
    </row>
    <row r="827" spans="1:15">
      <c r="A827" s="6" t="s">
        <v>2452</v>
      </c>
      <c r="B827" s="6" t="s">
        <v>1861</v>
      </c>
      <c r="C827" s="6" t="s">
        <v>19</v>
      </c>
      <c r="D827" s="6" t="s">
        <v>3032</v>
      </c>
      <c r="E827" s="6" t="s">
        <v>2614</v>
      </c>
      <c r="F827" s="6" t="s">
        <v>3798</v>
      </c>
      <c r="G827" s="6" t="s">
        <v>2444</v>
      </c>
      <c r="H827" s="6" t="s">
        <v>3799</v>
      </c>
      <c r="I827" s="6">
        <v>1</v>
      </c>
      <c r="J827" s="6">
        <v>0</v>
      </c>
      <c r="K827" s="6">
        <v>0</v>
      </c>
      <c r="L827" s="6">
        <v>0</v>
      </c>
      <c r="M827" s="6">
        <v>0</v>
      </c>
      <c r="N827" s="6">
        <v>1</v>
      </c>
      <c r="O827" s="6">
        <v>1</v>
      </c>
    </row>
    <row r="828" spans="1:15">
      <c r="A828" s="6" t="s">
        <v>2452</v>
      </c>
      <c r="B828" s="6" t="s">
        <v>1861</v>
      </c>
      <c r="C828" s="6" t="s">
        <v>19</v>
      </c>
      <c r="D828" s="6" t="s">
        <v>3032</v>
      </c>
      <c r="E828" s="6" t="s">
        <v>2614</v>
      </c>
      <c r="F828" s="6" t="s">
        <v>3800</v>
      </c>
      <c r="G828" s="6" t="s">
        <v>2444</v>
      </c>
      <c r="H828" s="6" t="s">
        <v>3800</v>
      </c>
      <c r="I828" s="6">
        <v>1</v>
      </c>
      <c r="J828" s="6">
        <v>1</v>
      </c>
      <c r="K828" s="6">
        <v>1</v>
      </c>
      <c r="L828" s="6">
        <v>0.31</v>
      </c>
      <c r="M828" s="6">
        <v>0.31</v>
      </c>
      <c r="N828" s="6">
        <v>1</v>
      </c>
      <c r="O828" s="6">
        <v>1</v>
      </c>
    </row>
    <row r="829" spans="1:15">
      <c r="A829" s="6" t="s">
        <v>2452</v>
      </c>
      <c r="B829" s="6" t="s">
        <v>1861</v>
      </c>
      <c r="C829" s="6" t="s">
        <v>19</v>
      </c>
      <c r="D829" s="6" t="s">
        <v>3032</v>
      </c>
      <c r="E829" s="6" t="s">
        <v>2614</v>
      </c>
      <c r="F829" s="6" t="s">
        <v>3801</v>
      </c>
      <c r="G829" s="6" t="s">
        <v>2444</v>
      </c>
      <c r="H829" s="6" t="s">
        <v>3802</v>
      </c>
      <c r="I829" s="6">
        <v>1</v>
      </c>
      <c r="J829" s="6">
        <v>0</v>
      </c>
      <c r="K829" s="6">
        <v>0</v>
      </c>
      <c r="L829" s="6">
        <v>0</v>
      </c>
      <c r="M829" s="6">
        <v>0</v>
      </c>
      <c r="N829" s="6">
        <v>1</v>
      </c>
      <c r="O829" s="6">
        <v>1</v>
      </c>
    </row>
    <row r="830" spans="1:15">
      <c r="A830" s="6" t="s">
        <v>2452</v>
      </c>
      <c r="B830" s="6" t="s">
        <v>1861</v>
      </c>
      <c r="C830" s="6" t="s">
        <v>19</v>
      </c>
      <c r="D830" s="6" t="s">
        <v>3032</v>
      </c>
      <c r="E830" s="6" t="s">
        <v>3097</v>
      </c>
      <c r="F830" s="6" t="s">
        <v>2978</v>
      </c>
      <c r="G830" s="6" t="s">
        <v>2444</v>
      </c>
      <c r="H830" s="6" t="s">
        <v>3803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1</v>
      </c>
      <c r="O830" s="6">
        <v>1</v>
      </c>
    </row>
    <row r="831" spans="1:15">
      <c r="A831" s="6" t="s">
        <v>2452</v>
      </c>
      <c r="B831" s="6" t="s">
        <v>1861</v>
      </c>
      <c r="C831" s="6" t="s">
        <v>19</v>
      </c>
      <c r="D831" s="6" t="s">
        <v>3032</v>
      </c>
      <c r="E831" s="6" t="s">
        <v>3097</v>
      </c>
      <c r="F831" s="6" t="s">
        <v>2978</v>
      </c>
      <c r="G831" s="6" t="s">
        <v>2444</v>
      </c>
      <c r="H831" s="6" t="s">
        <v>3804</v>
      </c>
      <c r="I831" s="6">
        <v>2</v>
      </c>
      <c r="J831" s="6">
        <v>0</v>
      </c>
      <c r="K831" s="6">
        <v>0</v>
      </c>
      <c r="L831" s="6">
        <v>0</v>
      </c>
      <c r="M831" s="6">
        <v>0</v>
      </c>
      <c r="N831" s="6">
        <v>1</v>
      </c>
      <c r="O831" s="6">
        <v>1</v>
      </c>
    </row>
    <row r="832" spans="1:15">
      <c r="A832" s="6" t="s">
        <v>2452</v>
      </c>
      <c r="B832" s="6" t="s">
        <v>1861</v>
      </c>
      <c r="C832" s="6" t="s">
        <v>19</v>
      </c>
      <c r="D832" s="6" t="s">
        <v>3032</v>
      </c>
      <c r="E832" s="6" t="s">
        <v>3097</v>
      </c>
      <c r="F832" s="6" t="s">
        <v>2978</v>
      </c>
      <c r="G832" s="6" t="s">
        <v>2444</v>
      </c>
      <c r="H832" s="6" t="s">
        <v>3805</v>
      </c>
      <c r="I832" s="6">
        <v>1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</row>
    <row r="833" spans="1:15">
      <c r="A833" s="6" t="s">
        <v>2452</v>
      </c>
      <c r="B833" s="6" t="s">
        <v>1861</v>
      </c>
      <c r="C833" s="6" t="s">
        <v>19</v>
      </c>
      <c r="D833" s="6" t="s">
        <v>3032</v>
      </c>
      <c r="E833" s="6" t="s">
        <v>3806</v>
      </c>
      <c r="F833" s="6" t="s">
        <v>2922</v>
      </c>
      <c r="G833" s="6" t="s">
        <v>2444</v>
      </c>
      <c r="H833" s="6" t="s">
        <v>3807</v>
      </c>
      <c r="I833" s="6">
        <v>1</v>
      </c>
      <c r="J833" s="6">
        <v>0</v>
      </c>
      <c r="K833" s="6">
        <v>0</v>
      </c>
      <c r="L833" s="6">
        <v>0</v>
      </c>
      <c r="M833" s="6">
        <v>0</v>
      </c>
      <c r="N833" s="6">
        <v>1</v>
      </c>
      <c r="O833" s="6">
        <v>1</v>
      </c>
    </row>
    <row r="834" spans="1:15">
      <c r="A834" s="6" t="s">
        <v>2452</v>
      </c>
      <c r="B834" s="6" t="s">
        <v>1861</v>
      </c>
      <c r="C834" s="6" t="s">
        <v>19</v>
      </c>
      <c r="D834" s="6" t="s">
        <v>3808</v>
      </c>
      <c r="E834" s="6" t="s">
        <v>3809</v>
      </c>
      <c r="F834" s="6" t="s">
        <v>3810</v>
      </c>
      <c r="G834" s="6" t="s">
        <v>2444</v>
      </c>
      <c r="H834" s="6" t="s">
        <v>3811</v>
      </c>
      <c r="I834" s="6">
        <v>1</v>
      </c>
      <c r="J834" s="6">
        <v>0</v>
      </c>
      <c r="K834" s="6">
        <v>0</v>
      </c>
      <c r="L834" s="6">
        <v>0</v>
      </c>
      <c r="M834" s="6">
        <v>0</v>
      </c>
      <c r="N834" s="6">
        <v>1</v>
      </c>
      <c r="O834" s="6">
        <v>1</v>
      </c>
    </row>
    <row r="835" spans="1:15">
      <c r="A835" s="6" t="s">
        <v>2452</v>
      </c>
      <c r="B835" s="6" t="s">
        <v>1861</v>
      </c>
      <c r="C835" s="6" t="s">
        <v>19</v>
      </c>
      <c r="D835" s="6" t="s">
        <v>3808</v>
      </c>
      <c r="E835" s="6" t="s">
        <v>3809</v>
      </c>
      <c r="F835" s="6" t="s">
        <v>3812</v>
      </c>
      <c r="G835" s="6" t="s">
        <v>2444</v>
      </c>
      <c r="H835" s="6" t="s">
        <v>3813</v>
      </c>
      <c r="I835" s="6">
        <v>3</v>
      </c>
      <c r="J835" s="6">
        <v>0</v>
      </c>
      <c r="K835" s="6">
        <v>0</v>
      </c>
      <c r="L835" s="6">
        <v>0</v>
      </c>
      <c r="M835" s="6">
        <v>0</v>
      </c>
      <c r="N835" s="6">
        <v>0.5</v>
      </c>
      <c r="O835" s="6">
        <v>0</v>
      </c>
    </row>
    <row r="836" spans="1:15">
      <c r="A836" s="6" t="s">
        <v>2452</v>
      </c>
      <c r="B836" s="6" t="s">
        <v>1861</v>
      </c>
      <c r="C836" s="6" t="s">
        <v>19</v>
      </c>
      <c r="D836" s="6" t="s">
        <v>3808</v>
      </c>
      <c r="E836" s="6" t="s">
        <v>3809</v>
      </c>
      <c r="F836" s="6" t="s">
        <v>3812</v>
      </c>
      <c r="G836" s="6" t="s">
        <v>2444</v>
      </c>
      <c r="H836" s="6" t="s">
        <v>3814</v>
      </c>
      <c r="I836" s="6">
        <v>1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</row>
    <row r="837" spans="1:15">
      <c r="A837" s="6" t="s">
        <v>2452</v>
      </c>
      <c r="B837" s="6" t="s">
        <v>1861</v>
      </c>
      <c r="C837" s="6" t="s">
        <v>19</v>
      </c>
      <c r="D837" s="6" t="s">
        <v>3808</v>
      </c>
      <c r="E837" s="6" t="s">
        <v>3809</v>
      </c>
      <c r="F837" s="6" t="s">
        <v>3815</v>
      </c>
      <c r="G837" s="6" t="s">
        <v>2444</v>
      </c>
      <c r="H837" s="6" t="s">
        <v>3815</v>
      </c>
      <c r="I837" s="6">
        <v>2</v>
      </c>
      <c r="J837" s="6">
        <v>1</v>
      </c>
      <c r="K837" s="6">
        <v>0.5</v>
      </c>
      <c r="L837" s="6">
        <v>0.45</v>
      </c>
      <c r="M837" s="6">
        <v>0.45</v>
      </c>
      <c r="N837" s="6">
        <v>1</v>
      </c>
      <c r="O837" s="6">
        <v>1</v>
      </c>
    </row>
    <row r="838" spans="1:15">
      <c r="A838" s="6" t="s">
        <v>2452</v>
      </c>
      <c r="B838" s="6" t="s">
        <v>1861</v>
      </c>
      <c r="C838" s="6" t="s">
        <v>19</v>
      </c>
      <c r="D838" s="6" t="s">
        <v>3808</v>
      </c>
      <c r="E838" s="6" t="s">
        <v>3816</v>
      </c>
      <c r="F838" s="6" t="s">
        <v>3817</v>
      </c>
      <c r="G838" s="6" t="s">
        <v>2444</v>
      </c>
      <c r="H838" s="6" t="s">
        <v>3818</v>
      </c>
      <c r="I838" s="6">
        <v>3</v>
      </c>
      <c r="J838" s="6">
        <v>0</v>
      </c>
      <c r="K838" s="6">
        <v>0</v>
      </c>
      <c r="L838" s="6">
        <v>0</v>
      </c>
      <c r="M838" s="6">
        <v>0</v>
      </c>
      <c r="N838" s="6">
        <v>0.5</v>
      </c>
      <c r="O838" s="6">
        <v>0</v>
      </c>
    </row>
    <row r="839" spans="1:15">
      <c r="A839" s="6" t="s">
        <v>2452</v>
      </c>
      <c r="B839" s="6" t="s">
        <v>1861</v>
      </c>
      <c r="C839" s="6" t="s">
        <v>19</v>
      </c>
      <c r="D839" s="6" t="s">
        <v>3808</v>
      </c>
      <c r="E839" s="6" t="s">
        <v>3819</v>
      </c>
      <c r="F839" s="6" t="s">
        <v>3820</v>
      </c>
      <c r="G839" s="6" t="s">
        <v>2444</v>
      </c>
      <c r="H839" s="6" t="s">
        <v>3821</v>
      </c>
      <c r="I839" s="6">
        <v>1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</row>
    <row r="840" spans="1:15">
      <c r="A840" s="6" t="s">
        <v>2452</v>
      </c>
      <c r="B840" s="6" t="s">
        <v>1861</v>
      </c>
      <c r="C840" s="6" t="s">
        <v>19</v>
      </c>
      <c r="D840" s="6" t="s">
        <v>3808</v>
      </c>
      <c r="E840" s="6" t="s">
        <v>3819</v>
      </c>
      <c r="F840" s="6" t="s">
        <v>2645</v>
      </c>
      <c r="G840" s="6" t="s">
        <v>2444</v>
      </c>
      <c r="H840" s="6" t="s">
        <v>3822</v>
      </c>
      <c r="I840" s="6">
        <v>4</v>
      </c>
      <c r="J840" s="6">
        <v>0</v>
      </c>
      <c r="K840" s="6">
        <v>0</v>
      </c>
      <c r="L840" s="6">
        <v>0</v>
      </c>
      <c r="M840" s="6">
        <v>0</v>
      </c>
      <c r="N840" s="6">
        <v>0.33329999999999999</v>
      </c>
      <c r="O840" s="6">
        <v>0.33329999999999999</v>
      </c>
    </row>
    <row r="841" spans="1:15">
      <c r="A841" s="6" t="s">
        <v>2452</v>
      </c>
      <c r="B841" s="6" t="s">
        <v>1861</v>
      </c>
      <c r="C841" s="6" t="s">
        <v>19</v>
      </c>
      <c r="D841" s="6" t="s">
        <v>3808</v>
      </c>
      <c r="E841" s="6" t="s">
        <v>3823</v>
      </c>
      <c r="F841" s="6" t="s">
        <v>3613</v>
      </c>
      <c r="G841" s="6" t="s">
        <v>2444</v>
      </c>
      <c r="H841" s="6" t="s">
        <v>3824</v>
      </c>
      <c r="I841" s="6">
        <v>1</v>
      </c>
      <c r="J841" s="6">
        <v>1</v>
      </c>
      <c r="K841" s="6">
        <v>1</v>
      </c>
      <c r="L841" s="6">
        <v>0.62</v>
      </c>
      <c r="M841" s="6">
        <v>0.62</v>
      </c>
      <c r="N841" s="6">
        <v>0</v>
      </c>
      <c r="O841" s="6">
        <v>0</v>
      </c>
    </row>
    <row r="842" spans="1:15">
      <c r="A842" s="6" t="s">
        <v>2452</v>
      </c>
      <c r="B842" s="6" t="s">
        <v>1861</v>
      </c>
      <c r="C842" s="6" t="s">
        <v>19</v>
      </c>
      <c r="D842" s="6" t="s">
        <v>3808</v>
      </c>
      <c r="E842" s="6" t="s">
        <v>3823</v>
      </c>
      <c r="F842" s="6" t="s">
        <v>3825</v>
      </c>
      <c r="G842" s="6" t="s">
        <v>2444</v>
      </c>
      <c r="H842" s="6" t="s">
        <v>3826</v>
      </c>
      <c r="I842" s="6">
        <v>1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</row>
    <row r="843" spans="1:15">
      <c r="A843" s="6" t="s">
        <v>2452</v>
      </c>
      <c r="B843" s="6" t="s">
        <v>1861</v>
      </c>
      <c r="C843" s="6" t="s">
        <v>19</v>
      </c>
      <c r="D843" s="6" t="s">
        <v>3808</v>
      </c>
      <c r="E843" s="6" t="s">
        <v>3823</v>
      </c>
      <c r="F843" s="6" t="s">
        <v>3827</v>
      </c>
      <c r="G843" s="6" t="s">
        <v>2444</v>
      </c>
      <c r="H843" s="6" t="s">
        <v>3828</v>
      </c>
      <c r="I843" s="6">
        <v>1</v>
      </c>
      <c r="J843" s="6">
        <v>0</v>
      </c>
      <c r="K843" s="6">
        <v>0</v>
      </c>
      <c r="L843" s="6">
        <v>0</v>
      </c>
      <c r="M843" s="6">
        <v>0</v>
      </c>
      <c r="N843" s="6">
        <v>1</v>
      </c>
      <c r="O843" s="6">
        <v>1</v>
      </c>
    </row>
    <row r="844" spans="1:15">
      <c r="A844" s="6" t="s">
        <v>2452</v>
      </c>
      <c r="B844" s="6" t="s">
        <v>1861</v>
      </c>
      <c r="C844" s="6" t="s">
        <v>19</v>
      </c>
      <c r="D844" s="6" t="s">
        <v>3808</v>
      </c>
      <c r="E844" s="6" t="s">
        <v>3829</v>
      </c>
      <c r="F844" s="6" t="s">
        <v>3830</v>
      </c>
      <c r="G844" s="6" t="s">
        <v>2444</v>
      </c>
      <c r="H844" s="6" t="s">
        <v>3831</v>
      </c>
      <c r="I844" s="6">
        <v>4</v>
      </c>
      <c r="J844" s="6">
        <v>0</v>
      </c>
      <c r="K844" s="6">
        <v>0</v>
      </c>
      <c r="L844" s="6">
        <v>0</v>
      </c>
      <c r="M844" s="6">
        <v>0</v>
      </c>
      <c r="N844" s="6">
        <v>1</v>
      </c>
      <c r="O844" s="6">
        <v>1</v>
      </c>
    </row>
    <row r="845" spans="1:15">
      <c r="A845" s="6" t="s">
        <v>2452</v>
      </c>
      <c r="B845" s="6" t="s">
        <v>1861</v>
      </c>
      <c r="C845" s="6" t="s">
        <v>19</v>
      </c>
      <c r="D845" s="6" t="s">
        <v>3832</v>
      </c>
      <c r="E845" s="6" t="s">
        <v>3663</v>
      </c>
      <c r="F845" s="6" t="s">
        <v>2987</v>
      </c>
      <c r="G845" s="6" t="s">
        <v>2444</v>
      </c>
      <c r="H845" s="6" t="s">
        <v>3833</v>
      </c>
      <c r="I845" s="6">
        <v>1</v>
      </c>
      <c r="J845" s="6">
        <v>0</v>
      </c>
      <c r="K845" s="6">
        <v>0</v>
      </c>
      <c r="L845" s="6">
        <v>0</v>
      </c>
      <c r="M845" s="6">
        <v>0</v>
      </c>
      <c r="N845" s="6">
        <v>1</v>
      </c>
      <c r="O845" s="6">
        <v>1</v>
      </c>
    </row>
    <row r="846" spans="1:15">
      <c r="A846" s="6" t="s">
        <v>2452</v>
      </c>
      <c r="B846" s="6" t="s">
        <v>1861</v>
      </c>
      <c r="C846" s="6" t="s">
        <v>19</v>
      </c>
      <c r="D846" s="6" t="s">
        <v>3832</v>
      </c>
      <c r="E846" s="6" t="s">
        <v>3834</v>
      </c>
      <c r="F846" s="6" t="s">
        <v>3835</v>
      </c>
      <c r="G846" s="6" t="s">
        <v>2444</v>
      </c>
      <c r="H846" s="6" t="s">
        <v>3836</v>
      </c>
      <c r="I846" s="6">
        <v>1</v>
      </c>
      <c r="J846" s="6">
        <v>0</v>
      </c>
      <c r="K846" s="6">
        <v>0</v>
      </c>
      <c r="L846" s="6">
        <v>0</v>
      </c>
      <c r="M846" s="6">
        <v>0</v>
      </c>
      <c r="N846" s="6">
        <v>1</v>
      </c>
      <c r="O846" s="6">
        <v>1</v>
      </c>
    </row>
    <row r="847" spans="1:15">
      <c r="A847" s="6" t="s">
        <v>2452</v>
      </c>
      <c r="B847" s="6" t="s">
        <v>1861</v>
      </c>
      <c r="C847" s="6" t="s">
        <v>19</v>
      </c>
      <c r="D847" s="6" t="s">
        <v>3832</v>
      </c>
      <c r="E847" s="6" t="s">
        <v>3837</v>
      </c>
      <c r="F847" s="6" t="s">
        <v>3626</v>
      </c>
      <c r="G847" s="6" t="s">
        <v>2444</v>
      </c>
      <c r="H847" s="6" t="s">
        <v>3838</v>
      </c>
      <c r="I847" s="6">
        <v>1</v>
      </c>
      <c r="J847" s="6">
        <v>0</v>
      </c>
      <c r="K847" s="6">
        <v>0</v>
      </c>
      <c r="L847" s="6">
        <v>0</v>
      </c>
      <c r="M847" s="6">
        <v>0</v>
      </c>
      <c r="N847" s="6">
        <v>1</v>
      </c>
      <c r="O847" s="6">
        <v>1</v>
      </c>
    </row>
    <row r="848" spans="1:15">
      <c r="A848" s="6" t="s">
        <v>2452</v>
      </c>
      <c r="B848" s="6" t="s">
        <v>1861</v>
      </c>
      <c r="C848" s="6" t="s">
        <v>19</v>
      </c>
      <c r="D848" s="6" t="s">
        <v>3832</v>
      </c>
      <c r="E848" s="6" t="s">
        <v>3837</v>
      </c>
      <c r="F848" s="6" t="s">
        <v>3626</v>
      </c>
      <c r="G848" s="6" t="s">
        <v>2444</v>
      </c>
      <c r="H848" s="6" t="s">
        <v>3839</v>
      </c>
      <c r="I848" s="6">
        <v>1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</row>
    <row r="849" spans="1:15">
      <c r="A849" s="6" t="s">
        <v>2452</v>
      </c>
      <c r="B849" s="6" t="s">
        <v>1861</v>
      </c>
      <c r="C849" s="6" t="s">
        <v>19</v>
      </c>
      <c r="D849" s="6" t="s">
        <v>3832</v>
      </c>
      <c r="E849" s="6" t="s">
        <v>3837</v>
      </c>
      <c r="F849" s="6" t="s">
        <v>3626</v>
      </c>
      <c r="G849" s="6" t="s">
        <v>2444</v>
      </c>
      <c r="H849" s="6" t="s">
        <v>3840</v>
      </c>
      <c r="I849" s="6">
        <v>1</v>
      </c>
      <c r="J849" s="6">
        <v>0</v>
      </c>
      <c r="K849" s="6">
        <v>0</v>
      </c>
      <c r="L849" s="6">
        <v>0</v>
      </c>
      <c r="M849" s="6">
        <v>0</v>
      </c>
      <c r="N849" s="6">
        <v>1</v>
      </c>
      <c r="O849" s="6">
        <v>0</v>
      </c>
    </row>
    <row r="850" spans="1:15">
      <c r="A850" s="6" t="s">
        <v>2452</v>
      </c>
      <c r="B850" s="6" t="s">
        <v>1861</v>
      </c>
      <c r="C850" s="6" t="s">
        <v>19</v>
      </c>
      <c r="D850" s="6" t="s">
        <v>3832</v>
      </c>
      <c r="E850" s="6" t="s">
        <v>3837</v>
      </c>
      <c r="F850" s="6" t="s">
        <v>3626</v>
      </c>
      <c r="G850" s="6" t="s">
        <v>2444</v>
      </c>
      <c r="H850" s="6" t="s">
        <v>3841</v>
      </c>
      <c r="I850" s="6">
        <v>2</v>
      </c>
      <c r="J850" s="6">
        <v>1</v>
      </c>
      <c r="K850" s="6">
        <v>0.5</v>
      </c>
      <c r="L850" s="6">
        <v>0.9</v>
      </c>
      <c r="M850" s="6">
        <v>0.9</v>
      </c>
      <c r="N850" s="6">
        <v>1</v>
      </c>
      <c r="O850" s="6">
        <v>1</v>
      </c>
    </row>
    <row r="851" spans="1:15">
      <c r="A851" s="6" t="s">
        <v>2452</v>
      </c>
      <c r="B851" s="6" t="s">
        <v>1861</v>
      </c>
      <c r="C851" s="6" t="s">
        <v>19</v>
      </c>
      <c r="D851" s="6" t="s">
        <v>3832</v>
      </c>
      <c r="E851" s="6" t="s">
        <v>3842</v>
      </c>
      <c r="F851" s="6" t="s">
        <v>3843</v>
      </c>
      <c r="G851" s="6" t="s">
        <v>2444</v>
      </c>
      <c r="H851" s="6" t="s">
        <v>3844</v>
      </c>
      <c r="I851" s="6">
        <v>1</v>
      </c>
      <c r="J851" s="6">
        <v>0</v>
      </c>
      <c r="K851" s="6">
        <v>0</v>
      </c>
      <c r="L851" s="6">
        <v>0</v>
      </c>
      <c r="M851" s="6">
        <v>0</v>
      </c>
      <c r="N851" s="6">
        <v>1</v>
      </c>
      <c r="O851" s="6">
        <v>0</v>
      </c>
    </row>
    <row r="852" spans="1:15">
      <c r="A852" s="6" t="s">
        <v>2452</v>
      </c>
      <c r="B852" s="6" t="s">
        <v>1861</v>
      </c>
      <c r="C852" s="6" t="s">
        <v>19</v>
      </c>
      <c r="D852" s="6" t="s">
        <v>3832</v>
      </c>
      <c r="E852" s="6" t="s">
        <v>3842</v>
      </c>
      <c r="F852" s="6" t="s">
        <v>3843</v>
      </c>
      <c r="G852" s="6" t="s">
        <v>2444</v>
      </c>
      <c r="H852" s="6" t="s">
        <v>3845</v>
      </c>
      <c r="I852" s="6">
        <v>4</v>
      </c>
      <c r="J852" s="6">
        <v>1</v>
      </c>
      <c r="K852" s="6">
        <v>0.25</v>
      </c>
      <c r="L852" s="6">
        <v>0.89</v>
      </c>
      <c r="M852" s="6">
        <v>0.89</v>
      </c>
      <c r="N852" s="6">
        <v>1</v>
      </c>
      <c r="O852" s="6">
        <v>1</v>
      </c>
    </row>
    <row r="853" spans="1:15">
      <c r="A853" s="6" t="s">
        <v>2452</v>
      </c>
      <c r="B853" s="6" t="s">
        <v>1861</v>
      </c>
      <c r="C853" s="6" t="s">
        <v>19</v>
      </c>
      <c r="D853" s="6" t="s">
        <v>3832</v>
      </c>
      <c r="E853" s="6" t="s">
        <v>2938</v>
      </c>
      <c r="F853" s="6" t="s">
        <v>3846</v>
      </c>
      <c r="G853" s="6" t="s">
        <v>2444</v>
      </c>
      <c r="H853" s="6" t="s">
        <v>3847</v>
      </c>
      <c r="I853" s="6">
        <v>1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</row>
    <row r="854" spans="1:15">
      <c r="A854" s="6" t="s">
        <v>2452</v>
      </c>
      <c r="B854" s="6" t="s">
        <v>1861</v>
      </c>
      <c r="C854" s="6" t="s">
        <v>19</v>
      </c>
      <c r="D854" s="6" t="s">
        <v>3832</v>
      </c>
      <c r="E854" s="6" t="s">
        <v>2938</v>
      </c>
      <c r="F854" s="6" t="s">
        <v>3846</v>
      </c>
      <c r="G854" s="6" t="s">
        <v>2444</v>
      </c>
      <c r="H854" s="6" t="s">
        <v>3848</v>
      </c>
      <c r="I854" s="6">
        <v>1</v>
      </c>
      <c r="J854" s="6">
        <v>0</v>
      </c>
      <c r="K854" s="6">
        <v>0</v>
      </c>
      <c r="L854" s="6">
        <v>0</v>
      </c>
      <c r="M854" s="6">
        <v>0</v>
      </c>
      <c r="N854" s="6">
        <v>1</v>
      </c>
      <c r="O854" s="6">
        <v>1</v>
      </c>
    </row>
    <row r="855" spans="1:15">
      <c r="A855" s="6" t="s">
        <v>2452</v>
      </c>
      <c r="B855" s="6" t="s">
        <v>1861</v>
      </c>
      <c r="C855" s="6" t="s">
        <v>19</v>
      </c>
      <c r="D855" s="6" t="s">
        <v>3832</v>
      </c>
      <c r="E855" s="6" t="s">
        <v>3284</v>
      </c>
      <c r="F855" s="6" t="s">
        <v>3849</v>
      </c>
      <c r="G855" s="6" t="s">
        <v>2444</v>
      </c>
      <c r="H855" s="6" t="s">
        <v>3850</v>
      </c>
      <c r="I855" s="6">
        <v>1</v>
      </c>
      <c r="J855" s="6">
        <v>0</v>
      </c>
      <c r="K855" s="6">
        <v>0</v>
      </c>
      <c r="L855" s="6">
        <v>0</v>
      </c>
      <c r="M855" s="6">
        <v>0</v>
      </c>
      <c r="N855" s="6">
        <v>1</v>
      </c>
      <c r="O855" s="6">
        <v>1</v>
      </c>
    </row>
    <row r="856" spans="1:15">
      <c r="A856" s="6" t="s">
        <v>2452</v>
      </c>
      <c r="B856" s="6" t="s">
        <v>1861</v>
      </c>
      <c r="C856" s="6" t="s">
        <v>19</v>
      </c>
      <c r="D856" s="6" t="s">
        <v>3832</v>
      </c>
      <c r="E856" s="6" t="s">
        <v>3284</v>
      </c>
      <c r="F856" s="6" t="s">
        <v>3419</v>
      </c>
      <c r="G856" s="6" t="s">
        <v>2444</v>
      </c>
      <c r="H856" s="6" t="s">
        <v>3851</v>
      </c>
      <c r="I856" s="6">
        <v>1</v>
      </c>
      <c r="J856" s="6">
        <v>0</v>
      </c>
      <c r="K856" s="6">
        <v>0</v>
      </c>
      <c r="L856" s="6">
        <v>0</v>
      </c>
      <c r="M856" s="6">
        <v>0</v>
      </c>
      <c r="N856" s="6">
        <v>1</v>
      </c>
      <c r="O856" s="6">
        <v>1</v>
      </c>
    </row>
    <row r="857" spans="1:15">
      <c r="A857" s="6" t="s">
        <v>2452</v>
      </c>
      <c r="B857" s="6" t="s">
        <v>1861</v>
      </c>
      <c r="C857" s="6" t="s">
        <v>19</v>
      </c>
      <c r="D857" s="6" t="s">
        <v>3832</v>
      </c>
      <c r="E857" s="6" t="s">
        <v>3852</v>
      </c>
      <c r="F857" s="6" t="s">
        <v>3853</v>
      </c>
      <c r="G857" s="6" t="s">
        <v>2444</v>
      </c>
      <c r="H857" s="6" t="s">
        <v>3854</v>
      </c>
      <c r="I857" s="6">
        <v>2</v>
      </c>
      <c r="J857" s="6">
        <v>0</v>
      </c>
      <c r="K857" s="6">
        <v>0</v>
      </c>
      <c r="L857" s="6">
        <v>0</v>
      </c>
      <c r="M857" s="6">
        <v>0</v>
      </c>
      <c r="N857" s="6">
        <v>1</v>
      </c>
      <c r="O857" s="6">
        <v>0</v>
      </c>
    </row>
    <row r="858" spans="1:15">
      <c r="A858" s="6" t="s">
        <v>2452</v>
      </c>
      <c r="B858" s="6" t="s">
        <v>1861</v>
      </c>
      <c r="C858" s="6" t="s">
        <v>19</v>
      </c>
      <c r="D858" s="6" t="s">
        <v>3855</v>
      </c>
      <c r="E858" s="6" t="s">
        <v>3856</v>
      </c>
      <c r="F858" s="6" t="s">
        <v>3857</v>
      </c>
      <c r="G858" s="6" t="s">
        <v>2444</v>
      </c>
      <c r="H858" s="6" t="s">
        <v>3857</v>
      </c>
      <c r="I858" s="6">
        <v>2</v>
      </c>
      <c r="J858" s="6">
        <v>0</v>
      </c>
      <c r="K858" s="6">
        <v>0</v>
      </c>
      <c r="L858" s="6">
        <v>0</v>
      </c>
      <c r="M858" s="6">
        <v>0</v>
      </c>
      <c r="N858" s="6">
        <v>1</v>
      </c>
      <c r="O858" s="6">
        <v>1</v>
      </c>
    </row>
    <row r="859" spans="1:15">
      <c r="A859" s="6" t="s">
        <v>2452</v>
      </c>
      <c r="B859" s="6" t="s">
        <v>1861</v>
      </c>
      <c r="C859" s="6" t="s">
        <v>19</v>
      </c>
      <c r="D859" s="6" t="s">
        <v>3855</v>
      </c>
      <c r="E859" s="6" t="s">
        <v>3856</v>
      </c>
      <c r="F859" s="6" t="s">
        <v>3858</v>
      </c>
      <c r="G859" s="6" t="s">
        <v>2444</v>
      </c>
      <c r="H859" s="6" t="s">
        <v>3859</v>
      </c>
      <c r="I859" s="6">
        <v>1</v>
      </c>
      <c r="J859" s="6">
        <v>0</v>
      </c>
      <c r="K859" s="6">
        <v>0</v>
      </c>
      <c r="L859" s="6">
        <v>0</v>
      </c>
      <c r="M859" s="6">
        <v>0</v>
      </c>
      <c r="N859" s="6">
        <v>1</v>
      </c>
      <c r="O859" s="6">
        <v>1</v>
      </c>
    </row>
    <row r="860" spans="1:15">
      <c r="A860" s="6" t="s">
        <v>2452</v>
      </c>
      <c r="B860" s="6" t="s">
        <v>1861</v>
      </c>
      <c r="C860" s="6" t="s">
        <v>19</v>
      </c>
      <c r="D860" s="6" t="s">
        <v>3855</v>
      </c>
      <c r="E860" s="6" t="s">
        <v>2806</v>
      </c>
      <c r="F860" s="6" t="s">
        <v>3860</v>
      </c>
      <c r="G860" s="6" t="s">
        <v>2444</v>
      </c>
      <c r="H860" s="6" t="s">
        <v>3861</v>
      </c>
      <c r="I860" s="6">
        <v>2</v>
      </c>
      <c r="J860" s="6">
        <v>1</v>
      </c>
      <c r="K860" s="6">
        <v>0.5</v>
      </c>
      <c r="L860" s="6">
        <v>0.88</v>
      </c>
      <c r="M860" s="6">
        <v>0.88</v>
      </c>
      <c r="N860" s="6">
        <v>1</v>
      </c>
      <c r="O860" s="6">
        <v>1</v>
      </c>
    </row>
    <row r="861" spans="1:15">
      <c r="A861" s="6" t="s">
        <v>2452</v>
      </c>
      <c r="B861" s="6" t="s">
        <v>1861</v>
      </c>
      <c r="C861" s="6" t="s">
        <v>19</v>
      </c>
      <c r="D861" s="6" t="s">
        <v>3862</v>
      </c>
      <c r="E861" s="6" t="s">
        <v>3863</v>
      </c>
      <c r="F861" s="6" t="s">
        <v>3864</v>
      </c>
      <c r="G861" s="6" t="s">
        <v>2444</v>
      </c>
      <c r="H861" s="6" t="s">
        <v>3864</v>
      </c>
      <c r="I861" s="6">
        <v>4</v>
      </c>
      <c r="J861" s="6">
        <v>1</v>
      </c>
      <c r="K861" s="6">
        <v>0.25</v>
      </c>
      <c r="L861" s="6">
        <v>0.45</v>
      </c>
      <c r="M861" s="6">
        <v>0.45</v>
      </c>
      <c r="N861" s="6">
        <v>1</v>
      </c>
      <c r="O861" s="6">
        <v>1</v>
      </c>
    </row>
    <row r="862" spans="1:15">
      <c r="A862" s="6" t="s">
        <v>2452</v>
      </c>
      <c r="B862" s="6" t="s">
        <v>1861</v>
      </c>
      <c r="C862" s="6" t="s">
        <v>19</v>
      </c>
      <c r="D862" s="6" t="s">
        <v>3862</v>
      </c>
      <c r="E862" s="6" t="s">
        <v>3865</v>
      </c>
      <c r="F862" s="6" t="s">
        <v>3866</v>
      </c>
      <c r="G862" s="6" t="s">
        <v>2444</v>
      </c>
      <c r="H862" s="6" t="s">
        <v>3867</v>
      </c>
      <c r="I862" s="6">
        <v>1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</row>
    <row r="863" spans="1:15">
      <c r="A863" s="6" t="s">
        <v>2452</v>
      </c>
      <c r="B863" s="6" t="s">
        <v>1861</v>
      </c>
      <c r="C863" s="6" t="s">
        <v>19</v>
      </c>
      <c r="D863" s="6" t="s">
        <v>3862</v>
      </c>
      <c r="E863" s="6" t="s">
        <v>3865</v>
      </c>
      <c r="F863" s="6" t="s">
        <v>3868</v>
      </c>
      <c r="G863" s="6" t="s">
        <v>2444</v>
      </c>
      <c r="H863" s="6" t="s">
        <v>3869</v>
      </c>
      <c r="I863" s="6">
        <v>3</v>
      </c>
      <c r="J863" s="6">
        <v>0</v>
      </c>
      <c r="K863" s="6">
        <v>0</v>
      </c>
      <c r="L863" s="6">
        <v>0</v>
      </c>
      <c r="M863" s="6">
        <v>0</v>
      </c>
      <c r="N863" s="6">
        <v>1</v>
      </c>
      <c r="O863" s="6">
        <v>1</v>
      </c>
    </row>
    <row r="864" spans="1:15">
      <c r="A864" s="6" t="s">
        <v>2452</v>
      </c>
      <c r="B864" s="6" t="s">
        <v>1861</v>
      </c>
      <c r="C864" s="6" t="s">
        <v>19</v>
      </c>
      <c r="D864" s="6" t="s">
        <v>3862</v>
      </c>
      <c r="E864" s="6" t="s">
        <v>3870</v>
      </c>
      <c r="F864" s="6" t="s">
        <v>3871</v>
      </c>
      <c r="G864" s="6" t="s">
        <v>2444</v>
      </c>
      <c r="H864" s="6" t="s">
        <v>3872</v>
      </c>
      <c r="I864" s="6">
        <v>1</v>
      </c>
      <c r="J864" s="6">
        <v>0</v>
      </c>
      <c r="K864" s="6">
        <v>0</v>
      </c>
      <c r="L864" s="6">
        <v>0</v>
      </c>
      <c r="M864" s="6">
        <v>0</v>
      </c>
      <c r="N864" s="6">
        <v>1</v>
      </c>
      <c r="O864" s="6">
        <v>1</v>
      </c>
    </row>
    <row r="865" spans="1:15">
      <c r="A865" s="6" t="s">
        <v>2452</v>
      </c>
      <c r="B865" s="6" t="s">
        <v>1861</v>
      </c>
      <c r="C865" s="6" t="s">
        <v>19</v>
      </c>
      <c r="D865" s="6" t="s">
        <v>3862</v>
      </c>
      <c r="E865" s="6" t="s">
        <v>3870</v>
      </c>
      <c r="F865" s="6" t="s">
        <v>3873</v>
      </c>
      <c r="G865" s="6" t="s">
        <v>2444</v>
      </c>
      <c r="H865" s="6" t="s">
        <v>3874</v>
      </c>
      <c r="I865" s="6">
        <v>1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</row>
    <row r="866" spans="1:15">
      <c r="A866" s="6" t="s">
        <v>2452</v>
      </c>
      <c r="B866" s="6" t="s">
        <v>1861</v>
      </c>
      <c r="C866" s="6" t="s">
        <v>19</v>
      </c>
      <c r="D866" s="6" t="s">
        <v>3862</v>
      </c>
      <c r="E866" s="6" t="s">
        <v>3870</v>
      </c>
      <c r="F866" s="6" t="s">
        <v>3875</v>
      </c>
      <c r="G866" s="6" t="s">
        <v>2444</v>
      </c>
      <c r="H866" s="6" t="s">
        <v>3876</v>
      </c>
      <c r="I866" s="6">
        <v>1</v>
      </c>
      <c r="J866" s="6">
        <v>0</v>
      </c>
      <c r="K866" s="6">
        <v>0</v>
      </c>
      <c r="L866" s="6">
        <v>0</v>
      </c>
      <c r="M866" s="6">
        <v>0</v>
      </c>
      <c r="N866" s="6">
        <v>1</v>
      </c>
      <c r="O866" s="6">
        <v>1</v>
      </c>
    </row>
    <row r="867" spans="1:15">
      <c r="A867" s="6" t="s">
        <v>2452</v>
      </c>
      <c r="B867" s="6" t="s">
        <v>1861</v>
      </c>
      <c r="C867" s="6" t="s">
        <v>19</v>
      </c>
      <c r="D867" s="6" t="s">
        <v>3862</v>
      </c>
      <c r="E867" s="6" t="s">
        <v>3870</v>
      </c>
      <c r="F867" s="6" t="s">
        <v>3877</v>
      </c>
      <c r="G867" s="6" t="s">
        <v>2444</v>
      </c>
      <c r="H867" s="6" t="s">
        <v>3878</v>
      </c>
      <c r="I867" s="6">
        <v>1</v>
      </c>
      <c r="J867" s="6">
        <v>0</v>
      </c>
      <c r="K867" s="6">
        <v>0</v>
      </c>
      <c r="L867" s="6">
        <v>0</v>
      </c>
      <c r="M867" s="6">
        <v>0</v>
      </c>
      <c r="N867" s="6">
        <v>1</v>
      </c>
      <c r="O867" s="6">
        <v>1</v>
      </c>
    </row>
    <row r="868" spans="1:15">
      <c r="A868" s="6" t="s">
        <v>2452</v>
      </c>
      <c r="B868" s="6" t="s">
        <v>1861</v>
      </c>
      <c r="C868" s="6" t="s">
        <v>19</v>
      </c>
      <c r="D868" s="6" t="s">
        <v>3862</v>
      </c>
      <c r="E868" s="6" t="s">
        <v>3870</v>
      </c>
      <c r="F868" s="6" t="s">
        <v>2820</v>
      </c>
      <c r="G868" s="6" t="s">
        <v>2444</v>
      </c>
      <c r="H868" s="6" t="s">
        <v>3879</v>
      </c>
      <c r="I868" s="6">
        <v>1</v>
      </c>
      <c r="J868" s="6">
        <v>0</v>
      </c>
      <c r="K868" s="6">
        <v>0</v>
      </c>
      <c r="L868" s="6">
        <v>0</v>
      </c>
      <c r="M868" s="6">
        <v>0</v>
      </c>
      <c r="N868" s="6">
        <v>1</v>
      </c>
      <c r="O868" s="6">
        <v>1</v>
      </c>
    </row>
    <row r="869" spans="1:15">
      <c r="A869" s="6" t="s">
        <v>2452</v>
      </c>
      <c r="B869" s="6" t="s">
        <v>1861</v>
      </c>
      <c r="C869" s="6" t="s">
        <v>19</v>
      </c>
      <c r="D869" s="6" t="s">
        <v>3862</v>
      </c>
      <c r="E869" s="6" t="s">
        <v>3870</v>
      </c>
      <c r="F869" s="6" t="s">
        <v>2820</v>
      </c>
      <c r="G869" s="6" t="s">
        <v>2444</v>
      </c>
      <c r="H869" s="6" t="s">
        <v>3880</v>
      </c>
      <c r="I869" s="6">
        <v>1</v>
      </c>
      <c r="J869" s="6">
        <v>0</v>
      </c>
      <c r="K869" s="6">
        <v>0</v>
      </c>
      <c r="L869" s="6">
        <v>0</v>
      </c>
      <c r="M869" s="6">
        <v>0</v>
      </c>
      <c r="N869" s="6">
        <v>1</v>
      </c>
      <c r="O869" s="6">
        <v>1</v>
      </c>
    </row>
    <row r="870" spans="1:15">
      <c r="A870" s="6" t="s">
        <v>2452</v>
      </c>
      <c r="B870" s="6" t="s">
        <v>1861</v>
      </c>
      <c r="C870" s="6" t="s">
        <v>19</v>
      </c>
      <c r="D870" s="6" t="s">
        <v>3862</v>
      </c>
      <c r="E870" s="6" t="s">
        <v>3870</v>
      </c>
      <c r="F870" s="6" t="s">
        <v>2820</v>
      </c>
      <c r="G870" s="6" t="s">
        <v>2444</v>
      </c>
      <c r="H870" s="6" t="s">
        <v>3881</v>
      </c>
      <c r="I870" s="6">
        <v>1</v>
      </c>
      <c r="J870" s="6">
        <v>0</v>
      </c>
      <c r="K870" s="6">
        <v>0</v>
      </c>
      <c r="L870" s="6">
        <v>0</v>
      </c>
      <c r="M870" s="6">
        <v>0</v>
      </c>
      <c r="N870" s="6">
        <v>1</v>
      </c>
      <c r="O870" s="6">
        <v>1</v>
      </c>
    </row>
    <row r="871" spans="1:15">
      <c r="A871" s="6" t="s">
        <v>2452</v>
      </c>
      <c r="B871" s="6" t="s">
        <v>1861</v>
      </c>
      <c r="C871" s="6" t="s">
        <v>19</v>
      </c>
      <c r="D871" s="6" t="s">
        <v>3862</v>
      </c>
      <c r="E871" s="6" t="s">
        <v>3870</v>
      </c>
      <c r="F871" s="6" t="s">
        <v>2820</v>
      </c>
      <c r="G871" s="6" t="s">
        <v>2444</v>
      </c>
      <c r="H871" s="6" t="s">
        <v>3882</v>
      </c>
      <c r="I871" s="6">
        <v>1</v>
      </c>
      <c r="J871" s="6">
        <v>0</v>
      </c>
      <c r="K871" s="6">
        <v>0</v>
      </c>
      <c r="L871" s="6">
        <v>0</v>
      </c>
      <c r="M871" s="6">
        <v>0</v>
      </c>
      <c r="N871" s="6">
        <v>1</v>
      </c>
      <c r="O871" s="6">
        <v>1</v>
      </c>
    </row>
    <row r="872" spans="1:15">
      <c r="A872" s="6" t="s">
        <v>2452</v>
      </c>
      <c r="B872" s="6" t="s">
        <v>1861</v>
      </c>
      <c r="C872" s="6" t="s">
        <v>19</v>
      </c>
      <c r="D872" s="6" t="s">
        <v>3862</v>
      </c>
      <c r="E872" s="6" t="s">
        <v>3883</v>
      </c>
      <c r="F872" s="6" t="s">
        <v>3884</v>
      </c>
      <c r="G872" s="6" t="s">
        <v>2444</v>
      </c>
      <c r="H872" s="6" t="s">
        <v>3885</v>
      </c>
      <c r="I872" s="6">
        <v>1</v>
      </c>
      <c r="J872" s="6">
        <v>0</v>
      </c>
      <c r="K872" s="6">
        <v>0</v>
      </c>
      <c r="L872" s="6">
        <v>0</v>
      </c>
      <c r="M872" s="6">
        <v>0</v>
      </c>
      <c r="N872" s="6">
        <v>1</v>
      </c>
      <c r="O872" s="6">
        <v>0</v>
      </c>
    </row>
    <row r="873" spans="1:15">
      <c r="A873" s="6" t="s">
        <v>2452</v>
      </c>
      <c r="B873" s="6" t="s">
        <v>1861</v>
      </c>
      <c r="C873" s="6" t="s">
        <v>19</v>
      </c>
      <c r="D873" s="6" t="s">
        <v>3110</v>
      </c>
      <c r="E873" s="6" t="s">
        <v>3116</v>
      </c>
      <c r="F873" s="6" t="s">
        <v>3886</v>
      </c>
      <c r="G873" s="6" t="s">
        <v>2444</v>
      </c>
      <c r="H873" s="6" t="s">
        <v>3887</v>
      </c>
      <c r="I873" s="6">
        <v>2</v>
      </c>
      <c r="J873" s="6">
        <v>0</v>
      </c>
      <c r="K873" s="6">
        <v>0</v>
      </c>
      <c r="L873" s="6">
        <v>0</v>
      </c>
      <c r="M873" s="6">
        <v>0</v>
      </c>
      <c r="N873" s="6">
        <v>1</v>
      </c>
      <c r="O873" s="6">
        <v>0</v>
      </c>
    </row>
    <row r="874" spans="1:15">
      <c r="A874" s="6" t="s">
        <v>2452</v>
      </c>
      <c r="B874" s="6" t="s">
        <v>1861</v>
      </c>
      <c r="C874" s="6" t="s">
        <v>19</v>
      </c>
      <c r="D874" s="6" t="s">
        <v>3110</v>
      </c>
      <c r="E874" s="6" t="s">
        <v>3116</v>
      </c>
      <c r="F874" s="6" t="s">
        <v>3123</v>
      </c>
      <c r="G874" s="6" t="s">
        <v>2444</v>
      </c>
      <c r="H874" s="6" t="s">
        <v>3888</v>
      </c>
      <c r="I874" s="6">
        <v>1</v>
      </c>
      <c r="J874" s="6">
        <v>0</v>
      </c>
      <c r="K874" s="6">
        <v>0</v>
      </c>
      <c r="L874" s="6">
        <v>0</v>
      </c>
      <c r="M874" s="6">
        <v>0</v>
      </c>
      <c r="N874" s="6">
        <v>1</v>
      </c>
      <c r="O874" s="6">
        <v>1</v>
      </c>
    </row>
    <row r="875" spans="1:15">
      <c r="A875" s="6" t="s">
        <v>2452</v>
      </c>
      <c r="B875" s="6" t="s">
        <v>1861</v>
      </c>
      <c r="C875" s="6" t="s">
        <v>19</v>
      </c>
      <c r="D875" s="6" t="s">
        <v>3110</v>
      </c>
      <c r="E875" s="6" t="s">
        <v>3129</v>
      </c>
      <c r="F875" s="6" t="s">
        <v>3889</v>
      </c>
      <c r="G875" s="6" t="s">
        <v>2444</v>
      </c>
      <c r="H875" s="6" t="s">
        <v>3890</v>
      </c>
      <c r="I875" s="6">
        <v>2</v>
      </c>
      <c r="J875" s="6">
        <v>0</v>
      </c>
      <c r="K875" s="6">
        <v>0</v>
      </c>
      <c r="L875" s="6">
        <v>0</v>
      </c>
      <c r="M875" s="6">
        <v>0</v>
      </c>
      <c r="N875" s="6">
        <v>1</v>
      </c>
      <c r="O875" s="6">
        <v>0</v>
      </c>
    </row>
    <row r="876" spans="1:15">
      <c r="A876" s="6" t="s">
        <v>2452</v>
      </c>
      <c r="B876" s="6" t="s">
        <v>1861</v>
      </c>
      <c r="C876" s="6" t="s">
        <v>19</v>
      </c>
      <c r="D876" s="6" t="s">
        <v>3110</v>
      </c>
      <c r="E876" s="6" t="s">
        <v>2619</v>
      </c>
      <c r="F876" s="6" t="s">
        <v>3891</v>
      </c>
      <c r="G876" s="6" t="s">
        <v>2444</v>
      </c>
      <c r="H876" s="6" t="s">
        <v>3892</v>
      </c>
      <c r="I876" s="6">
        <v>6</v>
      </c>
      <c r="J876" s="6">
        <v>2</v>
      </c>
      <c r="K876" s="6">
        <v>0.33329999999999999</v>
      </c>
      <c r="L876" s="6">
        <v>0.88</v>
      </c>
      <c r="M876" s="6">
        <v>1.76</v>
      </c>
      <c r="N876" s="6">
        <v>1</v>
      </c>
      <c r="O876" s="6">
        <v>1</v>
      </c>
    </row>
    <row r="877" spans="1:15">
      <c r="A877" s="6" t="s">
        <v>2452</v>
      </c>
      <c r="B877" s="6" t="s">
        <v>1861</v>
      </c>
      <c r="C877" s="6" t="s">
        <v>19</v>
      </c>
      <c r="D877" s="6" t="s">
        <v>3110</v>
      </c>
      <c r="E877" s="6" t="s">
        <v>2619</v>
      </c>
      <c r="F877" s="6" t="s">
        <v>3893</v>
      </c>
      <c r="G877" s="6" t="s">
        <v>2444</v>
      </c>
      <c r="H877" s="6" t="s">
        <v>3894</v>
      </c>
      <c r="I877" s="6">
        <v>1</v>
      </c>
      <c r="J877" s="6">
        <v>0</v>
      </c>
      <c r="K877" s="6">
        <v>0</v>
      </c>
      <c r="L877" s="6">
        <v>0</v>
      </c>
      <c r="M877" s="6">
        <v>0</v>
      </c>
      <c r="N877" s="6">
        <v>1</v>
      </c>
      <c r="O877" s="6">
        <v>1</v>
      </c>
    </row>
    <row r="878" spans="1:15">
      <c r="A878" s="6" t="s">
        <v>2452</v>
      </c>
      <c r="B878" s="6" t="s">
        <v>1861</v>
      </c>
      <c r="C878" s="6" t="s">
        <v>19</v>
      </c>
      <c r="D878" s="6" t="s">
        <v>3110</v>
      </c>
      <c r="E878" s="6" t="s">
        <v>2619</v>
      </c>
      <c r="F878" s="6" t="s">
        <v>3140</v>
      </c>
      <c r="G878" s="6" t="s">
        <v>2444</v>
      </c>
      <c r="H878" s="6" t="s">
        <v>3895</v>
      </c>
      <c r="I878" s="6">
        <v>1</v>
      </c>
      <c r="J878" s="6">
        <v>0</v>
      </c>
      <c r="K878" s="6">
        <v>0</v>
      </c>
      <c r="L878" s="6">
        <v>0</v>
      </c>
      <c r="M878" s="6">
        <v>0</v>
      </c>
      <c r="N878" s="6">
        <v>1</v>
      </c>
      <c r="O878" s="6">
        <v>1</v>
      </c>
    </row>
    <row r="879" spans="1:15">
      <c r="A879" s="6" t="s">
        <v>2452</v>
      </c>
      <c r="B879" s="6" t="s">
        <v>1861</v>
      </c>
      <c r="C879" s="6" t="s">
        <v>19</v>
      </c>
      <c r="D879" s="6" t="s">
        <v>3110</v>
      </c>
      <c r="E879" s="6" t="s">
        <v>2619</v>
      </c>
      <c r="F879" s="6" t="s">
        <v>3140</v>
      </c>
      <c r="G879" s="6" t="s">
        <v>2444</v>
      </c>
      <c r="H879" s="6" t="s">
        <v>3896</v>
      </c>
      <c r="I879" s="6">
        <v>1</v>
      </c>
      <c r="J879" s="6">
        <v>0</v>
      </c>
      <c r="K879" s="6">
        <v>0</v>
      </c>
      <c r="L879" s="6">
        <v>0</v>
      </c>
      <c r="M879" s="6">
        <v>0</v>
      </c>
      <c r="N879" s="6">
        <v>1</v>
      </c>
      <c r="O879" s="6">
        <v>1</v>
      </c>
    </row>
    <row r="880" spans="1:15">
      <c r="A880" s="6" t="s">
        <v>2452</v>
      </c>
      <c r="B880" s="6" t="s">
        <v>1861</v>
      </c>
      <c r="C880" s="6" t="s">
        <v>19</v>
      </c>
      <c r="D880" s="6" t="s">
        <v>3110</v>
      </c>
      <c r="E880" s="6" t="s">
        <v>2619</v>
      </c>
      <c r="F880" s="6" t="s">
        <v>3140</v>
      </c>
      <c r="G880" s="6" t="s">
        <v>2444</v>
      </c>
      <c r="H880" s="6" t="s">
        <v>3897</v>
      </c>
      <c r="I880" s="6">
        <v>1</v>
      </c>
      <c r="J880" s="6">
        <v>1</v>
      </c>
      <c r="K880" s="6">
        <v>1</v>
      </c>
      <c r="L880" s="6">
        <v>0.71</v>
      </c>
      <c r="M880" s="6">
        <v>0.71</v>
      </c>
      <c r="N880" s="6">
        <v>1</v>
      </c>
      <c r="O880" s="6">
        <v>1</v>
      </c>
    </row>
    <row r="881" spans="1:15">
      <c r="A881" s="6" t="s">
        <v>2452</v>
      </c>
      <c r="B881" s="6" t="s">
        <v>1861</v>
      </c>
      <c r="C881" s="6" t="s">
        <v>19</v>
      </c>
      <c r="D881" s="6" t="s">
        <v>3110</v>
      </c>
      <c r="E881" s="6" t="s">
        <v>3152</v>
      </c>
      <c r="F881" s="6" t="s">
        <v>3898</v>
      </c>
      <c r="G881" s="6" t="s">
        <v>2444</v>
      </c>
      <c r="H881" s="6" t="s">
        <v>3899</v>
      </c>
      <c r="I881" s="6">
        <v>1</v>
      </c>
      <c r="J881" s="6">
        <v>0</v>
      </c>
      <c r="K881" s="6">
        <v>0</v>
      </c>
      <c r="L881" s="6">
        <v>0</v>
      </c>
      <c r="M881" s="6">
        <v>0</v>
      </c>
      <c r="N881" s="6">
        <v>1</v>
      </c>
      <c r="O881" s="6">
        <v>1</v>
      </c>
    </row>
    <row r="882" spans="1:15">
      <c r="A882" s="6" t="s">
        <v>2452</v>
      </c>
      <c r="B882" s="6" t="s">
        <v>1861</v>
      </c>
      <c r="C882" s="6" t="s">
        <v>19</v>
      </c>
      <c r="D882" s="6" t="s">
        <v>3110</v>
      </c>
      <c r="E882" s="6" t="s">
        <v>3152</v>
      </c>
      <c r="F882" s="6" t="s">
        <v>3161</v>
      </c>
      <c r="G882" s="6" t="s">
        <v>2444</v>
      </c>
      <c r="H882" s="6" t="s">
        <v>3900</v>
      </c>
      <c r="I882" s="6">
        <v>4</v>
      </c>
      <c r="J882" s="6">
        <v>1</v>
      </c>
      <c r="K882" s="6">
        <v>0.25</v>
      </c>
      <c r="L882" s="6">
        <v>1</v>
      </c>
      <c r="M882" s="6">
        <v>1</v>
      </c>
      <c r="N882" s="6">
        <v>1</v>
      </c>
      <c r="O882" s="6">
        <v>1</v>
      </c>
    </row>
    <row r="883" spans="1:15">
      <c r="A883" s="6" t="s">
        <v>2452</v>
      </c>
      <c r="B883" s="6" t="s">
        <v>1861</v>
      </c>
      <c r="C883" s="6" t="s">
        <v>19</v>
      </c>
      <c r="D883" s="6" t="s">
        <v>3110</v>
      </c>
      <c r="E883" s="6" t="s">
        <v>3152</v>
      </c>
      <c r="F883" s="6" t="s">
        <v>3161</v>
      </c>
      <c r="G883" s="6" t="s">
        <v>2444</v>
      </c>
      <c r="H883" s="6" t="s">
        <v>3901</v>
      </c>
      <c r="I883" s="6">
        <v>1</v>
      </c>
      <c r="J883" s="6">
        <v>0</v>
      </c>
      <c r="K883" s="6">
        <v>0</v>
      </c>
      <c r="L883" s="6">
        <v>0</v>
      </c>
      <c r="M883" s="6">
        <v>0</v>
      </c>
      <c r="N883" s="6">
        <v>1</v>
      </c>
      <c r="O883" s="6">
        <v>0</v>
      </c>
    </row>
    <row r="884" spans="1:15">
      <c r="A884" s="6" t="s">
        <v>2452</v>
      </c>
      <c r="B884" s="6" t="s">
        <v>1861</v>
      </c>
      <c r="C884" s="6" t="s">
        <v>19</v>
      </c>
      <c r="D884" s="6" t="s">
        <v>3110</v>
      </c>
      <c r="E884" s="6" t="s">
        <v>3152</v>
      </c>
      <c r="F884" s="6" t="s">
        <v>3161</v>
      </c>
      <c r="G884" s="6" t="s">
        <v>2444</v>
      </c>
      <c r="H884" s="6" t="s">
        <v>3902</v>
      </c>
      <c r="I884" s="6">
        <v>2</v>
      </c>
      <c r="J884" s="6">
        <v>0</v>
      </c>
      <c r="K884" s="6">
        <v>0</v>
      </c>
      <c r="L884" s="6">
        <v>0</v>
      </c>
      <c r="M884" s="6">
        <v>0</v>
      </c>
      <c r="N884" s="6">
        <v>1</v>
      </c>
      <c r="O884" s="6">
        <v>1</v>
      </c>
    </row>
    <row r="885" spans="1:15">
      <c r="A885" s="6" t="s">
        <v>2452</v>
      </c>
      <c r="B885" s="6" t="s">
        <v>1861</v>
      </c>
      <c r="C885" s="6" t="s">
        <v>19</v>
      </c>
      <c r="D885" s="6" t="s">
        <v>3110</v>
      </c>
      <c r="E885" s="6" t="s">
        <v>3152</v>
      </c>
      <c r="F885" s="6" t="s">
        <v>3161</v>
      </c>
      <c r="G885" s="6" t="s">
        <v>2444</v>
      </c>
      <c r="H885" s="6" t="s">
        <v>3161</v>
      </c>
      <c r="I885" s="6">
        <v>1</v>
      </c>
      <c r="J885" s="6">
        <v>0</v>
      </c>
      <c r="K885" s="6">
        <v>0</v>
      </c>
      <c r="L885" s="6">
        <v>0</v>
      </c>
      <c r="M885" s="6">
        <v>0</v>
      </c>
      <c r="N885" s="6">
        <v>1</v>
      </c>
      <c r="O885" s="6">
        <v>1</v>
      </c>
    </row>
    <row r="886" spans="1:15">
      <c r="A886" s="6" t="s">
        <v>2452</v>
      </c>
      <c r="B886" s="6" t="s">
        <v>1861</v>
      </c>
      <c r="C886" s="6" t="s">
        <v>19</v>
      </c>
      <c r="D886" s="6" t="s">
        <v>3175</v>
      </c>
      <c r="E886" s="6" t="s">
        <v>2901</v>
      </c>
      <c r="F886" s="6" t="s">
        <v>3178</v>
      </c>
      <c r="G886" s="6" t="s">
        <v>2444</v>
      </c>
      <c r="H886" s="6" t="s">
        <v>3179</v>
      </c>
      <c r="I886" s="6">
        <v>1</v>
      </c>
      <c r="J886" s="6">
        <v>0</v>
      </c>
      <c r="K886" s="6">
        <v>0</v>
      </c>
      <c r="L886" s="6">
        <v>0</v>
      </c>
      <c r="M886" s="6">
        <v>0</v>
      </c>
      <c r="N886" s="6">
        <v>1</v>
      </c>
      <c r="O886" s="6">
        <v>1</v>
      </c>
    </row>
    <row r="887" spans="1:15">
      <c r="A887" s="6" t="s">
        <v>2452</v>
      </c>
      <c r="B887" s="6" t="s">
        <v>1861</v>
      </c>
      <c r="C887" s="6" t="s">
        <v>19</v>
      </c>
      <c r="D887" s="6" t="s">
        <v>3175</v>
      </c>
      <c r="E887" s="6" t="s">
        <v>2901</v>
      </c>
      <c r="F887" s="6" t="s">
        <v>3178</v>
      </c>
      <c r="G887" s="6" t="s">
        <v>2444</v>
      </c>
      <c r="H887" s="6" t="s">
        <v>3903</v>
      </c>
      <c r="I887" s="6">
        <v>2</v>
      </c>
      <c r="J887" s="6">
        <v>0</v>
      </c>
      <c r="K887" s="6">
        <v>0</v>
      </c>
      <c r="L887" s="6">
        <v>0</v>
      </c>
      <c r="M887" s="6">
        <v>0</v>
      </c>
      <c r="N887" s="6">
        <v>1</v>
      </c>
      <c r="O887" s="6">
        <v>1</v>
      </c>
    </row>
    <row r="888" spans="1:15">
      <c r="A888" s="6" t="s">
        <v>2452</v>
      </c>
      <c r="B888" s="6" t="s">
        <v>1861</v>
      </c>
      <c r="C888" s="6" t="s">
        <v>19</v>
      </c>
      <c r="D888" s="6" t="s">
        <v>3904</v>
      </c>
      <c r="E888" s="6" t="s">
        <v>3905</v>
      </c>
      <c r="F888" s="6" t="s">
        <v>2831</v>
      </c>
      <c r="G888" s="6" t="s">
        <v>2444</v>
      </c>
      <c r="H888" s="6" t="s">
        <v>2831</v>
      </c>
      <c r="I888" s="6">
        <v>1</v>
      </c>
      <c r="J888" s="6">
        <v>1</v>
      </c>
      <c r="K888" s="6">
        <v>1</v>
      </c>
      <c r="L888" s="6">
        <v>0.25</v>
      </c>
      <c r="M888" s="6">
        <v>0.25</v>
      </c>
      <c r="N888" s="6">
        <v>1</v>
      </c>
      <c r="O888" s="6">
        <v>1</v>
      </c>
    </row>
    <row r="889" spans="1:15">
      <c r="A889" s="6" t="s">
        <v>2452</v>
      </c>
      <c r="B889" s="6" t="s">
        <v>1861</v>
      </c>
      <c r="C889" s="6" t="s">
        <v>19</v>
      </c>
      <c r="D889" s="6" t="s">
        <v>3904</v>
      </c>
      <c r="E889" s="6" t="s">
        <v>3906</v>
      </c>
      <c r="F889" s="6" t="s">
        <v>3907</v>
      </c>
      <c r="G889" s="6" t="s">
        <v>2444</v>
      </c>
      <c r="H889" s="6" t="s">
        <v>3908</v>
      </c>
      <c r="I889" s="6">
        <v>1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</row>
    <row r="890" spans="1:15">
      <c r="A890" s="6" t="s">
        <v>2452</v>
      </c>
      <c r="B890" s="6" t="s">
        <v>1861</v>
      </c>
      <c r="C890" s="6" t="s">
        <v>19</v>
      </c>
      <c r="D890" s="6" t="s">
        <v>3904</v>
      </c>
      <c r="E890" s="6" t="s">
        <v>3906</v>
      </c>
      <c r="F890" s="6" t="s">
        <v>3907</v>
      </c>
      <c r="G890" s="6" t="s">
        <v>2444</v>
      </c>
      <c r="H890" s="6" t="s">
        <v>3907</v>
      </c>
      <c r="I890" s="6">
        <v>2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6">
        <v>0</v>
      </c>
    </row>
    <row r="891" spans="1:15">
      <c r="A891" s="6" t="s">
        <v>2452</v>
      </c>
      <c r="B891" s="6" t="s">
        <v>1861</v>
      </c>
      <c r="C891" s="6" t="s">
        <v>19</v>
      </c>
      <c r="D891" s="6" t="s">
        <v>3904</v>
      </c>
      <c r="E891" s="6" t="s">
        <v>3906</v>
      </c>
      <c r="F891" s="6" t="s">
        <v>3909</v>
      </c>
      <c r="G891" s="6" t="s">
        <v>2444</v>
      </c>
      <c r="H891" s="6" t="s">
        <v>3910</v>
      </c>
      <c r="I891" s="6">
        <v>1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</row>
    <row r="892" spans="1:15">
      <c r="A892" s="6" t="s">
        <v>2452</v>
      </c>
      <c r="B892" s="6" t="s">
        <v>1861</v>
      </c>
      <c r="C892" s="6" t="s">
        <v>19</v>
      </c>
      <c r="D892" s="6" t="s">
        <v>3904</v>
      </c>
      <c r="E892" s="6" t="s">
        <v>3906</v>
      </c>
      <c r="F892" s="6" t="s">
        <v>3911</v>
      </c>
      <c r="G892" s="6" t="s">
        <v>2444</v>
      </c>
      <c r="H892" s="6" t="s">
        <v>3912</v>
      </c>
      <c r="I892" s="6">
        <v>1</v>
      </c>
      <c r="J892" s="6">
        <v>0</v>
      </c>
      <c r="K892" s="6">
        <v>0</v>
      </c>
      <c r="L892" s="6">
        <v>0</v>
      </c>
      <c r="M892" s="6">
        <v>0</v>
      </c>
      <c r="N892" s="6">
        <v>1</v>
      </c>
      <c r="O892" s="6">
        <v>1</v>
      </c>
    </row>
    <row r="893" spans="1:15">
      <c r="A893" s="6" t="s">
        <v>2452</v>
      </c>
      <c r="B893" s="6" t="s">
        <v>1861</v>
      </c>
      <c r="C893" s="6" t="s">
        <v>19</v>
      </c>
      <c r="D893" s="6" t="s">
        <v>3904</v>
      </c>
      <c r="E893" s="6" t="s">
        <v>3913</v>
      </c>
      <c r="F893" s="6" t="s">
        <v>3914</v>
      </c>
      <c r="G893" s="6" t="s">
        <v>2444</v>
      </c>
      <c r="H893" s="6" t="s">
        <v>3915</v>
      </c>
      <c r="I893" s="6">
        <v>1</v>
      </c>
      <c r="J893" s="6">
        <v>0</v>
      </c>
      <c r="K893" s="6">
        <v>0</v>
      </c>
      <c r="L893" s="6">
        <v>0</v>
      </c>
      <c r="M893" s="6">
        <v>0</v>
      </c>
      <c r="N893" s="6">
        <v>1</v>
      </c>
      <c r="O893" s="6">
        <v>1</v>
      </c>
    </row>
    <row r="894" spans="1:15">
      <c r="A894" s="6" t="s">
        <v>2452</v>
      </c>
      <c r="B894" s="6" t="s">
        <v>1861</v>
      </c>
      <c r="C894" s="6" t="s">
        <v>19</v>
      </c>
      <c r="D894" s="6" t="s">
        <v>3904</v>
      </c>
      <c r="E894" s="6" t="s">
        <v>3913</v>
      </c>
      <c r="F894" s="6" t="s">
        <v>3916</v>
      </c>
      <c r="G894" s="6" t="s">
        <v>2444</v>
      </c>
      <c r="H894" s="6" t="s">
        <v>3917</v>
      </c>
      <c r="I894" s="6">
        <v>1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</row>
    <row r="895" spans="1:15">
      <c r="A895" s="6" t="s">
        <v>2452</v>
      </c>
      <c r="B895" s="6" t="s">
        <v>1861</v>
      </c>
      <c r="C895" s="6" t="s">
        <v>19</v>
      </c>
      <c r="D895" s="6" t="s">
        <v>3918</v>
      </c>
      <c r="E895" s="6" t="s">
        <v>3919</v>
      </c>
      <c r="F895" s="6" t="s">
        <v>3920</v>
      </c>
      <c r="G895" s="6" t="s">
        <v>2444</v>
      </c>
      <c r="H895" s="6" t="s">
        <v>3921</v>
      </c>
      <c r="I895" s="6">
        <v>3</v>
      </c>
      <c r="J895" s="6">
        <v>0</v>
      </c>
      <c r="K895" s="6">
        <v>0</v>
      </c>
      <c r="L895" s="6">
        <v>0</v>
      </c>
      <c r="M895" s="6">
        <v>0</v>
      </c>
      <c r="N895" s="6">
        <v>0.5</v>
      </c>
      <c r="O895" s="6">
        <v>0</v>
      </c>
    </row>
    <row r="896" spans="1:15">
      <c r="A896" s="6" t="s">
        <v>2452</v>
      </c>
      <c r="B896" s="6" t="s">
        <v>1861</v>
      </c>
      <c r="C896" s="6" t="s">
        <v>19</v>
      </c>
      <c r="D896" s="6" t="s">
        <v>3918</v>
      </c>
      <c r="E896" s="6" t="s">
        <v>3922</v>
      </c>
      <c r="F896" s="6" t="s">
        <v>2675</v>
      </c>
      <c r="G896" s="6" t="s">
        <v>2444</v>
      </c>
      <c r="H896" s="6" t="s">
        <v>3923</v>
      </c>
      <c r="I896" s="6">
        <v>1</v>
      </c>
      <c r="J896" s="6">
        <v>0</v>
      </c>
      <c r="K896" s="6">
        <v>0</v>
      </c>
      <c r="L896" s="6">
        <v>0</v>
      </c>
      <c r="M896" s="6">
        <v>0</v>
      </c>
      <c r="N896" s="6">
        <v>1</v>
      </c>
      <c r="O896" s="6">
        <v>0</v>
      </c>
    </row>
    <row r="897" spans="1:15">
      <c r="A897" s="6" t="s">
        <v>2452</v>
      </c>
      <c r="B897" s="6" t="s">
        <v>1861</v>
      </c>
      <c r="C897" s="6" t="s">
        <v>19</v>
      </c>
      <c r="D897" s="6" t="s">
        <v>3924</v>
      </c>
      <c r="E897" s="6" t="s">
        <v>3665</v>
      </c>
      <c r="F897" s="6" t="s">
        <v>3925</v>
      </c>
      <c r="G897" s="6" t="s">
        <v>2444</v>
      </c>
      <c r="H897" s="6" t="s">
        <v>3926</v>
      </c>
      <c r="I897" s="6">
        <v>1</v>
      </c>
      <c r="J897" s="6">
        <v>0</v>
      </c>
      <c r="K897" s="6">
        <v>0</v>
      </c>
      <c r="L897" s="6">
        <v>0</v>
      </c>
      <c r="M897" s="6">
        <v>0</v>
      </c>
      <c r="N897" s="6">
        <v>1</v>
      </c>
      <c r="O897" s="6">
        <v>1</v>
      </c>
    </row>
    <row r="898" spans="1:15">
      <c r="A898" s="6" t="s">
        <v>2452</v>
      </c>
      <c r="B898" s="6" t="s">
        <v>1861</v>
      </c>
      <c r="C898" s="6" t="s">
        <v>19</v>
      </c>
      <c r="D898" s="6" t="s">
        <v>3924</v>
      </c>
      <c r="E898" s="6" t="s">
        <v>3665</v>
      </c>
      <c r="F898" s="6" t="s">
        <v>3927</v>
      </c>
      <c r="G898" s="6" t="s">
        <v>2444</v>
      </c>
      <c r="H898" s="6" t="s">
        <v>3928</v>
      </c>
      <c r="I898" s="6"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</row>
    <row r="899" spans="1:15">
      <c r="A899" s="6" t="s">
        <v>2452</v>
      </c>
      <c r="B899" s="6" t="s">
        <v>1861</v>
      </c>
      <c r="C899" s="6" t="s">
        <v>19</v>
      </c>
      <c r="D899" s="6" t="s">
        <v>3924</v>
      </c>
      <c r="E899" s="6" t="s">
        <v>3665</v>
      </c>
      <c r="F899" s="6" t="s">
        <v>3927</v>
      </c>
      <c r="G899" s="6" t="s">
        <v>2444</v>
      </c>
      <c r="H899" s="6" t="s">
        <v>3927</v>
      </c>
      <c r="I899" s="6">
        <v>4</v>
      </c>
      <c r="J899" s="6">
        <v>0</v>
      </c>
      <c r="K899" s="6">
        <v>0</v>
      </c>
      <c r="L899" s="6">
        <v>0</v>
      </c>
      <c r="M899" s="6">
        <v>0</v>
      </c>
      <c r="N899" s="6">
        <v>1</v>
      </c>
      <c r="O899" s="6">
        <v>0</v>
      </c>
    </row>
    <row r="900" spans="1:15">
      <c r="A900" s="6" t="s">
        <v>2452</v>
      </c>
      <c r="B900" s="6" t="s">
        <v>1861</v>
      </c>
      <c r="C900" s="6" t="s">
        <v>19</v>
      </c>
      <c r="D900" s="6" t="s">
        <v>3924</v>
      </c>
      <c r="E900" s="6" t="s">
        <v>3929</v>
      </c>
      <c r="F900" s="6" t="s">
        <v>3930</v>
      </c>
      <c r="G900" s="6" t="s">
        <v>2444</v>
      </c>
      <c r="H900" s="6" t="s">
        <v>3931</v>
      </c>
      <c r="I900" s="6">
        <v>1</v>
      </c>
      <c r="J900" s="6">
        <v>0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</row>
    <row r="901" spans="1:15">
      <c r="A901" s="6" t="s">
        <v>2452</v>
      </c>
      <c r="B901" s="6" t="s">
        <v>1861</v>
      </c>
      <c r="C901" s="6" t="s">
        <v>19</v>
      </c>
      <c r="D901" s="6" t="s">
        <v>3924</v>
      </c>
      <c r="E901" s="6" t="s">
        <v>3932</v>
      </c>
      <c r="F901" s="6" t="s">
        <v>3933</v>
      </c>
      <c r="G901" s="6" t="s">
        <v>2444</v>
      </c>
      <c r="H901" s="6" t="s">
        <v>3934</v>
      </c>
      <c r="I901" s="6">
        <v>2</v>
      </c>
      <c r="J901" s="6">
        <v>0</v>
      </c>
      <c r="K901" s="6">
        <v>0</v>
      </c>
      <c r="L901" s="6">
        <v>0</v>
      </c>
      <c r="M901" s="6">
        <v>0</v>
      </c>
      <c r="N901" s="6">
        <v>1</v>
      </c>
      <c r="O901" s="6">
        <v>0</v>
      </c>
    </row>
    <row r="902" spans="1:15">
      <c r="A902" s="6" t="s">
        <v>2452</v>
      </c>
      <c r="B902" s="6" t="s">
        <v>1861</v>
      </c>
      <c r="C902" s="6" t="s">
        <v>19</v>
      </c>
      <c r="D902" s="6" t="s">
        <v>3924</v>
      </c>
      <c r="E902" s="6" t="s">
        <v>3932</v>
      </c>
      <c r="F902" s="6" t="s">
        <v>3935</v>
      </c>
      <c r="G902" s="6" t="s">
        <v>2444</v>
      </c>
      <c r="H902" s="6" t="s">
        <v>3936</v>
      </c>
      <c r="I902" s="6">
        <v>1</v>
      </c>
      <c r="J902" s="6">
        <v>0</v>
      </c>
      <c r="K902" s="6">
        <v>0</v>
      </c>
      <c r="L902" s="6">
        <v>0</v>
      </c>
      <c r="M902" s="6">
        <v>0</v>
      </c>
      <c r="N902" s="6">
        <v>1</v>
      </c>
      <c r="O902" s="6">
        <v>1</v>
      </c>
    </row>
    <row r="903" spans="1:15">
      <c r="A903" s="6" t="s">
        <v>2452</v>
      </c>
      <c r="B903" s="6" t="s">
        <v>1861</v>
      </c>
      <c r="C903" s="6" t="s">
        <v>19</v>
      </c>
      <c r="D903" s="6" t="s">
        <v>3924</v>
      </c>
      <c r="E903" s="6" t="s">
        <v>3937</v>
      </c>
      <c r="F903" s="6" t="s">
        <v>3938</v>
      </c>
      <c r="G903" s="6" t="s">
        <v>2444</v>
      </c>
      <c r="H903" s="6" t="s">
        <v>3939</v>
      </c>
      <c r="I903" s="6">
        <v>1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</row>
    <row r="904" spans="1:15">
      <c r="A904" s="6" t="s">
        <v>2452</v>
      </c>
      <c r="B904" s="6" t="s">
        <v>1861</v>
      </c>
      <c r="C904" s="6" t="s">
        <v>19</v>
      </c>
      <c r="D904" s="6" t="s">
        <v>3181</v>
      </c>
      <c r="E904" s="6" t="s">
        <v>3185</v>
      </c>
      <c r="F904" s="6" t="s">
        <v>3940</v>
      </c>
      <c r="G904" s="6" t="s">
        <v>2444</v>
      </c>
      <c r="H904" s="6" t="s">
        <v>3941</v>
      </c>
      <c r="I904" s="6">
        <v>2</v>
      </c>
      <c r="J904" s="6">
        <v>0</v>
      </c>
      <c r="K904" s="6">
        <v>0</v>
      </c>
      <c r="L904" s="6">
        <v>0</v>
      </c>
      <c r="M904" s="6">
        <v>0</v>
      </c>
      <c r="N904" s="6">
        <v>1</v>
      </c>
      <c r="O904" s="6">
        <v>0</v>
      </c>
    </row>
    <row r="905" spans="1:15">
      <c r="A905" s="6" t="s">
        <v>2452</v>
      </c>
      <c r="B905" s="6" t="s">
        <v>1861</v>
      </c>
      <c r="C905" s="6" t="s">
        <v>19</v>
      </c>
      <c r="D905" s="6" t="s">
        <v>3181</v>
      </c>
      <c r="E905" s="6" t="s">
        <v>3185</v>
      </c>
      <c r="F905" s="6" t="s">
        <v>3942</v>
      </c>
      <c r="G905" s="6" t="s">
        <v>2444</v>
      </c>
      <c r="H905" s="6" t="s">
        <v>3943</v>
      </c>
      <c r="I905" s="6">
        <v>2</v>
      </c>
      <c r="J905" s="6">
        <v>0</v>
      </c>
      <c r="K905" s="6">
        <v>0</v>
      </c>
      <c r="L905" s="6">
        <v>0</v>
      </c>
      <c r="M905" s="6">
        <v>0</v>
      </c>
      <c r="N905" s="6">
        <v>1</v>
      </c>
      <c r="O905" s="6">
        <v>0</v>
      </c>
    </row>
    <row r="906" spans="1:15">
      <c r="A906" s="6" t="s">
        <v>2452</v>
      </c>
      <c r="B906" s="6" t="s">
        <v>1861</v>
      </c>
      <c r="C906" s="6" t="s">
        <v>19</v>
      </c>
      <c r="D906" s="6" t="s">
        <v>3181</v>
      </c>
      <c r="E906" s="6" t="s">
        <v>3185</v>
      </c>
      <c r="F906" s="6" t="s">
        <v>3189</v>
      </c>
      <c r="G906" s="6" t="s">
        <v>2444</v>
      </c>
      <c r="H906" s="6" t="s">
        <v>3189</v>
      </c>
      <c r="I906" s="6">
        <v>1</v>
      </c>
      <c r="J906" s="6">
        <v>0</v>
      </c>
      <c r="K906" s="6">
        <v>0</v>
      </c>
      <c r="L906" s="6">
        <v>0</v>
      </c>
      <c r="M906" s="6">
        <v>0</v>
      </c>
      <c r="N906" s="6">
        <v>1</v>
      </c>
      <c r="O906" s="6">
        <v>0</v>
      </c>
    </row>
    <row r="907" spans="1:15">
      <c r="A907" s="6" t="s">
        <v>2452</v>
      </c>
      <c r="B907" s="6" t="s">
        <v>1861</v>
      </c>
      <c r="C907" s="6" t="s">
        <v>19</v>
      </c>
      <c r="D907" s="6" t="s">
        <v>3181</v>
      </c>
      <c r="E907" s="6" t="s">
        <v>3185</v>
      </c>
      <c r="F907" s="6" t="s">
        <v>3944</v>
      </c>
      <c r="G907" s="6" t="s">
        <v>2444</v>
      </c>
      <c r="H907" s="6" t="s">
        <v>3945</v>
      </c>
      <c r="I907" s="6">
        <v>1</v>
      </c>
      <c r="J907" s="6">
        <v>0</v>
      </c>
      <c r="K907" s="6">
        <v>0</v>
      </c>
      <c r="L907" s="6">
        <v>0</v>
      </c>
      <c r="M907" s="6">
        <v>0</v>
      </c>
      <c r="N907" s="6">
        <v>1</v>
      </c>
      <c r="O907" s="6">
        <v>1</v>
      </c>
    </row>
    <row r="908" spans="1:15">
      <c r="A908" s="6" t="s">
        <v>2452</v>
      </c>
      <c r="B908" s="6" t="s">
        <v>1861</v>
      </c>
      <c r="C908" s="6" t="s">
        <v>19</v>
      </c>
      <c r="D908" s="6" t="s">
        <v>3181</v>
      </c>
      <c r="E908" s="6" t="s">
        <v>3185</v>
      </c>
      <c r="F908" s="6" t="s">
        <v>3946</v>
      </c>
      <c r="G908" s="6" t="s">
        <v>2444</v>
      </c>
      <c r="H908" s="6" t="s">
        <v>3946</v>
      </c>
      <c r="I908" s="6">
        <v>2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</row>
    <row r="909" spans="1:15">
      <c r="A909" s="6" t="s">
        <v>2452</v>
      </c>
      <c r="B909" s="6" t="s">
        <v>1861</v>
      </c>
      <c r="C909" s="6" t="s">
        <v>19</v>
      </c>
      <c r="D909" s="6" t="s">
        <v>3181</v>
      </c>
      <c r="E909" s="6" t="s">
        <v>3185</v>
      </c>
      <c r="F909" s="6" t="s">
        <v>3947</v>
      </c>
      <c r="G909" s="6" t="s">
        <v>2444</v>
      </c>
      <c r="H909" s="6" t="s">
        <v>3948</v>
      </c>
      <c r="I909" s="6">
        <v>1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</row>
    <row r="910" spans="1:15">
      <c r="A910" s="6" t="s">
        <v>2452</v>
      </c>
      <c r="B910" s="6" t="s">
        <v>1861</v>
      </c>
      <c r="C910" s="6" t="s">
        <v>19</v>
      </c>
      <c r="D910" s="6" t="s">
        <v>3181</v>
      </c>
      <c r="E910" s="6" t="s">
        <v>3185</v>
      </c>
      <c r="F910" s="6" t="s">
        <v>3949</v>
      </c>
      <c r="G910" s="6" t="s">
        <v>2444</v>
      </c>
      <c r="H910" s="6" t="s">
        <v>3950</v>
      </c>
      <c r="I910" s="6">
        <v>2</v>
      </c>
      <c r="J910" s="6">
        <v>1</v>
      </c>
      <c r="K910" s="6">
        <v>0.5</v>
      </c>
      <c r="L910" s="6">
        <v>0.88</v>
      </c>
      <c r="M910" s="6">
        <v>0.88</v>
      </c>
      <c r="N910" s="6">
        <v>1</v>
      </c>
      <c r="O910" s="6">
        <v>1</v>
      </c>
    </row>
    <row r="911" spans="1:15">
      <c r="A911" s="6" t="s">
        <v>2452</v>
      </c>
      <c r="B911" s="6" t="s">
        <v>1861</v>
      </c>
      <c r="C911" s="6" t="s">
        <v>19</v>
      </c>
      <c r="D911" s="6" t="s">
        <v>3181</v>
      </c>
      <c r="E911" s="6" t="s">
        <v>3185</v>
      </c>
      <c r="F911" s="6" t="s">
        <v>3951</v>
      </c>
      <c r="G911" s="6" t="s">
        <v>2444</v>
      </c>
      <c r="H911" s="6" t="s">
        <v>3951</v>
      </c>
      <c r="I911" s="6">
        <v>2</v>
      </c>
      <c r="J911" s="6">
        <v>0</v>
      </c>
      <c r="K911" s="6">
        <v>0</v>
      </c>
      <c r="L911" s="6">
        <v>0</v>
      </c>
      <c r="M911" s="6">
        <v>0</v>
      </c>
      <c r="N911" s="6">
        <v>1</v>
      </c>
      <c r="O911" s="6">
        <v>1</v>
      </c>
    </row>
    <row r="912" spans="1:15">
      <c r="A912" s="6" t="s">
        <v>2452</v>
      </c>
      <c r="B912" s="6" t="s">
        <v>1861</v>
      </c>
      <c r="C912" s="6" t="s">
        <v>19</v>
      </c>
      <c r="D912" s="6" t="s">
        <v>3181</v>
      </c>
      <c r="E912" s="6" t="s">
        <v>3202</v>
      </c>
      <c r="F912" s="6" t="s">
        <v>3203</v>
      </c>
      <c r="G912" s="6" t="s">
        <v>2444</v>
      </c>
      <c r="H912" s="6" t="s">
        <v>3952</v>
      </c>
      <c r="I912" s="6">
        <v>1</v>
      </c>
      <c r="J912" s="6">
        <v>0</v>
      </c>
      <c r="K912" s="6">
        <v>0</v>
      </c>
      <c r="L912" s="6">
        <v>0</v>
      </c>
      <c r="M912" s="6">
        <v>0</v>
      </c>
      <c r="N912" s="6">
        <v>1</v>
      </c>
      <c r="O912" s="6">
        <v>1</v>
      </c>
    </row>
    <row r="913" spans="1:15">
      <c r="A913" s="6" t="s">
        <v>2452</v>
      </c>
      <c r="B913" s="6" t="s">
        <v>1861</v>
      </c>
      <c r="C913" s="6" t="s">
        <v>19</v>
      </c>
      <c r="D913" s="6" t="s">
        <v>3181</v>
      </c>
      <c r="E913" s="6" t="s">
        <v>3202</v>
      </c>
      <c r="F913" s="6" t="s">
        <v>3210</v>
      </c>
      <c r="G913" s="6" t="s">
        <v>2444</v>
      </c>
      <c r="H913" s="6" t="s">
        <v>3211</v>
      </c>
      <c r="I913" s="6">
        <v>2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</row>
    <row r="914" spans="1:15">
      <c r="A914" s="6" t="s">
        <v>2452</v>
      </c>
      <c r="B914" s="6" t="s">
        <v>1861</v>
      </c>
      <c r="C914" s="6" t="s">
        <v>19</v>
      </c>
      <c r="D914" s="6" t="s">
        <v>3181</v>
      </c>
      <c r="E914" s="6" t="s">
        <v>3202</v>
      </c>
      <c r="F914" s="6" t="s">
        <v>3953</v>
      </c>
      <c r="G914" s="6" t="s">
        <v>2444</v>
      </c>
      <c r="H914" s="6" t="s">
        <v>3954</v>
      </c>
      <c r="I914" s="6">
        <v>1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</row>
    <row r="915" spans="1:15">
      <c r="A915" s="6" t="s">
        <v>2452</v>
      </c>
      <c r="B915" s="6" t="s">
        <v>1861</v>
      </c>
      <c r="C915" s="6" t="s">
        <v>19</v>
      </c>
      <c r="D915" s="6" t="s">
        <v>3181</v>
      </c>
      <c r="E915" s="6" t="s">
        <v>3219</v>
      </c>
      <c r="F915" s="6" t="s">
        <v>3955</v>
      </c>
      <c r="G915" s="6" t="s">
        <v>2444</v>
      </c>
      <c r="H915" s="6" t="s">
        <v>3955</v>
      </c>
      <c r="I915" s="6">
        <v>2</v>
      </c>
      <c r="J915" s="6">
        <v>0</v>
      </c>
      <c r="K915" s="6">
        <v>0</v>
      </c>
      <c r="L915" s="6">
        <v>0</v>
      </c>
      <c r="M915" s="6">
        <v>0</v>
      </c>
      <c r="N915" s="6">
        <v>1</v>
      </c>
      <c r="O915" s="6">
        <v>0</v>
      </c>
    </row>
    <row r="916" spans="1:15">
      <c r="A916" s="6" t="s">
        <v>2452</v>
      </c>
      <c r="B916" s="6" t="s">
        <v>1861</v>
      </c>
      <c r="C916" s="6" t="s">
        <v>19</v>
      </c>
      <c r="D916" s="6" t="s">
        <v>3181</v>
      </c>
      <c r="E916" s="6" t="s">
        <v>3219</v>
      </c>
      <c r="F916" s="6" t="s">
        <v>3956</v>
      </c>
      <c r="G916" s="6" t="s">
        <v>2444</v>
      </c>
      <c r="H916" s="6" t="s">
        <v>3957</v>
      </c>
      <c r="I916" s="6">
        <v>1</v>
      </c>
      <c r="J916" s="6">
        <v>0</v>
      </c>
      <c r="K916" s="6">
        <v>0</v>
      </c>
      <c r="L916" s="6">
        <v>0</v>
      </c>
      <c r="M916" s="6">
        <v>0</v>
      </c>
      <c r="N916" s="6">
        <v>1</v>
      </c>
      <c r="O916" s="6">
        <v>0</v>
      </c>
    </row>
    <row r="917" spans="1:15">
      <c r="A917" s="6" t="s">
        <v>2452</v>
      </c>
      <c r="B917" s="6" t="s">
        <v>1861</v>
      </c>
      <c r="C917" s="6" t="s">
        <v>19</v>
      </c>
      <c r="D917" s="6" t="s">
        <v>3181</v>
      </c>
      <c r="E917" s="6" t="s">
        <v>3219</v>
      </c>
      <c r="F917" s="6" t="s">
        <v>3222</v>
      </c>
      <c r="G917" s="6" t="s">
        <v>2444</v>
      </c>
      <c r="H917" s="6" t="s">
        <v>3958</v>
      </c>
      <c r="I917" s="6">
        <v>1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</row>
    <row r="918" spans="1:15">
      <c r="A918" s="6" t="s">
        <v>2452</v>
      </c>
      <c r="B918" s="6" t="s">
        <v>1861</v>
      </c>
      <c r="C918" s="6" t="s">
        <v>19</v>
      </c>
      <c r="D918" s="6" t="s">
        <v>3181</v>
      </c>
      <c r="E918" s="6" t="s">
        <v>3959</v>
      </c>
      <c r="F918" s="6" t="s">
        <v>3960</v>
      </c>
      <c r="G918" s="6" t="s">
        <v>2444</v>
      </c>
      <c r="H918" s="6" t="s">
        <v>3961</v>
      </c>
      <c r="I918" s="6">
        <v>1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</row>
    <row r="919" spans="1:15">
      <c r="A919" s="6" t="s">
        <v>2452</v>
      </c>
      <c r="B919" s="6" t="s">
        <v>1861</v>
      </c>
      <c r="C919" s="6" t="s">
        <v>19</v>
      </c>
      <c r="D919" s="6" t="s">
        <v>3181</v>
      </c>
      <c r="E919" s="6" t="s">
        <v>3224</v>
      </c>
      <c r="F919" s="6" t="s">
        <v>3962</v>
      </c>
      <c r="G919" s="6" t="s">
        <v>2444</v>
      </c>
      <c r="H919" s="6" t="s">
        <v>3963</v>
      </c>
      <c r="I919" s="6">
        <v>2</v>
      </c>
      <c r="J919" s="6">
        <v>0</v>
      </c>
      <c r="K919" s="6">
        <v>0</v>
      </c>
      <c r="L919" s="6">
        <v>0</v>
      </c>
      <c r="M919" s="6">
        <v>0</v>
      </c>
      <c r="N919" s="6">
        <v>1</v>
      </c>
      <c r="O919" s="6">
        <v>1</v>
      </c>
    </row>
    <row r="920" spans="1:15">
      <c r="A920" s="6" t="s">
        <v>2452</v>
      </c>
      <c r="B920" s="6" t="s">
        <v>1861</v>
      </c>
      <c r="C920" s="6" t="s">
        <v>19</v>
      </c>
      <c r="D920" s="6" t="s">
        <v>3181</v>
      </c>
      <c r="E920" s="6" t="s">
        <v>3224</v>
      </c>
      <c r="F920" s="6" t="s">
        <v>3690</v>
      </c>
      <c r="G920" s="6" t="s">
        <v>2444</v>
      </c>
      <c r="H920" s="6" t="s">
        <v>3690</v>
      </c>
      <c r="I920" s="6">
        <v>2</v>
      </c>
      <c r="J920" s="6">
        <v>0</v>
      </c>
      <c r="K920" s="6">
        <v>0</v>
      </c>
      <c r="L920" s="6">
        <v>0</v>
      </c>
      <c r="M920" s="6">
        <v>0</v>
      </c>
      <c r="N920" s="6">
        <v>1</v>
      </c>
      <c r="O920" s="6">
        <v>0</v>
      </c>
    </row>
    <row r="921" spans="1:15">
      <c r="A921" s="6" t="s">
        <v>2452</v>
      </c>
      <c r="B921" s="6" t="s">
        <v>1861</v>
      </c>
      <c r="C921" s="6" t="s">
        <v>19</v>
      </c>
      <c r="D921" s="6" t="s">
        <v>3964</v>
      </c>
      <c r="F921" s="6" t="s">
        <v>3965</v>
      </c>
      <c r="G921" s="6" t="s">
        <v>2444</v>
      </c>
      <c r="H921" s="6" t="s">
        <v>3965</v>
      </c>
      <c r="I921" s="6">
        <v>2</v>
      </c>
      <c r="J921" s="6">
        <v>1</v>
      </c>
      <c r="K921" s="6">
        <v>0.5</v>
      </c>
      <c r="L921" s="6">
        <v>0.45</v>
      </c>
      <c r="M921" s="6">
        <v>0.45</v>
      </c>
      <c r="N921" s="6">
        <v>1</v>
      </c>
      <c r="O921" s="6">
        <v>0</v>
      </c>
    </row>
    <row r="922" spans="1:15">
      <c r="A922" s="6" t="s">
        <v>2452</v>
      </c>
      <c r="B922" s="6" t="s">
        <v>1861</v>
      </c>
      <c r="C922" s="6" t="s">
        <v>19</v>
      </c>
      <c r="D922" s="6" t="s">
        <v>3964</v>
      </c>
      <c r="E922" s="6" t="s">
        <v>3966</v>
      </c>
      <c r="F922" s="6" t="s">
        <v>3967</v>
      </c>
      <c r="G922" s="6" t="s">
        <v>2444</v>
      </c>
      <c r="H922" s="6" t="s">
        <v>3968</v>
      </c>
      <c r="I922" s="6">
        <v>2</v>
      </c>
      <c r="J922" s="6">
        <v>0</v>
      </c>
      <c r="K922" s="6">
        <v>0</v>
      </c>
      <c r="L922" s="6">
        <v>0</v>
      </c>
      <c r="M922" s="6">
        <v>0</v>
      </c>
      <c r="N922" s="6">
        <v>1</v>
      </c>
      <c r="O922" s="6">
        <v>1</v>
      </c>
    </row>
    <row r="923" spans="1:15">
      <c r="A923" s="6" t="s">
        <v>2452</v>
      </c>
      <c r="B923" s="6" t="s">
        <v>1861</v>
      </c>
      <c r="C923" s="6" t="s">
        <v>19</v>
      </c>
      <c r="D923" s="6" t="s">
        <v>3964</v>
      </c>
      <c r="E923" s="6" t="s">
        <v>3966</v>
      </c>
      <c r="F923" s="6" t="s">
        <v>3969</v>
      </c>
      <c r="G923" s="6" t="s">
        <v>2444</v>
      </c>
      <c r="H923" s="6" t="s">
        <v>3970</v>
      </c>
      <c r="I923" s="6">
        <v>1</v>
      </c>
      <c r="J923" s="6">
        <v>0</v>
      </c>
      <c r="K923" s="6">
        <v>0</v>
      </c>
      <c r="L923" s="6">
        <v>0</v>
      </c>
      <c r="M923" s="6">
        <v>0</v>
      </c>
      <c r="N923" s="6">
        <v>1</v>
      </c>
      <c r="O923" s="6">
        <v>1</v>
      </c>
    </row>
    <row r="924" spans="1:15">
      <c r="A924" s="6" t="s">
        <v>2452</v>
      </c>
      <c r="B924" s="6" t="s">
        <v>1861</v>
      </c>
      <c r="C924" s="6" t="s">
        <v>19</v>
      </c>
      <c r="D924" s="6" t="s">
        <v>3964</v>
      </c>
      <c r="E924" s="6" t="s">
        <v>3966</v>
      </c>
      <c r="F924" s="6" t="s">
        <v>3971</v>
      </c>
      <c r="G924" s="6" t="s">
        <v>2444</v>
      </c>
      <c r="H924" s="6" t="s">
        <v>3972</v>
      </c>
      <c r="I924" s="6">
        <v>1</v>
      </c>
      <c r="J924" s="6">
        <v>0</v>
      </c>
      <c r="K924" s="6">
        <v>0</v>
      </c>
      <c r="L924" s="6">
        <v>0</v>
      </c>
      <c r="M924" s="6">
        <v>0</v>
      </c>
      <c r="N924" s="6">
        <v>1</v>
      </c>
      <c r="O924" s="6">
        <v>1</v>
      </c>
    </row>
    <row r="925" spans="1:15">
      <c r="A925" s="6" t="s">
        <v>2452</v>
      </c>
      <c r="B925" s="6" t="s">
        <v>1861</v>
      </c>
      <c r="C925" s="6" t="s">
        <v>19</v>
      </c>
      <c r="D925" s="6" t="s">
        <v>3964</v>
      </c>
      <c r="E925" s="6" t="s">
        <v>3966</v>
      </c>
      <c r="F925" s="6" t="s">
        <v>3973</v>
      </c>
      <c r="G925" s="6" t="s">
        <v>2444</v>
      </c>
      <c r="H925" s="6" t="s">
        <v>3974</v>
      </c>
      <c r="I925" s="6">
        <v>1</v>
      </c>
      <c r="J925" s="6">
        <v>0</v>
      </c>
      <c r="K925" s="6">
        <v>0</v>
      </c>
      <c r="L925" s="6">
        <v>0</v>
      </c>
      <c r="M925" s="6">
        <v>0</v>
      </c>
      <c r="N925" s="6">
        <v>1</v>
      </c>
      <c r="O925" s="6">
        <v>0</v>
      </c>
    </row>
    <row r="926" spans="1:15">
      <c r="A926" s="6" t="s">
        <v>2452</v>
      </c>
      <c r="B926" s="6" t="s">
        <v>1861</v>
      </c>
      <c r="C926" s="6" t="s">
        <v>19</v>
      </c>
      <c r="D926" s="6" t="s">
        <v>3964</v>
      </c>
      <c r="E926" s="6" t="s">
        <v>3966</v>
      </c>
      <c r="F926" s="6" t="s">
        <v>3975</v>
      </c>
      <c r="G926" s="6" t="s">
        <v>2444</v>
      </c>
      <c r="H926" s="6" t="s">
        <v>3976</v>
      </c>
      <c r="I926" s="6">
        <v>1</v>
      </c>
      <c r="J926" s="6">
        <v>0</v>
      </c>
      <c r="K926" s="6">
        <v>0</v>
      </c>
      <c r="L926" s="6">
        <v>0</v>
      </c>
      <c r="M926" s="6">
        <v>0</v>
      </c>
      <c r="N926" s="6">
        <v>1</v>
      </c>
      <c r="O926" s="6">
        <v>1</v>
      </c>
    </row>
    <row r="927" spans="1:15">
      <c r="A927" s="6" t="s">
        <v>2452</v>
      </c>
      <c r="B927" s="6" t="s">
        <v>1861</v>
      </c>
      <c r="C927" s="6" t="s">
        <v>19</v>
      </c>
      <c r="D927" s="6" t="s">
        <v>3230</v>
      </c>
      <c r="E927" s="6" t="s">
        <v>2982</v>
      </c>
      <c r="G927" s="6" t="s">
        <v>2444</v>
      </c>
      <c r="H927" s="6" t="s">
        <v>3231</v>
      </c>
      <c r="I927" s="6">
        <v>3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</row>
    <row r="928" spans="1:15">
      <c r="A928" s="6" t="s">
        <v>2452</v>
      </c>
      <c r="B928" s="6" t="s">
        <v>1861</v>
      </c>
      <c r="C928" s="6" t="s">
        <v>19</v>
      </c>
      <c r="D928" s="6" t="s">
        <v>3239</v>
      </c>
      <c r="E928" s="6" t="s">
        <v>3253</v>
      </c>
      <c r="F928" s="6" t="s">
        <v>2579</v>
      </c>
      <c r="G928" s="6" t="s">
        <v>2444</v>
      </c>
      <c r="H928" s="6" t="s">
        <v>3977</v>
      </c>
      <c r="I928" s="6">
        <v>1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</row>
    <row r="929" spans="1:15">
      <c r="A929" s="6" t="s">
        <v>2452</v>
      </c>
      <c r="B929" s="6" t="s">
        <v>1861</v>
      </c>
      <c r="C929" s="6" t="s">
        <v>19</v>
      </c>
      <c r="D929" s="6" t="s">
        <v>3239</v>
      </c>
      <c r="E929" s="6" t="s">
        <v>3253</v>
      </c>
      <c r="F929" s="6" t="s">
        <v>2579</v>
      </c>
      <c r="G929" s="6" t="s">
        <v>2444</v>
      </c>
      <c r="H929" s="6" t="s">
        <v>3259</v>
      </c>
      <c r="I929" s="6">
        <v>1</v>
      </c>
      <c r="J929" s="6">
        <v>0</v>
      </c>
      <c r="K929" s="6">
        <v>0</v>
      </c>
      <c r="L929" s="6">
        <v>0</v>
      </c>
      <c r="M929" s="6">
        <v>0</v>
      </c>
      <c r="N929" s="6">
        <v>1</v>
      </c>
      <c r="O929" s="6">
        <v>1</v>
      </c>
    </row>
    <row r="930" spans="1:15">
      <c r="A930" s="6" t="s">
        <v>2452</v>
      </c>
      <c r="B930" s="6" t="s">
        <v>1861</v>
      </c>
      <c r="C930" s="6" t="s">
        <v>19</v>
      </c>
      <c r="D930" s="6" t="s">
        <v>3239</v>
      </c>
      <c r="E930" s="6" t="s">
        <v>3978</v>
      </c>
      <c r="F930" s="6" t="s">
        <v>3979</v>
      </c>
      <c r="G930" s="6" t="s">
        <v>2444</v>
      </c>
      <c r="H930" s="6" t="s">
        <v>3980</v>
      </c>
      <c r="I930" s="6">
        <v>1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</row>
    <row r="931" spans="1:15">
      <c r="A931" s="6" t="s">
        <v>2452</v>
      </c>
      <c r="B931" s="6" t="s">
        <v>1861</v>
      </c>
      <c r="C931" s="6" t="s">
        <v>19</v>
      </c>
      <c r="D931" s="6" t="s">
        <v>3239</v>
      </c>
      <c r="E931" s="6" t="s">
        <v>2624</v>
      </c>
      <c r="F931" s="6" t="s">
        <v>3270</v>
      </c>
      <c r="G931" s="6" t="s">
        <v>2444</v>
      </c>
      <c r="H931" s="6" t="s">
        <v>3271</v>
      </c>
      <c r="I931" s="6">
        <v>3</v>
      </c>
      <c r="J931" s="6">
        <v>1</v>
      </c>
      <c r="K931" s="6">
        <v>0.33329999999999999</v>
      </c>
      <c r="L931" s="6">
        <v>0.84</v>
      </c>
      <c r="M931" s="6">
        <v>0.84</v>
      </c>
      <c r="N931" s="6">
        <v>0.5</v>
      </c>
      <c r="O931" s="6">
        <v>0.5</v>
      </c>
    </row>
    <row r="932" spans="1:15">
      <c r="A932" s="6" t="s">
        <v>2452</v>
      </c>
      <c r="B932" s="6" t="s">
        <v>1861</v>
      </c>
      <c r="C932" s="6" t="s">
        <v>19</v>
      </c>
      <c r="D932" s="6" t="s">
        <v>3239</v>
      </c>
      <c r="E932" s="6" t="s">
        <v>2624</v>
      </c>
      <c r="F932" s="6" t="s">
        <v>3273</v>
      </c>
      <c r="G932" s="6" t="s">
        <v>2444</v>
      </c>
      <c r="H932" s="6" t="s">
        <v>3274</v>
      </c>
      <c r="I932" s="6">
        <v>2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</row>
    <row r="933" spans="1:15">
      <c r="A933" s="6" t="s">
        <v>2452</v>
      </c>
      <c r="B933" s="6" t="s">
        <v>1861</v>
      </c>
      <c r="C933" s="6" t="s">
        <v>19</v>
      </c>
      <c r="D933" s="6" t="s">
        <v>3239</v>
      </c>
      <c r="E933" s="6" t="s">
        <v>2624</v>
      </c>
      <c r="F933" s="6" t="s">
        <v>3273</v>
      </c>
      <c r="G933" s="6" t="s">
        <v>2444</v>
      </c>
      <c r="H933" s="6" t="s">
        <v>3981</v>
      </c>
      <c r="I933" s="6">
        <v>1</v>
      </c>
      <c r="J933" s="6">
        <v>0</v>
      </c>
      <c r="K933" s="6">
        <v>0</v>
      </c>
      <c r="L933" s="6">
        <v>0</v>
      </c>
      <c r="M933" s="6">
        <v>0</v>
      </c>
      <c r="N933" s="6">
        <v>1</v>
      </c>
      <c r="O933" s="6">
        <v>1</v>
      </c>
    </row>
    <row r="934" spans="1:15">
      <c r="A934" s="6" t="s">
        <v>2452</v>
      </c>
      <c r="B934" s="6" t="s">
        <v>1861</v>
      </c>
      <c r="C934" s="6" t="s">
        <v>19</v>
      </c>
      <c r="D934" s="6" t="s">
        <v>2625</v>
      </c>
      <c r="E934" s="6" t="s">
        <v>3870</v>
      </c>
      <c r="F934" s="6" t="s">
        <v>3352</v>
      </c>
      <c r="G934" s="6" t="s">
        <v>2444</v>
      </c>
      <c r="H934" s="6" t="s">
        <v>3982</v>
      </c>
      <c r="I934" s="6">
        <v>1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</row>
    <row r="935" spans="1:15">
      <c r="A935" s="6" t="s">
        <v>2452</v>
      </c>
      <c r="B935" s="6" t="s">
        <v>1861</v>
      </c>
      <c r="C935" s="6" t="s">
        <v>19</v>
      </c>
      <c r="D935" s="6" t="s">
        <v>2625</v>
      </c>
      <c r="E935" s="6" t="s">
        <v>3870</v>
      </c>
      <c r="F935" s="6" t="s">
        <v>3352</v>
      </c>
      <c r="G935" s="6" t="s">
        <v>2444</v>
      </c>
      <c r="H935" s="6" t="s">
        <v>3352</v>
      </c>
      <c r="I935" s="6">
        <v>2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</row>
    <row r="936" spans="1:15">
      <c r="A936" s="6" t="s">
        <v>2452</v>
      </c>
      <c r="B936" s="6" t="s">
        <v>1861</v>
      </c>
      <c r="C936" s="6" t="s">
        <v>19</v>
      </c>
      <c r="D936" s="6" t="s">
        <v>2625</v>
      </c>
      <c r="E936" s="6" t="s">
        <v>3983</v>
      </c>
      <c r="F936" s="6" t="s">
        <v>3267</v>
      </c>
      <c r="G936" s="6" t="s">
        <v>2444</v>
      </c>
      <c r="H936" s="6" t="s">
        <v>3984</v>
      </c>
      <c r="I936" s="6">
        <v>1</v>
      </c>
      <c r="J936" s="6">
        <v>0</v>
      </c>
      <c r="K936" s="6">
        <v>0</v>
      </c>
      <c r="L936" s="6">
        <v>0</v>
      </c>
      <c r="M936" s="6">
        <v>0</v>
      </c>
      <c r="N936" s="6">
        <v>1</v>
      </c>
      <c r="O936" s="6">
        <v>1</v>
      </c>
    </row>
    <row r="937" spans="1:15">
      <c r="A937" s="6" t="s">
        <v>2452</v>
      </c>
      <c r="B937" s="6" t="s">
        <v>1861</v>
      </c>
      <c r="C937" s="6" t="s">
        <v>19</v>
      </c>
      <c r="D937" s="6" t="s">
        <v>2625</v>
      </c>
      <c r="E937" s="6" t="s">
        <v>3983</v>
      </c>
      <c r="F937" s="6" t="s">
        <v>3985</v>
      </c>
      <c r="G937" s="6" t="s">
        <v>2444</v>
      </c>
      <c r="H937" s="6" t="s">
        <v>3986</v>
      </c>
      <c r="I937" s="6">
        <v>2</v>
      </c>
      <c r="J937" s="6">
        <v>1</v>
      </c>
      <c r="K937" s="6">
        <v>0.5</v>
      </c>
      <c r="L937" s="6">
        <v>0.99</v>
      </c>
      <c r="M937" s="6">
        <v>0.99</v>
      </c>
      <c r="N937" s="6">
        <v>1</v>
      </c>
      <c r="O937" s="6">
        <v>1</v>
      </c>
    </row>
    <row r="938" spans="1:15">
      <c r="A938" s="6" t="s">
        <v>2452</v>
      </c>
      <c r="B938" s="6" t="s">
        <v>1861</v>
      </c>
      <c r="C938" s="6" t="s">
        <v>19</v>
      </c>
      <c r="D938" s="6" t="s">
        <v>2625</v>
      </c>
      <c r="E938" s="6" t="s">
        <v>3983</v>
      </c>
      <c r="F938" s="6" t="s">
        <v>3985</v>
      </c>
      <c r="G938" s="6" t="s">
        <v>2444</v>
      </c>
      <c r="H938" s="6" t="s">
        <v>3987</v>
      </c>
      <c r="I938" s="6">
        <v>4</v>
      </c>
      <c r="J938" s="6">
        <v>1</v>
      </c>
      <c r="K938" s="6">
        <v>0.25</v>
      </c>
      <c r="L938" s="6">
        <v>0.87</v>
      </c>
      <c r="M938" s="6">
        <v>0.87</v>
      </c>
      <c r="N938" s="6">
        <v>1</v>
      </c>
      <c r="O938" s="6">
        <v>1</v>
      </c>
    </row>
    <row r="939" spans="1:15">
      <c r="A939" s="6" t="s">
        <v>2452</v>
      </c>
      <c r="B939" s="6" t="s">
        <v>1861</v>
      </c>
      <c r="C939" s="6" t="s">
        <v>19</v>
      </c>
      <c r="D939" s="6" t="s">
        <v>2625</v>
      </c>
      <c r="E939" s="6" t="s">
        <v>3983</v>
      </c>
      <c r="F939" s="6" t="s">
        <v>3988</v>
      </c>
      <c r="G939" s="6" t="s">
        <v>2444</v>
      </c>
      <c r="H939" s="6" t="s">
        <v>3989</v>
      </c>
      <c r="I939" s="6">
        <v>2</v>
      </c>
      <c r="J939" s="6">
        <v>1</v>
      </c>
      <c r="K939" s="6">
        <v>0.5</v>
      </c>
      <c r="L939" s="6">
        <v>0.22</v>
      </c>
      <c r="M939" s="6">
        <v>0.22</v>
      </c>
      <c r="N939" s="6">
        <v>1</v>
      </c>
      <c r="O939" s="6">
        <v>1</v>
      </c>
    </row>
    <row r="940" spans="1:15">
      <c r="A940" s="6" t="s">
        <v>2452</v>
      </c>
      <c r="B940" s="6" t="s">
        <v>1861</v>
      </c>
      <c r="C940" s="6" t="s">
        <v>19</v>
      </c>
      <c r="D940" s="6" t="s">
        <v>2625</v>
      </c>
      <c r="E940" s="6" t="s">
        <v>3983</v>
      </c>
      <c r="F940" s="6" t="s">
        <v>3990</v>
      </c>
      <c r="G940" s="6" t="s">
        <v>2444</v>
      </c>
      <c r="H940" s="6" t="s">
        <v>3991</v>
      </c>
      <c r="I940" s="6">
        <v>1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</row>
    <row r="941" spans="1:15">
      <c r="A941" s="6" t="s">
        <v>2452</v>
      </c>
      <c r="B941" s="6" t="s">
        <v>1861</v>
      </c>
      <c r="C941" s="6" t="s">
        <v>19</v>
      </c>
      <c r="D941" s="6" t="s">
        <v>2625</v>
      </c>
      <c r="E941" s="6" t="s">
        <v>3983</v>
      </c>
      <c r="F941" s="6" t="s">
        <v>3992</v>
      </c>
      <c r="G941" s="6" t="s">
        <v>2444</v>
      </c>
      <c r="H941" s="6" t="s">
        <v>3993</v>
      </c>
      <c r="I941" s="6">
        <v>1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</row>
    <row r="942" spans="1:15">
      <c r="A942" s="6" t="s">
        <v>2452</v>
      </c>
      <c r="B942" s="6" t="s">
        <v>1861</v>
      </c>
      <c r="C942" s="6" t="s">
        <v>19</v>
      </c>
      <c r="D942" s="6" t="s">
        <v>2625</v>
      </c>
      <c r="E942" s="6" t="s">
        <v>3983</v>
      </c>
      <c r="F942" s="6" t="s">
        <v>3994</v>
      </c>
      <c r="G942" s="6" t="s">
        <v>2444</v>
      </c>
      <c r="H942" s="6" t="s">
        <v>3995</v>
      </c>
      <c r="I942" s="6">
        <v>1</v>
      </c>
      <c r="J942" s="6">
        <v>0</v>
      </c>
      <c r="K942" s="6">
        <v>0</v>
      </c>
      <c r="L942" s="6">
        <v>0</v>
      </c>
      <c r="M942" s="6">
        <v>0</v>
      </c>
      <c r="N942" s="6">
        <v>1</v>
      </c>
      <c r="O942" s="6">
        <v>1</v>
      </c>
    </row>
    <row r="943" spans="1:15">
      <c r="A943" s="6" t="s">
        <v>2452</v>
      </c>
      <c r="B943" s="6" t="s">
        <v>1861</v>
      </c>
      <c r="C943" s="6" t="s">
        <v>19</v>
      </c>
      <c r="D943" s="6" t="s">
        <v>2625</v>
      </c>
      <c r="E943" s="6" t="s">
        <v>3983</v>
      </c>
      <c r="F943" s="6" t="s">
        <v>3994</v>
      </c>
      <c r="G943" s="6" t="s">
        <v>2444</v>
      </c>
      <c r="H943" s="6" t="s">
        <v>3996</v>
      </c>
      <c r="I943" s="6">
        <v>4</v>
      </c>
      <c r="J943" s="6">
        <v>1</v>
      </c>
      <c r="K943" s="6">
        <v>0.25</v>
      </c>
      <c r="L943" s="6">
        <v>0.9</v>
      </c>
      <c r="M943" s="6">
        <v>0.9</v>
      </c>
      <c r="N943" s="6">
        <v>1</v>
      </c>
      <c r="O943" s="6">
        <v>1</v>
      </c>
    </row>
    <row r="944" spans="1:15">
      <c r="A944" s="6" t="s">
        <v>2452</v>
      </c>
      <c r="B944" s="6" t="s">
        <v>1861</v>
      </c>
      <c r="C944" s="6" t="s">
        <v>19</v>
      </c>
      <c r="D944" s="6" t="s">
        <v>2625</v>
      </c>
      <c r="E944" s="6" t="s">
        <v>3983</v>
      </c>
      <c r="F944" s="6" t="s">
        <v>3997</v>
      </c>
      <c r="G944" s="6" t="s">
        <v>2444</v>
      </c>
      <c r="H944" s="6" t="s">
        <v>3998</v>
      </c>
      <c r="I944" s="6">
        <v>1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</row>
    <row r="945" spans="1:15">
      <c r="A945" s="6" t="s">
        <v>2452</v>
      </c>
      <c r="B945" s="6" t="s">
        <v>1861</v>
      </c>
      <c r="C945" s="6" t="s">
        <v>19</v>
      </c>
      <c r="D945" s="6" t="s">
        <v>2625</v>
      </c>
      <c r="E945" s="6" t="s">
        <v>3983</v>
      </c>
      <c r="F945" s="6" t="s">
        <v>3999</v>
      </c>
      <c r="G945" s="6" t="s">
        <v>2444</v>
      </c>
      <c r="H945" s="6" t="s">
        <v>4000</v>
      </c>
      <c r="I945" s="6">
        <v>4</v>
      </c>
      <c r="J945" s="6">
        <v>1</v>
      </c>
      <c r="K945" s="6">
        <v>0.25</v>
      </c>
      <c r="L945" s="6">
        <v>0.83</v>
      </c>
      <c r="M945" s="6">
        <v>0.83</v>
      </c>
      <c r="N945" s="6">
        <v>1</v>
      </c>
      <c r="O945" s="6">
        <v>1</v>
      </c>
    </row>
    <row r="946" spans="1:15">
      <c r="A946" s="6" t="s">
        <v>2452</v>
      </c>
      <c r="B946" s="6" t="s">
        <v>1861</v>
      </c>
      <c r="C946" s="6" t="s">
        <v>19</v>
      </c>
      <c r="D946" s="6" t="s">
        <v>2625</v>
      </c>
      <c r="E946" s="6" t="s">
        <v>3983</v>
      </c>
      <c r="F946" s="6" t="s">
        <v>4001</v>
      </c>
      <c r="G946" s="6" t="s">
        <v>2444</v>
      </c>
      <c r="H946" s="6" t="s">
        <v>4002</v>
      </c>
      <c r="I946" s="6">
        <v>3</v>
      </c>
      <c r="J946" s="6">
        <v>0</v>
      </c>
      <c r="K946" s="6">
        <v>0</v>
      </c>
      <c r="L946" s="6">
        <v>0</v>
      </c>
      <c r="M946" s="6">
        <v>0</v>
      </c>
      <c r="N946" s="6">
        <v>1</v>
      </c>
      <c r="O946" s="6">
        <v>1</v>
      </c>
    </row>
    <row r="947" spans="1:15">
      <c r="A947" s="6" t="s">
        <v>2452</v>
      </c>
      <c r="B947" s="6" t="s">
        <v>1861</v>
      </c>
      <c r="C947" s="6" t="s">
        <v>19</v>
      </c>
      <c r="D947" s="6" t="s">
        <v>2625</v>
      </c>
      <c r="E947" s="6" t="s">
        <v>3983</v>
      </c>
      <c r="F947" s="6" t="s">
        <v>4001</v>
      </c>
      <c r="G947" s="6" t="s">
        <v>2444</v>
      </c>
      <c r="H947" s="6" t="s">
        <v>4003</v>
      </c>
      <c r="I947" s="6">
        <v>1</v>
      </c>
      <c r="J947" s="6">
        <v>0</v>
      </c>
      <c r="K947" s="6">
        <v>0</v>
      </c>
      <c r="L947" s="6">
        <v>0</v>
      </c>
      <c r="M947" s="6">
        <v>0</v>
      </c>
      <c r="N947" s="6">
        <v>1</v>
      </c>
      <c r="O947" s="6">
        <v>0</v>
      </c>
    </row>
    <row r="948" spans="1:15">
      <c r="A948" s="6" t="s">
        <v>2452</v>
      </c>
      <c r="B948" s="6" t="s">
        <v>1861</v>
      </c>
      <c r="C948" s="6" t="s">
        <v>19</v>
      </c>
      <c r="D948" s="6" t="s">
        <v>2625</v>
      </c>
      <c r="E948" s="6" t="s">
        <v>3983</v>
      </c>
      <c r="F948" s="6" t="s">
        <v>4001</v>
      </c>
      <c r="G948" s="6" t="s">
        <v>2444</v>
      </c>
      <c r="H948" s="6" t="s">
        <v>4004</v>
      </c>
      <c r="I948" s="6">
        <v>1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</row>
    <row r="949" spans="1:15">
      <c r="A949" s="6" t="s">
        <v>2452</v>
      </c>
      <c r="B949" s="6" t="s">
        <v>1861</v>
      </c>
      <c r="C949" s="6" t="s">
        <v>19</v>
      </c>
      <c r="D949" s="6" t="s">
        <v>2625</v>
      </c>
      <c r="E949" s="6" t="s">
        <v>3983</v>
      </c>
      <c r="F949" s="6" t="s">
        <v>4001</v>
      </c>
      <c r="G949" s="6" t="s">
        <v>2444</v>
      </c>
      <c r="H949" s="6" t="s">
        <v>4005</v>
      </c>
      <c r="I949" s="6">
        <v>1</v>
      </c>
      <c r="J949" s="6">
        <v>0</v>
      </c>
      <c r="K949" s="6">
        <v>0</v>
      </c>
      <c r="L949" s="6">
        <v>0</v>
      </c>
      <c r="M949" s="6">
        <v>0</v>
      </c>
      <c r="N949" s="6">
        <v>1</v>
      </c>
      <c r="O949" s="6">
        <v>1</v>
      </c>
    </row>
    <row r="950" spans="1:15">
      <c r="A950" s="6" t="s">
        <v>2452</v>
      </c>
      <c r="B950" s="6" t="s">
        <v>1861</v>
      </c>
      <c r="C950" s="6" t="s">
        <v>19</v>
      </c>
      <c r="D950" s="6" t="s">
        <v>2625</v>
      </c>
      <c r="E950" s="6" t="s">
        <v>3983</v>
      </c>
      <c r="F950" s="6" t="s">
        <v>4001</v>
      </c>
      <c r="G950" s="6" t="s">
        <v>2444</v>
      </c>
      <c r="H950" s="6" t="s">
        <v>4006</v>
      </c>
      <c r="I950" s="6">
        <v>1</v>
      </c>
      <c r="J950" s="6">
        <v>0</v>
      </c>
      <c r="K950" s="6">
        <v>0</v>
      </c>
      <c r="L950" s="6">
        <v>0</v>
      </c>
      <c r="M950" s="6">
        <v>0</v>
      </c>
      <c r="N950" s="6">
        <v>1</v>
      </c>
      <c r="O950" s="6">
        <v>0</v>
      </c>
    </row>
    <row r="951" spans="1:15">
      <c r="A951" s="6" t="s">
        <v>2452</v>
      </c>
      <c r="B951" s="6" t="s">
        <v>1861</v>
      </c>
      <c r="C951" s="6" t="s">
        <v>19</v>
      </c>
      <c r="D951" s="6" t="s">
        <v>2625</v>
      </c>
      <c r="E951" s="6" t="s">
        <v>3983</v>
      </c>
      <c r="F951" s="6" t="s">
        <v>4001</v>
      </c>
      <c r="G951" s="6" t="s">
        <v>2444</v>
      </c>
      <c r="H951" s="6" t="s">
        <v>4007</v>
      </c>
      <c r="I951" s="6">
        <v>2</v>
      </c>
      <c r="J951" s="6">
        <v>0</v>
      </c>
      <c r="K951" s="6">
        <v>0</v>
      </c>
      <c r="L951" s="6">
        <v>0</v>
      </c>
      <c r="M951" s="6">
        <v>0</v>
      </c>
      <c r="N951" s="6">
        <v>0.5</v>
      </c>
      <c r="O951" s="6">
        <v>0</v>
      </c>
    </row>
    <row r="952" spans="1:15">
      <c r="A952" s="6" t="s">
        <v>2452</v>
      </c>
      <c r="B952" s="6" t="s">
        <v>1861</v>
      </c>
      <c r="C952" s="6" t="s">
        <v>19</v>
      </c>
      <c r="D952" s="6" t="s">
        <v>2625</v>
      </c>
      <c r="E952" s="6" t="s">
        <v>3983</v>
      </c>
      <c r="F952" s="6" t="s">
        <v>4001</v>
      </c>
      <c r="G952" s="6" t="s">
        <v>2444</v>
      </c>
      <c r="H952" s="6" t="s">
        <v>4008</v>
      </c>
      <c r="I952" s="6">
        <v>1</v>
      </c>
      <c r="J952" s="6">
        <v>0</v>
      </c>
      <c r="K952" s="6">
        <v>0</v>
      </c>
      <c r="L952" s="6">
        <v>0</v>
      </c>
      <c r="M952" s="6">
        <v>0</v>
      </c>
      <c r="N952" s="6">
        <v>1</v>
      </c>
      <c r="O952" s="6">
        <v>0</v>
      </c>
    </row>
    <row r="953" spans="1:15">
      <c r="A953" s="6" t="s">
        <v>2452</v>
      </c>
      <c r="B953" s="6" t="s">
        <v>1861</v>
      </c>
      <c r="C953" s="6" t="s">
        <v>19</v>
      </c>
      <c r="D953" s="6" t="s">
        <v>2625</v>
      </c>
      <c r="E953" s="6" t="s">
        <v>3983</v>
      </c>
      <c r="F953" s="6" t="s">
        <v>4001</v>
      </c>
      <c r="G953" s="6" t="s">
        <v>2444</v>
      </c>
      <c r="H953" s="6" t="s">
        <v>4009</v>
      </c>
      <c r="I953" s="6">
        <v>1</v>
      </c>
      <c r="J953" s="6">
        <v>0</v>
      </c>
      <c r="K953" s="6">
        <v>0</v>
      </c>
      <c r="L953" s="6">
        <v>0</v>
      </c>
      <c r="M953" s="6">
        <v>0</v>
      </c>
      <c r="N953" s="6">
        <v>1</v>
      </c>
      <c r="O953" s="6">
        <v>1</v>
      </c>
    </row>
    <row r="954" spans="1:15">
      <c r="A954" s="6" t="s">
        <v>2452</v>
      </c>
      <c r="B954" s="6" t="s">
        <v>1861</v>
      </c>
      <c r="C954" s="6" t="s">
        <v>19</v>
      </c>
      <c r="D954" s="6" t="s">
        <v>2625</v>
      </c>
      <c r="E954" s="6" t="s">
        <v>3983</v>
      </c>
      <c r="F954" s="6" t="s">
        <v>4001</v>
      </c>
      <c r="G954" s="6" t="s">
        <v>2444</v>
      </c>
      <c r="H954" s="6" t="s">
        <v>4010</v>
      </c>
      <c r="I954" s="6">
        <v>1</v>
      </c>
      <c r="J954" s="6">
        <v>0</v>
      </c>
      <c r="K954" s="6">
        <v>0</v>
      </c>
      <c r="L954" s="6">
        <v>0</v>
      </c>
      <c r="M954" s="6">
        <v>0</v>
      </c>
      <c r="N954" s="6">
        <v>1</v>
      </c>
      <c r="O954" s="6">
        <v>1</v>
      </c>
    </row>
    <row r="955" spans="1:15">
      <c r="A955" s="6" t="s">
        <v>2452</v>
      </c>
      <c r="B955" s="6" t="s">
        <v>1861</v>
      </c>
      <c r="C955" s="6" t="s">
        <v>19</v>
      </c>
      <c r="D955" s="6" t="s">
        <v>2625</v>
      </c>
      <c r="E955" s="6" t="s">
        <v>3983</v>
      </c>
      <c r="F955" s="6" t="s">
        <v>4001</v>
      </c>
      <c r="G955" s="6" t="s">
        <v>2444</v>
      </c>
      <c r="H955" s="6" t="s">
        <v>4001</v>
      </c>
      <c r="I955" s="6">
        <v>1</v>
      </c>
      <c r="J955" s="6">
        <v>0</v>
      </c>
      <c r="K955" s="6">
        <v>0</v>
      </c>
      <c r="L955" s="6">
        <v>0</v>
      </c>
      <c r="M955" s="6">
        <v>0</v>
      </c>
      <c r="N955" s="6">
        <v>1</v>
      </c>
      <c r="O955" s="6">
        <v>0</v>
      </c>
    </row>
    <row r="956" spans="1:15">
      <c r="A956" s="6" t="s">
        <v>2452</v>
      </c>
      <c r="B956" s="6" t="s">
        <v>1861</v>
      </c>
      <c r="C956" s="6" t="s">
        <v>19</v>
      </c>
      <c r="D956" s="6" t="s">
        <v>2625</v>
      </c>
      <c r="E956" s="6" t="s">
        <v>3983</v>
      </c>
      <c r="F956" s="6" t="s">
        <v>4011</v>
      </c>
      <c r="G956" s="6" t="s">
        <v>2444</v>
      </c>
      <c r="H956" s="6" t="s">
        <v>4012</v>
      </c>
      <c r="I956" s="6">
        <v>1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</row>
    <row r="957" spans="1:15">
      <c r="A957" s="6" t="s">
        <v>2452</v>
      </c>
      <c r="B957" s="6" t="s">
        <v>1861</v>
      </c>
      <c r="C957" s="6" t="s">
        <v>19</v>
      </c>
      <c r="D957" s="6" t="s">
        <v>2625</v>
      </c>
      <c r="E957" s="6" t="s">
        <v>3983</v>
      </c>
      <c r="F957" s="6" t="s">
        <v>4013</v>
      </c>
      <c r="G957" s="6" t="s">
        <v>2444</v>
      </c>
      <c r="H957" s="6" t="s">
        <v>4014</v>
      </c>
      <c r="I957" s="6">
        <v>2</v>
      </c>
      <c r="J957" s="6">
        <v>1</v>
      </c>
      <c r="K957" s="6">
        <v>0.5</v>
      </c>
      <c r="L957" s="6">
        <v>0.92</v>
      </c>
      <c r="M957" s="6">
        <v>0.92</v>
      </c>
      <c r="N957" s="6">
        <v>1</v>
      </c>
      <c r="O957" s="6">
        <v>1</v>
      </c>
    </row>
    <row r="958" spans="1:15">
      <c r="A958" s="6" t="s">
        <v>2452</v>
      </c>
      <c r="B958" s="6" t="s">
        <v>1861</v>
      </c>
      <c r="C958" s="6" t="s">
        <v>19</v>
      </c>
      <c r="D958" s="6" t="s">
        <v>2625</v>
      </c>
      <c r="E958" s="6" t="s">
        <v>4015</v>
      </c>
      <c r="F958" s="6" t="s">
        <v>4016</v>
      </c>
      <c r="G958" s="6" t="s">
        <v>2444</v>
      </c>
      <c r="H958" s="6" t="s">
        <v>4017</v>
      </c>
      <c r="I958" s="6">
        <v>1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</row>
    <row r="959" spans="1:15">
      <c r="A959" s="6" t="s">
        <v>2452</v>
      </c>
      <c r="B959" s="6" t="s">
        <v>1861</v>
      </c>
      <c r="C959" s="6" t="s">
        <v>19</v>
      </c>
      <c r="D959" s="6" t="s">
        <v>2625</v>
      </c>
      <c r="E959" s="6" t="s">
        <v>4015</v>
      </c>
      <c r="F959" s="6" t="s">
        <v>4018</v>
      </c>
      <c r="G959" s="6" t="s">
        <v>2444</v>
      </c>
      <c r="H959" s="6" t="s">
        <v>4019</v>
      </c>
      <c r="I959" s="6">
        <v>1</v>
      </c>
      <c r="J959" s="6">
        <v>1</v>
      </c>
      <c r="K959" s="6">
        <v>1</v>
      </c>
      <c r="L959" s="6">
        <v>0.3</v>
      </c>
      <c r="M959" s="6">
        <v>0.3</v>
      </c>
      <c r="N959" s="6">
        <v>1</v>
      </c>
      <c r="O959" s="6">
        <v>0</v>
      </c>
    </row>
    <row r="960" spans="1:15">
      <c r="A960" s="6" t="s">
        <v>2452</v>
      </c>
      <c r="B960" s="6" t="s">
        <v>1861</v>
      </c>
      <c r="C960" s="6" t="s">
        <v>19</v>
      </c>
      <c r="D960" s="6" t="s">
        <v>2625</v>
      </c>
      <c r="E960" s="6" t="s">
        <v>3883</v>
      </c>
      <c r="F960" s="6" t="s">
        <v>4020</v>
      </c>
      <c r="G960" s="6" t="s">
        <v>2444</v>
      </c>
      <c r="H960" s="6" t="s">
        <v>4021</v>
      </c>
      <c r="I960" s="6">
        <v>2</v>
      </c>
      <c r="J960" s="6">
        <v>0</v>
      </c>
      <c r="K960" s="6">
        <v>0</v>
      </c>
      <c r="L960" s="6">
        <v>0</v>
      </c>
      <c r="M960" s="6">
        <v>0</v>
      </c>
      <c r="N960" s="6">
        <v>1</v>
      </c>
      <c r="O960" s="6">
        <v>1</v>
      </c>
    </row>
    <row r="961" spans="1:15">
      <c r="A961" s="6" t="s">
        <v>2452</v>
      </c>
      <c r="B961" s="6" t="s">
        <v>1861</v>
      </c>
      <c r="C961" s="6" t="s">
        <v>19</v>
      </c>
      <c r="D961" s="6" t="s">
        <v>2625</v>
      </c>
      <c r="E961" s="6" t="s">
        <v>3883</v>
      </c>
      <c r="F961" s="6" t="s">
        <v>4022</v>
      </c>
      <c r="G961" s="6" t="s">
        <v>2444</v>
      </c>
      <c r="H961" s="6" t="s">
        <v>4023</v>
      </c>
      <c r="I961" s="6">
        <v>2</v>
      </c>
      <c r="J961" s="6">
        <v>1</v>
      </c>
      <c r="K961" s="6">
        <v>0.5</v>
      </c>
      <c r="L961" s="6">
        <v>0.21</v>
      </c>
      <c r="M961" s="6">
        <v>0.21</v>
      </c>
      <c r="N961" s="6">
        <v>1</v>
      </c>
      <c r="O961" s="6">
        <v>0.5</v>
      </c>
    </row>
    <row r="962" spans="1:15">
      <c r="A962" s="6" t="s">
        <v>2452</v>
      </c>
      <c r="B962" s="6" t="s">
        <v>1861</v>
      </c>
      <c r="C962" s="6" t="s">
        <v>19</v>
      </c>
      <c r="D962" s="6" t="s">
        <v>4024</v>
      </c>
      <c r="F962" s="6" t="s">
        <v>4025</v>
      </c>
      <c r="G962" s="6" t="s">
        <v>2444</v>
      </c>
      <c r="H962" s="6" t="s">
        <v>4025</v>
      </c>
      <c r="I962" s="6">
        <v>1</v>
      </c>
      <c r="J962" s="6">
        <v>0</v>
      </c>
      <c r="K962" s="6">
        <v>0</v>
      </c>
      <c r="L962" s="6">
        <v>0</v>
      </c>
      <c r="M962" s="6">
        <v>0</v>
      </c>
      <c r="N962" s="6">
        <v>1</v>
      </c>
      <c r="O962" s="6">
        <v>0</v>
      </c>
    </row>
    <row r="963" spans="1:15">
      <c r="A963" s="6" t="s">
        <v>2452</v>
      </c>
      <c r="B963" s="6" t="s">
        <v>1861</v>
      </c>
      <c r="C963" s="6" t="s">
        <v>19</v>
      </c>
      <c r="D963" s="6" t="s">
        <v>4024</v>
      </c>
      <c r="E963" s="6" t="s">
        <v>4026</v>
      </c>
      <c r="F963" s="6" t="s">
        <v>4027</v>
      </c>
      <c r="G963" s="6" t="s">
        <v>2444</v>
      </c>
      <c r="H963" s="6" t="s">
        <v>4028</v>
      </c>
      <c r="I963" s="6">
        <v>1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</row>
    <row r="964" spans="1:15">
      <c r="A964" s="6" t="s">
        <v>2452</v>
      </c>
      <c r="B964" s="6" t="s">
        <v>1861</v>
      </c>
      <c r="C964" s="6" t="s">
        <v>19</v>
      </c>
      <c r="D964" s="6" t="s">
        <v>4024</v>
      </c>
      <c r="E964" s="6" t="s">
        <v>4026</v>
      </c>
      <c r="F964" s="6" t="s">
        <v>4029</v>
      </c>
      <c r="G964" s="6" t="s">
        <v>2444</v>
      </c>
      <c r="H964" s="6" t="s">
        <v>4030</v>
      </c>
      <c r="I964" s="6">
        <v>2</v>
      </c>
      <c r="J964" s="6">
        <v>0</v>
      </c>
      <c r="K964" s="6">
        <v>0</v>
      </c>
      <c r="L964" s="6">
        <v>0</v>
      </c>
      <c r="M964" s="6">
        <v>0</v>
      </c>
      <c r="N964" s="6">
        <v>1</v>
      </c>
      <c r="O964" s="6">
        <v>1</v>
      </c>
    </row>
    <row r="965" spans="1:15">
      <c r="A965" s="6" t="s">
        <v>2452</v>
      </c>
      <c r="B965" s="6" t="s">
        <v>1861</v>
      </c>
      <c r="C965" s="6" t="s">
        <v>19</v>
      </c>
      <c r="D965" s="6" t="s">
        <v>4024</v>
      </c>
      <c r="E965" s="6" t="s">
        <v>4031</v>
      </c>
      <c r="F965" s="6" t="s">
        <v>4032</v>
      </c>
      <c r="G965" s="6" t="s">
        <v>2444</v>
      </c>
      <c r="H965" s="6" t="s">
        <v>4033</v>
      </c>
      <c r="I965" s="6">
        <v>2</v>
      </c>
      <c r="J965" s="6">
        <v>0</v>
      </c>
      <c r="K965" s="6">
        <v>0</v>
      </c>
      <c r="L965" s="6">
        <v>0</v>
      </c>
      <c r="M965" s="6">
        <v>0</v>
      </c>
      <c r="N965" s="6">
        <v>1</v>
      </c>
      <c r="O965" s="6">
        <v>0</v>
      </c>
    </row>
    <row r="966" spans="1:15">
      <c r="A966" s="6" t="s">
        <v>2452</v>
      </c>
      <c r="B966" s="6" t="s">
        <v>1861</v>
      </c>
      <c r="C966" s="6" t="s">
        <v>19</v>
      </c>
      <c r="D966" s="6" t="s">
        <v>4024</v>
      </c>
      <c r="E966" s="6" t="s">
        <v>4034</v>
      </c>
      <c r="F966" s="6" t="s">
        <v>4035</v>
      </c>
      <c r="G966" s="6" t="s">
        <v>2444</v>
      </c>
      <c r="H966" s="6" t="s">
        <v>4036</v>
      </c>
      <c r="I966" s="6">
        <v>2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</row>
    <row r="967" spans="1:15">
      <c r="A967" s="6" t="s">
        <v>2452</v>
      </c>
      <c r="B967" s="6" t="s">
        <v>1861</v>
      </c>
      <c r="C967" s="6" t="s">
        <v>19</v>
      </c>
      <c r="D967" s="6" t="s">
        <v>4024</v>
      </c>
      <c r="E967" s="6" t="s">
        <v>4037</v>
      </c>
      <c r="F967" s="6" t="s">
        <v>4038</v>
      </c>
      <c r="G967" s="6" t="s">
        <v>2444</v>
      </c>
      <c r="H967" s="6" t="s">
        <v>4039</v>
      </c>
      <c r="I967" s="6">
        <v>1</v>
      </c>
      <c r="J967" s="6">
        <v>0</v>
      </c>
      <c r="K967" s="6">
        <v>0</v>
      </c>
      <c r="L967" s="6">
        <v>0</v>
      </c>
      <c r="M967" s="6">
        <v>0</v>
      </c>
      <c r="N967" s="6">
        <v>1</v>
      </c>
      <c r="O967" s="6">
        <v>0</v>
      </c>
    </row>
    <row r="968" spans="1:15">
      <c r="A968" s="6" t="s">
        <v>2452</v>
      </c>
      <c r="B968" s="6" t="s">
        <v>1861</v>
      </c>
      <c r="C968" s="6" t="s">
        <v>19</v>
      </c>
      <c r="D968" s="6" t="s">
        <v>4024</v>
      </c>
      <c r="E968" s="6" t="s">
        <v>4037</v>
      </c>
      <c r="F968" s="6" t="s">
        <v>4038</v>
      </c>
      <c r="G968" s="6" t="s">
        <v>2444</v>
      </c>
      <c r="H968" s="6" t="s">
        <v>4040</v>
      </c>
      <c r="I968" s="6">
        <v>1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</row>
    <row r="969" spans="1:15">
      <c r="A969" s="6" t="s">
        <v>2452</v>
      </c>
      <c r="B969" s="6" t="s">
        <v>1861</v>
      </c>
      <c r="C969" s="6" t="s">
        <v>19</v>
      </c>
      <c r="D969" s="6" t="s">
        <v>4024</v>
      </c>
      <c r="E969" s="6" t="s">
        <v>4037</v>
      </c>
      <c r="F969" s="6" t="s">
        <v>4041</v>
      </c>
      <c r="G969" s="6" t="s">
        <v>2444</v>
      </c>
      <c r="H969" s="6" t="s">
        <v>4042</v>
      </c>
      <c r="I969" s="6">
        <v>1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</row>
    <row r="970" spans="1:15">
      <c r="A970" s="6" t="s">
        <v>2452</v>
      </c>
      <c r="B970" s="6" t="s">
        <v>1861</v>
      </c>
      <c r="C970" s="6" t="s">
        <v>19</v>
      </c>
      <c r="D970" s="6" t="s">
        <v>4024</v>
      </c>
      <c r="E970" s="6" t="s">
        <v>4037</v>
      </c>
      <c r="F970" s="6" t="s">
        <v>4043</v>
      </c>
      <c r="G970" s="6" t="s">
        <v>2444</v>
      </c>
      <c r="H970" s="6" t="s">
        <v>4044</v>
      </c>
      <c r="I970" s="6">
        <v>1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</row>
    <row r="971" spans="1:15">
      <c r="A971" s="6" t="s">
        <v>2452</v>
      </c>
      <c r="B971" s="6" t="s">
        <v>1861</v>
      </c>
      <c r="C971" s="6" t="s">
        <v>19</v>
      </c>
      <c r="D971" s="6" t="s">
        <v>4024</v>
      </c>
      <c r="E971" s="6" t="s">
        <v>4037</v>
      </c>
      <c r="F971" s="6" t="s">
        <v>4045</v>
      </c>
      <c r="G971" s="6" t="s">
        <v>2444</v>
      </c>
      <c r="H971" s="6" t="s">
        <v>4046</v>
      </c>
      <c r="I971" s="6">
        <v>1</v>
      </c>
      <c r="J971" s="6">
        <v>0</v>
      </c>
      <c r="K971" s="6">
        <v>0</v>
      </c>
      <c r="L971" s="6">
        <v>0</v>
      </c>
      <c r="M971" s="6">
        <v>0</v>
      </c>
      <c r="N971" s="6">
        <v>1</v>
      </c>
      <c r="O971" s="6">
        <v>0</v>
      </c>
    </row>
    <row r="972" spans="1:15">
      <c r="A972" s="6" t="s">
        <v>2452</v>
      </c>
      <c r="B972" s="6" t="s">
        <v>1861</v>
      </c>
      <c r="C972" s="6" t="s">
        <v>19</v>
      </c>
      <c r="D972" s="6" t="s">
        <v>4024</v>
      </c>
      <c r="E972" s="6" t="s">
        <v>2949</v>
      </c>
      <c r="F972" s="6" t="s">
        <v>3785</v>
      </c>
      <c r="G972" s="6" t="s">
        <v>2444</v>
      </c>
      <c r="H972" s="6" t="s">
        <v>3785</v>
      </c>
      <c r="I972" s="6">
        <v>2</v>
      </c>
      <c r="J972" s="6">
        <v>1</v>
      </c>
      <c r="K972" s="6">
        <v>0.5</v>
      </c>
      <c r="L972" s="6">
        <v>0.45</v>
      </c>
      <c r="M972" s="6">
        <v>0.45</v>
      </c>
      <c r="N972" s="6">
        <v>1</v>
      </c>
      <c r="O972" s="6">
        <v>1</v>
      </c>
    </row>
    <row r="973" spans="1:15">
      <c r="A973" s="6" t="s">
        <v>2452</v>
      </c>
      <c r="B973" s="6" t="s">
        <v>1861</v>
      </c>
      <c r="C973" s="6" t="s">
        <v>19</v>
      </c>
      <c r="D973" s="6" t="s">
        <v>4047</v>
      </c>
      <c r="E973" s="6" t="s">
        <v>4048</v>
      </c>
      <c r="F973" s="6" t="s">
        <v>4049</v>
      </c>
      <c r="G973" s="6" t="s">
        <v>2444</v>
      </c>
      <c r="H973" s="6" t="s">
        <v>4050</v>
      </c>
      <c r="I973" s="6">
        <v>1</v>
      </c>
      <c r="J973" s="6">
        <v>0</v>
      </c>
      <c r="K973" s="6">
        <v>0</v>
      </c>
      <c r="L973" s="6">
        <v>0</v>
      </c>
      <c r="M973" s="6">
        <v>0</v>
      </c>
      <c r="N973" s="6">
        <v>1</v>
      </c>
      <c r="O973" s="6">
        <v>1</v>
      </c>
    </row>
    <row r="974" spans="1:15" hidden="1">
      <c r="A974" s="6" t="s">
        <v>2452</v>
      </c>
      <c r="B974" s="6" t="s">
        <v>1665</v>
      </c>
      <c r="C974" s="6" t="s">
        <v>28</v>
      </c>
      <c r="D974" s="6" t="s">
        <v>4051</v>
      </c>
      <c r="F974" s="6" t="s">
        <v>4052</v>
      </c>
      <c r="G974" s="6" t="s">
        <v>2444</v>
      </c>
      <c r="H974" s="6" t="s">
        <v>4052</v>
      </c>
      <c r="I974" s="6">
        <v>2</v>
      </c>
      <c r="J974" s="6">
        <v>1</v>
      </c>
      <c r="K974" s="6">
        <v>0.5</v>
      </c>
      <c r="L974" s="6">
        <v>0.24</v>
      </c>
      <c r="M974" s="6">
        <v>0.24</v>
      </c>
      <c r="N974" s="6">
        <v>1</v>
      </c>
      <c r="O974" s="6">
        <v>1</v>
      </c>
    </row>
    <row r="975" spans="1:15" hidden="1">
      <c r="A975" s="6" t="s">
        <v>2452</v>
      </c>
      <c r="B975" s="6" t="s">
        <v>1665</v>
      </c>
      <c r="C975" s="6" t="s">
        <v>28</v>
      </c>
      <c r="D975" s="6" t="s">
        <v>4053</v>
      </c>
      <c r="G975" s="6" t="s">
        <v>2444</v>
      </c>
      <c r="H975" s="6" t="s">
        <v>4053</v>
      </c>
      <c r="I975" s="6">
        <v>1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</row>
    <row r="976" spans="1:15" hidden="1">
      <c r="A976" s="6" t="s">
        <v>2452</v>
      </c>
      <c r="B976" s="6" t="s">
        <v>1665</v>
      </c>
      <c r="C976" s="6" t="s">
        <v>28</v>
      </c>
      <c r="D976" s="6" t="s">
        <v>4054</v>
      </c>
      <c r="F976" s="6" t="s">
        <v>4055</v>
      </c>
      <c r="G976" s="6" t="s">
        <v>2444</v>
      </c>
      <c r="H976" s="6" t="s">
        <v>4056</v>
      </c>
      <c r="I976" s="6">
        <v>3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</row>
    <row r="977" spans="1:15" hidden="1">
      <c r="A977" s="6" t="s">
        <v>2452</v>
      </c>
      <c r="B977" s="6" t="s">
        <v>1665</v>
      </c>
      <c r="C977" s="6" t="s">
        <v>28</v>
      </c>
      <c r="D977" s="6" t="s">
        <v>4057</v>
      </c>
      <c r="F977" s="6" t="s">
        <v>4058</v>
      </c>
      <c r="G977" s="6" t="s">
        <v>2444</v>
      </c>
      <c r="H977" s="6" t="s">
        <v>4058</v>
      </c>
      <c r="I977" s="6">
        <v>2</v>
      </c>
      <c r="J977" s="6">
        <v>1</v>
      </c>
      <c r="K977" s="6">
        <v>0.5</v>
      </c>
      <c r="L977" s="6">
        <v>0.25</v>
      </c>
      <c r="M977" s="6">
        <v>0.25</v>
      </c>
      <c r="N977" s="6">
        <v>1</v>
      </c>
      <c r="O977" s="6">
        <v>1</v>
      </c>
    </row>
    <row r="978" spans="1:15" hidden="1">
      <c r="A978" s="6" t="s">
        <v>2452</v>
      </c>
      <c r="B978" s="6" t="s">
        <v>1665</v>
      </c>
      <c r="C978" s="6" t="s">
        <v>28</v>
      </c>
      <c r="D978" s="6" t="s">
        <v>4059</v>
      </c>
      <c r="F978" s="6" t="s">
        <v>4060</v>
      </c>
      <c r="G978" s="6" t="s">
        <v>2444</v>
      </c>
      <c r="H978" s="6" t="s">
        <v>4060</v>
      </c>
      <c r="I978" s="6">
        <v>2</v>
      </c>
      <c r="J978" s="6">
        <v>1</v>
      </c>
      <c r="K978" s="6">
        <v>0.5</v>
      </c>
      <c r="L978" s="6">
        <v>7.0000000000000007E-2</v>
      </c>
      <c r="M978" s="6">
        <v>7.0000000000000007E-2</v>
      </c>
      <c r="N978" s="6">
        <v>1</v>
      </c>
      <c r="O978" s="6">
        <v>1</v>
      </c>
    </row>
    <row r="979" spans="1:15" hidden="1">
      <c r="A979" s="6" t="s">
        <v>2452</v>
      </c>
      <c r="B979" s="6" t="s">
        <v>1665</v>
      </c>
      <c r="C979" s="6" t="s">
        <v>28</v>
      </c>
      <c r="D979" s="6" t="s">
        <v>4059</v>
      </c>
      <c r="F979" s="6" t="s">
        <v>4061</v>
      </c>
      <c r="G979" s="6" t="s">
        <v>2444</v>
      </c>
      <c r="H979" s="6" t="s">
        <v>4061</v>
      </c>
      <c r="I979" s="6">
        <v>6</v>
      </c>
      <c r="J979" s="6">
        <v>0</v>
      </c>
      <c r="K979" s="6">
        <v>0</v>
      </c>
      <c r="L979" s="6">
        <v>0</v>
      </c>
      <c r="M979" s="6">
        <v>0</v>
      </c>
      <c r="N979" s="6">
        <v>1</v>
      </c>
      <c r="O979" s="6">
        <v>1</v>
      </c>
    </row>
    <row r="980" spans="1:15" hidden="1">
      <c r="A980" s="6" t="s">
        <v>2452</v>
      </c>
      <c r="B980" s="6" t="s">
        <v>1665</v>
      </c>
      <c r="C980" s="6" t="s">
        <v>28</v>
      </c>
      <c r="D980" s="6" t="s">
        <v>4059</v>
      </c>
      <c r="F980" s="6" t="s">
        <v>4059</v>
      </c>
      <c r="G980" s="6" t="s">
        <v>2444</v>
      </c>
      <c r="H980" s="6" t="s">
        <v>4059</v>
      </c>
      <c r="I980" s="6">
        <v>11</v>
      </c>
      <c r="J980" s="6">
        <v>2</v>
      </c>
      <c r="K980" s="6">
        <v>0.18179999999999999</v>
      </c>
      <c r="L980" s="6">
        <v>0.06</v>
      </c>
      <c r="M980" s="6">
        <v>0.11</v>
      </c>
      <c r="N980" s="6">
        <v>1</v>
      </c>
      <c r="O980" s="6">
        <v>1</v>
      </c>
    </row>
    <row r="981" spans="1:15" hidden="1">
      <c r="A981" s="6" t="s">
        <v>2452</v>
      </c>
      <c r="B981" s="6" t="s">
        <v>1788</v>
      </c>
      <c r="C981" s="6" t="s">
        <v>1366</v>
      </c>
      <c r="D981" s="6" t="s">
        <v>4062</v>
      </c>
      <c r="F981" s="6" t="s">
        <v>4062</v>
      </c>
      <c r="G981" s="6" t="s">
        <v>2444</v>
      </c>
      <c r="H981" s="6" t="s">
        <v>4063</v>
      </c>
      <c r="I981" s="6">
        <v>6</v>
      </c>
      <c r="J981" s="6">
        <v>0</v>
      </c>
      <c r="K981" s="6">
        <v>0</v>
      </c>
      <c r="L981" s="6">
        <v>0</v>
      </c>
      <c r="M981" s="6">
        <v>0</v>
      </c>
      <c r="N981" s="6">
        <v>0.2</v>
      </c>
      <c r="O981" s="6">
        <v>0.2</v>
      </c>
    </row>
    <row r="982" spans="1:15" hidden="1">
      <c r="A982" s="6" t="s">
        <v>2452</v>
      </c>
      <c r="B982" s="6" t="s">
        <v>1788</v>
      </c>
      <c r="C982" s="6" t="s">
        <v>1366</v>
      </c>
      <c r="D982" s="6" t="s">
        <v>4062</v>
      </c>
      <c r="F982" s="6" t="s">
        <v>4062</v>
      </c>
      <c r="G982" s="6" t="s">
        <v>2444</v>
      </c>
      <c r="H982" s="6" t="s">
        <v>4064</v>
      </c>
      <c r="I982" s="6">
        <v>2</v>
      </c>
      <c r="J982" s="6">
        <v>0</v>
      </c>
      <c r="K982" s="6">
        <v>0</v>
      </c>
      <c r="L982" s="6">
        <v>0</v>
      </c>
      <c r="M982" s="6">
        <v>0</v>
      </c>
      <c r="N982" s="6">
        <v>1</v>
      </c>
      <c r="O982" s="6">
        <v>1</v>
      </c>
    </row>
    <row r="983" spans="1:15" hidden="1">
      <c r="A983" s="6" t="s">
        <v>2452</v>
      </c>
      <c r="B983" s="6" t="s">
        <v>1788</v>
      </c>
      <c r="C983" s="6" t="s">
        <v>1366</v>
      </c>
      <c r="D983" s="6" t="s">
        <v>4062</v>
      </c>
      <c r="F983" s="6" t="s">
        <v>4062</v>
      </c>
      <c r="G983" s="6" t="s">
        <v>2444</v>
      </c>
      <c r="H983" s="6" t="s">
        <v>4065</v>
      </c>
      <c r="I983" s="6">
        <v>2</v>
      </c>
      <c r="J983" s="6">
        <v>0</v>
      </c>
      <c r="K983" s="6">
        <v>0</v>
      </c>
      <c r="L983" s="6">
        <v>0</v>
      </c>
      <c r="M983" s="6">
        <v>0</v>
      </c>
      <c r="N983" s="6">
        <v>1</v>
      </c>
      <c r="O983" s="6">
        <v>1</v>
      </c>
    </row>
    <row r="984" spans="1:15" hidden="1">
      <c r="A984" s="6" t="s">
        <v>2452</v>
      </c>
      <c r="B984" s="6" t="s">
        <v>1788</v>
      </c>
      <c r="C984" s="6" t="s">
        <v>1366</v>
      </c>
      <c r="D984" s="6" t="s">
        <v>2699</v>
      </c>
      <c r="E984" s="6" t="s">
        <v>4066</v>
      </c>
      <c r="F984" s="6" t="s">
        <v>2699</v>
      </c>
      <c r="G984" s="6" t="s">
        <v>2444</v>
      </c>
      <c r="H984" s="6" t="s">
        <v>3317</v>
      </c>
      <c r="I984" s="6">
        <v>6</v>
      </c>
      <c r="J984" s="6">
        <v>0</v>
      </c>
      <c r="K984" s="6">
        <v>0</v>
      </c>
      <c r="L984" s="6">
        <v>0</v>
      </c>
      <c r="M984" s="6">
        <v>0</v>
      </c>
      <c r="N984" s="6">
        <v>0.5</v>
      </c>
      <c r="O984" s="6">
        <v>0.5</v>
      </c>
    </row>
    <row r="985" spans="1:15" hidden="1">
      <c r="A985" s="6" t="s">
        <v>2452</v>
      </c>
      <c r="B985" s="6" t="s">
        <v>4067</v>
      </c>
      <c r="C985" s="6" t="s">
        <v>1334</v>
      </c>
      <c r="D985" s="6" t="s">
        <v>4068</v>
      </c>
      <c r="G985" s="6" t="s">
        <v>2444</v>
      </c>
      <c r="H985" s="6" t="s">
        <v>4068</v>
      </c>
      <c r="I985" s="6">
        <v>2</v>
      </c>
      <c r="J985" s="6">
        <v>0</v>
      </c>
      <c r="K985" s="6">
        <v>0</v>
      </c>
      <c r="L985" s="6">
        <v>0</v>
      </c>
      <c r="M985" s="6">
        <v>0</v>
      </c>
      <c r="N985" s="6">
        <v>1</v>
      </c>
      <c r="O985" s="6">
        <v>1</v>
      </c>
    </row>
    <row r="986" spans="1:15" hidden="1">
      <c r="A986" s="6" t="s">
        <v>2452</v>
      </c>
      <c r="B986" s="6" t="s">
        <v>4067</v>
      </c>
      <c r="C986" s="6" t="s">
        <v>4069</v>
      </c>
      <c r="G986" s="6" t="s">
        <v>2444</v>
      </c>
      <c r="H986" s="6" t="s">
        <v>4069</v>
      </c>
      <c r="I986" s="6">
        <v>49</v>
      </c>
      <c r="J986" s="6">
        <v>2</v>
      </c>
      <c r="K986" s="6">
        <v>4.0800000000000003E-2</v>
      </c>
      <c r="L986" s="6">
        <v>0.12</v>
      </c>
      <c r="M986" s="6">
        <v>0.25</v>
      </c>
      <c r="N986" s="6">
        <v>0.63039999999999996</v>
      </c>
      <c r="O986" s="6">
        <v>0.45649999999999996</v>
      </c>
    </row>
    <row r="987" spans="1:15" hidden="1">
      <c r="A987" s="6" t="s">
        <v>2452</v>
      </c>
      <c r="B987" s="6" t="s">
        <v>4067</v>
      </c>
      <c r="C987" s="6" t="s">
        <v>4069</v>
      </c>
      <c r="F987" s="6" t="s">
        <v>561</v>
      </c>
      <c r="G987" s="6" t="s">
        <v>2444</v>
      </c>
      <c r="H987" s="6" t="s">
        <v>561</v>
      </c>
      <c r="I987" s="6">
        <v>12</v>
      </c>
      <c r="J987" s="6">
        <v>0</v>
      </c>
      <c r="K987" s="6">
        <v>0</v>
      </c>
      <c r="L987" s="6">
        <v>0</v>
      </c>
      <c r="M987" s="6">
        <v>0</v>
      </c>
      <c r="N987" s="6">
        <v>0.66670000000000007</v>
      </c>
      <c r="O987" s="6">
        <v>0.58329999999999993</v>
      </c>
    </row>
    <row r="988" spans="1:15" hidden="1">
      <c r="A988" s="6" t="s">
        <v>2452</v>
      </c>
      <c r="B988" s="6" t="s">
        <v>4067</v>
      </c>
      <c r="C988" s="6" t="s">
        <v>4069</v>
      </c>
      <c r="E988" s="6" t="s">
        <v>4070</v>
      </c>
      <c r="G988" s="6" t="s">
        <v>2444</v>
      </c>
      <c r="H988" s="6" t="s">
        <v>4070</v>
      </c>
      <c r="I988" s="6">
        <v>1</v>
      </c>
      <c r="J988" s="6">
        <v>0</v>
      </c>
      <c r="K988" s="6">
        <v>0</v>
      </c>
      <c r="L988" s="6">
        <v>0</v>
      </c>
      <c r="M988" s="6">
        <v>0</v>
      </c>
      <c r="N988" s="6">
        <v>1</v>
      </c>
      <c r="O988" s="6">
        <v>1</v>
      </c>
    </row>
    <row r="989" spans="1:15" hidden="1">
      <c r="A989" s="6" t="s">
        <v>2452</v>
      </c>
      <c r="B989" s="6" t="s">
        <v>4067</v>
      </c>
      <c r="C989" s="6" t="s">
        <v>530</v>
      </c>
      <c r="D989" s="6" t="s">
        <v>4071</v>
      </c>
      <c r="F989" s="6" t="s">
        <v>4071</v>
      </c>
      <c r="G989" s="6" t="s">
        <v>2444</v>
      </c>
      <c r="H989" s="6" t="s">
        <v>4071</v>
      </c>
      <c r="I989" s="6">
        <v>8</v>
      </c>
      <c r="J989" s="6">
        <v>1</v>
      </c>
      <c r="K989" s="6">
        <v>0.125</v>
      </c>
      <c r="L989" s="6">
        <v>0.91</v>
      </c>
      <c r="M989" s="6">
        <v>0.91</v>
      </c>
      <c r="N989" s="6">
        <v>0.5</v>
      </c>
      <c r="O989" s="6">
        <v>0.16670000000000001</v>
      </c>
    </row>
    <row r="990" spans="1:15" hidden="1">
      <c r="A990" s="6" t="s">
        <v>2452</v>
      </c>
      <c r="B990" s="6" t="s">
        <v>4067</v>
      </c>
      <c r="C990" s="6" t="s">
        <v>530</v>
      </c>
      <c r="D990" s="6" t="s">
        <v>4071</v>
      </c>
      <c r="E990" s="6" t="s">
        <v>4072</v>
      </c>
      <c r="F990" s="6" t="s">
        <v>4072</v>
      </c>
      <c r="G990" s="6" t="s">
        <v>2444</v>
      </c>
      <c r="H990" s="6" t="s">
        <v>4073</v>
      </c>
      <c r="I990" s="6">
        <v>1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</row>
    <row r="991" spans="1:15" hidden="1">
      <c r="A991" s="6" t="s">
        <v>2452</v>
      </c>
      <c r="B991" s="6" t="s">
        <v>4067</v>
      </c>
      <c r="C991" s="6" t="s">
        <v>530</v>
      </c>
      <c r="D991" s="6" t="s">
        <v>4074</v>
      </c>
      <c r="F991" s="6" t="s">
        <v>4075</v>
      </c>
      <c r="G991" s="6" t="s">
        <v>2444</v>
      </c>
      <c r="H991" s="6" t="s">
        <v>4076</v>
      </c>
      <c r="I991" s="6">
        <v>2</v>
      </c>
      <c r="J991" s="6">
        <v>0</v>
      </c>
      <c r="K991" s="6">
        <v>0</v>
      </c>
      <c r="L991" s="6">
        <v>0</v>
      </c>
      <c r="M991" s="6">
        <v>0</v>
      </c>
      <c r="N991" s="6">
        <v>1</v>
      </c>
      <c r="O991" s="6">
        <v>1</v>
      </c>
    </row>
    <row r="992" spans="1:15" hidden="1">
      <c r="A992" s="6" t="s">
        <v>2452</v>
      </c>
      <c r="B992" s="6" t="s">
        <v>4067</v>
      </c>
      <c r="C992" s="6" t="s">
        <v>530</v>
      </c>
      <c r="D992" s="6" t="s">
        <v>4074</v>
      </c>
      <c r="F992" s="6" t="s">
        <v>4075</v>
      </c>
      <c r="G992" s="6" t="s">
        <v>2444</v>
      </c>
      <c r="H992" s="6" t="s">
        <v>4077</v>
      </c>
      <c r="I992" s="6">
        <v>1</v>
      </c>
      <c r="J992" s="6">
        <v>0</v>
      </c>
      <c r="K992" s="6">
        <v>0</v>
      </c>
      <c r="L992" s="6">
        <v>0</v>
      </c>
      <c r="M992" s="6">
        <v>0</v>
      </c>
      <c r="N992" s="6">
        <v>1</v>
      </c>
      <c r="O992" s="6">
        <v>1</v>
      </c>
    </row>
    <row r="993" spans="1:15" hidden="1">
      <c r="A993" s="6" t="s">
        <v>2452</v>
      </c>
      <c r="B993" s="6" t="s">
        <v>4067</v>
      </c>
      <c r="C993" s="6" t="s">
        <v>530</v>
      </c>
      <c r="D993" s="6" t="s">
        <v>4074</v>
      </c>
      <c r="F993" s="6" t="s">
        <v>4075</v>
      </c>
      <c r="G993" s="6" t="s">
        <v>2444</v>
      </c>
      <c r="H993" s="6" t="s">
        <v>4078</v>
      </c>
      <c r="I993" s="6">
        <v>2</v>
      </c>
      <c r="J993" s="6">
        <v>1</v>
      </c>
      <c r="K993" s="6">
        <v>0.5</v>
      </c>
      <c r="L993" s="6">
        <v>0.1</v>
      </c>
      <c r="M993" s="6">
        <v>0.1</v>
      </c>
      <c r="N993" s="6">
        <v>1</v>
      </c>
      <c r="O993" s="6">
        <v>1</v>
      </c>
    </row>
    <row r="994" spans="1:15" hidden="1">
      <c r="A994" s="6" t="s">
        <v>2452</v>
      </c>
      <c r="B994" s="6" t="s">
        <v>4067</v>
      </c>
      <c r="C994" s="6" t="s">
        <v>530</v>
      </c>
      <c r="D994" s="6" t="s">
        <v>4074</v>
      </c>
      <c r="F994" s="6" t="s">
        <v>4075</v>
      </c>
      <c r="G994" s="6" t="s">
        <v>2444</v>
      </c>
      <c r="H994" s="6" t="s">
        <v>4079</v>
      </c>
      <c r="I994" s="6">
        <v>1</v>
      </c>
      <c r="J994" s="6">
        <v>0</v>
      </c>
      <c r="K994" s="6">
        <v>0</v>
      </c>
      <c r="L994" s="6">
        <v>0</v>
      </c>
      <c r="M994" s="6">
        <v>0</v>
      </c>
      <c r="N994" s="6">
        <v>1</v>
      </c>
      <c r="O994" s="6">
        <v>1</v>
      </c>
    </row>
    <row r="995" spans="1:15" hidden="1">
      <c r="A995" s="6" t="s">
        <v>2452</v>
      </c>
      <c r="B995" s="6" t="s">
        <v>4067</v>
      </c>
      <c r="C995" s="6" t="s">
        <v>530</v>
      </c>
      <c r="D995" s="6" t="s">
        <v>4074</v>
      </c>
      <c r="F995" s="6" t="s">
        <v>4075</v>
      </c>
      <c r="G995" s="6" t="s">
        <v>2444</v>
      </c>
      <c r="H995" s="6" t="s">
        <v>4080</v>
      </c>
      <c r="I995" s="6">
        <v>5</v>
      </c>
      <c r="J995" s="6">
        <v>0</v>
      </c>
      <c r="K995" s="6">
        <v>0</v>
      </c>
      <c r="L995" s="6">
        <v>0</v>
      </c>
      <c r="M995" s="6">
        <v>0</v>
      </c>
      <c r="N995" s="6">
        <v>1</v>
      </c>
      <c r="O995" s="6">
        <v>0.8</v>
      </c>
    </row>
    <row r="996" spans="1:15" hidden="1">
      <c r="A996" s="6" t="s">
        <v>2452</v>
      </c>
      <c r="B996" s="6" t="s">
        <v>4067</v>
      </c>
      <c r="C996" s="6" t="s">
        <v>530</v>
      </c>
      <c r="D996" s="6" t="s">
        <v>4074</v>
      </c>
      <c r="F996" s="6" t="s">
        <v>4075</v>
      </c>
      <c r="G996" s="6" t="s">
        <v>2444</v>
      </c>
      <c r="H996" s="6" t="s">
        <v>4075</v>
      </c>
      <c r="I996" s="6">
        <v>6</v>
      </c>
      <c r="J996" s="6">
        <v>0</v>
      </c>
      <c r="K996" s="6">
        <v>0</v>
      </c>
      <c r="L996" s="6">
        <v>0</v>
      </c>
      <c r="M996" s="6">
        <v>0</v>
      </c>
      <c r="N996" s="6">
        <v>1</v>
      </c>
      <c r="O996" s="6">
        <v>0.66670000000000007</v>
      </c>
    </row>
    <row r="997" spans="1:15" hidden="1">
      <c r="A997" s="6" t="s">
        <v>2452</v>
      </c>
      <c r="B997" s="6" t="s">
        <v>4067</v>
      </c>
      <c r="C997" s="6" t="s">
        <v>530</v>
      </c>
      <c r="D997" s="6" t="s">
        <v>4074</v>
      </c>
      <c r="F997" s="6" t="s">
        <v>4081</v>
      </c>
      <c r="G997" s="6" t="s">
        <v>2444</v>
      </c>
      <c r="H997" s="6" t="s">
        <v>4082</v>
      </c>
      <c r="I997" s="6">
        <v>1</v>
      </c>
      <c r="J997" s="6">
        <v>0</v>
      </c>
      <c r="K997" s="6">
        <v>0</v>
      </c>
      <c r="L997" s="6">
        <v>0</v>
      </c>
      <c r="M997" s="6">
        <v>0</v>
      </c>
      <c r="N997" s="6">
        <v>1</v>
      </c>
      <c r="O997" s="6">
        <v>1</v>
      </c>
    </row>
    <row r="998" spans="1:15" hidden="1">
      <c r="A998" s="6" t="s">
        <v>2452</v>
      </c>
      <c r="B998" s="6" t="s">
        <v>4067</v>
      </c>
      <c r="C998" s="6" t="s">
        <v>530</v>
      </c>
      <c r="D998" s="6" t="s">
        <v>4083</v>
      </c>
      <c r="F998" s="6" t="s">
        <v>4084</v>
      </c>
      <c r="G998" s="6" t="s">
        <v>2444</v>
      </c>
      <c r="H998" s="6" t="s">
        <v>4085</v>
      </c>
      <c r="I998" s="6">
        <v>2</v>
      </c>
      <c r="J998" s="6">
        <v>1</v>
      </c>
      <c r="K998" s="6">
        <v>0.5</v>
      </c>
      <c r="L998" s="6">
        <v>0.55000000000000004</v>
      </c>
      <c r="M998" s="6">
        <v>0.55000000000000004</v>
      </c>
      <c r="N998" s="6">
        <v>1</v>
      </c>
      <c r="O998" s="6">
        <v>1</v>
      </c>
    </row>
    <row r="999" spans="1:15" hidden="1">
      <c r="A999" s="6" t="s">
        <v>2452</v>
      </c>
      <c r="B999" s="6" t="s">
        <v>4067</v>
      </c>
      <c r="C999" s="6" t="s">
        <v>530</v>
      </c>
      <c r="D999" s="6" t="s">
        <v>4083</v>
      </c>
      <c r="F999" s="6" t="s">
        <v>4084</v>
      </c>
      <c r="G999" s="6" t="s">
        <v>2444</v>
      </c>
      <c r="H999" s="6" t="s">
        <v>4086</v>
      </c>
      <c r="I999" s="6">
        <v>9</v>
      </c>
      <c r="J999" s="6">
        <v>0</v>
      </c>
      <c r="K999" s="6">
        <v>0</v>
      </c>
      <c r="L999" s="6">
        <v>0</v>
      </c>
      <c r="M999" s="6">
        <v>0</v>
      </c>
      <c r="N999" s="6">
        <v>1</v>
      </c>
      <c r="O999" s="6">
        <v>1</v>
      </c>
    </row>
    <row r="1000" spans="1:15" hidden="1">
      <c r="A1000" s="6" t="s">
        <v>2452</v>
      </c>
      <c r="B1000" s="6" t="s">
        <v>4067</v>
      </c>
      <c r="C1000" s="6" t="s">
        <v>530</v>
      </c>
      <c r="D1000" s="6" t="s">
        <v>4083</v>
      </c>
      <c r="F1000" s="6" t="s">
        <v>4084</v>
      </c>
      <c r="G1000" s="6" t="s">
        <v>2444</v>
      </c>
      <c r="H1000" s="6" t="s">
        <v>4087</v>
      </c>
      <c r="I1000" s="6">
        <v>2</v>
      </c>
      <c r="J1000" s="6">
        <v>0</v>
      </c>
      <c r="K1000" s="6">
        <v>0</v>
      </c>
      <c r="L1000" s="6">
        <v>0</v>
      </c>
      <c r="M1000" s="6">
        <v>0</v>
      </c>
      <c r="N1000" s="6">
        <v>1</v>
      </c>
      <c r="O1000" s="6">
        <v>1</v>
      </c>
    </row>
    <row r="1001" spans="1:15" hidden="1">
      <c r="A1001" s="6" t="s">
        <v>2452</v>
      </c>
      <c r="B1001" s="6" t="s">
        <v>4067</v>
      </c>
      <c r="C1001" s="6" t="s">
        <v>530</v>
      </c>
      <c r="D1001" s="6" t="s">
        <v>4083</v>
      </c>
      <c r="F1001" s="6" t="s">
        <v>4084</v>
      </c>
      <c r="G1001" s="6" t="s">
        <v>2444</v>
      </c>
      <c r="H1001" s="6" t="s">
        <v>4088</v>
      </c>
      <c r="I1001" s="6">
        <v>1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</row>
    <row r="1002" spans="1:15" hidden="1">
      <c r="A1002" s="6" t="s">
        <v>2452</v>
      </c>
      <c r="B1002" s="6" t="s">
        <v>4067</v>
      </c>
      <c r="C1002" s="6" t="s">
        <v>530</v>
      </c>
      <c r="D1002" s="6" t="s">
        <v>4083</v>
      </c>
      <c r="F1002" s="6" t="s">
        <v>4084</v>
      </c>
      <c r="G1002" s="6" t="s">
        <v>2444</v>
      </c>
      <c r="H1002" s="6" t="s">
        <v>4089</v>
      </c>
      <c r="I1002" s="6">
        <v>1</v>
      </c>
      <c r="J1002" s="6">
        <v>0</v>
      </c>
      <c r="K1002" s="6">
        <v>0</v>
      </c>
      <c r="L1002" s="6">
        <v>0</v>
      </c>
      <c r="M1002" s="6">
        <v>0</v>
      </c>
      <c r="N1002" s="6">
        <v>1</v>
      </c>
      <c r="O1002" s="6">
        <v>0</v>
      </c>
    </row>
    <row r="1003" spans="1:15" hidden="1">
      <c r="A1003" s="6" t="s">
        <v>2452</v>
      </c>
      <c r="B1003" s="6" t="s">
        <v>4067</v>
      </c>
      <c r="C1003" s="6" t="s">
        <v>530</v>
      </c>
      <c r="D1003" s="6" t="s">
        <v>4083</v>
      </c>
      <c r="F1003" s="6" t="s">
        <v>4084</v>
      </c>
      <c r="G1003" s="6" t="s">
        <v>2444</v>
      </c>
      <c r="H1003" s="6" t="s">
        <v>4090</v>
      </c>
      <c r="I1003" s="6">
        <v>1</v>
      </c>
      <c r="J1003" s="6">
        <v>0</v>
      </c>
      <c r="K1003" s="6">
        <v>0</v>
      </c>
      <c r="L1003" s="6">
        <v>0</v>
      </c>
      <c r="M1003" s="6">
        <v>0</v>
      </c>
      <c r="N1003" s="6">
        <v>1</v>
      </c>
      <c r="O1003" s="6">
        <v>1</v>
      </c>
    </row>
    <row r="1004" spans="1:15" hidden="1">
      <c r="A1004" s="6" t="s">
        <v>2452</v>
      </c>
      <c r="B1004" s="6" t="s">
        <v>4067</v>
      </c>
      <c r="C1004" s="6" t="s">
        <v>530</v>
      </c>
      <c r="D1004" s="6" t="s">
        <v>4083</v>
      </c>
      <c r="F1004" s="6" t="s">
        <v>4084</v>
      </c>
      <c r="G1004" s="6" t="s">
        <v>2444</v>
      </c>
      <c r="H1004" s="6" t="s">
        <v>4091</v>
      </c>
      <c r="I1004" s="6">
        <v>2</v>
      </c>
      <c r="J1004" s="6">
        <v>0</v>
      </c>
      <c r="K1004" s="6">
        <v>0</v>
      </c>
      <c r="L1004" s="6">
        <v>0</v>
      </c>
      <c r="M1004" s="6">
        <v>0</v>
      </c>
      <c r="N1004" s="6">
        <v>1</v>
      </c>
      <c r="O1004" s="6">
        <v>1</v>
      </c>
    </row>
    <row r="1005" spans="1:15" hidden="1">
      <c r="A1005" s="6" t="s">
        <v>2452</v>
      </c>
      <c r="B1005" s="6" t="s">
        <v>4067</v>
      </c>
      <c r="C1005" s="6" t="s">
        <v>530</v>
      </c>
      <c r="D1005" s="6" t="s">
        <v>4083</v>
      </c>
      <c r="F1005" s="6" t="s">
        <v>4084</v>
      </c>
      <c r="G1005" s="6" t="s">
        <v>2444</v>
      </c>
      <c r="H1005" s="6" t="s">
        <v>4092</v>
      </c>
      <c r="I1005" s="6">
        <v>4</v>
      </c>
      <c r="J1005" s="6">
        <v>0</v>
      </c>
      <c r="K1005" s="6">
        <v>0</v>
      </c>
      <c r="L1005" s="6">
        <v>0</v>
      </c>
      <c r="M1005" s="6">
        <v>0</v>
      </c>
      <c r="N1005" s="6">
        <v>1</v>
      </c>
      <c r="O1005" s="6">
        <v>1</v>
      </c>
    </row>
    <row r="1006" spans="1:15" hidden="1">
      <c r="A1006" s="6" t="s">
        <v>2452</v>
      </c>
      <c r="B1006" s="6" t="s">
        <v>4067</v>
      </c>
      <c r="C1006" s="6" t="s">
        <v>530</v>
      </c>
      <c r="D1006" s="6" t="s">
        <v>4083</v>
      </c>
      <c r="F1006" s="6" t="s">
        <v>4084</v>
      </c>
      <c r="G1006" s="6" t="s">
        <v>2444</v>
      </c>
      <c r="H1006" s="6" t="s">
        <v>4093</v>
      </c>
      <c r="I1006" s="6">
        <v>2</v>
      </c>
      <c r="J1006" s="6">
        <v>0</v>
      </c>
      <c r="K1006" s="6">
        <v>0</v>
      </c>
      <c r="L1006" s="6">
        <v>0</v>
      </c>
      <c r="M1006" s="6">
        <v>0</v>
      </c>
      <c r="N1006" s="6">
        <v>0.5</v>
      </c>
      <c r="O1006" s="6">
        <v>0.5</v>
      </c>
    </row>
    <row r="1007" spans="1:15" hidden="1">
      <c r="A1007" s="6" t="s">
        <v>2452</v>
      </c>
      <c r="B1007" s="6" t="s">
        <v>4067</v>
      </c>
      <c r="C1007" s="6" t="s">
        <v>530</v>
      </c>
      <c r="D1007" s="6" t="s">
        <v>4083</v>
      </c>
      <c r="F1007" s="6" t="s">
        <v>4084</v>
      </c>
      <c r="G1007" s="6" t="s">
        <v>2444</v>
      </c>
      <c r="H1007" s="6" t="s">
        <v>4094</v>
      </c>
      <c r="I1007" s="6">
        <v>1</v>
      </c>
      <c r="J1007" s="6">
        <v>0</v>
      </c>
      <c r="K1007" s="6">
        <v>0</v>
      </c>
      <c r="L1007" s="6">
        <v>0</v>
      </c>
      <c r="M1007" s="6">
        <v>0</v>
      </c>
      <c r="N1007" s="6">
        <v>1</v>
      </c>
      <c r="O1007" s="6">
        <v>1</v>
      </c>
    </row>
    <row r="1008" spans="1:15" hidden="1">
      <c r="A1008" s="6" t="s">
        <v>2452</v>
      </c>
      <c r="B1008" s="6" t="s">
        <v>4067</v>
      </c>
      <c r="C1008" s="6" t="s">
        <v>530</v>
      </c>
      <c r="D1008" s="6" t="s">
        <v>4083</v>
      </c>
      <c r="F1008" s="6" t="s">
        <v>4084</v>
      </c>
      <c r="G1008" s="6" t="s">
        <v>2444</v>
      </c>
      <c r="H1008" s="6" t="s">
        <v>4084</v>
      </c>
      <c r="I1008" s="6">
        <v>9</v>
      </c>
      <c r="J1008" s="6">
        <v>0</v>
      </c>
      <c r="K1008" s="6">
        <v>0</v>
      </c>
      <c r="L1008" s="6">
        <v>0</v>
      </c>
      <c r="M1008" s="6">
        <v>0</v>
      </c>
      <c r="N1008" s="6">
        <v>1</v>
      </c>
      <c r="O1008" s="6">
        <v>1</v>
      </c>
    </row>
    <row r="1009" spans="1:15" hidden="1">
      <c r="A1009" s="6" t="s">
        <v>2452</v>
      </c>
      <c r="B1009" s="6" t="s">
        <v>4067</v>
      </c>
      <c r="C1009" s="6" t="s">
        <v>2987</v>
      </c>
      <c r="D1009" s="6" t="s">
        <v>4095</v>
      </c>
      <c r="F1009" s="6" t="s">
        <v>4096</v>
      </c>
      <c r="G1009" s="6" t="s">
        <v>2444</v>
      </c>
      <c r="H1009" s="6" t="s">
        <v>4096</v>
      </c>
      <c r="I1009" s="6">
        <v>6</v>
      </c>
      <c r="J1009" s="6">
        <v>2</v>
      </c>
      <c r="K1009" s="6">
        <v>0.33329999999999999</v>
      </c>
      <c r="L1009" s="6">
        <v>0.44</v>
      </c>
      <c r="M1009" s="6">
        <v>0.89</v>
      </c>
      <c r="N1009" s="6">
        <v>1</v>
      </c>
      <c r="O1009" s="6">
        <v>0.66670000000000007</v>
      </c>
    </row>
    <row r="1010" spans="1:15" hidden="1">
      <c r="A1010" s="6" t="s">
        <v>2452</v>
      </c>
      <c r="B1010" s="6" t="s">
        <v>4067</v>
      </c>
      <c r="C1010" s="6" t="s">
        <v>4097</v>
      </c>
      <c r="D1010" s="6" t="s">
        <v>4098</v>
      </c>
      <c r="G1010" s="6" t="s">
        <v>2444</v>
      </c>
      <c r="H1010" s="6" t="s">
        <v>4098</v>
      </c>
      <c r="I1010" s="6">
        <v>3</v>
      </c>
      <c r="J1010" s="6">
        <v>0</v>
      </c>
      <c r="K1010" s="6">
        <v>0</v>
      </c>
      <c r="L1010" s="6">
        <v>0</v>
      </c>
      <c r="M1010" s="6">
        <v>0</v>
      </c>
      <c r="N1010" s="6">
        <v>1</v>
      </c>
      <c r="O1010" s="6">
        <v>1</v>
      </c>
    </row>
    <row r="1011" spans="1:15" hidden="1">
      <c r="A1011" s="6" t="s">
        <v>2452</v>
      </c>
      <c r="B1011" s="6" t="s">
        <v>4067</v>
      </c>
      <c r="C1011" s="6" t="s">
        <v>4097</v>
      </c>
      <c r="D1011" s="6" t="s">
        <v>4098</v>
      </c>
      <c r="F1011" s="6" t="s">
        <v>4099</v>
      </c>
      <c r="G1011" s="6" t="s">
        <v>2444</v>
      </c>
      <c r="H1011" s="6" t="s">
        <v>4100</v>
      </c>
      <c r="I1011" s="6">
        <v>1</v>
      </c>
      <c r="J1011" s="6">
        <v>0</v>
      </c>
      <c r="K1011" s="6">
        <v>0</v>
      </c>
      <c r="L1011" s="6">
        <v>0</v>
      </c>
      <c r="M1011" s="6">
        <v>0</v>
      </c>
      <c r="N1011" s="6">
        <v>1</v>
      </c>
      <c r="O1011" s="6">
        <v>1</v>
      </c>
    </row>
    <row r="1012" spans="1:15" hidden="1">
      <c r="A1012" s="6" t="s">
        <v>2452</v>
      </c>
      <c r="B1012" s="6" t="s">
        <v>4067</v>
      </c>
      <c r="C1012" s="6" t="s">
        <v>4097</v>
      </c>
      <c r="D1012" s="6" t="s">
        <v>4098</v>
      </c>
      <c r="F1012" s="6" t="s">
        <v>4099</v>
      </c>
      <c r="G1012" s="6" t="s">
        <v>2444</v>
      </c>
      <c r="H1012" s="6" t="s">
        <v>4101</v>
      </c>
      <c r="I1012" s="6">
        <v>2</v>
      </c>
      <c r="J1012" s="6">
        <v>0</v>
      </c>
      <c r="K1012" s="6">
        <v>0</v>
      </c>
      <c r="L1012" s="6">
        <v>0</v>
      </c>
      <c r="M1012" s="6">
        <v>0</v>
      </c>
      <c r="N1012" s="6">
        <v>1</v>
      </c>
      <c r="O1012" s="6">
        <v>1</v>
      </c>
    </row>
    <row r="1013" spans="1:15" hidden="1">
      <c r="A1013" s="6" t="s">
        <v>2452</v>
      </c>
      <c r="B1013" s="6" t="s">
        <v>4067</v>
      </c>
      <c r="C1013" s="6" t="s">
        <v>4097</v>
      </c>
      <c r="D1013" s="6" t="s">
        <v>4098</v>
      </c>
      <c r="F1013" s="6" t="s">
        <v>4099</v>
      </c>
      <c r="G1013" s="6" t="s">
        <v>2444</v>
      </c>
      <c r="H1013" s="6" t="s">
        <v>4102</v>
      </c>
      <c r="I1013" s="6">
        <v>1</v>
      </c>
      <c r="J1013" s="6">
        <v>0</v>
      </c>
      <c r="K1013" s="6">
        <v>0</v>
      </c>
      <c r="L1013" s="6">
        <v>0</v>
      </c>
      <c r="M1013" s="6">
        <v>0</v>
      </c>
      <c r="N1013" s="6">
        <v>1</v>
      </c>
      <c r="O1013" s="6">
        <v>1</v>
      </c>
    </row>
    <row r="1014" spans="1:15" hidden="1">
      <c r="A1014" s="6" t="s">
        <v>2452</v>
      </c>
      <c r="B1014" s="6" t="s">
        <v>4067</v>
      </c>
      <c r="C1014" s="6" t="s">
        <v>4097</v>
      </c>
      <c r="D1014" s="6" t="s">
        <v>4098</v>
      </c>
      <c r="F1014" s="6" t="s">
        <v>4099</v>
      </c>
      <c r="G1014" s="6" t="s">
        <v>2444</v>
      </c>
      <c r="H1014" s="6" t="s">
        <v>4103</v>
      </c>
      <c r="I1014" s="6">
        <v>1</v>
      </c>
      <c r="J1014" s="6">
        <v>0</v>
      </c>
      <c r="K1014" s="6">
        <v>0</v>
      </c>
      <c r="L1014" s="6">
        <v>0</v>
      </c>
      <c r="M1014" s="6">
        <v>0</v>
      </c>
      <c r="N1014" s="6">
        <v>1</v>
      </c>
      <c r="O1014" s="6">
        <v>1</v>
      </c>
    </row>
    <row r="1015" spans="1:15" hidden="1">
      <c r="A1015" s="6" t="s">
        <v>2452</v>
      </c>
      <c r="B1015" s="6" t="s">
        <v>4067</v>
      </c>
      <c r="C1015" s="6" t="s">
        <v>4097</v>
      </c>
      <c r="D1015" s="6" t="s">
        <v>4098</v>
      </c>
      <c r="F1015" s="6" t="s">
        <v>4099</v>
      </c>
      <c r="G1015" s="6" t="s">
        <v>2444</v>
      </c>
      <c r="H1015" s="6" t="s">
        <v>4099</v>
      </c>
      <c r="I1015" s="6">
        <v>1</v>
      </c>
      <c r="J1015" s="6">
        <v>0</v>
      </c>
      <c r="K1015" s="6">
        <v>0</v>
      </c>
      <c r="L1015" s="6">
        <v>0</v>
      </c>
      <c r="M1015" s="6">
        <v>0</v>
      </c>
      <c r="N1015" s="6">
        <v>1</v>
      </c>
      <c r="O1015" s="6">
        <v>0</v>
      </c>
    </row>
    <row r="1016" spans="1:15" hidden="1">
      <c r="A1016" s="6" t="s">
        <v>2452</v>
      </c>
      <c r="B1016" s="6" t="s">
        <v>4067</v>
      </c>
      <c r="C1016" s="6" t="s">
        <v>4097</v>
      </c>
      <c r="D1016" s="6" t="s">
        <v>4098</v>
      </c>
      <c r="F1016" s="6" t="s">
        <v>4104</v>
      </c>
      <c r="G1016" s="6" t="s">
        <v>2444</v>
      </c>
      <c r="H1016" s="6" t="s">
        <v>4104</v>
      </c>
      <c r="I1016" s="6">
        <v>1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</row>
    <row r="1017" spans="1:15" hidden="1">
      <c r="A1017" s="6" t="s">
        <v>2452</v>
      </c>
      <c r="B1017" s="6" t="s">
        <v>4067</v>
      </c>
      <c r="C1017" s="6" t="s">
        <v>4097</v>
      </c>
      <c r="D1017" s="6" t="s">
        <v>4105</v>
      </c>
      <c r="E1017" s="6" t="s">
        <v>4106</v>
      </c>
      <c r="F1017" s="6" t="s">
        <v>4107</v>
      </c>
      <c r="G1017" s="6" t="s">
        <v>2444</v>
      </c>
      <c r="H1017" s="6" t="s">
        <v>4108</v>
      </c>
      <c r="I1017" s="6">
        <v>2</v>
      </c>
      <c r="J1017" s="6">
        <v>0</v>
      </c>
      <c r="K1017" s="6">
        <v>0</v>
      </c>
      <c r="L1017" s="6">
        <v>0</v>
      </c>
      <c r="M1017" s="6">
        <v>0</v>
      </c>
      <c r="N1017" s="6">
        <v>1</v>
      </c>
      <c r="O1017" s="6">
        <v>1</v>
      </c>
    </row>
    <row r="1018" spans="1:15" hidden="1">
      <c r="A1018" s="6" t="s">
        <v>2452</v>
      </c>
      <c r="B1018" s="6" t="s">
        <v>4067</v>
      </c>
      <c r="C1018" s="6" t="s">
        <v>4097</v>
      </c>
      <c r="D1018" s="6" t="s">
        <v>4105</v>
      </c>
      <c r="E1018" s="6" t="s">
        <v>4106</v>
      </c>
      <c r="F1018" s="6" t="s">
        <v>4107</v>
      </c>
      <c r="G1018" s="6" t="s">
        <v>2444</v>
      </c>
      <c r="H1018" s="6" t="s">
        <v>4107</v>
      </c>
      <c r="I1018" s="6">
        <v>1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</row>
    <row r="1019" spans="1:15" hidden="1">
      <c r="A1019" s="6" t="s">
        <v>2452</v>
      </c>
      <c r="B1019" s="6" t="s">
        <v>4067</v>
      </c>
      <c r="C1019" s="6" t="s">
        <v>4097</v>
      </c>
      <c r="D1019" s="6" t="s">
        <v>4105</v>
      </c>
      <c r="E1019" s="6" t="s">
        <v>4106</v>
      </c>
      <c r="F1019" s="6" t="s">
        <v>4109</v>
      </c>
      <c r="G1019" s="6" t="s">
        <v>2444</v>
      </c>
      <c r="H1019" s="6" t="s">
        <v>4110</v>
      </c>
      <c r="I1019" s="6">
        <v>2</v>
      </c>
      <c r="J1019" s="6">
        <v>0</v>
      </c>
      <c r="K1019" s="6">
        <v>0</v>
      </c>
      <c r="L1019" s="6">
        <v>0</v>
      </c>
      <c r="M1019" s="6">
        <v>0</v>
      </c>
      <c r="N1019" s="6">
        <v>1</v>
      </c>
      <c r="O1019" s="6">
        <v>1</v>
      </c>
    </row>
    <row r="1020" spans="1:15" hidden="1">
      <c r="A1020" s="6" t="s">
        <v>2452</v>
      </c>
      <c r="B1020" s="6" t="s">
        <v>4067</v>
      </c>
      <c r="C1020" s="6" t="s">
        <v>4097</v>
      </c>
      <c r="D1020" s="6" t="s">
        <v>4111</v>
      </c>
      <c r="F1020" s="6" t="s">
        <v>4112</v>
      </c>
      <c r="G1020" s="6" t="s">
        <v>2444</v>
      </c>
      <c r="H1020" s="6" t="s">
        <v>4113</v>
      </c>
      <c r="I1020" s="6">
        <v>1</v>
      </c>
      <c r="J1020" s="6">
        <v>1</v>
      </c>
      <c r="K1020" s="6">
        <v>1</v>
      </c>
      <c r="L1020" s="6">
        <v>0.01</v>
      </c>
      <c r="M1020" s="6">
        <v>0.01</v>
      </c>
      <c r="N1020" s="6">
        <v>1</v>
      </c>
      <c r="O1020" s="6">
        <v>0</v>
      </c>
    </row>
    <row r="1021" spans="1:15" hidden="1">
      <c r="A1021" s="6" t="s">
        <v>2452</v>
      </c>
      <c r="B1021" s="6" t="s">
        <v>4067</v>
      </c>
      <c r="C1021" s="6" t="s">
        <v>4097</v>
      </c>
      <c r="D1021" s="6" t="s">
        <v>4111</v>
      </c>
      <c r="F1021" s="6" t="s">
        <v>4114</v>
      </c>
      <c r="G1021" s="6" t="s">
        <v>2444</v>
      </c>
      <c r="H1021" s="6" t="s">
        <v>4115</v>
      </c>
      <c r="I1021" s="6">
        <v>9</v>
      </c>
      <c r="J1021" s="6">
        <v>0</v>
      </c>
      <c r="K1021" s="6">
        <v>0</v>
      </c>
      <c r="L1021" s="6">
        <v>0</v>
      </c>
      <c r="M1021" s="6">
        <v>0</v>
      </c>
      <c r="N1021" s="6">
        <v>1</v>
      </c>
      <c r="O1021" s="6">
        <v>1</v>
      </c>
    </row>
    <row r="1022" spans="1:15" hidden="1">
      <c r="A1022" s="6" t="s">
        <v>2452</v>
      </c>
      <c r="B1022" s="6" t="s">
        <v>4067</v>
      </c>
      <c r="C1022" s="6" t="s">
        <v>4097</v>
      </c>
      <c r="D1022" s="6" t="s">
        <v>4116</v>
      </c>
      <c r="F1022" s="6" t="s">
        <v>4117</v>
      </c>
      <c r="G1022" s="6" t="s">
        <v>2444</v>
      </c>
      <c r="H1022" s="6" t="s">
        <v>4118</v>
      </c>
      <c r="I1022" s="6">
        <v>3</v>
      </c>
      <c r="J1022" s="6">
        <v>0</v>
      </c>
      <c r="K1022" s="6">
        <v>0</v>
      </c>
      <c r="L1022" s="6">
        <v>0</v>
      </c>
      <c r="M1022" s="6">
        <v>0</v>
      </c>
      <c r="N1022" s="6">
        <v>0.5</v>
      </c>
      <c r="O1022" s="6">
        <v>0</v>
      </c>
    </row>
    <row r="1023" spans="1:15" hidden="1">
      <c r="A1023" s="6" t="s">
        <v>2452</v>
      </c>
      <c r="B1023" s="6" t="s">
        <v>4067</v>
      </c>
      <c r="C1023" s="6" t="s">
        <v>4097</v>
      </c>
      <c r="D1023" s="6" t="s">
        <v>4116</v>
      </c>
      <c r="F1023" s="6" t="s">
        <v>4117</v>
      </c>
      <c r="G1023" s="6" t="s">
        <v>2444</v>
      </c>
      <c r="H1023" s="6" t="s">
        <v>4119</v>
      </c>
      <c r="I1023" s="6">
        <v>2</v>
      </c>
      <c r="J1023" s="6">
        <v>0</v>
      </c>
      <c r="K1023" s="6">
        <v>0</v>
      </c>
      <c r="L1023" s="6">
        <v>0</v>
      </c>
      <c r="M1023" s="6">
        <v>0</v>
      </c>
      <c r="N1023" s="6">
        <v>0.5</v>
      </c>
      <c r="O1023" s="6">
        <v>0</v>
      </c>
    </row>
    <row r="1024" spans="1:15" hidden="1">
      <c r="A1024" s="6" t="s">
        <v>2452</v>
      </c>
      <c r="B1024" s="6" t="s">
        <v>4067</v>
      </c>
      <c r="C1024" s="6" t="s">
        <v>4097</v>
      </c>
      <c r="D1024" s="6" t="s">
        <v>4116</v>
      </c>
      <c r="F1024" s="6" t="s">
        <v>4120</v>
      </c>
      <c r="G1024" s="6" t="s">
        <v>2444</v>
      </c>
      <c r="H1024" s="6" t="s">
        <v>4121</v>
      </c>
      <c r="I1024" s="6">
        <v>1</v>
      </c>
      <c r="J1024" s="6">
        <v>0</v>
      </c>
      <c r="K1024" s="6">
        <v>0</v>
      </c>
      <c r="L1024" s="6">
        <v>0</v>
      </c>
      <c r="M1024" s="6">
        <v>0</v>
      </c>
      <c r="N1024" s="6">
        <v>1</v>
      </c>
      <c r="O1024" s="6">
        <v>1</v>
      </c>
    </row>
    <row r="1025" spans="1:15" hidden="1">
      <c r="A1025" s="6" t="s">
        <v>2452</v>
      </c>
      <c r="B1025" s="6" t="s">
        <v>4067</v>
      </c>
      <c r="C1025" s="6" t="s">
        <v>4122</v>
      </c>
      <c r="D1025" s="6" t="s">
        <v>4123</v>
      </c>
      <c r="E1025" s="6" t="s">
        <v>4124</v>
      </c>
      <c r="F1025" s="6" t="s">
        <v>4125</v>
      </c>
      <c r="G1025" s="6" t="s">
        <v>2444</v>
      </c>
      <c r="H1025" s="6" t="s">
        <v>4125</v>
      </c>
      <c r="I1025" s="6">
        <v>1</v>
      </c>
      <c r="J1025" s="6">
        <v>0</v>
      </c>
      <c r="K1025" s="6">
        <v>0</v>
      </c>
      <c r="L1025" s="6">
        <v>0</v>
      </c>
      <c r="M1025" s="6">
        <v>0</v>
      </c>
      <c r="N1025" s="6">
        <v>1</v>
      </c>
      <c r="O1025" s="6">
        <v>1</v>
      </c>
    </row>
    <row r="1026" spans="1:15" hidden="1">
      <c r="A1026" s="6" t="s">
        <v>2452</v>
      </c>
      <c r="B1026" s="6" t="s">
        <v>4067</v>
      </c>
      <c r="C1026" s="6" t="s">
        <v>4122</v>
      </c>
      <c r="D1026" s="6" t="s">
        <v>4123</v>
      </c>
      <c r="E1026" s="6" t="s">
        <v>4124</v>
      </c>
      <c r="F1026" s="6" t="s">
        <v>4126</v>
      </c>
      <c r="G1026" s="6" t="s">
        <v>2444</v>
      </c>
      <c r="H1026" s="6" t="s">
        <v>4126</v>
      </c>
      <c r="I1026" s="6">
        <v>2</v>
      </c>
      <c r="J1026" s="6">
        <v>0</v>
      </c>
      <c r="K1026" s="6">
        <v>0</v>
      </c>
      <c r="L1026" s="6">
        <v>0</v>
      </c>
      <c r="M1026" s="6">
        <v>0</v>
      </c>
      <c r="N1026" s="6">
        <v>1</v>
      </c>
      <c r="O1026" s="6">
        <v>1</v>
      </c>
    </row>
    <row r="1027" spans="1:15" hidden="1">
      <c r="A1027" s="6" t="s">
        <v>2452</v>
      </c>
      <c r="B1027" s="6" t="s">
        <v>4067</v>
      </c>
      <c r="C1027" s="6" t="s">
        <v>4122</v>
      </c>
      <c r="D1027" s="6" t="s">
        <v>4123</v>
      </c>
      <c r="E1027" s="6" t="s">
        <v>4127</v>
      </c>
      <c r="F1027" s="6" t="s">
        <v>4128</v>
      </c>
      <c r="G1027" s="6" t="s">
        <v>2444</v>
      </c>
      <c r="H1027" s="6" t="s">
        <v>4128</v>
      </c>
      <c r="I1027" s="6">
        <v>2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</row>
    <row r="1028" spans="1:15" hidden="1">
      <c r="A1028" s="6" t="s">
        <v>2452</v>
      </c>
      <c r="B1028" s="6" t="s">
        <v>4067</v>
      </c>
      <c r="C1028" s="6" t="s">
        <v>4122</v>
      </c>
      <c r="D1028" s="6" t="s">
        <v>4129</v>
      </c>
      <c r="E1028" s="6" t="s">
        <v>4130</v>
      </c>
      <c r="F1028" s="6" t="s">
        <v>4131</v>
      </c>
      <c r="G1028" s="6" t="s">
        <v>2444</v>
      </c>
      <c r="H1028" s="6" t="s">
        <v>4131</v>
      </c>
      <c r="I1028" s="6">
        <v>1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</row>
    <row r="1029" spans="1:15" hidden="1">
      <c r="A1029" s="6" t="s">
        <v>2452</v>
      </c>
      <c r="B1029" s="6" t="s">
        <v>4067</v>
      </c>
      <c r="C1029" s="6" t="s">
        <v>4122</v>
      </c>
      <c r="D1029" s="6" t="s">
        <v>4129</v>
      </c>
      <c r="E1029" s="6" t="s">
        <v>4132</v>
      </c>
      <c r="G1029" s="6" t="s">
        <v>2444</v>
      </c>
      <c r="H1029" s="6" t="s">
        <v>4132</v>
      </c>
      <c r="I1029" s="6">
        <v>15</v>
      </c>
      <c r="J1029" s="6">
        <v>0</v>
      </c>
      <c r="K1029" s="6">
        <v>0</v>
      </c>
      <c r="L1029" s="6">
        <v>0</v>
      </c>
      <c r="M1029" s="6">
        <v>0</v>
      </c>
      <c r="N1029" s="6">
        <v>0.1333</v>
      </c>
      <c r="O1029" s="6">
        <v>0.1333</v>
      </c>
    </row>
    <row r="1030" spans="1:15" hidden="1">
      <c r="A1030" s="6" t="s">
        <v>2452</v>
      </c>
      <c r="B1030" s="6" t="s">
        <v>4067</v>
      </c>
      <c r="C1030" s="6" t="s">
        <v>4122</v>
      </c>
      <c r="D1030" s="6" t="s">
        <v>4129</v>
      </c>
      <c r="E1030" s="6" t="s">
        <v>4132</v>
      </c>
      <c r="F1030" s="6" t="s">
        <v>4133</v>
      </c>
      <c r="G1030" s="6" t="s">
        <v>2444</v>
      </c>
      <c r="H1030" s="6" t="s">
        <v>4133</v>
      </c>
      <c r="I1030" s="6">
        <v>6</v>
      </c>
      <c r="J1030" s="6">
        <v>0</v>
      </c>
      <c r="K1030" s="6">
        <v>0</v>
      </c>
      <c r="L1030" s="6">
        <v>0</v>
      </c>
      <c r="M1030" s="6">
        <v>0</v>
      </c>
      <c r="N1030" s="6">
        <v>1</v>
      </c>
      <c r="O1030" s="6">
        <v>1</v>
      </c>
    </row>
    <row r="1031" spans="1:15" hidden="1">
      <c r="A1031" s="6" t="s">
        <v>2452</v>
      </c>
      <c r="B1031" s="6" t="s">
        <v>4067</v>
      </c>
      <c r="C1031" s="6" t="s">
        <v>4122</v>
      </c>
      <c r="D1031" s="6" t="s">
        <v>4129</v>
      </c>
      <c r="E1031" s="6" t="s">
        <v>4134</v>
      </c>
      <c r="G1031" s="6" t="s">
        <v>2444</v>
      </c>
      <c r="H1031" s="6" t="s">
        <v>4134</v>
      </c>
      <c r="I1031" s="6">
        <v>1</v>
      </c>
      <c r="J1031" s="6">
        <v>0</v>
      </c>
      <c r="K1031" s="6">
        <v>0</v>
      </c>
      <c r="L1031" s="6">
        <v>0</v>
      </c>
      <c r="M1031" s="6">
        <v>0</v>
      </c>
      <c r="N1031" s="6">
        <v>1</v>
      </c>
      <c r="O1031" s="6">
        <v>1</v>
      </c>
    </row>
    <row r="1032" spans="1:15" hidden="1">
      <c r="A1032" s="6" t="s">
        <v>2452</v>
      </c>
      <c r="B1032" s="6" t="s">
        <v>4067</v>
      </c>
      <c r="C1032" s="6" t="s">
        <v>4122</v>
      </c>
      <c r="D1032" s="6" t="s">
        <v>4129</v>
      </c>
      <c r="E1032" s="6" t="s">
        <v>4134</v>
      </c>
      <c r="F1032" s="6" t="s">
        <v>4135</v>
      </c>
      <c r="G1032" s="6" t="s">
        <v>2444</v>
      </c>
      <c r="H1032" s="6" t="s">
        <v>4135</v>
      </c>
      <c r="I1032" s="6">
        <v>8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</row>
    <row r="1033" spans="1:15" hidden="1">
      <c r="A1033" s="6" t="s">
        <v>2452</v>
      </c>
      <c r="B1033" s="6" t="s">
        <v>4067</v>
      </c>
      <c r="C1033" s="6" t="s">
        <v>4122</v>
      </c>
      <c r="D1033" s="6" t="s">
        <v>4129</v>
      </c>
      <c r="E1033" s="6" t="s">
        <v>4136</v>
      </c>
      <c r="F1033" s="6" t="s">
        <v>4137</v>
      </c>
      <c r="G1033" s="6" t="s">
        <v>2444</v>
      </c>
      <c r="H1033" s="6" t="s">
        <v>4137</v>
      </c>
      <c r="I1033" s="6">
        <v>15</v>
      </c>
      <c r="J1033" s="6">
        <v>0</v>
      </c>
      <c r="K1033" s="6">
        <v>0</v>
      </c>
      <c r="L1033" s="6">
        <v>0</v>
      </c>
      <c r="M1033" s="6">
        <v>0</v>
      </c>
      <c r="N1033" s="6">
        <v>0.33329999999999999</v>
      </c>
      <c r="O1033" s="6">
        <v>0.26669999999999999</v>
      </c>
    </row>
    <row r="1034" spans="1:15" hidden="1">
      <c r="A1034" s="6" t="s">
        <v>2452</v>
      </c>
      <c r="B1034" s="6" t="s">
        <v>4067</v>
      </c>
      <c r="C1034" s="6" t="s">
        <v>4122</v>
      </c>
      <c r="D1034" s="6" t="s">
        <v>4138</v>
      </c>
      <c r="E1034" s="6" t="s">
        <v>4139</v>
      </c>
      <c r="G1034" s="6" t="s">
        <v>2444</v>
      </c>
      <c r="H1034" s="6" t="s">
        <v>4139</v>
      </c>
      <c r="I1034" s="6">
        <v>2</v>
      </c>
      <c r="J1034" s="6">
        <v>0</v>
      </c>
      <c r="K1034" s="6">
        <v>0</v>
      </c>
      <c r="L1034" s="6">
        <v>0</v>
      </c>
      <c r="M1034" s="6">
        <v>0</v>
      </c>
      <c r="N1034" s="6">
        <v>1</v>
      </c>
      <c r="O1034" s="6">
        <v>1</v>
      </c>
    </row>
    <row r="1035" spans="1:15" hidden="1">
      <c r="A1035" s="6" t="s">
        <v>2452</v>
      </c>
      <c r="B1035" s="6" t="s">
        <v>4067</v>
      </c>
      <c r="C1035" s="6" t="s">
        <v>4122</v>
      </c>
      <c r="D1035" s="6" t="s">
        <v>4138</v>
      </c>
      <c r="E1035" s="6" t="s">
        <v>4139</v>
      </c>
      <c r="F1035" s="6" t="s">
        <v>4139</v>
      </c>
      <c r="G1035" s="6" t="s">
        <v>2444</v>
      </c>
      <c r="H1035" s="6" t="s">
        <v>4139</v>
      </c>
      <c r="I1035" s="6">
        <v>1</v>
      </c>
      <c r="J1035" s="6">
        <v>0</v>
      </c>
      <c r="K1035" s="6">
        <v>0</v>
      </c>
      <c r="L1035" s="6">
        <v>0</v>
      </c>
      <c r="M1035" s="6">
        <v>0</v>
      </c>
      <c r="N1035" s="6">
        <v>1</v>
      </c>
      <c r="O1035" s="6">
        <v>1</v>
      </c>
    </row>
    <row r="1036" spans="1:15" hidden="1">
      <c r="A1036" s="6" t="s">
        <v>2452</v>
      </c>
      <c r="B1036" s="6" t="s">
        <v>4067</v>
      </c>
      <c r="C1036" s="6" t="s">
        <v>4122</v>
      </c>
      <c r="D1036" s="6" t="s">
        <v>4140</v>
      </c>
      <c r="G1036" s="6" t="s">
        <v>2444</v>
      </c>
      <c r="H1036" s="6" t="s">
        <v>4140</v>
      </c>
      <c r="I1036" s="6">
        <v>3</v>
      </c>
      <c r="J1036" s="6">
        <v>0</v>
      </c>
      <c r="K1036" s="6">
        <v>0</v>
      </c>
      <c r="L1036" s="6">
        <v>0</v>
      </c>
      <c r="M1036" s="6">
        <v>0</v>
      </c>
      <c r="N1036" s="6">
        <v>0.5</v>
      </c>
      <c r="O1036" s="6">
        <v>0.5</v>
      </c>
    </row>
    <row r="1037" spans="1:15" hidden="1">
      <c r="A1037" s="6" t="s">
        <v>2452</v>
      </c>
      <c r="B1037" s="6" t="s">
        <v>4067</v>
      </c>
      <c r="C1037" s="6" t="s">
        <v>4122</v>
      </c>
      <c r="D1037" s="6" t="s">
        <v>4141</v>
      </c>
      <c r="G1037" s="6" t="s">
        <v>2444</v>
      </c>
      <c r="H1037" s="6" t="s">
        <v>4141</v>
      </c>
      <c r="I1037" s="6">
        <v>1</v>
      </c>
      <c r="J1037" s="6">
        <v>0</v>
      </c>
      <c r="K1037" s="6">
        <v>0</v>
      </c>
      <c r="L1037" s="6">
        <v>0</v>
      </c>
      <c r="M1037" s="6">
        <v>0</v>
      </c>
      <c r="N1037" s="6">
        <v>1</v>
      </c>
      <c r="O1037" s="6">
        <v>1</v>
      </c>
    </row>
    <row r="1038" spans="1:15" hidden="1">
      <c r="A1038" s="6" t="s">
        <v>2452</v>
      </c>
      <c r="B1038" s="6" t="s">
        <v>4067</v>
      </c>
      <c r="C1038" s="6" t="s">
        <v>4122</v>
      </c>
      <c r="D1038" s="6" t="s">
        <v>4142</v>
      </c>
      <c r="F1038" s="6" t="s">
        <v>4143</v>
      </c>
      <c r="G1038" s="6" t="s">
        <v>2444</v>
      </c>
      <c r="H1038" s="6" t="s">
        <v>4144</v>
      </c>
      <c r="I1038" s="6">
        <v>1</v>
      </c>
      <c r="J1038" s="6">
        <v>0</v>
      </c>
      <c r="K1038" s="6">
        <v>0</v>
      </c>
      <c r="L1038" s="6">
        <v>0</v>
      </c>
      <c r="M1038" s="6">
        <v>0</v>
      </c>
      <c r="N1038" s="6">
        <v>1</v>
      </c>
      <c r="O1038" s="6">
        <v>1</v>
      </c>
    </row>
    <row r="1039" spans="1:15" hidden="1">
      <c r="A1039" s="6" t="s">
        <v>2452</v>
      </c>
      <c r="B1039" s="6" t="s">
        <v>4067</v>
      </c>
      <c r="C1039" s="6" t="s">
        <v>4122</v>
      </c>
      <c r="D1039" s="6" t="s">
        <v>4142</v>
      </c>
      <c r="F1039" s="6" t="s">
        <v>4145</v>
      </c>
      <c r="G1039" s="6" t="s">
        <v>2444</v>
      </c>
      <c r="H1039" s="6" t="s">
        <v>4146</v>
      </c>
      <c r="I1039" s="6">
        <v>1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</row>
    <row r="1040" spans="1:15" hidden="1">
      <c r="A1040" s="6" t="s">
        <v>2452</v>
      </c>
      <c r="B1040" s="6" t="s">
        <v>4067</v>
      </c>
      <c r="C1040" s="6" t="s">
        <v>4122</v>
      </c>
      <c r="D1040" s="6" t="s">
        <v>4142</v>
      </c>
      <c r="F1040" s="6" t="s">
        <v>4145</v>
      </c>
      <c r="G1040" s="6" t="s">
        <v>2444</v>
      </c>
      <c r="H1040" s="6" t="s">
        <v>4145</v>
      </c>
      <c r="I1040" s="6">
        <v>2</v>
      </c>
      <c r="J1040" s="6">
        <v>0</v>
      </c>
      <c r="K1040" s="6">
        <v>0</v>
      </c>
      <c r="L1040" s="6">
        <v>0</v>
      </c>
      <c r="M1040" s="6">
        <v>0</v>
      </c>
      <c r="N1040" s="6">
        <v>1</v>
      </c>
      <c r="O1040" s="6">
        <v>1</v>
      </c>
    </row>
    <row r="1041" spans="1:15" hidden="1">
      <c r="A1041" s="6" t="s">
        <v>2452</v>
      </c>
      <c r="B1041" s="6" t="s">
        <v>4067</v>
      </c>
      <c r="C1041" s="6" t="s">
        <v>4122</v>
      </c>
      <c r="D1041" s="6" t="s">
        <v>4142</v>
      </c>
      <c r="F1041" s="6" t="s">
        <v>4145</v>
      </c>
      <c r="G1041" s="6" t="s">
        <v>2444</v>
      </c>
      <c r="H1041" s="6" t="s">
        <v>4147</v>
      </c>
      <c r="I1041" s="6">
        <v>1</v>
      </c>
      <c r="J1041" s="6">
        <v>0</v>
      </c>
      <c r="K1041" s="6">
        <v>0</v>
      </c>
      <c r="L1041" s="6">
        <v>0</v>
      </c>
      <c r="M1041" s="6">
        <v>0</v>
      </c>
      <c r="N1041" s="6">
        <v>1</v>
      </c>
      <c r="O1041" s="6">
        <v>0</v>
      </c>
    </row>
    <row r="1042" spans="1:15" hidden="1">
      <c r="A1042" s="6" t="s">
        <v>2452</v>
      </c>
      <c r="B1042" s="6" t="s">
        <v>4067</v>
      </c>
      <c r="C1042" s="6" t="s">
        <v>4122</v>
      </c>
      <c r="D1042" s="6" t="s">
        <v>4142</v>
      </c>
      <c r="F1042" s="6" t="s">
        <v>4148</v>
      </c>
      <c r="G1042" s="6" t="s">
        <v>2444</v>
      </c>
      <c r="H1042" s="6" t="s">
        <v>4148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</row>
    <row r="1043" spans="1:15" hidden="1">
      <c r="A1043" s="6" t="s">
        <v>2452</v>
      </c>
      <c r="B1043" s="6" t="s">
        <v>4067</v>
      </c>
      <c r="C1043" s="6" t="s">
        <v>4122</v>
      </c>
      <c r="D1043" s="6" t="s">
        <v>4142</v>
      </c>
      <c r="F1043" s="6" t="s">
        <v>4149</v>
      </c>
      <c r="G1043" s="6" t="s">
        <v>2444</v>
      </c>
      <c r="H1043" s="6" t="s">
        <v>4149</v>
      </c>
      <c r="I1043" s="6">
        <v>6</v>
      </c>
      <c r="J1043" s="6">
        <v>0</v>
      </c>
      <c r="K1043" s="6">
        <v>0</v>
      </c>
      <c r="L1043" s="6">
        <v>0</v>
      </c>
      <c r="M1043" s="6">
        <v>0</v>
      </c>
      <c r="N1043" s="6">
        <v>0.8</v>
      </c>
      <c r="O1043" s="6">
        <v>0.4</v>
      </c>
    </row>
    <row r="1044" spans="1:15" hidden="1">
      <c r="A1044" s="6" t="s">
        <v>2452</v>
      </c>
      <c r="B1044" s="6" t="s">
        <v>4067</v>
      </c>
      <c r="C1044" s="6" t="s">
        <v>4122</v>
      </c>
      <c r="D1044" s="6" t="s">
        <v>4142</v>
      </c>
      <c r="F1044" s="6" t="s">
        <v>4150</v>
      </c>
      <c r="G1044" s="6" t="s">
        <v>2444</v>
      </c>
      <c r="H1044" s="6" t="s">
        <v>4151</v>
      </c>
      <c r="I1044" s="6">
        <v>1</v>
      </c>
      <c r="J1044" s="6">
        <v>0</v>
      </c>
      <c r="K1044" s="6">
        <v>0</v>
      </c>
      <c r="L1044" s="6">
        <v>0</v>
      </c>
      <c r="M1044" s="6">
        <v>0</v>
      </c>
      <c r="N1044" s="6">
        <v>1</v>
      </c>
      <c r="O1044" s="6">
        <v>1</v>
      </c>
    </row>
    <row r="1045" spans="1:15" hidden="1">
      <c r="A1045" s="6" t="s">
        <v>2452</v>
      </c>
      <c r="B1045" s="6" t="s">
        <v>4067</v>
      </c>
      <c r="C1045" s="6" t="s">
        <v>4122</v>
      </c>
      <c r="D1045" s="6" t="s">
        <v>4142</v>
      </c>
      <c r="F1045" s="6" t="s">
        <v>4152</v>
      </c>
      <c r="G1045" s="6" t="s">
        <v>2444</v>
      </c>
      <c r="H1045" s="6" t="s">
        <v>4152</v>
      </c>
      <c r="I1045" s="6">
        <v>3</v>
      </c>
      <c r="J1045" s="6">
        <v>0</v>
      </c>
      <c r="K1045" s="6">
        <v>0</v>
      </c>
      <c r="L1045" s="6">
        <v>0</v>
      </c>
      <c r="M1045" s="6">
        <v>0</v>
      </c>
      <c r="N1045" s="6">
        <v>1</v>
      </c>
      <c r="O1045" s="6">
        <v>1</v>
      </c>
    </row>
    <row r="1046" spans="1:15" hidden="1">
      <c r="A1046" s="6" t="s">
        <v>2452</v>
      </c>
      <c r="B1046" s="6" t="s">
        <v>4067</v>
      </c>
      <c r="C1046" s="6" t="s">
        <v>4122</v>
      </c>
      <c r="D1046" s="6" t="s">
        <v>4142</v>
      </c>
      <c r="F1046" s="6" t="s">
        <v>4153</v>
      </c>
      <c r="G1046" s="6" t="s">
        <v>2444</v>
      </c>
      <c r="H1046" s="6" t="s">
        <v>4153</v>
      </c>
      <c r="I1046" s="6">
        <v>5</v>
      </c>
      <c r="J1046" s="6">
        <v>0</v>
      </c>
      <c r="K1046" s="6">
        <v>0</v>
      </c>
      <c r="L1046" s="6">
        <v>0</v>
      </c>
      <c r="M1046" s="6">
        <v>0</v>
      </c>
      <c r="N1046" s="6">
        <v>1</v>
      </c>
      <c r="O1046" s="6">
        <v>1</v>
      </c>
    </row>
    <row r="1047" spans="1:15" hidden="1">
      <c r="A1047" s="6" t="s">
        <v>2452</v>
      </c>
      <c r="B1047" s="6" t="s">
        <v>4067</v>
      </c>
      <c r="C1047" s="6" t="s">
        <v>4122</v>
      </c>
      <c r="D1047" s="6" t="s">
        <v>4154</v>
      </c>
      <c r="G1047" s="6" t="s">
        <v>2444</v>
      </c>
      <c r="H1047" s="6" t="s">
        <v>4154</v>
      </c>
      <c r="I1047" s="6">
        <v>1</v>
      </c>
      <c r="J1047" s="6">
        <v>0</v>
      </c>
      <c r="K1047" s="6">
        <v>0</v>
      </c>
      <c r="L1047" s="6">
        <v>0</v>
      </c>
      <c r="M1047" s="6">
        <v>0</v>
      </c>
      <c r="N1047" s="6">
        <v>1</v>
      </c>
      <c r="O1047" s="6">
        <v>1</v>
      </c>
    </row>
    <row r="1048" spans="1:15" hidden="1">
      <c r="A1048" s="6" t="s">
        <v>2452</v>
      </c>
      <c r="B1048" s="6" t="s">
        <v>4067</v>
      </c>
      <c r="C1048" s="6" t="s">
        <v>4122</v>
      </c>
      <c r="D1048" s="6" t="s">
        <v>4155</v>
      </c>
      <c r="G1048" s="6" t="s">
        <v>2444</v>
      </c>
      <c r="H1048" s="6" t="s">
        <v>4155</v>
      </c>
      <c r="I1048" s="6">
        <v>1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</row>
    <row r="1049" spans="1:15" hidden="1">
      <c r="A1049" s="6" t="s">
        <v>2452</v>
      </c>
      <c r="B1049" s="6" t="s">
        <v>4067</v>
      </c>
      <c r="C1049" s="6" t="s">
        <v>4156</v>
      </c>
      <c r="D1049" s="6" t="s">
        <v>4157</v>
      </c>
      <c r="G1049" s="6" t="s">
        <v>2444</v>
      </c>
      <c r="H1049" s="6" t="s">
        <v>4157</v>
      </c>
      <c r="I1049" s="6">
        <v>5</v>
      </c>
      <c r="J1049" s="6">
        <v>1</v>
      </c>
      <c r="K1049" s="6">
        <v>0.2</v>
      </c>
      <c r="L1049" s="6">
        <v>0.01</v>
      </c>
      <c r="M1049" s="6">
        <v>0.01</v>
      </c>
      <c r="N1049" s="6">
        <v>1</v>
      </c>
      <c r="O1049" s="6">
        <v>1</v>
      </c>
    </row>
    <row r="1050" spans="1:15" hidden="1">
      <c r="A1050" s="6" t="s">
        <v>2452</v>
      </c>
      <c r="B1050" s="6" t="s">
        <v>4067</v>
      </c>
      <c r="C1050" s="6" t="s">
        <v>4156</v>
      </c>
      <c r="D1050" s="6" t="s">
        <v>4157</v>
      </c>
      <c r="F1050" s="6" t="s">
        <v>4158</v>
      </c>
      <c r="G1050" s="6" t="s">
        <v>2444</v>
      </c>
      <c r="H1050" s="6" t="s">
        <v>4158</v>
      </c>
      <c r="I1050" s="6">
        <v>1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</row>
    <row r="1051" spans="1:15" hidden="1">
      <c r="A1051" s="6" t="s">
        <v>2452</v>
      </c>
      <c r="B1051" s="6" t="s">
        <v>4067</v>
      </c>
      <c r="C1051" s="6" t="s">
        <v>4156</v>
      </c>
      <c r="D1051" s="6" t="s">
        <v>4157</v>
      </c>
      <c r="F1051" s="6" t="s">
        <v>4157</v>
      </c>
      <c r="G1051" s="6" t="s">
        <v>2444</v>
      </c>
      <c r="H1051" s="6" t="s">
        <v>4159</v>
      </c>
      <c r="I1051" s="6">
        <v>2</v>
      </c>
      <c r="J1051" s="6">
        <v>0</v>
      </c>
      <c r="K1051" s="6">
        <v>0</v>
      </c>
      <c r="L1051" s="6">
        <v>0</v>
      </c>
      <c r="M1051" s="6">
        <v>0</v>
      </c>
      <c r="N1051" s="6">
        <v>1</v>
      </c>
      <c r="O1051" s="6">
        <v>1</v>
      </c>
    </row>
    <row r="1052" spans="1:15" hidden="1">
      <c r="A1052" s="6" t="s">
        <v>2452</v>
      </c>
      <c r="B1052" s="6" t="s">
        <v>4067</v>
      </c>
      <c r="C1052" s="6" t="s">
        <v>4156</v>
      </c>
      <c r="D1052" s="6" t="s">
        <v>4157</v>
      </c>
      <c r="F1052" s="6" t="s">
        <v>4157</v>
      </c>
      <c r="G1052" s="6" t="s">
        <v>2444</v>
      </c>
      <c r="H1052" s="6" t="s">
        <v>4160</v>
      </c>
      <c r="I1052" s="6">
        <v>5</v>
      </c>
      <c r="J1052" s="6">
        <v>0</v>
      </c>
      <c r="K1052" s="6">
        <v>0</v>
      </c>
      <c r="L1052" s="6">
        <v>0</v>
      </c>
      <c r="M1052" s="6">
        <v>0</v>
      </c>
      <c r="N1052" s="6">
        <v>0.8</v>
      </c>
      <c r="O1052" s="6">
        <v>0.6</v>
      </c>
    </row>
    <row r="1053" spans="1:15" hidden="1">
      <c r="A1053" s="6" t="s">
        <v>2452</v>
      </c>
      <c r="B1053" s="6" t="s">
        <v>4067</v>
      </c>
      <c r="C1053" s="6" t="s">
        <v>4156</v>
      </c>
      <c r="D1053" s="6" t="s">
        <v>4157</v>
      </c>
      <c r="F1053" s="6" t="s">
        <v>4157</v>
      </c>
      <c r="G1053" s="6" t="s">
        <v>2444</v>
      </c>
      <c r="H1053" s="6" t="s">
        <v>4161</v>
      </c>
      <c r="I1053" s="6">
        <v>1</v>
      </c>
      <c r="J1053" s="6">
        <v>0</v>
      </c>
      <c r="K1053" s="6">
        <v>0</v>
      </c>
      <c r="L1053" s="6">
        <v>0</v>
      </c>
      <c r="M1053" s="6">
        <v>0</v>
      </c>
      <c r="N1053" s="6">
        <v>1</v>
      </c>
      <c r="O1053" s="6">
        <v>0</v>
      </c>
    </row>
    <row r="1054" spans="1:15" hidden="1">
      <c r="A1054" s="6" t="s">
        <v>2452</v>
      </c>
      <c r="B1054" s="6" t="s">
        <v>4067</v>
      </c>
      <c r="C1054" s="6" t="s">
        <v>4156</v>
      </c>
      <c r="D1054" s="6" t="s">
        <v>4157</v>
      </c>
      <c r="F1054" s="6" t="s">
        <v>4157</v>
      </c>
      <c r="G1054" s="6" t="s">
        <v>2444</v>
      </c>
      <c r="H1054" s="6" t="s">
        <v>4162</v>
      </c>
      <c r="I1054" s="6">
        <v>6</v>
      </c>
      <c r="J1054" s="6">
        <v>0</v>
      </c>
      <c r="K1054" s="6">
        <v>0</v>
      </c>
      <c r="L1054" s="6">
        <v>0</v>
      </c>
      <c r="M1054" s="6">
        <v>0</v>
      </c>
      <c r="N1054" s="6">
        <v>1</v>
      </c>
      <c r="O1054" s="6">
        <v>0.83329999999999993</v>
      </c>
    </row>
    <row r="1055" spans="1:15" hidden="1">
      <c r="A1055" s="6" t="s">
        <v>2452</v>
      </c>
      <c r="B1055" s="6" t="s">
        <v>4067</v>
      </c>
      <c r="C1055" s="6" t="s">
        <v>4156</v>
      </c>
      <c r="D1055" s="6" t="s">
        <v>4157</v>
      </c>
      <c r="F1055" s="6" t="s">
        <v>4157</v>
      </c>
      <c r="G1055" s="6" t="s">
        <v>2444</v>
      </c>
      <c r="H1055" s="6" t="s">
        <v>4163</v>
      </c>
      <c r="I1055" s="6">
        <v>2</v>
      </c>
      <c r="J1055" s="6">
        <v>0</v>
      </c>
      <c r="K1055" s="6">
        <v>0</v>
      </c>
      <c r="L1055" s="6">
        <v>0</v>
      </c>
      <c r="M1055" s="6">
        <v>0</v>
      </c>
      <c r="N1055" s="6">
        <v>1</v>
      </c>
      <c r="O1055" s="6">
        <v>0</v>
      </c>
    </row>
    <row r="1056" spans="1:15" hidden="1">
      <c r="A1056" s="6" t="s">
        <v>2452</v>
      </c>
      <c r="B1056" s="6" t="s">
        <v>4067</v>
      </c>
      <c r="C1056" s="6" t="s">
        <v>4156</v>
      </c>
      <c r="D1056" s="6" t="s">
        <v>4157</v>
      </c>
      <c r="F1056" s="6" t="s">
        <v>4157</v>
      </c>
      <c r="G1056" s="6" t="s">
        <v>2444</v>
      </c>
      <c r="H1056" s="6" t="s">
        <v>4157</v>
      </c>
      <c r="I1056" s="6">
        <v>2</v>
      </c>
      <c r="J1056" s="6">
        <v>0</v>
      </c>
      <c r="K1056" s="6">
        <v>0</v>
      </c>
      <c r="L1056" s="6">
        <v>0</v>
      </c>
      <c r="M1056" s="6">
        <v>0</v>
      </c>
      <c r="N1056" s="6">
        <v>1</v>
      </c>
      <c r="O1056" s="6">
        <v>0.5</v>
      </c>
    </row>
    <row r="1057" spans="1:15" hidden="1">
      <c r="A1057" s="6" t="s">
        <v>2452</v>
      </c>
      <c r="B1057" s="6" t="s">
        <v>4067</v>
      </c>
      <c r="C1057" s="6" t="s">
        <v>4156</v>
      </c>
      <c r="D1057" s="6" t="s">
        <v>4157</v>
      </c>
      <c r="E1057" s="6" t="s">
        <v>4164</v>
      </c>
      <c r="G1057" s="6" t="s">
        <v>2444</v>
      </c>
      <c r="H1057" s="6" t="s">
        <v>4164</v>
      </c>
      <c r="I1057" s="6">
        <v>3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</row>
    <row r="1058" spans="1:15" hidden="1">
      <c r="A1058" s="6" t="s">
        <v>2452</v>
      </c>
      <c r="B1058" s="6" t="s">
        <v>4067</v>
      </c>
      <c r="C1058" s="6" t="s">
        <v>4156</v>
      </c>
      <c r="D1058" s="6" t="s">
        <v>4157</v>
      </c>
      <c r="E1058" s="6" t="s">
        <v>4165</v>
      </c>
      <c r="G1058" s="6" t="s">
        <v>2444</v>
      </c>
      <c r="H1058" s="6" t="s">
        <v>4165</v>
      </c>
      <c r="I1058" s="6">
        <v>2</v>
      </c>
      <c r="J1058" s="6">
        <v>0</v>
      </c>
      <c r="K1058" s="6">
        <v>0</v>
      </c>
      <c r="L1058" s="6">
        <v>0</v>
      </c>
      <c r="M1058" s="6">
        <v>0</v>
      </c>
      <c r="N1058" s="6">
        <v>1</v>
      </c>
      <c r="O1058" s="6">
        <v>1</v>
      </c>
    </row>
    <row r="1059" spans="1:15" hidden="1">
      <c r="A1059" s="6" t="s">
        <v>2452</v>
      </c>
      <c r="B1059" s="6" t="s">
        <v>4067</v>
      </c>
      <c r="C1059" s="6" t="s">
        <v>4156</v>
      </c>
      <c r="D1059" s="6" t="s">
        <v>4166</v>
      </c>
      <c r="E1059" s="6" t="s">
        <v>4167</v>
      </c>
      <c r="F1059" s="6" t="s">
        <v>4168</v>
      </c>
      <c r="G1059" s="6" t="s">
        <v>2444</v>
      </c>
      <c r="H1059" s="6" t="s">
        <v>4168</v>
      </c>
      <c r="I1059" s="6">
        <v>1</v>
      </c>
      <c r="J1059" s="6">
        <v>0</v>
      </c>
      <c r="K1059" s="6">
        <v>0</v>
      </c>
      <c r="L1059" s="6">
        <v>0</v>
      </c>
      <c r="M1059" s="6">
        <v>0</v>
      </c>
      <c r="N1059" s="6">
        <v>1</v>
      </c>
      <c r="O1059" s="6">
        <v>1</v>
      </c>
    </row>
    <row r="1060" spans="1:15" hidden="1">
      <c r="A1060" s="6" t="s">
        <v>2452</v>
      </c>
      <c r="B1060" s="6" t="s">
        <v>4067</v>
      </c>
      <c r="C1060" s="6" t="s">
        <v>4156</v>
      </c>
      <c r="D1060" s="6" t="s">
        <v>4169</v>
      </c>
      <c r="E1060" s="6" t="s">
        <v>4170</v>
      </c>
      <c r="F1060" s="6" t="s">
        <v>4171</v>
      </c>
      <c r="G1060" s="6" t="s">
        <v>2444</v>
      </c>
      <c r="H1060" s="6" t="s">
        <v>4171</v>
      </c>
      <c r="I1060" s="6">
        <v>1</v>
      </c>
      <c r="J1060" s="6">
        <v>0</v>
      </c>
      <c r="K1060" s="6">
        <v>0</v>
      </c>
      <c r="L1060" s="6">
        <v>0</v>
      </c>
      <c r="M1060" s="6">
        <v>0</v>
      </c>
      <c r="N1060" s="6">
        <v>1</v>
      </c>
      <c r="O1060" s="6">
        <v>1</v>
      </c>
    </row>
    <row r="1061" spans="1:15" hidden="1">
      <c r="A1061" s="6" t="s">
        <v>2452</v>
      </c>
      <c r="B1061" s="6" t="s">
        <v>4067</v>
      </c>
      <c r="C1061" s="6" t="s">
        <v>4156</v>
      </c>
      <c r="D1061" s="6" t="s">
        <v>4172</v>
      </c>
      <c r="G1061" s="6" t="s">
        <v>2444</v>
      </c>
      <c r="H1061" s="6" t="s">
        <v>4172</v>
      </c>
      <c r="I1061" s="6">
        <v>1</v>
      </c>
      <c r="J1061" s="6">
        <v>0</v>
      </c>
      <c r="K1061" s="6">
        <v>0</v>
      </c>
      <c r="L1061" s="6">
        <v>0</v>
      </c>
      <c r="M1061" s="6">
        <v>0</v>
      </c>
      <c r="N1061" s="6">
        <v>1</v>
      </c>
      <c r="O1061" s="6">
        <v>1</v>
      </c>
    </row>
    <row r="1062" spans="1:15" hidden="1">
      <c r="A1062" s="6" t="s">
        <v>2452</v>
      </c>
      <c r="B1062" s="6" t="s">
        <v>4067</v>
      </c>
      <c r="C1062" s="6" t="s">
        <v>4156</v>
      </c>
      <c r="D1062" s="6" t="s">
        <v>4173</v>
      </c>
      <c r="F1062" s="6" t="s">
        <v>4174</v>
      </c>
      <c r="G1062" s="6" t="s">
        <v>2444</v>
      </c>
      <c r="H1062" s="6" t="s">
        <v>4174</v>
      </c>
      <c r="I1062" s="6">
        <v>2</v>
      </c>
      <c r="J1062" s="6">
        <v>0</v>
      </c>
      <c r="K1062" s="6">
        <v>0</v>
      </c>
      <c r="L1062" s="6">
        <v>0</v>
      </c>
      <c r="M1062" s="6">
        <v>0</v>
      </c>
      <c r="N1062" s="6">
        <v>1</v>
      </c>
      <c r="O1062" s="6">
        <v>1</v>
      </c>
    </row>
    <row r="1063" spans="1:15" hidden="1">
      <c r="A1063" s="6" t="s">
        <v>2452</v>
      </c>
      <c r="B1063" s="6" t="s">
        <v>4067</v>
      </c>
      <c r="C1063" s="6" t="s">
        <v>4156</v>
      </c>
      <c r="D1063" s="6" t="s">
        <v>4173</v>
      </c>
      <c r="E1063" s="6" t="s">
        <v>4175</v>
      </c>
      <c r="F1063" s="6" t="s">
        <v>4176</v>
      </c>
      <c r="G1063" s="6" t="s">
        <v>2444</v>
      </c>
      <c r="H1063" s="6" t="s">
        <v>4176</v>
      </c>
      <c r="I1063" s="6">
        <v>2</v>
      </c>
      <c r="J1063" s="6">
        <v>0</v>
      </c>
      <c r="K1063" s="6">
        <v>0</v>
      </c>
      <c r="L1063" s="6">
        <v>0</v>
      </c>
      <c r="M1063" s="6">
        <v>0</v>
      </c>
      <c r="N1063" s="6">
        <v>1</v>
      </c>
      <c r="O1063" s="6">
        <v>1</v>
      </c>
    </row>
    <row r="1064" spans="1:15" hidden="1">
      <c r="A1064" s="6" t="s">
        <v>2452</v>
      </c>
      <c r="B1064" s="6" t="s">
        <v>4067</v>
      </c>
      <c r="C1064" s="6" t="s">
        <v>4156</v>
      </c>
      <c r="D1064" s="6" t="s">
        <v>4177</v>
      </c>
      <c r="F1064" s="6" t="s">
        <v>4178</v>
      </c>
      <c r="G1064" s="6" t="s">
        <v>2444</v>
      </c>
      <c r="H1064" s="6" t="s">
        <v>4178</v>
      </c>
      <c r="I1064" s="6">
        <v>3</v>
      </c>
      <c r="J1064" s="6">
        <v>0</v>
      </c>
      <c r="K1064" s="6">
        <v>0</v>
      </c>
      <c r="L1064" s="6">
        <v>0</v>
      </c>
      <c r="M1064" s="6">
        <v>0</v>
      </c>
      <c r="N1064" s="6">
        <v>1</v>
      </c>
      <c r="O1064" s="6">
        <v>1</v>
      </c>
    </row>
    <row r="1065" spans="1:15" hidden="1">
      <c r="A1065" s="6" t="s">
        <v>2452</v>
      </c>
      <c r="B1065" s="6" t="s">
        <v>4067</v>
      </c>
      <c r="C1065" s="6" t="s">
        <v>4156</v>
      </c>
      <c r="D1065" s="6" t="s">
        <v>4177</v>
      </c>
      <c r="E1065" s="6" t="s">
        <v>4179</v>
      </c>
      <c r="G1065" s="6" t="s">
        <v>2444</v>
      </c>
      <c r="H1065" s="6" t="s">
        <v>4179</v>
      </c>
      <c r="I1065" s="6">
        <v>2</v>
      </c>
      <c r="J1065" s="6">
        <v>0</v>
      </c>
      <c r="K1065" s="6">
        <v>0</v>
      </c>
      <c r="L1065" s="6">
        <v>0</v>
      </c>
      <c r="M1065" s="6">
        <v>0</v>
      </c>
      <c r="N1065" s="6">
        <v>0.5</v>
      </c>
      <c r="O1065" s="6">
        <v>0</v>
      </c>
    </row>
    <row r="1066" spans="1:15" hidden="1">
      <c r="A1066" s="6" t="s">
        <v>2452</v>
      </c>
      <c r="B1066" s="6" t="s">
        <v>4067</v>
      </c>
      <c r="C1066" s="6" t="s">
        <v>4156</v>
      </c>
      <c r="D1066" s="6" t="s">
        <v>4180</v>
      </c>
      <c r="F1066" s="6" t="s">
        <v>4181</v>
      </c>
      <c r="G1066" s="6" t="s">
        <v>2444</v>
      </c>
      <c r="H1066" s="6" t="s">
        <v>4181</v>
      </c>
      <c r="I1066" s="6">
        <v>1</v>
      </c>
      <c r="J1066" s="6">
        <v>0</v>
      </c>
      <c r="K1066" s="6">
        <v>0</v>
      </c>
      <c r="L1066" s="6">
        <v>0</v>
      </c>
      <c r="M1066" s="6">
        <v>0</v>
      </c>
      <c r="N1066" s="6">
        <v>1</v>
      </c>
      <c r="O1066" s="6">
        <v>1</v>
      </c>
    </row>
    <row r="1067" spans="1:15" hidden="1">
      <c r="A1067" s="6" t="s">
        <v>2452</v>
      </c>
      <c r="B1067" s="6" t="s">
        <v>4067</v>
      </c>
      <c r="C1067" s="6" t="s">
        <v>4156</v>
      </c>
      <c r="D1067" s="6" t="s">
        <v>4182</v>
      </c>
      <c r="G1067" s="6" t="s">
        <v>2444</v>
      </c>
      <c r="H1067" s="6" t="s">
        <v>4182</v>
      </c>
      <c r="I1067" s="6">
        <v>2</v>
      </c>
      <c r="J1067" s="6">
        <v>0</v>
      </c>
      <c r="K1067" s="6">
        <v>0</v>
      </c>
      <c r="L1067" s="6">
        <v>0</v>
      </c>
      <c r="M1067" s="6">
        <v>0</v>
      </c>
      <c r="N1067" s="6">
        <v>1</v>
      </c>
      <c r="O1067" s="6">
        <v>1</v>
      </c>
    </row>
    <row r="1068" spans="1:15" hidden="1">
      <c r="A1068" s="6" t="s">
        <v>2452</v>
      </c>
      <c r="B1068" s="6" t="s">
        <v>4067</v>
      </c>
      <c r="C1068" s="6" t="s">
        <v>4156</v>
      </c>
      <c r="D1068" s="6" t="s">
        <v>4183</v>
      </c>
      <c r="G1068" s="6" t="s">
        <v>2444</v>
      </c>
      <c r="H1068" s="6" t="s">
        <v>4183</v>
      </c>
      <c r="I1068" s="6"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</row>
    <row r="1069" spans="1:15" hidden="1">
      <c r="A1069" s="6" t="s">
        <v>2452</v>
      </c>
      <c r="B1069" s="6" t="s">
        <v>4067</v>
      </c>
      <c r="C1069" s="6" t="s">
        <v>4156</v>
      </c>
      <c r="D1069" s="6" t="s">
        <v>4184</v>
      </c>
      <c r="F1069" s="6" t="s">
        <v>4185</v>
      </c>
      <c r="G1069" s="6" t="s">
        <v>2444</v>
      </c>
      <c r="H1069" s="6" t="s">
        <v>4185</v>
      </c>
      <c r="I1069" s="6">
        <v>1</v>
      </c>
      <c r="J1069" s="6">
        <v>0</v>
      </c>
      <c r="K1069" s="6">
        <v>0</v>
      </c>
      <c r="L1069" s="6">
        <v>0</v>
      </c>
      <c r="M1069" s="6">
        <v>0</v>
      </c>
      <c r="N1069" s="6">
        <v>1</v>
      </c>
      <c r="O1069" s="6">
        <v>0</v>
      </c>
    </row>
    <row r="1070" spans="1:15" hidden="1">
      <c r="A1070" s="6" t="s">
        <v>2452</v>
      </c>
      <c r="B1070" s="6" t="s">
        <v>4067</v>
      </c>
      <c r="C1070" s="6" t="s">
        <v>4156</v>
      </c>
      <c r="D1070" s="6" t="s">
        <v>4184</v>
      </c>
      <c r="E1070" s="6" t="s">
        <v>4186</v>
      </c>
      <c r="F1070" s="6" t="s">
        <v>4187</v>
      </c>
      <c r="G1070" s="6" t="s">
        <v>2444</v>
      </c>
      <c r="H1070" s="6" t="s">
        <v>4187</v>
      </c>
      <c r="I1070" s="6"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1</v>
      </c>
      <c r="O1070" s="6">
        <v>1</v>
      </c>
    </row>
    <row r="1071" spans="1:15" hidden="1">
      <c r="A1071" s="6" t="s">
        <v>2452</v>
      </c>
      <c r="B1071" s="6" t="s">
        <v>4067</v>
      </c>
      <c r="C1071" s="6" t="s">
        <v>4156</v>
      </c>
      <c r="D1071" s="6" t="s">
        <v>4188</v>
      </c>
      <c r="E1071" s="6" t="s">
        <v>4189</v>
      </c>
      <c r="F1071" s="6" t="s">
        <v>4190</v>
      </c>
      <c r="G1071" s="6" t="s">
        <v>2444</v>
      </c>
      <c r="H1071" s="6" t="s">
        <v>4190</v>
      </c>
      <c r="I1071" s="6">
        <v>1</v>
      </c>
      <c r="J1071" s="6">
        <v>0</v>
      </c>
      <c r="K1071" s="6">
        <v>0</v>
      </c>
      <c r="L1071" s="6">
        <v>0</v>
      </c>
      <c r="M1071" s="6">
        <v>0</v>
      </c>
      <c r="N1071" s="6">
        <v>1</v>
      </c>
      <c r="O1071" s="6">
        <v>1</v>
      </c>
    </row>
    <row r="1072" spans="1:15" hidden="1">
      <c r="A1072" s="6" t="s">
        <v>2452</v>
      </c>
      <c r="B1072" s="6" t="s">
        <v>4067</v>
      </c>
      <c r="C1072" s="6" t="s">
        <v>4156</v>
      </c>
      <c r="D1072" s="6" t="s">
        <v>4191</v>
      </c>
      <c r="E1072" s="6" t="s">
        <v>4192</v>
      </c>
      <c r="G1072" s="6" t="s">
        <v>2444</v>
      </c>
      <c r="H1072" s="6" t="s">
        <v>4192</v>
      </c>
      <c r="I1072" s="6">
        <v>2</v>
      </c>
      <c r="J1072" s="6">
        <v>0</v>
      </c>
      <c r="K1072" s="6">
        <v>0</v>
      </c>
      <c r="L1072" s="6">
        <v>0</v>
      </c>
      <c r="M1072" s="6">
        <v>0</v>
      </c>
      <c r="N1072" s="6">
        <v>1</v>
      </c>
      <c r="O1072" s="6">
        <v>0.5</v>
      </c>
    </row>
    <row r="1073" spans="1:15" hidden="1">
      <c r="A1073" s="6" t="s">
        <v>2452</v>
      </c>
      <c r="B1073" s="6" t="s">
        <v>4067</v>
      </c>
      <c r="C1073" s="6" t="s">
        <v>4156</v>
      </c>
      <c r="D1073" s="6" t="s">
        <v>4193</v>
      </c>
      <c r="E1073" s="6" t="s">
        <v>4194</v>
      </c>
      <c r="G1073" s="6" t="s">
        <v>2444</v>
      </c>
      <c r="H1073" s="6" t="s">
        <v>4194</v>
      </c>
      <c r="I1073" s="6">
        <v>2</v>
      </c>
      <c r="J1073" s="6">
        <v>0</v>
      </c>
      <c r="K1073" s="6">
        <v>0</v>
      </c>
      <c r="L1073" s="6">
        <v>0</v>
      </c>
      <c r="M1073" s="6">
        <v>0</v>
      </c>
      <c r="N1073" s="6">
        <v>1</v>
      </c>
      <c r="O1073" s="6">
        <v>0</v>
      </c>
    </row>
    <row r="1074" spans="1:15" hidden="1">
      <c r="A1074" s="6" t="s">
        <v>2452</v>
      </c>
      <c r="B1074" s="6" t="s">
        <v>4067</v>
      </c>
      <c r="C1074" s="6" t="s">
        <v>4195</v>
      </c>
      <c r="G1074" s="6" t="s">
        <v>2444</v>
      </c>
      <c r="H1074" s="6" t="s">
        <v>225</v>
      </c>
      <c r="I1074" s="6">
        <v>14</v>
      </c>
      <c r="J1074" s="6">
        <v>0</v>
      </c>
      <c r="K1074" s="6">
        <v>0</v>
      </c>
      <c r="L1074" s="6">
        <v>0</v>
      </c>
      <c r="M1074" s="6">
        <v>0</v>
      </c>
      <c r="N1074" s="6">
        <v>0.1429</v>
      </c>
      <c r="O1074" s="6">
        <v>0.1429</v>
      </c>
    </row>
    <row r="1075" spans="1:15" hidden="1">
      <c r="A1075" s="6" t="s">
        <v>2452</v>
      </c>
      <c r="B1075" s="6" t="s">
        <v>4067</v>
      </c>
      <c r="C1075" s="6" t="s">
        <v>4195</v>
      </c>
      <c r="D1075" s="6" t="s">
        <v>4196</v>
      </c>
      <c r="F1075" s="6" t="s">
        <v>4196</v>
      </c>
      <c r="G1075" s="6" t="s">
        <v>2444</v>
      </c>
      <c r="H1075" s="6" t="s">
        <v>4197</v>
      </c>
      <c r="I1075" s="6">
        <v>2</v>
      </c>
      <c r="J1075" s="6">
        <v>0</v>
      </c>
      <c r="K1075" s="6">
        <v>0</v>
      </c>
      <c r="L1075" s="6">
        <v>0</v>
      </c>
      <c r="M1075" s="6">
        <v>0</v>
      </c>
      <c r="N1075" s="6">
        <v>0.5</v>
      </c>
      <c r="O1075" s="6">
        <v>0.5</v>
      </c>
    </row>
    <row r="1076" spans="1:15" hidden="1">
      <c r="A1076" s="6" t="s">
        <v>2452</v>
      </c>
      <c r="B1076" s="6" t="s">
        <v>4067</v>
      </c>
      <c r="C1076" s="6" t="s">
        <v>4195</v>
      </c>
      <c r="D1076" s="6" t="s">
        <v>4196</v>
      </c>
      <c r="F1076" s="6" t="s">
        <v>4196</v>
      </c>
      <c r="G1076" s="6" t="s">
        <v>2444</v>
      </c>
      <c r="H1076" s="6" t="s">
        <v>4196</v>
      </c>
      <c r="I1076" s="6">
        <v>2</v>
      </c>
      <c r="J1076" s="6">
        <v>1</v>
      </c>
      <c r="K1076" s="6">
        <v>0.5</v>
      </c>
      <c r="L1076" s="6">
        <v>0.13</v>
      </c>
      <c r="M1076" s="6">
        <v>0.13</v>
      </c>
      <c r="N1076" s="6">
        <v>1</v>
      </c>
      <c r="O1076" s="6">
        <v>1</v>
      </c>
    </row>
    <row r="1077" spans="1:15" hidden="1">
      <c r="A1077" s="6" t="s">
        <v>2452</v>
      </c>
      <c r="B1077" s="6" t="s">
        <v>4067</v>
      </c>
      <c r="C1077" s="6" t="s">
        <v>4195</v>
      </c>
      <c r="D1077" s="6" t="s">
        <v>4198</v>
      </c>
      <c r="F1077" s="6" t="s">
        <v>4198</v>
      </c>
      <c r="G1077" s="6" t="s">
        <v>2444</v>
      </c>
      <c r="H1077" s="6" t="s">
        <v>4198</v>
      </c>
      <c r="I1077" s="6">
        <v>1</v>
      </c>
      <c r="J1077" s="6">
        <v>0</v>
      </c>
      <c r="K1077" s="6">
        <v>0</v>
      </c>
      <c r="L1077" s="6">
        <v>0</v>
      </c>
      <c r="M1077" s="6">
        <v>0</v>
      </c>
      <c r="N1077" s="6">
        <v>1</v>
      </c>
      <c r="O1077" s="6">
        <v>0</v>
      </c>
    </row>
    <row r="1078" spans="1:15" hidden="1">
      <c r="A1078" s="6" t="s">
        <v>2452</v>
      </c>
      <c r="B1078" s="6" t="s">
        <v>4067</v>
      </c>
      <c r="C1078" s="6" t="s">
        <v>4195</v>
      </c>
      <c r="D1078" s="6" t="s">
        <v>4199</v>
      </c>
      <c r="F1078" s="6" t="s">
        <v>4199</v>
      </c>
      <c r="G1078" s="6" t="s">
        <v>2444</v>
      </c>
      <c r="H1078" s="6" t="s">
        <v>4199</v>
      </c>
      <c r="I1078" s="6">
        <v>1</v>
      </c>
      <c r="J1078" s="6">
        <v>0</v>
      </c>
      <c r="K1078" s="6">
        <v>0</v>
      </c>
      <c r="L1078" s="6">
        <v>0</v>
      </c>
      <c r="M1078" s="6">
        <v>0</v>
      </c>
      <c r="N1078" s="6">
        <v>1</v>
      </c>
      <c r="O1078" s="6">
        <v>1</v>
      </c>
    </row>
    <row r="1079" spans="1:15" hidden="1">
      <c r="A1079" s="6" t="s">
        <v>2452</v>
      </c>
      <c r="B1079" s="6" t="s">
        <v>4067</v>
      </c>
      <c r="C1079" s="6" t="s">
        <v>4195</v>
      </c>
      <c r="D1079" s="6" t="s">
        <v>4200</v>
      </c>
      <c r="F1079" s="6" t="s">
        <v>4201</v>
      </c>
      <c r="G1079" s="6" t="s">
        <v>2444</v>
      </c>
      <c r="H1079" s="6" t="s">
        <v>4201</v>
      </c>
      <c r="I1079" s="6">
        <v>1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</row>
    <row r="1080" spans="1:15" hidden="1">
      <c r="A1080" s="6" t="s">
        <v>2452</v>
      </c>
      <c r="B1080" s="6" t="s">
        <v>4067</v>
      </c>
      <c r="C1080" s="6" t="s">
        <v>4195</v>
      </c>
      <c r="D1080" s="6" t="s">
        <v>4200</v>
      </c>
      <c r="F1080" s="6" t="s">
        <v>4202</v>
      </c>
      <c r="G1080" s="6" t="s">
        <v>2444</v>
      </c>
      <c r="H1080" s="6" t="s">
        <v>4202</v>
      </c>
      <c r="I1080" s="6">
        <v>2</v>
      </c>
      <c r="J1080" s="6">
        <v>0</v>
      </c>
      <c r="K1080" s="6">
        <v>0</v>
      </c>
      <c r="L1080" s="6">
        <v>0</v>
      </c>
      <c r="M1080" s="6">
        <v>0</v>
      </c>
      <c r="N1080" s="6">
        <v>1</v>
      </c>
      <c r="O1080" s="6">
        <v>0</v>
      </c>
    </row>
    <row r="1081" spans="1:15" hidden="1">
      <c r="A1081" s="6" t="s">
        <v>2452</v>
      </c>
      <c r="B1081" s="6" t="s">
        <v>4067</v>
      </c>
      <c r="C1081" s="6" t="s">
        <v>4195</v>
      </c>
      <c r="D1081" s="6" t="s">
        <v>4200</v>
      </c>
      <c r="F1081" s="6" t="s">
        <v>4200</v>
      </c>
      <c r="G1081" s="6" t="s">
        <v>2444</v>
      </c>
      <c r="H1081" s="6" t="s">
        <v>4200</v>
      </c>
      <c r="I1081" s="6">
        <v>7</v>
      </c>
      <c r="J1081" s="6">
        <v>0</v>
      </c>
      <c r="K1081" s="6">
        <v>0</v>
      </c>
      <c r="L1081" s="6">
        <v>0</v>
      </c>
      <c r="M1081" s="6">
        <v>0</v>
      </c>
      <c r="N1081" s="6">
        <v>1</v>
      </c>
      <c r="O1081" s="6">
        <v>0.66670000000000007</v>
      </c>
    </row>
    <row r="1082" spans="1:15" hidden="1">
      <c r="A1082" s="6" t="s">
        <v>2452</v>
      </c>
      <c r="B1082" s="6" t="s">
        <v>4067</v>
      </c>
      <c r="C1082" s="6" t="s">
        <v>4195</v>
      </c>
      <c r="D1082" s="6" t="s">
        <v>4200</v>
      </c>
      <c r="E1082" s="6" t="s">
        <v>4203</v>
      </c>
      <c r="G1082" s="6" t="s">
        <v>2444</v>
      </c>
      <c r="H1082" s="6" t="s">
        <v>4203</v>
      </c>
      <c r="I1082" s="6">
        <v>2</v>
      </c>
      <c r="J1082" s="6">
        <v>0</v>
      </c>
      <c r="K1082" s="6">
        <v>0</v>
      </c>
      <c r="L1082" s="6">
        <v>0</v>
      </c>
      <c r="M1082" s="6">
        <v>0</v>
      </c>
      <c r="N1082" s="6">
        <v>1</v>
      </c>
      <c r="O1082" s="6">
        <v>1</v>
      </c>
    </row>
    <row r="1083" spans="1:15" hidden="1">
      <c r="A1083" s="6" t="s">
        <v>2452</v>
      </c>
      <c r="B1083" s="6" t="s">
        <v>4067</v>
      </c>
      <c r="C1083" s="6" t="s">
        <v>4195</v>
      </c>
      <c r="D1083" s="6" t="s">
        <v>4204</v>
      </c>
      <c r="G1083" s="6" t="s">
        <v>2444</v>
      </c>
      <c r="H1083" s="6" t="s">
        <v>4204</v>
      </c>
      <c r="I1083" s="6">
        <v>3</v>
      </c>
      <c r="J1083" s="6">
        <v>0</v>
      </c>
      <c r="K1083" s="6">
        <v>0</v>
      </c>
      <c r="L1083" s="6">
        <v>0</v>
      </c>
      <c r="M1083" s="6">
        <v>0</v>
      </c>
      <c r="N1083" s="6">
        <v>0.5</v>
      </c>
      <c r="O1083" s="6">
        <v>0.5</v>
      </c>
    </row>
    <row r="1084" spans="1:15" hidden="1">
      <c r="A1084" s="6" t="s">
        <v>2452</v>
      </c>
      <c r="B1084" s="6" t="s">
        <v>4067</v>
      </c>
      <c r="C1084" s="6" t="s">
        <v>4195</v>
      </c>
      <c r="D1084" s="6" t="s">
        <v>4204</v>
      </c>
      <c r="E1084" s="6" t="s">
        <v>4205</v>
      </c>
      <c r="G1084" s="6" t="s">
        <v>2444</v>
      </c>
      <c r="H1084" s="6" t="s">
        <v>4205</v>
      </c>
      <c r="I1084" s="6">
        <v>1</v>
      </c>
      <c r="J1084" s="6">
        <v>0</v>
      </c>
      <c r="K1084" s="6">
        <v>0</v>
      </c>
      <c r="L1084" s="6">
        <v>0</v>
      </c>
      <c r="M1084" s="6">
        <v>0</v>
      </c>
      <c r="N1084" s="6">
        <v>1</v>
      </c>
      <c r="O1084" s="6">
        <v>1</v>
      </c>
    </row>
    <row r="1085" spans="1:15" hidden="1">
      <c r="A1085" s="6" t="s">
        <v>2452</v>
      </c>
      <c r="B1085" s="6" t="s">
        <v>1929</v>
      </c>
      <c r="C1085" s="6" t="s">
        <v>35</v>
      </c>
      <c r="D1085" s="6" t="s">
        <v>3322</v>
      </c>
      <c r="G1085" s="6" t="s">
        <v>2444</v>
      </c>
      <c r="H1085" s="6" t="s">
        <v>3323</v>
      </c>
      <c r="I1085" s="6">
        <v>2</v>
      </c>
      <c r="J1085" s="6">
        <v>1</v>
      </c>
      <c r="K1085" s="6">
        <v>0.5</v>
      </c>
      <c r="L1085" s="6">
        <v>1.1200000000000001</v>
      </c>
      <c r="M1085" s="6">
        <v>1.1200000000000001</v>
      </c>
      <c r="N1085" s="6">
        <v>1</v>
      </c>
      <c r="O1085" s="6">
        <v>1</v>
      </c>
    </row>
    <row r="1086" spans="1:15" hidden="1">
      <c r="A1086" s="6" t="s">
        <v>2452</v>
      </c>
      <c r="B1086" s="6" t="s">
        <v>1929</v>
      </c>
      <c r="C1086" s="6" t="s">
        <v>35</v>
      </c>
      <c r="D1086" s="6" t="s">
        <v>3322</v>
      </c>
      <c r="F1086" s="6" t="s">
        <v>4206</v>
      </c>
      <c r="G1086" s="6" t="s">
        <v>2444</v>
      </c>
      <c r="H1086" s="6" t="s">
        <v>4207</v>
      </c>
      <c r="I1086" s="6">
        <v>1</v>
      </c>
      <c r="J1086" s="6">
        <v>0</v>
      </c>
      <c r="K1086" s="6">
        <v>0</v>
      </c>
      <c r="L1086" s="6">
        <v>0</v>
      </c>
      <c r="M1086" s="6">
        <v>0</v>
      </c>
      <c r="N1086" s="6">
        <v>1</v>
      </c>
      <c r="O1086" s="6">
        <v>1</v>
      </c>
    </row>
    <row r="1087" spans="1:15" hidden="1">
      <c r="A1087" s="6" t="s">
        <v>2452</v>
      </c>
      <c r="B1087" s="6" t="s">
        <v>1929</v>
      </c>
      <c r="C1087" s="6" t="s">
        <v>35</v>
      </c>
      <c r="D1087" s="6" t="s">
        <v>3322</v>
      </c>
      <c r="F1087" s="6" t="s">
        <v>4208</v>
      </c>
      <c r="G1087" s="6" t="s">
        <v>2444</v>
      </c>
      <c r="H1087" s="6" t="s">
        <v>4208</v>
      </c>
      <c r="I1087" s="6">
        <v>2</v>
      </c>
      <c r="J1087" s="6">
        <v>0</v>
      </c>
      <c r="K1087" s="6">
        <v>0</v>
      </c>
      <c r="L1087" s="6">
        <v>0</v>
      </c>
      <c r="M1087" s="6">
        <v>0</v>
      </c>
      <c r="N1087" s="6">
        <v>1</v>
      </c>
      <c r="O1087" s="6">
        <v>1</v>
      </c>
    </row>
    <row r="1088" spans="1:15" hidden="1">
      <c r="A1088" s="6" t="s">
        <v>2452</v>
      </c>
      <c r="B1088" s="6" t="s">
        <v>1929</v>
      </c>
      <c r="C1088" s="6" t="s">
        <v>35</v>
      </c>
      <c r="D1088" s="6" t="s">
        <v>3322</v>
      </c>
      <c r="F1088" s="6" t="s">
        <v>3325</v>
      </c>
      <c r="G1088" s="6" t="s">
        <v>2444</v>
      </c>
      <c r="H1088" s="6" t="s">
        <v>4209</v>
      </c>
      <c r="I1088" s="6">
        <v>2</v>
      </c>
      <c r="J1088" s="6">
        <v>0</v>
      </c>
      <c r="K1088" s="6">
        <v>0</v>
      </c>
      <c r="L1088" s="6">
        <v>0</v>
      </c>
      <c r="M1088" s="6">
        <v>0</v>
      </c>
      <c r="N1088" s="6">
        <v>1</v>
      </c>
      <c r="O1088" s="6">
        <v>1</v>
      </c>
    </row>
    <row r="1089" spans="1:15" hidden="1">
      <c r="A1089" s="6" t="s">
        <v>2452</v>
      </c>
      <c r="B1089" s="6" t="s">
        <v>1929</v>
      </c>
      <c r="C1089" s="6" t="s">
        <v>35</v>
      </c>
      <c r="D1089" s="6" t="s">
        <v>3322</v>
      </c>
      <c r="F1089" s="6" t="s">
        <v>3325</v>
      </c>
      <c r="G1089" s="6" t="s">
        <v>2444</v>
      </c>
      <c r="H1089" s="6" t="s">
        <v>4210</v>
      </c>
      <c r="I1089" s="6">
        <v>2</v>
      </c>
      <c r="J1089" s="6">
        <v>1</v>
      </c>
      <c r="K1089" s="6">
        <v>0.5</v>
      </c>
      <c r="L1089" s="6">
        <v>1.04</v>
      </c>
      <c r="M1089" s="6">
        <v>1.04</v>
      </c>
      <c r="N1089" s="6">
        <v>1</v>
      </c>
      <c r="O1089" s="6">
        <v>1</v>
      </c>
    </row>
    <row r="1090" spans="1:15" hidden="1">
      <c r="A1090" s="6" t="s">
        <v>2452</v>
      </c>
      <c r="B1090" s="6" t="s">
        <v>1929</v>
      </c>
      <c r="C1090" s="6" t="s">
        <v>35</v>
      </c>
      <c r="D1090" s="6" t="s">
        <v>3322</v>
      </c>
      <c r="F1090" s="6" t="s">
        <v>3325</v>
      </c>
      <c r="G1090" s="6" t="s">
        <v>2444</v>
      </c>
      <c r="H1090" s="6" t="s">
        <v>3326</v>
      </c>
      <c r="I1090" s="6">
        <v>2</v>
      </c>
      <c r="J1090" s="6">
        <v>0</v>
      </c>
      <c r="K1090" s="6">
        <v>0</v>
      </c>
      <c r="L1090" s="6">
        <v>0</v>
      </c>
      <c r="M1090" s="6">
        <v>0</v>
      </c>
      <c r="N1090" s="6">
        <v>1</v>
      </c>
      <c r="O1090" s="6">
        <v>1</v>
      </c>
    </row>
    <row r="1091" spans="1:15" hidden="1">
      <c r="A1091" s="6" t="s">
        <v>2452</v>
      </c>
      <c r="B1091" s="6" t="s">
        <v>1929</v>
      </c>
      <c r="C1091" s="6" t="s">
        <v>35</v>
      </c>
      <c r="D1091" s="6" t="s">
        <v>3322</v>
      </c>
      <c r="F1091" s="6" t="s">
        <v>3331</v>
      </c>
      <c r="G1091" s="6" t="s">
        <v>2444</v>
      </c>
      <c r="H1091" s="6" t="s">
        <v>3331</v>
      </c>
      <c r="I1091" s="6">
        <v>4</v>
      </c>
      <c r="J1091" s="6">
        <v>0</v>
      </c>
      <c r="K1091" s="6">
        <v>0</v>
      </c>
      <c r="L1091" s="6">
        <v>0</v>
      </c>
      <c r="M1091" s="6">
        <v>0</v>
      </c>
      <c r="N1091" s="6">
        <v>1</v>
      </c>
      <c r="O1091" s="6">
        <v>0</v>
      </c>
    </row>
    <row r="1092" spans="1:15" hidden="1">
      <c r="A1092" s="6" t="s">
        <v>2452</v>
      </c>
      <c r="B1092" s="6" t="s">
        <v>1929</v>
      </c>
      <c r="C1092" s="6" t="s">
        <v>35</v>
      </c>
      <c r="D1092" s="6" t="s">
        <v>3322</v>
      </c>
      <c r="F1092" s="6" t="s">
        <v>3331</v>
      </c>
      <c r="G1092" s="6" t="s">
        <v>2444</v>
      </c>
      <c r="H1092" s="6" t="s">
        <v>4211</v>
      </c>
      <c r="I1092" s="6">
        <v>2</v>
      </c>
      <c r="J1092" s="6">
        <v>1</v>
      </c>
      <c r="K1092" s="6">
        <v>0.5</v>
      </c>
      <c r="L1092" s="6">
        <v>1.08</v>
      </c>
      <c r="M1092" s="6">
        <v>1.08</v>
      </c>
      <c r="N1092" s="6">
        <v>1</v>
      </c>
      <c r="O1092" s="6">
        <v>1</v>
      </c>
    </row>
    <row r="1093" spans="1:15" hidden="1">
      <c r="A1093" s="6" t="s">
        <v>2452</v>
      </c>
      <c r="B1093" s="6" t="s">
        <v>1929</v>
      </c>
      <c r="C1093" s="6" t="s">
        <v>35</v>
      </c>
      <c r="D1093" s="6" t="s">
        <v>3322</v>
      </c>
      <c r="F1093" s="6" t="s">
        <v>3336</v>
      </c>
      <c r="G1093" s="6" t="s">
        <v>2444</v>
      </c>
      <c r="H1093" s="6" t="s">
        <v>4212</v>
      </c>
      <c r="I1093" s="6">
        <v>1</v>
      </c>
      <c r="J1093" s="6">
        <v>0</v>
      </c>
      <c r="K1093" s="6">
        <v>0</v>
      </c>
      <c r="L1093" s="6">
        <v>0</v>
      </c>
      <c r="M1093" s="6">
        <v>0</v>
      </c>
      <c r="N1093" s="6">
        <v>1</v>
      </c>
      <c r="O1093" s="6">
        <v>1</v>
      </c>
    </row>
    <row r="1094" spans="1:15" hidden="1">
      <c r="A1094" s="6" t="s">
        <v>2452</v>
      </c>
      <c r="B1094" s="6" t="s">
        <v>1929</v>
      </c>
      <c r="C1094" s="6" t="s">
        <v>35</v>
      </c>
      <c r="D1094" s="6" t="s">
        <v>3322</v>
      </c>
      <c r="F1094" s="6" t="s">
        <v>2962</v>
      </c>
      <c r="G1094" s="6" t="s">
        <v>2444</v>
      </c>
      <c r="H1094" s="6" t="s">
        <v>4213</v>
      </c>
      <c r="I1094" s="6">
        <v>1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</row>
    <row r="1095" spans="1:15" hidden="1">
      <c r="A1095" s="6" t="s">
        <v>2452</v>
      </c>
      <c r="B1095" s="6" t="s">
        <v>1929</v>
      </c>
      <c r="C1095" s="6" t="s">
        <v>35</v>
      </c>
      <c r="D1095" s="6" t="s">
        <v>3341</v>
      </c>
      <c r="E1095" s="6" t="s">
        <v>4214</v>
      </c>
      <c r="F1095" s="6" t="s">
        <v>4215</v>
      </c>
      <c r="G1095" s="6" t="s">
        <v>2444</v>
      </c>
      <c r="H1095" s="6" t="s">
        <v>4216</v>
      </c>
      <c r="I1095" s="6">
        <v>1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</row>
    <row r="1096" spans="1:15" hidden="1">
      <c r="A1096" s="6" t="s">
        <v>2452</v>
      </c>
      <c r="B1096" s="6" t="s">
        <v>1929</v>
      </c>
      <c r="C1096" s="6" t="s">
        <v>35</v>
      </c>
      <c r="D1096" s="6" t="s">
        <v>3341</v>
      </c>
      <c r="E1096" s="6" t="s">
        <v>3344</v>
      </c>
      <c r="F1096" s="6" t="s">
        <v>3345</v>
      </c>
      <c r="G1096" s="6" t="s">
        <v>2444</v>
      </c>
      <c r="H1096" s="6" t="s">
        <v>3346</v>
      </c>
      <c r="I1096" s="6">
        <v>1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</row>
    <row r="1097" spans="1:15" hidden="1">
      <c r="A1097" s="6" t="s">
        <v>2452</v>
      </c>
      <c r="B1097" s="6" t="s">
        <v>1929</v>
      </c>
      <c r="C1097" s="6" t="s">
        <v>35</v>
      </c>
      <c r="D1097" s="6" t="s">
        <v>3341</v>
      </c>
      <c r="E1097" s="6" t="s">
        <v>3349</v>
      </c>
      <c r="F1097" s="6" t="s">
        <v>4217</v>
      </c>
      <c r="G1097" s="6" t="s">
        <v>2444</v>
      </c>
      <c r="H1097" s="6" t="s">
        <v>4218</v>
      </c>
      <c r="I1097" s="6">
        <v>1</v>
      </c>
      <c r="J1097" s="6">
        <v>0</v>
      </c>
      <c r="K1097" s="6">
        <v>0</v>
      </c>
      <c r="L1097" s="6">
        <v>0</v>
      </c>
      <c r="M1097" s="6">
        <v>0</v>
      </c>
      <c r="N1097" s="6">
        <v>1</v>
      </c>
      <c r="O1097" s="6">
        <v>1</v>
      </c>
    </row>
    <row r="1098" spans="1:15" hidden="1">
      <c r="A1098" s="6" t="s">
        <v>2452</v>
      </c>
      <c r="B1098" s="6" t="s">
        <v>1929</v>
      </c>
      <c r="C1098" s="6" t="s">
        <v>35</v>
      </c>
      <c r="D1098" s="6" t="s">
        <v>3341</v>
      </c>
      <c r="E1098" s="6" t="s">
        <v>3349</v>
      </c>
      <c r="F1098" s="6" t="s">
        <v>2579</v>
      </c>
      <c r="G1098" s="6" t="s">
        <v>2444</v>
      </c>
      <c r="H1098" s="6" t="s">
        <v>2579</v>
      </c>
      <c r="I1098" s="6">
        <v>1</v>
      </c>
      <c r="J1098" s="6">
        <v>0</v>
      </c>
      <c r="K1098" s="6">
        <v>0</v>
      </c>
      <c r="L1098" s="6">
        <v>0</v>
      </c>
      <c r="M1098" s="6">
        <v>0</v>
      </c>
      <c r="N1098" s="6">
        <v>1</v>
      </c>
      <c r="O1098" s="6">
        <v>1</v>
      </c>
    </row>
    <row r="1099" spans="1:15" hidden="1">
      <c r="A1099" s="6" t="s">
        <v>2452</v>
      </c>
      <c r="B1099" s="6" t="s">
        <v>1929</v>
      </c>
      <c r="C1099" s="6" t="s">
        <v>35</v>
      </c>
      <c r="D1099" s="6" t="s">
        <v>3341</v>
      </c>
      <c r="E1099" s="6" t="s">
        <v>3349</v>
      </c>
      <c r="F1099" s="6" t="s">
        <v>3350</v>
      </c>
      <c r="G1099" s="6" t="s">
        <v>2444</v>
      </c>
      <c r="H1099" s="6" t="s">
        <v>3351</v>
      </c>
      <c r="I1099" s="6">
        <v>1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</row>
    <row r="1100" spans="1:15" hidden="1">
      <c r="A1100" s="6" t="s">
        <v>2452</v>
      </c>
      <c r="B1100" s="6" t="s">
        <v>1929</v>
      </c>
      <c r="C1100" s="6" t="s">
        <v>35</v>
      </c>
      <c r="D1100" s="6" t="s">
        <v>3341</v>
      </c>
      <c r="E1100" s="6" t="s">
        <v>3349</v>
      </c>
      <c r="F1100" s="6" t="s">
        <v>3352</v>
      </c>
      <c r="G1100" s="6" t="s">
        <v>2444</v>
      </c>
      <c r="H1100" s="6" t="s">
        <v>4219</v>
      </c>
      <c r="I1100" s="6">
        <v>1</v>
      </c>
      <c r="J1100" s="6">
        <v>0</v>
      </c>
      <c r="K1100" s="6">
        <v>0</v>
      </c>
      <c r="L1100" s="6">
        <v>0</v>
      </c>
      <c r="M1100" s="6">
        <v>0</v>
      </c>
      <c r="N1100" s="6">
        <v>1</v>
      </c>
      <c r="O1100" s="6">
        <v>1</v>
      </c>
    </row>
    <row r="1101" spans="1:15" hidden="1">
      <c r="A1101" s="6" t="s">
        <v>2452</v>
      </c>
      <c r="B1101" s="6" t="s">
        <v>1929</v>
      </c>
      <c r="C1101" s="6" t="s">
        <v>35</v>
      </c>
      <c r="D1101" s="6" t="s">
        <v>3341</v>
      </c>
      <c r="E1101" s="6" t="s">
        <v>3349</v>
      </c>
      <c r="F1101" s="6" t="s">
        <v>3352</v>
      </c>
      <c r="G1101" s="6" t="s">
        <v>2444</v>
      </c>
      <c r="H1101" s="6" t="s">
        <v>4220</v>
      </c>
      <c r="I1101" s="6">
        <v>2</v>
      </c>
      <c r="J1101" s="6">
        <v>0</v>
      </c>
      <c r="K1101" s="6">
        <v>0</v>
      </c>
      <c r="L1101" s="6">
        <v>0</v>
      </c>
      <c r="M1101" s="6">
        <v>0</v>
      </c>
      <c r="N1101" s="6">
        <v>1</v>
      </c>
      <c r="O1101" s="6">
        <v>1</v>
      </c>
    </row>
    <row r="1102" spans="1:15" hidden="1">
      <c r="A1102" s="6" t="s">
        <v>2452</v>
      </c>
      <c r="B1102" s="6" t="s">
        <v>1929</v>
      </c>
      <c r="C1102" s="6" t="s">
        <v>35</v>
      </c>
      <c r="D1102" s="6" t="s">
        <v>3341</v>
      </c>
      <c r="E1102" s="6" t="s">
        <v>3349</v>
      </c>
      <c r="F1102" s="6" t="s">
        <v>3352</v>
      </c>
      <c r="G1102" s="6" t="s">
        <v>2444</v>
      </c>
      <c r="H1102" s="6" t="s">
        <v>4221</v>
      </c>
      <c r="I1102" s="6">
        <v>1</v>
      </c>
      <c r="J1102" s="6">
        <v>0</v>
      </c>
      <c r="K1102" s="6">
        <v>0</v>
      </c>
      <c r="L1102" s="6">
        <v>0</v>
      </c>
      <c r="M1102" s="6">
        <v>0</v>
      </c>
      <c r="N1102" s="6">
        <v>1</v>
      </c>
      <c r="O1102" s="6">
        <v>1</v>
      </c>
    </row>
    <row r="1103" spans="1:15" hidden="1">
      <c r="A1103" s="6" t="s">
        <v>2452</v>
      </c>
      <c r="B1103" s="6" t="s">
        <v>1929</v>
      </c>
      <c r="C1103" s="6" t="s">
        <v>35</v>
      </c>
      <c r="D1103" s="6" t="s">
        <v>3362</v>
      </c>
      <c r="F1103" s="6" t="s">
        <v>4222</v>
      </c>
      <c r="G1103" s="6" t="s">
        <v>2444</v>
      </c>
      <c r="H1103" s="6" t="s">
        <v>4223</v>
      </c>
      <c r="I1103" s="6">
        <v>1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</row>
    <row r="1104" spans="1:15" hidden="1">
      <c r="A1104" s="6" t="s">
        <v>2452</v>
      </c>
      <c r="B1104" s="6" t="s">
        <v>1929</v>
      </c>
      <c r="C1104" s="6" t="s">
        <v>35</v>
      </c>
      <c r="D1104" s="6" t="s">
        <v>3362</v>
      </c>
      <c r="F1104" s="6" t="s">
        <v>4224</v>
      </c>
      <c r="G1104" s="6" t="s">
        <v>2444</v>
      </c>
      <c r="H1104" s="6" t="s">
        <v>4225</v>
      </c>
      <c r="I1104" s="6">
        <v>1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</row>
    <row r="1105" spans="1:15" hidden="1">
      <c r="A1105" s="6" t="s">
        <v>2452</v>
      </c>
      <c r="B1105" s="6" t="s">
        <v>1929</v>
      </c>
      <c r="C1105" s="6" t="s">
        <v>35</v>
      </c>
      <c r="D1105" s="6" t="s">
        <v>4226</v>
      </c>
      <c r="F1105" s="6" t="s">
        <v>4227</v>
      </c>
      <c r="G1105" s="6" t="s">
        <v>2444</v>
      </c>
      <c r="H1105" s="6" t="s">
        <v>4228</v>
      </c>
      <c r="I1105" s="6">
        <v>2</v>
      </c>
      <c r="J1105" s="6">
        <v>0</v>
      </c>
      <c r="K1105" s="6">
        <v>0</v>
      </c>
      <c r="L1105" s="6">
        <v>0</v>
      </c>
      <c r="M1105" s="6">
        <v>0</v>
      </c>
      <c r="N1105" s="6">
        <v>1</v>
      </c>
      <c r="O1105" s="6">
        <v>1</v>
      </c>
    </row>
    <row r="1106" spans="1:15" hidden="1">
      <c r="A1106" s="6" t="s">
        <v>2452</v>
      </c>
      <c r="B1106" s="6" t="s">
        <v>1929</v>
      </c>
      <c r="C1106" s="6" t="s">
        <v>35</v>
      </c>
      <c r="D1106" s="6" t="s">
        <v>3369</v>
      </c>
      <c r="E1106" s="6" t="s">
        <v>4229</v>
      </c>
      <c r="F1106" s="6" t="s">
        <v>4229</v>
      </c>
      <c r="G1106" s="6" t="s">
        <v>2444</v>
      </c>
      <c r="H1106" s="6" t="s">
        <v>4230</v>
      </c>
      <c r="I1106" s="6">
        <v>4</v>
      </c>
      <c r="J1106" s="6">
        <v>0</v>
      </c>
      <c r="K1106" s="6">
        <v>0</v>
      </c>
      <c r="L1106" s="6">
        <v>0</v>
      </c>
      <c r="M1106" s="6">
        <v>0</v>
      </c>
      <c r="N1106" s="6">
        <v>1</v>
      </c>
      <c r="O1106" s="6">
        <v>1</v>
      </c>
    </row>
    <row r="1107" spans="1:15" hidden="1">
      <c r="A1107" s="6" t="s">
        <v>2452</v>
      </c>
      <c r="B1107" s="6" t="s">
        <v>1929</v>
      </c>
      <c r="C1107" s="6" t="s">
        <v>35</v>
      </c>
      <c r="D1107" s="6" t="s">
        <v>3369</v>
      </c>
      <c r="E1107" s="6" t="s">
        <v>4229</v>
      </c>
      <c r="F1107" s="6" t="s">
        <v>4229</v>
      </c>
      <c r="G1107" s="6" t="s">
        <v>2444</v>
      </c>
      <c r="H1107" s="6" t="s">
        <v>4231</v>
      </c>
      <c r="I1107" s="6">
        <v>1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</row>
    <row r="1108" spans="1:15" hidden="1">
      <c r="A1108" s="6" t="s">
        <v>2452</v>
      </c>
      <c r="B1108" s="6" t="s">
        <v>1929</v>
      </c>
      <c r="C1108" s="6" t="s">
        <v>35</v>
      </c>
      <c r="D1108" s="6" t="s">
        <v>3371</v>
      </c>
      <c r="E1108" s="6" t="s">
        <v>3375</v>
      </c>
      <c r="F1108" s="6" t="s">
        <v>4232</v>
      </c>
      <c r="G1108" s="6" t="s">
        <v>2444</v>
      </c>
      <c r="H1108" s="6" t="s">
        <v>4233</v>
      </c>
      <c r="I1108" s="6">
        <v>2</v>
      </c>
      <c r="J1108" s="6">
        <v>0</v>
      </c>
      <c r="K1108" s="6">
        <v>0</v>
      </c>
      <c r="L1108" s="6">
        <v>0</v>
      </c>
      <c r="M1108" s="6">
        <v>0</v>
      </c>
      <c r="N1108" s="6">
        <v>1</v>
      </c>
      <c r="O1108" s="6">
        <v>0</v>
      </c>
    </row>
    <row r="1109" spans="1:15" hidden="1">
      <c r="A1109" s="6" t="s">
        <v>2452</v>
      </c>
      <c r="B1109" s="6" t="s">
        <v>1929</v>
      </c>
      <c r="C1109" s="6" t="s">
        <v>35</v>
      </c>
      <c r="D1109" s="6" t="s">
        <v>3371</v>
      </c>
      <c r="E1109" s="6" t="s">
        <v>3381</v>
      </c>
      <c r="F1109" s="6" t="s">
        <v>4234</v>
      </c>
      <c r="G1109" s="6" t="s">
        <v>2444</v>
      </c>
      <c r="H1109" s="6" t="s">
        <v>4234</v>
      </c>
      <c r="I1109" s="6">
        <v>4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</row>
    <row r="1110" spans="1:15" hidden="1">
      <c r="A1110" s="6" t="s">
        <v>2452</v>
      </c>
      <c r="B1110" s="6" t="s">
        <v>1929</v>
      </c>
      <c r="C1110" s="6" t="s">
        <v>35</v>
      </c>
      <c r="D1110" s="6" t="s">
        <v>3371</v>
      </c>
      <c r="E1110" s="6" t="s">
        <v>3381</v>
      </c>
      <c r="F1110" s="6" t="s">
        <v>3382</v>
      </c>
      <c r="G1110" s="6" t="s">
        <v>2444</v>
      </c>
      <c r="H1110" s="6" t="s">
        <v>3383</v>
      </c>
      <c r="I1110" s="6">
        <v>4</v>
      </c>
      <c r="J1110" s="6">
        <v>0</v>
      </c>
      <c r="K1110" s="6">
        <v>0</v>
      </c>
      <c r="L1110" s="6">
        <v>0</v>
      </c>
      <c r="M1110" s="6">
        <v>0</v>
      </c>
      <c r="N1110" s="6">
        <v>1</v>
      </c>
      <c r="O1110" s="6">
        <v>1</v>
      </c>
    </row>
    <row r="1111" spans="1:15" hidden="1">
      <c r="A1111" s="6" t="s">
        <v>2452</v>
      </c>
      <c r="B1111" s="6" t="s">
        <v>1929</v>
      </c>
      <c r="C1111" s="6" t="s">
        <v>35</v>
      </c>
      <c r="D1111" s="6" t="s">
        <v>3371</v>
      </c>
      <c r="E1111" s="6" t="s">
        <v>4235</v>
      </c>
      <c r="F1111" s="6" t="s">
        <v>4236</v>
      </c>
      <c r="G1111" s="6" t="s">
        <v>2444</v>
      </c>
      <c r="H1111" s="6" t="s">
        <v>4237</v>
      </c>
      <c r="I1111" s="6">
        <v>1</v>
      </c>
      <c r="J1111" s="6">
        <v>0</v>
      </c>
      <c r="K1111" s="6">
        <v>0</v>
      </c>
      <c r="L1111" s="6">
        <v>0</v>
      </c>
      <c r="M1111" s="6">
        <v>0</v>
      </c>
      <c r="N1111" s="6">
        <v>1</v>
      </c>
      <c r="O1111" s="6">
        <v>0</v>
      </c>
    </row>
    <row r="1112" spans="1:15" hidden="1">
      <c r="A1112" s="6" t="s">
        <v>2452</v>
      </c>
      <c r="B1112" s="6" t="s">
        <v>1929</v>
      </c>
      <c r="C1112" s="6" t="s">
        <v>35</v>
      </c>
      <c r="D1112" s="6" t="s">
        <v>3371</v>
      </c>
      <c r="E1112" s="6" t="s">
        <v>3397</v>
      </c>
      <c r="F1112" s="6" t="s">
        <v>3398</v>
      </c>
      <c r="G1112" s="6" t="s">
        <v>2444</v>
      </c>
      <c r="H1112" s="6" t="s">
        <v>3398</v>
      </c>
      <c r="I1112" s="6">
        <v>2</v>
      </c>
      <c r="J1112" s="6">
        <v>1</v>
      </c>
      <c r="K1112" s="6">
        <v>0.5</v>
      </c>
      <c r="L1112" s="6">
        <v>0.09</v>
      </c>
      <c r="M1112" s="6">
        <v>0.09</v>
      </c>
      <c r="N1112" s="6">
        <v>1</v>
      </c>
      <c r="O1112" s="6">
        <v>1</v>
      </c>
    </row>
    <row r="1113" spans="1:15" hidden="1">
      <c r="A1113" s="6" t="s">
        <v>2452</v>
      </c>
      <c r="B1113" s="6" t="s">
        <v>1929</v>
      </c>
      <c r="C1113" s="6" t="s">
        <v>35</v>
      </c>
      <c r="D1113" s="6" t="s">
        <v>3371</v>
      </c>
      <c r="E1113" s="6" t="s">
        <v>3397</v>
      </c>
      <c r="F1113" s="6" t="s">
        <v>3398</v>
      </c>
      <c r="G1113" s="6" t="s">
        <v>2444</v>
      </c>
      <c r="H1113" s="6" t="s">
        <v>3399</v>
      </c>
      <c r="I1113" s="6">
        <v>2</v>
      </c>
      <c r="J1113" s="6">
        <v>0</v>
      </c>
      <c r="K1113" s="6">
        <v>0</v>
      </c>
      <c r="L1113" s="6">
        <v>0</v>
      </c>
      <c r="M1113" s="6">
        <v>0</v>
      </c>
      <c r="N1113" s="6">
        <v>1</v>
      </c>
      <c r="O1113" s="6">
        <v>1</v>
      </c>
    </row>
    <row r="1114" spans="1:15" hidden="1">
      <c r="A1114" s="6" t="s">
        <v>2452</v>
      </c>
      <c r="B1114" s="6" t="s">
        <v>1929</v>
      </c>
      <c r="C1114" s="6" t="s">
        <v>35</v>
      </c>
      <c r="D1114" s="6" t="s">
        <v>3371</v>
      </c>
      <c r="E1114" s="6" t="s">
        <v>4238</v>
      </c>
      <c r="F1114" s="6" t="s">
        <v>4239</v>
      </c>
      <c r="G1114" s="6" t="s">
        <v>2444</v>
      </c>
      <c r="H1114" s="6" t="s">
        <v>4240</v>
      </c>
      <c r="I1114" s="6">
        <v>1</v>
      </c>
      <c r="J1114" s="6">
        <v>1</v>
      </c>
      <c r="K1114" s="6">
        <v>1</v>
      </c>
      <c r="L1114" s="6">
        <v>0.63</v>
      </c>
      <c r="M1114" s="6">
        <v>0.63</v>
      </c>
      <c r="N1114" s="6">
        <v>1</v>
      </c>
      <c r="O1114" s="6">
        <v>1</v>
      </c>
    </row>
    <row r="1115" spans="1:15" hidden="1">
      <c r="A1115" s="6" t="s">
        <v>2452</v>
      </c>
      <c r="B1115" s="6" t="s">
        <v>1929</v>
      </c>
      <c r="C1115" s="6" t="s">
        <v>35</v>
      </c>
      <c r="D1115" s="6" t="s">
        <v>3371</v>
      </c>
      <c r="E1115" s="6" t="s">
        <v>4238</v>
      </c>
      <c r="F1115" s="6" t="s">
        <v>4241</v>
      </c>
      <c r="G1115" s="6" t="s">
        <v>2444</v>
      </c>
      <c r="H1115" s="6" t="s">
        <v>4242</v>
      </c>
      <c r="I1115" s="6">
        <v>2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</row>
    <row r="1116" spans="1:15" hidden="1">
      <c r="A1116" s="6" t="s">
        <v>2452</v>
      </c>
      <c r="B1116" s="6" t="s">
        <v>1929</v>
      </c>
      <c r="C1116" s="6" t="s">
        <v>35</v>
      </c>
      <c r="D1116" s="6" t="s">
        <v>3371</v>
      </c>
      <c r="E1116" s="6" t="s">
        <v>3400</v>
      </c>
      <c r="F1116" s="6" t="s">
        <v>3401</v>
      </c>
      <c r="G1116" s="6" t="s">
        <v>2444</v>
      </c>
      <c r="H1116" s="6" t="s">
        <v>4243</v>
      </c>
      <c r="I1116" s="6">
        <v>1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</row>
    <row r="1117" spans="1:15" hidden="1">
      <c r="A1117" s="6" t="s">
        <v>2452</v>
      </c>
      <c r="B1117" s="6" t="s">
        <v>1929</v>
      </c>
      <c r="C1117" s="6" t="s">
        <v>35</v>
      </c>
      <c r="D1117" s="6" t="s">
        <v>3371</v>
      </c>
      <c r="E1117" s="6" t="s">
        <v>3400</v>
      </c>
      <c r="F1117" s="6" t="s">
        <v>3400</v>
      </c>
      <c r="G1117" s="6" t="s">
        <v>2444</v>
      </c>
      <c r="H1117" s="6" t="s">
        <v>4244</v>
      </c>
      <c r="I1117" s="6">
        <v>1</v>
      </c>
      <c r="J1117" s="6">
        <v>0</v>
      </c>
      <c r="K1117" s="6">
        <v>0</v>
      </c>
      <c r="L1117" s="6">
        <v>0</v>
      </c>
      <c r="M1117" s="6">
        <v>0</v>
      </c>
      <c r="N1117" s="6">
        <v>1</v>
      </c>
      <c r="O1117" s="6">
        <v>1</v>
      </c>
    </row>
    <row r="1118" spans="1:15" hidden="1">
      <c r="A1118" s="6" t="s">
        <v>2452</v>
      </c>
      <c r="B1118" s="6" t="s">
        <v>1929</v>
      </c>
      <c r="C1118" s="6" t="s">
        <v>35</v>
      </c>
      <c r="D1118" s="6" t="s">
        <v>3371</v>
      </c>
      <c r="E1118" s="6" t="s">
        <v>3400</v>
      </c>
      <c r="F1118" s="6" t="s">
        <v>3400</v>
      </c>
      <c r="G1118" s="6" t="s">
        <v>2444</v>
      </c>
      <c r="H1118" s="6" t="s">
        <v>3403</v>
      </c>
      <c r="I1118" s="6">
        <v>2</v>
      </c>
      <c r="J1118" s="6">
        <v>0</v>
      </c>
      <c r="K1118" s="6">
        <v>0</v>
      </c>
      <c r="L1118" s="6">
        <v>0</v>
      </c>
      <c r="M1118" s="6">
        <v>0</v>
      </c>
      <c r="N1118" s="6">
        <v>1</v>
      </c>
      <c r="O1118" s="6">
        <v>1</v>
      </c>
    </row>
    <row r="1119" spans="1:15" hidden="1">
      <c r="A1119" s="6" t="s">
        <v>2452</v>
      </c>
      <c r="B1119" s="6" t="s">
        <v>1929</v>
      </c>
      <c r="C1119" s="6" t="s">
        <v>35</v>
      </c>
      <c r="D1119" s="6" t="s">
        <v>3371</v>
      </c>
      <c r="E1119" s="6" t="s">
        <v>3400</v>
      </c>
      <c r="F1119" s="6" t="s">
        <v>3400</v>
      </c>
      <c r="G1119" s="6" t="s">
        <v>2444</v>
      </c>
      <c r="H1119" s="6" t="s">
        <v>3400</v>
      </c>
      <c r="I1119" s="6">
        <v>3</v>
      </c>
      <c r="J1119" s="6">
        <v>0</v>
      </c>
      <c r="K1119" s="6">
        <v>0</v>
      </c>
      <c r="L1119" s="6">
        <v>0</v>
      </c>
      <c r="M1119" s="6">
        <v>0</v>
      </c>
      <c r="N1119" s="6">
        <v>0.5</v>
      </c>
      <c r="O1119" s="6">
        <v>0.5</v>
      </c>
    </row>
    <row r="1120" spans="1:15" hidden="1">
      <c r="A1120" s="6" t="s">
        <v>2452</v>
      </c>
      <c r="B1120" s="6" t="s">
        <v>1929</v>
      </c>
      <c r="C1120" s="6" t="s">
        <v>35</v>
      </c>
      <c r="D1120" s="6" t="s">
        <v>3371</v>
      </c>
      <c r="E1120" s="6" t="s">
        <v>3408</v>
      </c>
      <c r="F1120" s="6" t="s">
        <v>3409</v>
      </c>
      <c r="G1120" s="6" t="s">
        <v>2444</v>
      </c>
      <c r="H1120" s="6" t="s">
        <v>3410</v>
      </c>
      <c r="I1120" s="6">
        <v>2</v>
      </c>
      <c r="J1120" s="6">
        <v>0</v>
      </c>
      <c r="K1120" s="6">
        <v>0</v>
      </c>
      <c r="L1120" s="6">
        <v>0</v>
      </c>
      <c r="M1120" s="6">
        <v>0</v>
      </c>
      <c r="N1120" s="6">
        <v>1</v>
      </c>
      <c r="O1120" s="6">
        <v>1</v>
      </c>
    </row>
    <row r="1121" spans="1:15" hidden="1">
      <c r="A1121" s="6" t="s">
        <v>2452</v>
      </c>
      <c r="B1121" s="6" t="s">
        <v>1929</v>
      </c>
      <c r="C1121" s="6" t="s">
        <v>35</v>
      </c>
      <c r="D1121" s="6" t="s">
        <v>3371</v>
      </c>
      <c r="E1121" s="6" t="s">
        <v>3411</v>
      </c>
      <c r="F1121" s="6" t="s">
        <v>4245</v>
      </c>
      <c r="G1121" s="6" t="s">
        <v>2444</v>
      </c>
      <c r="H1121" s="6" t="s">
        <v>4245</v>
      </c>
      <c r="I1121" s="6">
        <v>2</v>
      </c>
      <c r="J1121" s="6">
        <v>0</v>
      </c>
      <c r="K1121" s="6">
        <v>0</v>
      </c>
      <c r="L1121" s="6">
        <v>0</v>
      </c>
      <c r="M1121" s="6">
        <v>0</v>
      </c>
      <c r="N1121" s="6">
        <v>1</v>
      </c>
      <c r="O1121" s="6">
        <v>1</v>
      </c>
    </row>
    <row r="1122" spans="1:15" hidden="1">
      <c r="A1122" s="6" t="s">
        <v>2452</v>
      </c>
      <c r="B1122" s="6" t="s">
        <v>1929</v>
      </c>
      <c r="C1122" s="6" t="s">
        <v>35</v>
      </c>
      <c r="D1122" s="6" t="s">
        <v>3371</v>
      </c>
      <c r="E1122" s="6" t="s">
        <v>3411</v>
      </c>
      <c r="F1122" s="6" t="s">
        <v>3416</v>
      </c>
      <c r="G1122" s="6" t="s">
        <v>2444</v>
      </c>
      <c r="H1122" s="6" t="s">
        <v>4246</v>
      </c>
      <c r="I1122" s="6">
        <v>1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</row>
    <row r="1123" spans="1:15" hidden="1">
      <c r="A1123" s="6" t="s">
        <v>2452</v>
      </c>
      <c r="B1123" s="6" t="s">
        <v>1929</v>
      </c>
      <c r="C1123" s="6" t="s">
        <v>35</v>
      </c>
      <c r="D1123" s="6" t="s">
        <v>3371</v>
      </c>
      <c r="E1123" s="6" t="s">
        <v>3411</v>
      </c>
      <c r="F1123" s="6" t="s">
        <v>3416</v>
      </c>
      <c r="G1123" s="6" t="s">
        <v>2444</v>
      </c>
      <c r="H1123" s="6" t="s">
        <v>3416</v>
      </c>
      <c r="I1123" s="6">
        <v>3</v>
      </c>
      <c r="J1123" s="6">
        <v>0</v>
      </c>
      <c r="K1123" s="6">
        <v>0</v>
      </c>
      <c r="L1123" s="6">
        <v>0</v>
      </c>
      <c r="M1123" s="6">
        <v>0</v>
      </c>
      <c r="N1123" s="6">
        <v>0.5</v>
      </c>
      <c r="O1123" s="6">
        <v>0.5</v>
      </c>
    </row>
    <row r="1124" spans="1:15" hidden="1">
      <c r="A1124" s="6" t="s">
        <v>2452</v>
      </c>
      <c r="B1124" s="6" t="s">
        <v>1929</v>
      </c>
      <c r="C1124" s="6" t="s">
        <v>35</v>
      </c>
      <c r="D1124" s="6" t="s">
        <v>3371</v>
      </c>
      <c r="E1124" s="6" t="s">
        <v>4247</v>
      </c>
      <c r="G1124" s="6" t="s">
        <v>2444</v>
      </c>
      <c r="H1124" s="6" t="s">
        <v>4248</v>
      </c>
      <c r="I1124" s="6">
        <v>1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</row>
    <row r="1125" spans="1:15" hidden="1">
      <c r="A1125" s="6" t="s">
        <v>2452</v>
      </c>
      <c r="B1125" s="6" t="s">
        <v>1929</v>
      </c>
      <c r="C1125" s="6" t="s">
        <v>35</v>
      </c>
      <c r="D1125" s="6" t="s">
        <v>3371</v>
      </c>
      <c r="E1125" s="6" t="s">
        <v>4247</v>
      </c>
      <c r="F1125" s="6" t="s">
        <v>4249</v>
      </c>
      <c r="G1125" s="6" t="s">
        <v>2444</v>
      </c>
      <c r="H1125" s="6" t="s">
        <v>4250</v>
      </c>
      <c r="I1125" s="6"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</row>
    <row r="1126" spans="1:15" hidden="1">
      <c r="A1126" s="6" t="s">
        <v>2452</v>
      </c>
      <c r="B1126" s="6" t="s">
        <v>1929</v>
      </c>
      <c r="C1126" s="6" t="s">
        <v>35</v>
      </c>
      <c r="D1126" s="6" t="s">
        <v>3371</v>
      </c>
      <c r="E1126" s="6" t="s">
        <v>4247</v>
      </c>
      <c r="F1126" s="6" t="s">
        <v>4249</v>
      </c>
      <c r="G1126" s="6" t="s">
        <v>2444</v>
      </c>
      <c r="H1126" s="6" t="s">
        <v>4251</v>
      </c>
      <c r="I1126" s="6">
        <v>2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</row>
    <row r="1127" spans="1:15" hidden="1">
      <c r="A1127" s="6" t="s">
        <v>2452</v>
      </c>
      <c r="B1127" s="6" t="s">
        <v>1929</v>
      </c>
      <c r="C1127" s="6" t="s">
        <v>35</v>
      </c>
      <c r="D1127" s="6" t="s">
        <v>3371</v>
      </c>
      <c r="E1127" s="6" t="s">
        <v>3417</v>
      </c>
      <c r="F1127" s="6" t="s">
        <v>4252</v>
      </c>
      <c r="G1127" s="6" t="s">
        <v>2444</v>
      </c>
      <c r="H1127" s="6" t="s">
        <v>4252</v>
      </c>
      <c r="I1127" s="6">
        <v>3</v>
      </c>
      <c r="J1127" s="6">
        <v>1</v>
      </c>
      <c r="K1127" s="6">
        <v>0.33329999999999999</v>
      </c>
      <c r="L1127" s="6">
        <v>1.1299999999999999</v>
      </c>
      <c r="M1127" s="6">
        <v>1.1299999999999999</v>
      </c>
      <c r="N1127" s="6">
        <v>0.5</v>
      </c>
      <c r="O1127" s="6">
        <v>0.5</v>
      </c>
    </row>
    <row r="1128" spans="1:15" hidden="1">
      <c r="A1128" s="6" t="s">
        <v>2452</v>
      </c>
      <c r="B1128" s="6" t="s">
        <v>1929</v>
      </c>
      <c r="C1128" s="6" t="s">
        <v>35</v>
      </c>
      <c r="D1128" s="6" t="s">
        <v>3371</v>
      </c>
      <c r="E1128" s="6" t="s">
        <v>3419</v>
      </c>
      <c r="F1128" s="6" t="s">
        <v>3420</v>
      </c>
      <c r="G1128" s="6" t="s">
        <v>2444</v>
      </c>
      <c r="H1128" s="6" t="s">
        <v>3421</v>
      </c>
      <c r="I1128" s="6">
        <v>1</v>
      </c>
      <c r="J1128" s="6">
        <v>0</v>
      </c>
      <c r="K1128" s="6">
        <v>0</v>
      </c>
      <c r="L1128" s="6">
        <v>0</v>
      </c>
      <c r="M1128" s="6">
        <v>0</v>
      </c>
      <c r="N1128" s="6">
        <v>1</v>
      </c>
      <c r="O1128" s="6">
        <v>1</v>
      </c>
    </row>
    <row r="1129" spans="1:15" hidden="1">
      <c r="A1129" s="6" t="s">
        <v>2452</v>
      </c>
      <c r="B1129" s="6" t="s">
        <v>1929</v>
      </c>
      <c r="C1129" s="6" t="s">
        <v>35</v>
      </c>
      <c r="D1129" s="6" t="s">
        <v>3371</v>
      </c>
      <c r="E1129" s="6" t="s">
        <v>3419</v>
      </c>
      <c r="F1129" s="6" t="s">
        <v>3426</v>
      </c>
      <c r="G1129" s="6" t="s">
        <v>2444</v>
      </c>
      <c r="H1129" s="6" t="s">
        <v>4253</v>
      </c>
      <c r="I1129" s="6">
        <v>1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</row>
    <row r="1130" spans="1:15" hidden="1">
      <c r="A1130" s="6" t="s">
        <v>2452</v>
      </c>
      <c r="B1130" s="6" t="s">
        <v>1929</v>
      </c>
      <c r="C1130" s="6" t="s">
        <v>35</v>
      </c>
      <c r="D1130" s="6" t="s">
        <v>3371</v>
      </c>
      <c r="E1130" s="6" t="s">
        <v>3419</v>
      </c>
      <c r="F1130" s="6" t="s">
        <v>3419</v>
      </c>
      <c r="G1130" s="6" t="s">
        <v>2444</v>
      </c>
      <c r="H1130" s="6" t="s">
        <v>4254</v>
      </c>
      <c r="I1130" s="6">
        <v>1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</row>
    <row r="1131" spans="1:15" hidden="1">
      <c r="A1131" s="6" t="s">
        <v>2452</v>
      </c>
      <c r="B1131" s="6" t="s">
        <v>1929</v>
      </c>
      <c r="C1131" s="6" t="s">
        <v>35</v>
      </c>
      <c r="D1131" s="6" t="s">
        <v>3371</v>
      </c>
      <c r="E1131" s="6" t="s">
        <v>3419</v>
      </c>
      <c r="F1131" s="6" t="s">
        <v>3419</v>
      </c>
      <c r="G1131" s="6" t="s">
        <v>2444</v>
      </c>
      <c r="H1131" s="6" t="s">
        <v>4255</v>
      </c>
      <c r="I1131" s="6">
        <v>7</v>
      </c>
      <c r="J1131" s="6">
        <v>1</v>
      </c>
      <c r="K1131" s="6">
        <v>0.1429</v>
      </c>
      <c r="L1131" s="6">
        <v>1.45</v>
      </c>
      <c r="M1131" s="6">
        <v>1.45</v>
      </c>
      <c r="N1131" s="6">
        <v>1</v>
      </c>
      <c r="O1131" s="6">
        <v>1</v>
      </c>
    </row>
    <row r="1132" spans="1:15" hidden="1">
      <c r="A1132" s="6" t="s">
        <v>2452</v>
      </c>
      <c r="B1132" s="6" t="s">
        <v>1929</v>
      </c>
      <c r="C1132" s="6" t="s">
        <v>35</v>
      </c>
      <c r="D1132" s="6" t="s">
        <v>3371</v>
      </c>
      <c r="E1132" s="6" t="s">
        <v>3419</v>
      </c>
      <c r="F1132" s="6" t="s">
        <v>3419</v>
      </c>
      <c r="G1132" s="6" t="s">
        <v>2444</v>
      </c>
      <c r="H1132" s="6" t="s">
        <v>3428</v>
      </c>
      <c r="I1132" s="6">
        <v>1</v>
      </c>
      <c r="J1132" s="6">
        <v>1</v>
      </c>
      <c r="K1132" s="6">
        <v>1</v>
      </c>
      <c r="L1132" s="6">
        <v>7.0000000000000007E-2</v>
      </c>
      <c r="M1132" s="6">
        <v>7.0000000000000007E-2</v>
      </c>
      <c r="N1132" s="6">
        <v>1</v>
      </c>
      <c r="O1132" s="6">
        <v>1</v>
      </c>
    </row>
    <row r="1133" spans="1:15" hidden="1">
      <c r="A1133" s="6" t="s">
        <v>2452</v>
      </c>
      <c r="B1133" s="6" t="s">
        <v>1929</v>
      </c>
      <c r="C1133" s="6" t="s">
        <v>35</v>
      </c>
      <c r="D1133" s="6" t="s">
        <v>3371</v>
      </c>
      <c r="E1133" s="6" t="s">
        <v>3419</v>
      </c>
      <c r="F1133" s="6" t="s">
        <v>3419</v>
      </c>
      <c r="G1133" s="6" t="s">
        <v>2444</v>
      </c>
      <c r="H1133" s="6" t="s">
        <v>4256</v>
      </c>
      <c r="I1133" s="6">
        <v>2</v>
      </c>
      <c r="J1133" s="6">
        <v>0</v>
      </c>
      <c r="K1133" s="6">
        <v>0</v>
      </c>
      <c r="L1133" s="6">
        <v>0</v>
      </c>
      <c r="M1133" s="6">
        <v>0</v>
      </c>
      <c r="N1133" s="6">
        <v>1</v>
      </c>
      <c r="O1133" s="6">
        <v>1</v>
      </c>
    </row>
    <row r="1134" spans="1:15" hidden="1">
      <c r="A1134" s="6" t="s">
        <v>2452</v>
      </c>
      <c r="B1134" s="6" t="s">
        <v>1929</v>
      </c>
      <c r="C1134" s="6" t="s">
        <v>35</v>
      </c>
      <c r="D1134" s="6" t="s">
        <v>3371</v>
      </c>
      <c r="E1134" s="6" t="s">
        <v>3419</v>
      </c>
      <c r="F1134" s="6" t="s">
        <v>3419</v>
      </c>
      <c r="G1134" s="6" t="s">
        <v>2444</v>
      </c>
      <c r="H1134" s="6" t="s">
        <v>4257</v>
      </c>
      <c r="I1134" s="6">
        <v>1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</row>
    <row r="1135" spans="1:15" hidden="1">
      <c r="A1135" s="6" t="s">
        <v>2452</v>
      </c>
      <c r="B1135" s="6" t="s">
        <v>1929</v>
      </c>
      <c r="C1135" s="6" t="s">
        <v>35</v>
      </c>
      <c r="D1135" s="6" t="s">
        <v>3371</v>
      </c>
      <c r="E1135" s="6" t="s">
        <v>3419</v>
      </c>
      <c r="F1135" s="6" t="s">
        <v>3419</v>
      </c>
      <c r="G1135" s="6" t="s">
        <v>2444</v>
      </c>
      <c r="H1135" s="6" t="s">
        <v>4258</v>
      </c>
      <c r="I1135" s="6">
        <v>2</v>
      </c>
      <c r="J1135" s="6">
        <v>2</v>
      </c>
      <c r="K1135" s="6">
        <v>1</v>
      </c>
      <c r="L1135" s="6">
        <v>0.04</v>
      </c>
      <c r="M1135" s="6">
        <v>0.08</v>
      </c>
      <c r="N1135" s="6">
        <v>1</v>
      </c>
      <c r="O1135" s="6">
        <v>1</v>
      </c>
    </row>
    <row r="1136" spans="1:15" hidden="1">
      <c r="A1136" s="6" t="s">
        <v>2452</v>
      </c>
      <c r="B1136" s="6" t="s">
        <v>1929</v>
      </c>
      <c r="C1136" s="6" t="s">
        <v>35</v>
      </c>
      <c r="D1136" s="6" t="s">
        <v>3371</v>
      </c>
      <c r="E1136" s="6" t="s">
        <v>3419</v>
      </c>
      <c r="F1136" s="6" t="s">
        <v>3419</v>
      </c>
      <c r="G1136" s="6" t="s">
        <v>2444</v>
      </c>
      <c r="H1136" s="6" t="s">
        <v>4259</v>
      </c>
      <c r="I1136" s="6">
        <v>6</v>
      </c>
      <c r="J1136" s="6">
        <v>0</v>
      </c>
      <c r="K1136" s="6">
        <v>0</v>
      </c>
      <c r="L1136" s="6">
        <v>0</v>
      </c>
      <c r="M1136" s="6">
        <v>0</v>
      </c>
      <c r="N1136" s="6">
        <v>1</v>
      </c>
      <c r="O1136" s="6">
        <v>1</v>
      </c>
    </row>
    <row r="1137" spans="1:15" hidden="1">
      <c r="A1137" s="6" t="s">
        <v>2452</v>
      </c>
      <c r="B1137" s="6" t="s">
        <v>1929</v>
      </c>
      <c r="C1137" s="6" t="s">
        <v>35</v>
      </c>
      <c r="D1137" s="6" t="s">
        <v>3371</v>
      </c>
      <c r="E1137" s="6" t="s">
        <v>3419</v>
      </c>
      <c r="F1137" s="6" t="s">
        <v>3419</v>
      </c>
      <c r="G1137" s="6" t="s">
        <v>2444</v>
      </c>
      <c r="H1137" s="6" t="s">
        <v>4260</v>
      </c>
      <c r="I1137" s="6">
        <v>6</v>
      </c>
      <c r="J1137" s="6">
        <v>0</v>
      </c>
      <c r="K1137" s="6">
        <v>0</v>
      </c>
      <c r="L1137" s="6">
        <v>0</v>
      </c>
      <c r="M1137" s="6">
        <v>0</v>
      </c>
      <c r="N1137" s="6">
        <v>1</v>
      </c>
      <c r="O1137" s="6">
        <v>1</v>
      </c>
    </row>
    <row r="1138" spans="1:15" hidden="1">
      <c r="A1138" s="6" t="s">
        <v>2452</v>
      </c>
      <c r="B1138" s="6" t="s">
        <v>1929</v>
      </c>
      <c r="C1138" s="6" t="s">
        <v>35</v>
      </c>
      <c r="D1138" s="6" t="s">
        <v>3371</v>
      </c>
      <c r="E1138" s="6" t="s">
        <v>3419</v>
      </c>
      <c r="F1138" s="6" t="s">
        <v>3419</v>
      </c>
      <c r="G1138" s="6" t="s">
        <v>2444</v>
      </c>
      <c r="H1138" s="6" t="s">
        <v>3419</v>
      </c>
      <c r="I1138" s="6">
        <v>1</v>
      </c>
      <c r="J1138" s="6">
        <v>0</v>
      </c>
      <c r="K1138" s="6">
        <v>0</v>
      </c>
      <c r="L1138" s="6">
        <v>0</v>
      </c>
      <c r="M1138" s="6">
        <v>0</v>
      </c>
      <c r="N1138" s="6">
        <v>1</v>
      </c>
      <c r="O1138" s="6">
        <v>1</v>
      </c>
    </row>
    <row r="1139" spans="1:15" hidden="1">
      <c r="A1139" s="6" t="s">
        <v>2452</v>
      </c>
      <c r="B1139" s="6" t="s">
        <v>1929</v>
      </c>
      <c r="C1139" s="6" t="s">
        <v>35</v>
      </c>
      <c r="D1139" s="6" t="s">
        <v>3371</v>
      </c>
      <c r="E1139" s="6" t="s">
        <v>3432</v>
      </c>
      <c r="F1139" s="6" t="s">
        <v>4261</v>
      </c>
      <c r="G1139" s="6" t="s">
        <v>2444</v>
      </c>
      <c r="H1139" s="6" t="s">
        <v>4262</v>
      </c>
      <c r="I1139" s="6">
        <v>2</v>
      </c>
      <c r="J1139" s="6">
        <v>1</v>
      </c>
      <c r="K1139" s="6">
        <v>0.5</v>
      </c>
      <c r="L1139" s="6">
        <v>1.1399999999999999</v>
      </c>
      <c r="M1139" s="6">
        <v>1.1399999999999999</v>
      </c>
      <c r="N1139" s="6">
        <v>1</v>
      </c>
      <c r="O1139" s="6">
        <v>1</v>
      </c>
    </row>
    <row r="1140" spans="1:15" hidden="1">
      <c r="A1140" s="6" t="s">
        <v>2452</v>
      </c>
      <c r="B1140" s="6" t="s">
        <v>1929</v>
      </c>
      <c r="C1140" s="6" t="s">
        <v>35</v>
      </c>
      <c r="D1140" s="6" t="s">
        <v>3439</v>
      </c>
      <c r="E1140" s="6" t="s">
        <v>4263</v>
      </c>
      <c r="F1140" s="6" t="s">
        <v>4263</v>
      </c>
      <c r="G1140" s="6" t="s">
        <v>2444</v>
      </c>
      <c r="H1140" s="6" t="s">
        <v>4264</v>
      </c>
      <c r="I1140" s="6">
        <v>1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</row>
    <row r="1141" spans="1:15" hidden="1">
      <c r="A1141" s="6" t="s">
        <v>2452</v>
      </c>
      <c r="B1141" s="6" t="s">
        <v>1929</v>
      </c>
      <c r="C1141" s="6" t="s">
        <v>35</v>
      </c>
      <c r="D1141" s="6" t="s">
        <v>3439</v>
      </c>
      <c r="E1141" s="6" t="s">
        <v>4265</v>
      </c>
      <c r="F1141" s="6" t="s">
        <v>4265</v>
      </c>
      <c r="G1141" s="6" t="s">
        <v>2444</v>
      </c>
      <c r="H1141" s="6" t="s">
        <v>4266</v>
      </c>
      <c r="I1141" s="6">
        <v>2</v>
      </c>
      <c r="J1141" s="6">
        <v>0</v>
      </c>
      <c r="K1141" s="6">
        <v>0</v>
      </c>
      <c r="L1141" s="6">
        <v>0</v>
      </c>
      <c r="M1141" s="6">
        <v>0</v>
      </c>
      <c r="N1141" s="6">
        <v>1</v>
      </c>
      <c r="O1141" s="6">
        <v>1</v>
      </c>
    </row>
    <row r="1142" spans="1:15" hidden="1">
      <c r="A1142" s="6" t="s">
        <v>2452</v>
      </c>
      <c r="B1142" s="6" t="s">
        <v>1929</v>
      </c>
      <c r="C1142" s="6" t="s">
        <v>35</v>
      </c>
      <c r="D1142" s="6" t="s">
        <v>3439</v>
      </c>
      <c r="E1142" s="6" t="s">
        <v>4265</v>
      </c>
      <c r="F1142" s="6" t="s">
        <v>4265</v>
      </c>
      <c r="G1142" s="6" t="s">
        <v>2444</v>
      </c>
      <c r="H1142" s="6" t="s">
        <v>4267</v>
      </c>
      <c r="I1142" s="6">
        <v>2</v>
      </c>
      <c r="J1142" s="6">
        <v>0</v>
      </c>
      <c r="K1142" s="6">
        <v>0</v>
      </c>
      <c r="L1142" s="6">
        <v>0</v>
      </c>
      <c r="M1142" s="6">
        <v>0</v>
      </c>
      <c r="N1142" s="6">
        <v>1</v>
      </c>
      <c r="O1142" s="6">
        <v>1</v>
      </c>
    </row>
    <row r="1143" spans="1:15" hidden="1">
      <c r="A1143" s="6" t="s">
        <v>2452</v>
      </c>
      <c r="B1143" s="6" t="s">
        <v>1929</v>
      </c>
      <c r="C1143" s="6" t="s">
        <v>35</v>
      </c>
      <c r="D1143" s="6" t="s">
        <v>3439</v>
      </c>
      <c r="E1143" s="6" t="s">
        <v>3453</v>
      </c>
      <c r="F1143" s="6" t="s">
        <v>3453</v>
      </c>
      <c r="G1143" s="6" t="s">
        <v>2444</v>
      </c>
      <c r="H1143" s="6" t="s">
        <v>4268</v>
      </c>
      <c r="I1143" s="6">
        <v>1</v>
      </c>
      <c r="J1143" s="6">
        <v>0</v>
      </c>
      <c r="K1143" s="6">
        <v>0</v>
      </c>
      <c r="L1143" s="6">
        <v>0</v>
      </c>
      <c r="M1143" s="6">
        <v>0</v>
      </c>
      <c r="N1143" s="6">
        <v>1</v>
      </c>
      <c r="O1143" s="6">
        <v>1</v>
      </c>
    </row>
    <row r="1144" spans="1:15" hidden="1">
      <c r="A1144" s="6" t="s">
        <v>2452</v>
      </c>
      <c r="B1144" s="6" t="s">
        <v>1929</v>
      </c>
      <c r="C1144" s="6" t="s">
        <v>35</v>
      </c>
      <c r="D1144" s="6" t="s">
        <v>3439</v>
      </c>
      <c r="E1144" s="6" t="s">
        <v>3453</v>
      </c>
      <c r="F1144" s="6" t="s">
        <v>3453</v>
      </c>
      <c r="G1144" s="6" t="s">
        <v>2444</v>
      </c>
      <c r="H1144" s="6" t="s">
        <v>4269</v>
      </c>
      <c r="I1144" s="6">
        <v>2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</row>
    <row r="1145" spans="1:15" hidden="1">
      <c r="A1145" s="6" t="s">
        <v>2452</v>
      </c>
      <c r="B1145" s="6" t="s">
        <v>1694</v>
      </c>
      <c r="C1145" s="6" t="s">
        <v>58</v>
      </c>
      <c r="F1145" s="6" t="s">
        <v>4270</v>
      </c>
      <c r="G1145" s="6" t="s">
        <v>2444</v>
      </c>
      <c r="H1145" s="6" t="s">
        <v>4271</v>
      </c>
      <c r="I1145" s="6">
        <v>2</v>
      </c>
      <c r="J1145" s="6">
        <v>1</v>
      </c>
      <c r="K1145" s="6">
        <v>0.5</v>
      </c>
      <c r="L1145" s="6">
        <v>0.06</v>
      </c>
      <c r="M1145" s="6">
        <v>0.06</v>
      </c>
      <c r="N1145" s="6">
        <v>1</v>
      </c>
      <c r="O1145" s="6">
        <v>1</v>
      </c>
    </row>
    <row r="1146" spans="1:15" hidden="1">
      <c r="A1146" s="6" t="s">
        <v>2452</v>
      </c>
      <c r="B1146" s="6" t="s">
        <v>1694</v>
      </c>
      <c r="C1146" s="6" t="s">
        <v>58</v>
      </c>
      <c r="F1146" s="6" t="s">
        <v>4272</v>
      </c>
      <c r="G1146" s="6" t="s">
        <v>2444</v>
      </c>
      <c r="H1146" s="6" t="s">
        <v>4273</v>
      </c>
      <c r="I1146" s="6">
        <v>2</v>
      </c>
      <c r="J1146" s="6">
        <v>1</v>
      </c>
      <c r="K1146" s="6">
        <v>0.5</v>
      </c>
      <c r="L1146" s="6">
        <v>0.06</v>
      </c>
      <c r="M1146" s="6">
        <v>0.06</v>
      </c>
      <c r="N1146" s="6">
        <v>1</v>
      </c>
      <c r="O1146" s="6">
        <v>1</v>
      </c>
    </row>
    <row r="1147" spans="1:15" hidden="1">
      <c r="A1147" s="6" t="s">
        <v>2452</v>
      </c>
      <c r="B1147" s="6" t="s">
        <v>1694</v>
      </c>
      <c r="C1147" s="6" t="s">
        <v>58</v>
      </c>
      <c r="D1147" s="6" t="s">
        <v>4274</v>
      </c>
      <c r="E1147" s="6" t="s">
        <v>4275</v>
      </c>
      <c r="F1147" s="6" t="s">
        <v>4276</v>
      </c>
      <c r="G1147" s="6" t="s">
        <v>2444</v>
      </c>
      <c r="H1147" s="6" t="s">
        <v>4276</v>
      </c>
      <c r="I1147" s="6">
        <v>1</v>
      </c>
      <c r="J1147" s="6">
        <v>0</v>
      </c>
      <c r="K1147" s="6">
        <v>0</v>
      </c>
      <c r="L1147" s="6">
        <v>0</v>
      </c>
      <c r="M1147" s="6">
        <v>0</v>
      </c>
      <c r="N1147" s="6">
        <v>1</v>
      </c>
      <c r="O1147" s="6">
        <v>1</v>
      </c>
    </row>
    <row r="1148" spans="1:15" hidden="1">
      <c r="A1148" s="6" t="s">
        <v>2452</v>
      </c>
      <c r="B1148" s="6" t="s">
        <v>1694</v>
      </c>
      <c r="C1148" s="6" t="s">
        <v>58</v>
      </c>
      <c r="D1148" s="6" t="s">
        <v>4274</v>
      </c>
      <c r="E1148" s="6" t="s">
        <v>4277</v>
      </c>
      <c r="F1148" s="6" t="s">
        <v>4278</v>
      </c>
      <c r="G1148" s="6" t="s">
        <v>2444</v>
      </c>
      <c r="H1148" s="6" t="s">
        <v>4278</v>
      </c>
      <c r="I1148" s="6">
        <v>2</v>
      </c>
      <c r="J1148" s="6">
        <v>0</v>
      </c>
      <c r="K1148" s="6">
        <v>0</v>
      </c>
      <c r="L1148" s="6">
        <v>0</v>
      </c>
      <c r="M1148" s="6">
        <v>0</v>
      </c>
      <c r="N1148" s="6">
        <v>1</v>
      </c>
      <c r="O1148" s="6">
        <v>1</v>
      </c>
    </row>
    <row r="1149" spans="1:15" hidden="1">
      <c r="A1149" s="6" t="s">
        <v>2452</v>
      </c>
      <c r="B1149" s="6" t="s">
        <v>1694</v>
      </c>
      <c r="C1149" s="6" t="s">
        <v>58</v>
      </c>
      <c r="D1149" s="6" t="s">
        <v>4279</v>
      </c>
      <c r="E1149" s="6" t="s">
        <v>4280</v>
      </c>
      <c r="F1149" s="6" t="s">
        <v>4281</v>
      </c>
      <c r="G1149" s="6" t="s">
        <v>2444</v>
      </c>
      <c r="H1149" s="6" t="s">
        <v>4281</v>
      </c>
      <c r="I1149" s="6">
        <v>4</v>
      </c>
      <c r="J1149" s="6">
        <v>0</v>
      </c>
      <c r="K1149" s="6">
        <v>0</v>
      </c>
      <c r="L1149" s="6">
        <v>0</v>
      </c>
      <c r="M1149" s="6">
        <v>0</v>
      </c>
      <c r="N1149" s="6">
        <v>1</v>
      </c>
      <c r="O1149" s="6">
        <v>1</v>
      </c>
    </row>
    <row r="1150" spans="1:15" hidden="1">
      <c r="A1150" s="6" t="s">
        <v>2452</v>
      </c>
      <c r="B1150" s="6" t="s">
        <v>1694</v>
      </c>
      <c r="C1150" s="6" t="s">
        <v>58</v>
      </c>
      <c r="D1150" s="6" t="s">
        <v>4282</v>
      </c>
      <c r="G1150" s="6" t="s">
        <v>2444</v>
      </c>
      <c r="H1150" s="6" t="s">
        <v>4282</v>
      </c>
      <c r="I1150" s="6">
        <v>2</v>
      </c>
      <c r="J1150" s="6">
        <v>0</v>
      </c>
      <c r="K1150" s="6">
        <v>0</v>
      </c>
      <c r="L1150" s="6">
        <v>0</v>
      </c>
      <c r="M1150" s="6">
        <v>0</v>
      </c>
      <c r="N1150" s="6">
        <v>1</v>
      </c>
      <c r="O1150" s="6">
        <v>1</v>
      </c>
    </row>
    <row r="1151" spans="1:15" hidden="1">
      <c r="A1151" s="6" t="s">
        <v>2452</v>
      </c>
      <c r="B1151" s="6" t="s">
        <v>1976</v>
      </c>
      <c r="C1151" s="6" t="s">
        <v>4283</v>
      </c>
      <c r="D1151" s="6" t="s">
        <v>4284</v>
      </c>
      <c r="E1151" s="6" t="s">
        <v>4284</v>
      </c>
      <c r="F1151" s="6" t="s">
        <v>4284</v>
      </c>
      <c r="G1151" s="6" t="s">
        <v>2444</v>
      </c>
      <c r="H1151" s="6" t="s">
        <v>4285</v>
      </c>
      <c r="I1151" s="6">
        <v>1</v>
      </c>
      <c r="J1151" s="6">
        <v>0</v>
      </c>
      <c r="K1151" s="6">
        <v>0</v>
      </c>
      <c r="L1151" s="6">
        <v>0</v>
      </c>
      <c r="M1151" s="6">
        <v>0</v>
      </c>
      <c r="N1151" s="6">
        <v>1</v>
      </c>
      <c r="O1151" s="6">
        <v>1</v>
      </c>
    </row>
    <row r="1152" spans="1:15" hidden="1">
      <c r="A1152" s="6" t="s">
        <v>2452</v>
      </c>
      <c r="B1152" s="6" t="s">
        <v>1976</v>
      </c>
      <c r="C1152" s="6" t="s">
        <v>4283</v>
      </c>
      <c r="D1152" s="6" t="s">
        <v>4284</v>
      </c>
      <c r="E1152" s="6" t="s">
        <v>4284</v>
      </c>
      <c r="F1152" s="6" t="s">
        <v>4284</v>
      </c>
      <c r="G1152" s="6" t="s">
        <v>2444</v>
      </c>
      <c r="H1152" s="6" t="s">
        <v>4284</v>
      </c>
      <c r="I1152" s="6">
        <v>2</v>
      </c>
      <c r="J1152" s="6">
        <v>0</v>
      </c>
      <c r="K1152" s="6">
        <v>0</v>
      </c>
      <c r="L1152" s="6">
        <v>0</v>
      </c>
      <c r="M1152" s="6">
        <v>0</v>
      </c>
      <c r="N1152" s="6">
        <v>1</v>
      </c>
      <c r="O1152" s="6">
        <v>0</v>
      </c>
    </row>
    <row r="1153" spans="1:15" hidden="1">
      <c r="A1153" s="6" t="s">
        <v>2452</v>
      </c>
      <c r="B1153" s="6" t="s">
        <v>1976</v>
      </c>
      <c r="C1153" s="6" t="s">
        <v>4286</v>
      </c>
      <c r="D1153" s="6" t="s">
        <v>4287</v>
      </c>
      <c r="G1153" s="6" t="s">
        <v>2444</v>
      </c>
      <c r="H1153" s="6" t="s">
        <v>4287</v>
      </c>
      <c r="I1153" s="6">
        <v>2</v>
      </c>
      <c r="J1153" s="6">
        <v>0</v>
      </c>
      <c r="K1153" s="6">
        <v>0</v>
      </c>
      <c r="L1153" s="6">
        <v>0</v>
      </c>
      <c r="M1153" s="6">
        <v>0</v>
      </c>
      <c r="N1153" s="6">
        <v>1</v>
      </c>
      <c r="O1153" s="6">
        <v>1</v>
      </c>
    </row>
    <row r="1154" spans="1:15" hidden="1">
      <c r="A1154" s="6" t="s">
        <v>2452</v>
      </c>
      <c r="B1154" s="6" t="s">
        <v>1976</v>
      </c>
      <c r="C1154" s="6" t="s">
        <v>4286</v>
      </c>
      <c r="D1154" s="6" t="s">
        <v>4288</v>
      </c>
      <c r="E1154" s="6" t="s">
        <v>4289</v>
      </c>
      <c r="F1154" s="6" t="s">
        <v>4289</v>
      </c>
      <c r="G1154" s="6" t="s">
        <v>2444</v>
      </c>
      <c r="H1154" s="6" t="s">
        <v>4290</v>
      </c>
      <c r="I1154" s="6">
        <v>1</v>
      </c>
      <c r="J1154" s="6">
        <v>0</v>
      </c>
      <c r="K1154" s="6">
        <v>0</v>
      </c>
      <c r="L1154" s="6">
        <v>0</v>
      </c>
      <c r="M1154" s="6">
        <v>0</v>
      </c>
      <c r="N1154" s="6">
        <v>1</v>
      </c>
      <c r="O1154" s="6">
        <v>1</v>
      </c>
    </row>
    <row r="1155" spans="1:15" hidden="1">
      <c r="A1155" s="6" t="s">
        <v>2452</v>
      </c>
      <c r="B1155" s="6" t="s">
        <v>1976</v>
      </c>
      <c r="C1155" s="6" t="s">
        <v>4286</v>
      </c>
      <c r="D1155" s="6" t="s">
        <v>4291</v>
      </c>
      <c r="E1155" s="6" t="s">
        <v>4292</v>
      </c>
      <c r="F1155" s="6" t="s">
        <v>4293</v>
      </c>
      <c r="G1155" s="6" t="s">
        <v>2444</v>
      </c>
      <c r="H1155" s="6" t="s">
        <v>4293</v>
      </c>
      <c r="I1155" s="6">
        <v>2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</row>
    <row r="1156" spans="1:15" hidden="1">
      <c r="A1156" s="6" t="s">
        <v>2452</v>
      </c>
      <c r="B1156" s="6" t="s">
        <v>1976</v>
      </c>
      <c r="C1156" s="6" t="s">
        <v>4294</v>
      </c>
      <c r="D1156" s="6" t="s">
        <v>4295</v>
      </c>
      <c r="E1156" s="6" t="s">
        <v>4295</v>
      </c>
      <c r="G1156" s="6" t="s">
        <v>2444</v>
      </c>
      <c r="H1156" s="6" t="s">
        <v>4295</v>
      </c>
      <c r="I1156" s="6">
        <v>2</v>
      </c>
      <c r="J1156" s="6">
        <v>0</v>
      </c>
      <c r="K1156" s="6">
        <v>0</v>
      </c>
      <c r="L1156" s="6">
        <v>0</v>
      </c>
      <c r="M1156" s="6">
        <v>0</v>
      </c>
      <c r="N1156" s="6">
        <v>1</v>
      </c>
      <c r="O1156" s="6">
        <v>1</v>
      </c>
    </row>
    <row r="1157" spans="1:15" hidden="1">
      <c r="A1157" s="6" t="s">
        <v>2452</v>
      </c>
      <c r="B1157" s="6" t="s">
        <v>1976</v>
      </c>
      <c r="C1157" s="6" t="s">
        <v>4294</v>
      </c>
      <c r="D1157" s="6" t="s">
        <v>4296</v>
      </c>
      <c r="E1157" s="6" t="s">
        <v>4296</v>
      </c>
      <c r="F1157" s="6" t="s">
        <v>4297</v>
      </c>
      <c r="G1157" s="6" t="s">
        <v>2444</v>
      </c>
      <c r="H1157" s="6" t="s">
        <v>4298</v>
      </c>
      <c r="I1157" s="6">
        <v>2</v>
      </c>
      <c r="J1157" s="6">
        <v>0</v>
      </c>
      <c r="K1157" s="6">
        <v>0</v>
      </c>
      <c r="L1157" s="6">
        <v>0</v>
      </c>
      <c r="M1157" s="6">
        <v>0</v>
      </c>
      <c r="N1157" s="6">
        <v>1</v>
      </c>
      <c r="O1157" s="6">
        <v>1</v>
      </c>
    </row>
    <row r="1158" spans="1:15" hidden="1">
      <c r="A1158" s="6" t="s">
        <v>2452</v>
      </c>
      <c r="B1158" s="6" t="s">
        <v>1976</v>
      </c>
      <c r="C1158" s="6" t="s">
        <v>4294</v>
      </c>
      <c r="D1158" s="6" t="s">
        <v>4299</v>
      </c>
      <c r="E1158" s="6" t="s">
        <v>4299</v>
      </c>
      <c r="F1158" s="6" t="s">
        <v>4300</v>
      </c>
      <c r="G1158" s="6" t="s">
        <v>2444</v>
      </c>
      <c r="H1158" s="6" t="s">
        <v>4301</v>
      </c>
      <c r="I1158" s="6">
        <v>2</v>
      </c>
      <c r="J1158" s="6">
        <v>0</v>
      </c>
      <c r="K1158" s="6">
        <v>0</v>
      </c>
      <c r="L1158" s="6">
        <v>0</v>
      </c>
      <c r="M1158" s="6">
        <v>0</v>
      </c>
      <c r="N1158" s="6">
        <v>1</v>
      </c>
      <c r="O1158" s="6">
        <v>1</v>
      </c>
    </row>
    <row r="1159" spans="1:15" hidden="1">
      <c r="A1159" s="6" t="s">
        <v>2452</v>
      </c>
      <c r="B1159" s="6" t="s">
        <v>1976</v>
      </c>
      <c r="C1159" s="6" t="s">
        <v>4294</v>
      </c>
      <c r="D1159" s="6" t="s">
        <v>4302</v>
      </c>
      <c r="E1159" s="6" t="s">
        <v>4303</v>
      </c>
      <c r="G1159" s="6" t="s">
        <v>2444</v>
      </c>
      <c r="H1159" s="6" t="s">
        <v>4303</v>
      </c>
      <c r="I1159" s="6">
        <v>2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</row>
    <row r="1160" spans="1:15" hidden="1">
      <c r="A1160" s="6" t="s">
        <v>2452</v>
      </c>
      <c r="B1160" s="6" t="s">
        <v>1976</v>
      </c>
      <c r="C1160" s="6" t="s">
        <v>4294</v>
      </c>
      <c r="D1160" s="6" t="s">
        <v>4304</v>
      </c>
      <c r="E1160" s="6" t="s">
        <v>4305</v>
      </c>
      <c r="F1160" s="6" t="s">
        <v>4306</v>
      </c>
      <c r="G1160" s="6" t="s">
        <v>2444</v>
      </c>
      <c r="H1160" s="6" t="s">
        <v>4307</v>
      </c>
      <c r="I1160" s="6">
        <v>2</v>
      </c>
      <c r="J1160" s="6">
        <v>1</v>
      </c>
      <c r="K1160" s="6">
        <v>0.5</v>
      </c>
      <c r="L1160" s="6">
        <v>0.06</v>
      </c>
      <c r="M1160" s="6">
        <v>0.06</v>
      </c>
      <c r="N1160" s="6">
        <v>1</v>
      </c>
      <c r="O1160" s="6">
        <v>0.5</v>
      </c>
    </row>
    <row r="1161" spans="1:15" hidden="1">
      <c r="A1161" s="6" t="s">
        <v>2452</v>
      </c>
      <c r="B1161" s="6" t="s">
        <v>1976</v>
      </c>
      <c r="C1161" s="6" t="s">
        <v>4294</v>
      </c>
      <c r="D1161" s="6" t="s">
        <v>4304</v>
      </c>
      <c r="E1161" s="6" t="s">
        <v>4304</v>
      </c>
      <c r="F1161" s="6" t="s">
        <v>4304</v>
      </c>
      <c r="G1161" s="6" t="s">
        <v>2444</v>
      </c>
      <c r="H1161" s="6" t="s">
        <v>4308</v>
      </c>
      <c r="I1161" s="6">
        <v>11</v>
      </c>
      <c r="J1161" s="6">
        <v>0</v>
      </c>
      <c r="K1161" s="6">
        <v>0</v>
      </c>
      <c r="L1161" s="6">
        <v>0</v>
      </c>
      <c r="M1161" s="6">
        <v>0</v>
      </c>
      <c r="N1161" s="6">
        <v>0.83329999999999993</v>
      </c>
      <c r="O1161" s="6">
        <v>0.83329999999999993</v>
      </c>
    </row>
    <row r="1162" spans="1:15" hidden="1">
      <c r="A1162" s="6" t="s">
        <v>2452</v>
      </c>
      <c r="B1162" s="6" t="s">
        <v>1976</v>
      </c>
      <c r="C1162" s="6" t="s">
        <v>834</v>
      </c>
      <c r="D1162" s="6" t="s">
        <v>4309</v>
      </c>
      <c r="G1162" s="6" t="s">
        <v>2444</v>
      </c>
      <c r="H1162" s="6" t="s">
        <v>4309</v>
      </c>
      <c r="I1162" s="6">
        <v>4</v>
      </c>
      <c r="J1162" s="6">
        <v>1</v>
      </c>
      <c r="K1162" s="6">
        <v>0.25</v>
      </c>
      <c r="L1162" s="6">
        <v>0.4</v>
      </c>
      <c r="M1162" s="6">
        <v>0.4</v>
      </c>
      <c r="N1162" s="6">
        <v>1</v>
      </c>
      <c r="O1162" s="6">
        <v>1</v>
      </c>
    </row>
    <row r="1163" spans="1:15" hidden="1">
      <c r="A1163" s="6" t="s">
        <v>2452</v>
      </c>
      <c r="B1163" s="6" t="s">
        <v>1976</v>
      </c>
      <c r="C1163" s="6" t="s">
        <v>806</v>
      </c>
      <c r="D1163" s="6" t="s">
        <v>4310</v>
      </c>
      <c r="F1163" s="6" t="s">
        <v>4310</v>
      </c>
      <c r="G1163" s="6" t="s">
        <v>2444</v>
      </c>
      <c r="H1163" s="6" t="s">
        <v>4311</v>
      </c>
      <c r="I1163" s="6">
        <v>2</v>
      </c>
      <c r="J1163" s="6">
        <v>0</v>
      </c>
      <c r="K1163" s="6">
        <v>0</v>
      </c>
      <c r="L1163" s="6">
        <v>0</v>
      </c>
      <c r="M1163" s="6">
        <v>0</v>
      </c>
      <c r="N1163" s="6">
        <v>1</v>
      </c>
      <c r="O1163" s="6">
        <v>1</v>
      </c>
    </row>
    <row r="1164" spans="1:15" hidden="1">
      <c r="A1164" s="6" t="s">
        <v>2452</v>
      </c>
      <c r="B1164" s="6" t="s">
        <v>1976</v>
      </c>
      <c r="C1164" s="6" t="s">
        <v>806</v>
      </c>
      <c r="D1164" s="6" t="s">
        <v>4310</v>
      </c>
      <c r="F1164" s="6" t="s">
        <v>4310</v>
      </c>
      <c r="G1164" s="6" t="s">
        <v>2444</v>
      </c>
      <c r="H1164" s="6" t="s">
        <v>4312</v>
      </c>
      <c r="I1164" s="6">
        <v>1</v>
      </c>
      <c r="J1164" s="6">
        <v>0</v>
      </c>
      <c r="K1164" s="6">
        <v>0</v>
      </c>
      <c r="L1164" s="6">
        <v>0</v>
      </c>
      <c r="M1164" s="6">
        <v>0</v>
      </c>
      <c r="N1164" s="6">
        <v>1</v>
      </c>
      <c r="O1164" s="6">
        <v>1</v>
      </c>
    </row>
    <row r="1165" spans="1:15" hidden="1">
      <c r="A1165" s="6" t="s">
        <v>2452</v>
      </c>
      <c r="B1165" s="6" t="s">
        <v>1976</v>
      </c>
      <c r="C1165" s="6" t="s">
        <v>806</v>
      </c>
      <c r="D1165" s="6" t="s">
        <v>4310</v>
      </c>
      <c r="F1165" s="6" t="s">
        <v>4310</v>
      </c>
      <c r="G1165" s="6" t="s">
        <v>2444</v>
      </c>
      <c r="H1165" s="6" t="s">
        <v>4310</v>
      </c>
      <c r="I1165" s="6">
        <v>2</v>
      </c>
      <c r="J1165" s="6">
        <v>0</v>
      </c>
      <c r="K1165" s="6">
        <v>0</v>
      </c>
      <c r="L1165" s="6">
        <v>0</v>
      </c>
      <c r="M1165" s="6">
        <v>0</v>
      </c>
      <c r="N1165" s="6">
        <v>1</v>
      </c>
      <c r="O1165" s="6">
        <v>1</v>
      </c>
    </row>
    <row r="1166" spans="1:15" hidden="1">
      <c r="A1166" s="6" t="s">
        <v>2452</v>
      </c>
      <c r="B1166" s="6" t="s">
        <v>1976</v>
      </c>
      <c r="C1166" s="6" t="s">
        <v>806</v>
      </c>
      <c r="D1166" s="6" t="s">
        <v>4313</v>
      </c>
      <c r="F1166" s="6" t="s">
        <v>4314</v>
      </c>
      <c r="G1166" s="6" t="s">
        <v>2444</v>
      </c>
      <c r="H1166" s="6" t="s">
        <v>4314</v>
      </c>
      <c r="I1166" s="6">
        <v>1</v>
      </c>
      <c r="J1166" s="6">
        <v>0</v>
      </c>
      <c r="K1166" s="6">
        <v>0</v>
      </c>
      <c r="L1166" s="6">
        <v>0</v>
      </c>
      <c r="M1166" s="6">
        <v>0</v>
      </c>
      <c r="N1166" s="6">
        <v>1</v>
      </c>
      <c r="O1166" s="6">
        <v>0</v>
      </c>
    </row>
    <row r="1167" spans="1:15" hidden="1">
      <c r="A1167" s="6" t="s">
        <v>2452</v>
      </c>
      <c r="B1167" s="6" t="s">
        <v>1976</v>
      </c>
      <c r="C1167" s="6" t="s">
        <v>844</v>
      </c>
      <c r="D1167" s="6" t="s">
        <v>4315</v>
      </c>
      <c r="E1167" s="6" t="s">
        <v>4316</v>
      </c>
      <c r="F1167" s="6" t="s">
        <v>4317</v>
      </c>
      <c r="G1167" s="6" t="s">
        <v>2444</v>
      </c>
      <c r="H1167" s="6" t="s">
        <v>4318</v>
      </c>
      <c r="I1167" s="6">
        <v>1</v>
      </c>
      <c r="J1167" s="6">
        <v>0</v>
      </c>
      <c r="K1167" s="6">
        <v>0</v>
      </c>
      <c r="L1167" s="6">
        <v>0</v>
      </c>
      <c r="M1167" s="6">
        <v>0</v>
      </c>
      <c r="N1167" s="6">
        <v>1</v>
      </c>
      <c r="O1167" s="6">
        <v>0</v>
      </c>
    </row>
    <row r="1168" spans="1:15" hidden="1">
      <c r="A1168" s="6" t="s">
        <v>2452</v>
      </c>
      <c r="B1168" s="6" t="s">
        <v>1976</v>
      </c>
      <c r="C1168" s="6" t="s">
        <v>844</v>
      </c>
      <c r="D1168" s="6" t="s">
        <v>4315</v>
      </c>
      <c r="E1168" s="6" t="s">
        <v>4319</v>
      </c>
      <c r="F1168" s="6" t="s">
        <v>4320</v>
      </c>
      <c r="G1168" s="6" t="s">
        <v>2444</v>
      </c>
      <c r="H1168" s="6" t="s">
        <v>4321</v>
      </c>
      <c r="I1168" s="6">
        <v>4</v>
      </c>
      <c r="J1168" s="6">
        <v>0</v>
      </c>
      <c r="K1168" s="6">
        <v>0</v>
      </c>
      <c r="L1168" s="6">
        <v>0</v>
      </c>
      <c r="M1168" s="6">
        <v>0</v>
      </c>
      <c r="N1168" s="6">
        <v>1</v>
      </c>
      <c r="O1168" s="6">
        <v>1</v>
      </c>
    </row>
    <row r="1169" spans="1:15" hidden="1">
      <c r="A1169" s="6" t="s">
        <v>2452</v>
      </c>
      <c r="B1169" s="6" t="s">
        <v>1976</v>
      </c>
      <c r="C1169" s="6" t="s">
        <v>844</v>
      </c>
      <c r="D1169" s="6" t="s">
        <v>4322</v>
      </c>
      <c r="E1169" s="6" t="s">
        <v>4323</v>
      </c>
      <c r="F1169" s="6" t="s">
        <v>4322</v>
      </c>
      <c r="G1169" s="6" t="s">
        <v>2444</v>
      </c>
      <c r="H1169" s="6" t="s">
        <v>4324</v>
      </c>
      <c r="I1169" s="6">
        <v>1</v>
      </c>
      <c r="J1169" s="6">
        <v>0</v>
      </c>
      <c r="K1169" s="6">
        <v>0</v>
      </c>
      <c r="L1169" s="6">
        <v>0</v>
      </c>
      <c r="M1169" s="6">
        <v>0</v>
      </c>
      <c r="N1169" s="6">
        <v>1</v>
      </c>
      <c r="O1169" s="6">
        <v>1</v>
      </c>
    </row>
    <row r="1170" spans="1:15" hidden="1">
      <c r="A1170" s="6" t="s">
        <v>2452</v>
      </c>
      <c r="B1170" s="6" t="s">
        <v>1976</v>
      </c>
      <c r="C1170" s="6" t="s">
        <v>844</v>
      </c>
      <c r="D1170" s="6" t="s">
        <v>4322</v>
      </c>
      <c r="E1170" s="6" t="s">
        <v>4323</v>
      </c>
      <c r="F1170" s="6" t="s">
        <v>4322</v>
      </c>
      <c r="G1170" s="6" t="s">
        <v>2444</v>
      </c>
      <c r="H1170" s="6" t="s">
        <v>4325</v>
      </c>
      <c r="I1170" s="6">
        <v>1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</row>
    <row r="1171" spans="1:15" hidden="1">
      <c r="A1171" s="6" t="s">
        <v>2452</v>
      </c>
      <c r="B1171" s="6" t="s">
        <v>1976</v>
      </c>
      <c r="C1171" s="6" t="s">
        <v>844</v>
      </c>
      <c r="D1171" s="6" t="s">
        <v>4322</v>
      </c>
      <c r="E1171" s="6" t="s">
        <v>4323</v>
      </c>
      <c r="F1171" s="6" t="s">
        <v>4322</v>
      </c>
      <c r="G1171" s="6" t="s">
        <v>2444</v>
      </c>
      <c r="H1171" s="6" t="s">
        <v>4326</v>
      </c>
      <c r="I1171" s="6">
        <v>1</v>
      </c>
      <c r="J1171" s="6">
        <v>0</v>
      </c>
      <c r="K1171" s="6">
        <v>0</v>
      </c>
      <c r="L1171" s="6">
        <v>0</v>
      </c>
      <c r="M1171" s="6">
        <v>0</v>
      </c>
      <c r="N1171" s="6">
        <v>1</v>
      </c>
      <c r="O1171" s="6">
        <v>1</v>
      </c>
    </row>
    <row r="1172" spans="1:15" hidden="1">
      <c r="A1172" s="6" t="s">
        <v>2452</v>
      </c>
      <c r="B1172" s="6" t="s">
        <v>1976</v>
      </c>
      <c r="C1172" s="6" t="s">
        <v>844</v>
      </c>
      <c r="D1172" s="6" t="s">
        <v>4322</v>
      </c>
      <c r="E1172" s="6" t="s">
        <v>4323</v>
      </c>
      <c r="F1172" s="6" t="s">
        <v>4322</v>
      </c>
      <c r="G1172" s="6" t="s">
        <v>2444</v>
      </c>
      <c r="H1172" s="6" t="s">
        <v>4327</v>
      </c>
      <c r="I1172" s="6">
        <v>1</v>
      </c>
      <c r="J1172" s="6">
        <v>0</v>
      </c>
      <c r="K1172" s="6">
        <v>0</v>
      </c>
      <c r="L1172" s="6">
        <v>0</v>
      </c>
      <c r="M1172" s="6">
        <v>0</v>
      </c>
      <c r="N1172" s="6">
        <v>1</v>
      </c>
      <c r="O1172" s="6">
        <v>1</v>
      </c>
    </row>
    <row r="1173" spans="1:15" hidden="1">
      <c r="A1173" s="6" t="s">
        <v>2452</v>
      </c>
      <c r="B1173" s="6" t="s">
        <v>1976</v>
      </c>
      <c r="C1173" s="6" t="s">
        <v>844</v>
      </c>
      <c r="D1173" s="6" t="s">
        <v>4328</v>
      </c>
      <c r="E1173" s="6" t="s">
        <v>4329</v>
      </c>
      <c r="F1173" s="6" t="s">
        <v>4328</v>
      </c>
      <c r="G1173" s="6" t="s">
        <v>2444</v>
      </c>
      <c r="H1173" s="6" t="s">
        <v>3272</v>
      </c>
      <c r="I1173" s="6">
        <v>1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</row>
    <row r="1174" spans="1:15" hidden="1">
      <c r="A1174" s="6" t="s">
        <v>2452</v>
      </c>
      <c r="B1174" s="6" t="s">
        <v>1976</v>
      </c>
      <c r="C1174" s="6" t="s">
        <v>844</v>
      </c>
      <c r="D1174" s="6" t="s">
        <v>4330</v>
      </c>
      <c r="E1174" s="6" t="s">
        <v>4331</v>
      </c>
      <c r="F1174" s="6" t="s">
        <v>4332</v>
      </c>
      <c r="G1174" s="6" t="s">
        <v>2444</v>
      </c>
      <c r="H1174" s="6" t="s">
        <v>4333</v>
      </c>
      <c r="I1174" s="6">
        <v>2</v>
      </c>
      <c r="J1174" s="6">
        <v>0</v>
      </c>
      <c r="K1174" s="6">
        <v>0</v>
      </c>
      <c r="L1174" s="6">
        <v>0</v>
      </c>
      <c r="M1174" s="6">
        <v>0</v>
      </c>
      <c r="N1174" s="6">
        <v>1</v>
      </c>
      <c r="O1174" s="6">
        <v>1</v>
      </c>
    </row>
    <row r="1175" spans="1:15" hidden="1">
      <c r="A1175" s="6" t="s">
        <v>2452</v>
      </c>
      <c r="B1175" s="6" t="s">
        <v>1976</v>
      </c>
      <c r="C1175" s="6" t="s">
        <v>844</v>
      </c>
      <c r="D1175" s="6" t="s">
        <v>4330</v>
      </c>
      <c r="E1175" s="6" t="s">
        <v>4331</v>
      </c>
      <c r="F1175" s="6" t="s">
        <v>4332</v>
      </c>
      <c r="G1175" s="6" t="s">
        <v>2444</v>
      </c>
      <c r="H1175" s="6" t="s">
        <v>4332</v>
      </c>
      <c r="I1175" s="6">
        <v>1</v>
      </c>
      <c r="J1175" s="6">
        <v>0</v>
      </c>
      <c r="K1175" s="6">
        <v>0</v>
      </c>
      <c r="L1175" s="6">
        <v>0</v>
      </c>
      <c r="M1175" s="6">
        <v>0</v>
      </c>
      <c r="N1175" s="6">
        <v>1</v>
      </c>
      <c r="O1175" s="6">
        <v>0</v>
      </c>
    </row>
    <row r="1176" spans="1:15" hidden="1">
      <c r="A1176" s="6" t="s">
        <v>2452</v>
      </c>
      <c r="B1176" s="6" t="s">
        <v>1976</v>
      </c>
      <c r="C1176" s="6" t="s">
        <v>844</v>
      </c>
      <c r="D1176" s="6" t="s">
        <v>4330</v>
      </c>
      <c r="E1176" s="6" t="s">
        <v>4331</v>
      </c>
      <c r="F1176" s="6" t="s">
        <v>4332</v>
      </c>
      <c r="G1176" s="6" t="s">
        <v>2444</v>
      </c>
      <c r="H1176" s="6" t="s">
        <v>4334</v>
      </c>
      <c r="I1176" s="6">
        <v>2</v>
      </c>
      <c r="J1176" s="6">
        <v>0</v>
      </c>
      <c r="K1176" s="6">
        <v>0</v>
      </c>
      <c r="L1176" s="6">
        <v>0</v>
      </c>
      <c r="M1176" s="6">
        <v>0</v>
      </c>
      <c r="N1176" s="6">
        <v>0.5</v>
      </c>
      <c r="O1176" s="6">
        <v>0.5</v>
      </c>
    </row>
    <row r="1177" spans="1:15" hidden="1">
      <c r="A1177" s="6" t="s">
        <v>2452</v>
      </c>
      <c r="B1177" s="6" t="s">
        <v>1976</v>
      </c>
      <c r="C1177" s="6" t="s">
        <v>844</v>
      </c>
      <c r="D1177" s="6" t="s">
        <v>4330</v>
      </c>
      <c r="E1177" s="6" t="s">
        <v>4335</v>
      </c>
      <c r="F1177" s="6" t="s">
        <v>4336</v>
      </c>
      <c r="G1177" s="6" t="s">
        <v>2444</v>
      </c>
      <c r="H1177" s="6" t="s">
        <v>4337</v>
      </c>
      <c r="I1177" s="6">
        <v>1</v>
      </c>
      <c r="J1177" s="6">
        <v>0</v>
      </c>
      <c r="K1177" s="6">
        <v>0</v>
      </c>
      <c r="L1177" s="6">
        <v>0</v>
      </c>
      <c r="M1177" s="6">
        <v>0</v>
      </c>
      <c r="N1177" s="6">
        <v>1</v>
      </c>
      <c r="O1177" s="6">
        <v>1</v>
      </c>
    </row>
    <row r="1178" spans="1:15" hidden="1">
      <c r="A1178" s="6" t="s">
        <v>2452</v>
      </c>
      <c r="B1178" s="6" t="s">
        <v>1976</v>
      </c>
      <c r="C1178" s="6" t="s">
        <v>844</v>
      </c>
      <c r="D1178" s="6" t="s">
        <v>4330</v>
      </c>
      <c r="E1178" s="6" t="s">
        <v>4338</v>
      </c>
      <c r="F1178" s="6" t="s">
        <v>4338</v>
      </c>
      <c r="G1178" s="6" t="s">
        <v>2444</v>
      </c>
      <c r="H1178" s="6" t="s">
        <v>4339</v>
      </c>
      <c r="I1178" s="6">
        <v>2</v>
      </c>
      <c r="J1178" s="6">
        <v>0</v>
      </c>
      <c r="K1178" s="6">
        <v>0</v>
      </c>
      <c r="L1178" s="6">
        <v>0</v>
      </c>
      <c r="M1178" s="6">
        <v>0</v>
      </c>
      <c r="N1178" s="6">
        <v>1</v>
      </c>
      <c r="O1178" s="6">
        <v>1</v>
      </c>
    </row>
    <row r="1179" spans="1:15" hidden="1">
      <c r="A1179" s="6" t="s">
        <v>2452</v>
      </c>
      <c r="B1179" s="6" t="s">
        <v>1976</v>
      </c>
      <c r="C1179" s="6" t="s">
        <v>844</v>
      </c>
      <c r="D1179" s="6" t="s">
        <v>4340</v>
      </c>
      <c r="E1179" s="6" t="s">
        <v>4341</v>
      </c>
      <c r="G1179" s="6" t="s">
        <v>2444</v>
      </c>
      <c r="H1179" s="6" t="s">
        <v>4342</v>
      </c>
      <c r="I1179" s="6">
        <v>1</v>
      </c>
      <c r="J1179" s="6">
        <v>1</v>
      </c>
      <c r="K1179" s="6">
        <v>1</v>
      </c>
      <c r="L1179" s="6">
        <v>0.19</v>
      </c>
      <c r="M1179" s="6">
        <v>0.19</v>
      </c>
      <c r="N1179" s="6">
        <v>1</v>
      </c>
      <c r="O1179" s="6">
        <v>1</v>
      </c>
    </row>
    <row r="1180" spans="1:15" hidden="1">
      <c r="A1180" s="6" t="s">
        <v>2452</v>
      </c>
      <c r="B1180" s="6" t="s">
        <v>1976</v>
      </c>
      <c r="C1180" s="6" t="s">
        <v>844</v>
      </c>
      <c r="D1180" s="6" t="s">
        <v>4343</v>
      </c>
      <c r="E1180" s="6" t="s">
        <v>4344</v>
      </c>
      <c r="F1180" s="6" t="s">
        <v>4344</v>
      </c>
      <c r="G1180" s="6" t="s">
        <v>2444</v>
      </c>
      <c r="H1180" s="6" t="s">
        <v>4345</v>
      </c>
      <c r="I1180" s="6">
        <v>1</v>
      </c>
      <c r="J1180" s="6">
        <v>0</v>
      </c>
      <c r="K1180" s="6">
        <v>0</v>
      </c>
      <c r="L1180" s="6">
        <v>0</v>
      </c>
      <c r="M1180" s="6">
        <v>0</v>
      </c>
      <c r="N1180" s="6">
        <v>1</v>
      </c>
      <c r="O1180" s="6">
        <v>1</v>
      </c>
    </row>
    <row r="1181" spans="1:15" hidden="1">
      <c r="A1181" s="6" t="s">
        <v>2452</v>
      </c>
      <c r="B1181" s="6" t="s">
        <v>1976</v>
      </c>
      <c r="C1181" s="6" t="s">
        <v>844</v>
      </c>
      <c r="D1181" s="6" t="s">
        <v>4343</v>
      </c>
      <c r="E1181" s="6" t="s">
        <v>4344</v>
      </c>
      <c r="F1181" s="6" t="s">
        <v>4344</v>
      </c>
      <c r="G1181" s="6" t="s">
        <v>2444</v>
      </c>
      <c r="H1181" s="6" t="s">
        <v>4346</v>
      </c>
      <c r="I1181" s="6">
        <v>1</v>
      </c>
      <c r="J1181" s="6">
        <v>0</v>
      </c>
      <c r="K1181" s="6">
        <v>0</v>
      </c>
      <c r="L1181" s="6">
        <v>0</v>
      </c>
      <c r="M1181" s="6">
        <v>0</v>
      </c>
      <c r="N1181" s="6">
        <v>1</v>
      </c>
      <c r="O1181" s="6">
        <v>1</v>
      </c>
    </row>
    <row r="1182" spans="1:15" hidden="1">
      <c r="A1182" s="6" t="s">
        <v>2452</v>
      </c>
      <c r="B1182" s="6" t="s">
        <v>1976</v>
      </c>
      <c r="C1182" s="6" t="s">
        <v>844</v>
      </c>
      <c r="D1182" s="6" t="s">
        <v>4343</v>
      </c>
      <c r="E1182" s="6" t="s">
        <v>4347</v>
      </c>
      <c r="F1182" s="6" t="s">
        <v>4348</v>
      </c>
      <c r="G1182" s="6" t="s">
        <v>2444</v>
      </c>
      <c r="H1182" s="6" t="s">
        <v>4348</v>
      </c>
      <c r="I1182" s="6">
        <v>4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</row>
    <row r="1183" spans="1:15" hidden="1">
      <c r="A1183" s="6" t="s">
        <v>2452</v>
      </c>
      <c r="B1183" s="6" t="s">
        <v>1976</v>
      </c>
      <c r="C1183" s="6" t="s">
        <v>844</v>
      </c>
      <c r="D1183" s="6" t="s">
        <v>4343</v>
      </c>
      <c r="E1183" s="6" t="s">
        <v>4349</v>
      </c>
      <c r="F1183" s="6" t="s">
        <v>4349</v>
      </c>
      <c r="G1183" s="6" t="s">
        <v>2444</v>
      </c>
      <c r="H1183" s="6" t="s">
        <v>4350</v>
      </c>
      <c r="I1183" s="6">
        <v>1</v>
      </c>
      <c r="J1183" s="6">
        <v>0</v>
      </c>
      <c r="K1183" s="6">
        <v>0</v>
      </c>
      <c r="L1183" s="6">
        <v>0</v>
      </c>
      <c r="M1183" s="6">
        <v>0</v>
      </c>
      <c r="N1183" s="6">
        <v>1</v>
      </c>
      <c r="O1183" s="6">
        <v>1</v>
      </c>
    </row>
    <row r="1184" spans="1:15" hidden="1">
      <c r="A1184" s="6" t="s">
        <v>2452</v>
      </c>
      <c r="B1184" s="6" t="s">
        <v>1976</v>
      </c>
      <c r="C1184" s="6" t="s">
        <v>844</v>
      </c>
      <c r="D1184" s="6" t="s">
        <v>4351</v>
      </c>
      <c r="E1184" s="6" t="s">
        <v>4352</v>
      </c>
      <c r="F1184" s="6" t="s">
        <v>4353</v>
      </c>
      <c r="G1184" s="6" t="s">
        <v>2444</v>
      </c>
      <c r="H1184" s="6" t="s">
        <v>4354</v>
      </c>
      <c r="I1184" s="6">
        <v>1</v>
      </c>
      <c r="J1184" s="6">
        <v>0</v>
      </c>
      <c r="K1184" s="6">
        <v>0</v>
      </c>
      <c r="L1184" s="6">
        <v>0</v>
      </c>
      <c r="M1184" s="6">
        <v>0</v>
      </c>
      <c r="N1184" s="6">
        <v>1</v>
      </c>
      <c r="O1184" s="6">
        <v>1</v>
      </c>
    </row>
    <row r="1185" spans="1:15" hidden="1">
      <c r="A1185" s="6" t="s">
        <v>2452</v>
      </c>
      <c r="B1185" s="6" t="s">
        <v>1976</v>
      </c>
      <c r="C1185" s="6" t="s">
        <v>4355</v>
      </c>
      <c r="D1185" s="6" t="s">
        <v>4356</v>
      </c>
      <c r="E1185" s="6" t="s">
        <v>4357</v>
      </c>
      <c r="G1185" s="6" t="s">
        <v>2444</v>
      </c>
      <c r="H1185" s="6" t="s">
        <v>4357</v>
      </c>
      <c r="I1185" s="6">
        <v>2</v>
      </c>
      <c r="J1185" s="6">
        <v>1</v>
      </c>
      <c r="K1185" s="6">
        <v>0.5</v>
      </c>
      <c r="L1185" s="6">
        <v>0.36</v>
      </c>
      <c r="M1185" s="6">
        <v>0.36</v>
      </c>
      <c r="N1185" s="6">
        <v>1</v>
      </c>
      <c r="O1185" s="6">
        <v>1</v>
      </c>
    </row>
    <row r="1186" spans="1:15" hidden="1">
      <c r="A1186" s="6" t="s">
        <v>2452</v>
      </c>
      <c r="B1186" s="6" t="s">
        <v>1976</v>
      </c>
      <c r="C1186" s="6" t="s">
        <v>4355</v>
      </c>
      <c r="D1186" s="6" t="s">
        <v>4356</v>
      </c>
      <c r="E1186" s="6" t="s">
        <v>4358</v>
      </c>
      <c r="F1186" s="6" t="s">
        <v>4359</v>
      </c>
      <c r="G1186" s="6" t="s">
        <v>2444</v>
      </c>
      <c r="H1186" s="6" t="s">
        <v>4359</v>
      </c>
      <c r="I1186" s="6">
        <v>4</v>
      </c>
      <c r="J1186" s="6">
        <v>0</v>
      </c>
      <c r="K1186" s="6">
        <v>0</v>
      </c>
      <c r="L1186" s="6">
        <v>0</v>
      </c>
      <c r="M1186" s="6">
        <v>0</v>
      </c>
      <c r="N1186" s="6">
        <v>1</v>
      </c>
      <c r="O1186" s="6">
        <v>1</v>
      </c>
    </row>
    <row r="1187" spans="1:15" hidden="1">
      <c r="A1187" s="6" t="s">
        <v>2452</v>
      </c>
      <c r="B1187" s="6" t="s">
        <v>1976</v>
      </c>
      <c r="C1187" s="6" t="s">
        <v>4360</v>
      </c>
      <c r="D1187" s="6" t="s">
        <v>4361</v>
      </c>
      <c r="E1187" s="6" t="s">
        <v>4362</v>
      </c>
      <c r="F1187" s="6" t="s">
        <v>4363</v>
      </c>
      <c r="G1187" s="6" t="s">
        <v>2444</v>
      </c>
      <c r="H1187" s="6" t="s">
        <v>4364</v>
      </c>
      <c r="I1187" s="6">
        <v>1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</row>
    <row r="1188" spans="1:15" hidden="1">
      <c r="A1188" s="6" t="s">
        <v>2452</v>
      </c>
      <c r="B1188" s="6" t="s">
        <v>1976</v>
      </c>
      <c r="C1188" s="6" t="s">
        <v>4360</v>
      </c>
      <c r="D1188" s="6" t="s">
        <v>4365</v>
      </c>
      <c r="E1188" s="6" t="s">
        <v>4366</v>
      </c>
      <c r="G1188" s="6" t="s">
        <v>2444</v>
      </c>
      <c r="H1188" s="6" t="s">
        <v>4366</v>
      </c>
      <c r="I1188" s="6">
        <v>2</v>
      </c>
      <c r="J1188" s="6">
        <v>0</v>
      </c>
      <c r="K1188" s="6">
        <v>0</v>
      </c>
      <c r="L1188" s="6">
        <v>0</v>
      </c>
      <c r="M1188" s="6">
        <v>0</v>
      </c>
      <c r="N1188" s="6">
        <v>1</v>
      </c>
      <c r="O1188" s="6">
        <v>1</v>
      </c>
    </row>
    <row r="1189" spans="1:15" hidden="1">
      <c r="A1189" s="6" t="s">
        <v>2452</v>
      </c>
      <c r="B1189" s="6" t="s">
        <v>1976</v>
      </c>
      <c r="C1189" s="6" t="s">
        <v>4360</v>
      </c>
      <c r="D1189" s="6" t="s">
        <v>4367</v>
      </c>
      <c r="E1189" s="6" t="s">
        <v>4368</v>
      </c>
      <c r="F1189" s="6" t="s">
        <v>4368</v>
      </c>
      <c r="G1189" s="6" t="s">
        <v>2444</v>
      </c>
      <c r="H1189" s="6" t="s">
        <v>4368</v>
      </c>
      <c r="I1189" s="6">
        <v>1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</row>
    <row r="1190" spans="1:15" hidden="1">
      <c r="A1190" s="6" t="s">
        <v>2452</v>
      </c>
      <c r="B1190" s="6" t="s">
        <v>1976</v>
      </c>
      <c r="C1190" s="6" t="s">
        <v>4360</v>
      </c>
      <c r="D1190" s="6" t="s">
        <v>4367</v>
      </c>
      <c r="E1190" s="6" t="s">
        <v>4368</v>
      </c>
      <c r="F1190" s="6" t="s">
        <v>4369</v>
      </c>
      <c r="G1190" s="6" t="s">
        <v>2444</v>
      </c>
      <c r="H1190" s="6" t="s">
        <v>4370</v>
      </c>
      <c r="I1190" s="6">
        <v>1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</row>
    <row r="1191" spans="1:15" hidden="1">
      <c r="A1191" s="6" t="s">
        <v>2452</v>
      </c>
      <c r="B1191" s="6" t="s">
        <v>1976</v>
      </c>
      <c r="C1191" s="6" t="s">
        <v>4360</v>
      </c>
      <c r="D1191" s="6" t="s">
        <v>4371</v>
      </c>
      <c r="E1191" s="6" t="s">
        <v>4372</v>
      </c>
      <c r="F1191" s="6" t="s">
        <v>4372</v>
      </c>
      <c r="G1191" s="6" t="s">
        <v>2444</v>
      </c>
      <c r="H1191" s="6" t="s">
        <v>4372</v>
      </c>
      <c r="I1191" s="6">
        <v>1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</row>
    <row r="1192" spans="1:15" hidden="1">
      <c r="A1192" s="6" t="s">
        <v>2452</v>
      </c>
      <c r="B1192" s="6" t="s">
        <v>1976</v>
      </c>
      <c r="C1192" s="6" t="s">
        <v>4360</v>
      </c>
      <c r="D1192" s="6" t="s">
        <v>4373</v>
      </c>
      <c r="E1192" s="6" t="s">
        <v>4374</v>
      </c>
      <c r="F1192" s="6" t="s">
        <v>4375</v>
      </c>
      <c r="G1192" s="6" t="s">
        <v>2444</v>
      </c>
      <c r="H1192" s="6" t="s">
        <v>4375</v>
      </c>
      <c r="I1192" s="6">
        <v>2</v>
      </c>
      <c r="J1192" s="6">
        <v>1</v>
      </c>
      <c r="K1192" s="6">
        <v>0.5</v>
      </c>
      <c r="L1192" s="6">
        <v>0.98</v>
      </c>
      <c r="M1192" s="6">
        <v>0.98</v>
      </c>
      <c r="N1192" s="6">
        <v>1</v>
      </c>
      <c r="O1192" s="6">
        <v>1</v>
      </c>
    </row>
    <row r="1193" spans="1:15" hidden="1">
      <c r="A1193" s="6" t="s">
        <v>2452</v>
      </c>
      <c r="B1193" s="6" t="s">
        <v>1976</v>
      </c>
      <c r="C1193" s="6" t="s">
        <v>4360</v>
      </c>
      <c r="D1193" s="6" t="s">
        <v>4376</v>
      </c>
      <c r="E1193" s="6" t="s">
        <v>4377</v>
      </c>
      <c r="F1193" s="6" t="s">
        <v>4377</v>
      </c>
      <c r="G1193" s="6" t="s">
        <v>2444</v>
      </c>
      <c r="H1193" s="6" t="s">
        <v>4378</v>
      </c>
      <c r="I1193" s="6">
        <v>2</v>
      </c>
      <c r="J1193" s="6">
        <v>0</v>
      </c>
      <c r="K1193" s="6">
        <v>0</v>
      </c>
      <c r="L1193" s="6">
        <v>0</v>
      </c>
      <c r="M1193" s="6">
        <v>0</v>
      </c>
      <c r="N1193" s="6">
        <v>1</v>
      </c>
      <c r="O1193" s="6">
        <v>1</v>
      </c>
    </row>
    <row r="1194" spans="1:15" hidden="1">
      <c r="A1194" s="6" t="s">
        <v>2452</v>
      </c>
      <c r="B1194" s="6" t="s">
        <v>1976</v>
      </c>
      <c r="C1194" s="6" t="s">
        <v>4379</v>
      </c>
      <c r="D1194" s="6" t="s">
        <v>4380</v>
      </c>
      <c r="F1194" s="6" t="s">
        <v>4381</v>
      </c>
      <c r="G1194" s="6" t="s">
        <v>2444</v>
      </c>
      <c r="H1194" s="6" t="s">
        <v>4381</v>
      </c>
      <c r="I1194" s="6">
        <v>6</v>
      </c>
      <c r="J1194" s="6">
        <v>1</v>
      </c>
      <c r="K1194" s="6">
        <v>0.16670000000000001</v>
      </c>
      <c r="L1194" s="6">
        <v>0.36</v>
      </c>
      <c r="M1194" s="6">
        <v>0.36</v>
      </c>
      <c r="N1194" s="6">
        <v>1</v>
      </c>
      <c r="O1194" s="6">
        <v>1</v>
      </c>
    </row>
    <row r="1195" spans="1:15" hidden="1">
      <c r="A1195" s="6" t="s">
        <v>2452</v>
      </c>
      <c r="B1195" s="6" t="s">
        <v>1976</v>
      </c>
      <c r="C1195" s="6" t="s">
        <v>391</v>
      </c>
      <c r="D1195" s="6" t="s">
        <v>4382</v>
      </c>
      <c r="E1195" s="6" t="s">
        <v>4383</v>
      </c>
      <c r="F1195" s="6" t="s">
        <v>4384</v>
      </c>
      <c r="G1195" s="6" t="s">
        <v>2444</v>
      </c>
      <c r="H1195" s="6" t="s">
        <v>4385</v>
      </c>
      <c r="I1195" s="6">
        <v>1</v>
      </c>
      <c r="J1195" s="6">
        <v>0</v>
      </c>
      <c r="K1195" s="6">
        <v>0</v>
      </c>
      <c r="L1195" s="6">
        <v>0</v>
      </c>
      <c r="M1195" s="6">
        <v>0</v>
      </c>
      <c r="N1195" s="6">
        <v>1</v>
      </c>
      <c r="O1195" s="6">
        <v>1</v>
      </c>
    </row>
    <row r="1196" spans="1:15" hidden="1">
      <c r="A1196" s="6" t="s">
        <v>2452</v>
      </c>
      <c r="B1196" s="6" t="s">
        <v>1976</v>
      </c>
      <c r="C1196" s="6" t="s">
        <v>4386</v>
      </c>
      <c r="D1196" s="6" t="s">
        <v>4387</v>
      </c>
      <c r="F1196" s="6" t="s">
        <v>4388</v>
      </c>
      <c r="G1196" s="6" t="s">
        <v>2444</v>
      </c>
      <c r="H1196" s="6" t="s">
        <v>4388</v>
      </c>
      <c r="I1196" s="6">
        <v>1</v>
      </c>
      <c r="J1196" s="6">
        <v>0</v>
      </c>
      <c r="K1196" s="6">
        <v>0</v>
      </c>
      <c r="L1196" s="6">
        <v>0</v>
      </c>
      <c r="M1196" s="6">
        <v>0</v>
      </c>
      <c r="N1196" s="6">
        <v>1</v>
      </c>
      <c r="O1196" s="6">
        <v>1</v>
      </c>
    </row>
    <row r="1197" spans="1:15" hidden="1">
      <c r="A1197" s="6" t="s">
        <v>2452</v>
      </c>
      <c r="B1197" s="6" t="s">
        <v>1976</v>
      </c>
      <c r="C1197" s="6" t="s">
        <v>4386</v>
      </c>
      <c r="D1197" s="6" t="s">
        <v>4389</v>
      </c>
      <c r="G1197" s="6" t="s">
        <v>2444</v>
      </c>
      <c r="H1197" s="6" t="s">
        <v>4389</v>
      </c>
      <c r="I1197" s="6">
        <v>2</v>
      </c>
      <c r="J1197" s="6">
        <v>0</v>
      </c>
      <c r="K1197" s="6">
        <v>0</v>
      </c>
      <c r="L1197" s="6">
        <v>0</v>
      </c>
      <c r="M1197" s="6">
        <v>0</v>
      </c>
      <c r="N1197" s="6">
        <v>1</v>
      </c>
      <c r="O1197" s="6">
        <v>1</v>
      </c>
    </row>
    <row r="1198" spans="1:15" hidden="1">
      <c r="A1198" s="6" t="s">
        <v>2452</v>
      </c>
      <c r="B1198" s="6" t="s">
        <v>1976</v>
      </c>
      <c r="C1198" s="6" t="s">
        <v>4386</v>
      </c>
      <c r="D1198" s="6" t="s">
        <v>4389</v>
      </c>
      <c r="F1198" s="6" t="s">
        <v>4390</v>
      </c>
      <c r="G1198" s="6" t="s">
        <v>2444</v>
      </c>
      <c r="H1198" s="6" t="s">
        <v>4390</v>
      </c>
      <c r="I1198" s="6">
        <v>11</v>
      </c>
      <c r="J1198" s="6">
        <v>0</v>
      </c>
      <c r="K1198" s="6">
        <v>0</v>
      </c>
      <c r="L1198" s="6">
        <v>0</v>
      </c>
      <c r="M1198" s="6">
        <v>0</v>
      </c>
      <c r="N1198" s="6">
        <v>0.88890000000000002</v>
      </c>
      <c r="O1198" s="6">
        <v>0.88890000000000002</v>
      </c>
    </row>
    <row r="1199" spans="1:15" hidden="1">
      <c r="A1199" s="6" t="s">
        <v>2452</v>
      </c>
      <c r="B1199" s="6" t="s">
        <v>1976</v>
      </c>
      <c r="C1199" s="6" t="s">
        <v>4386</v>
      </c>
      <c r="D1199" s="6" t="s">
        <v>4389</v>
      </c>
      <c r="F1199" s="6" t="s">
        <v>4391</v>
      </c>
      <c r="G1199" s="6" t="s">
        <v>2444</v>
      </c>
      <c r="H1199" s="6" t="s">
        <v>4391</v>
      </c>
      <c r="I1199" s="6">
        <v>4</v>
      </c>
      <c r="J1199" s="6">
        <v>1</v>
      </c>
      <c r="K1199" s="6">
        <v>0.25</v>
      </c>
      <c r="L1199" s="6">
        <v>0.9</v>
      </c>
      <c r="M1199" s="6">
        <v>0.9</v>
      </c>
      <c r="N1199" s="6">
        <v>1</v>
      </c>
      <c r="O1199" s="6">
        <v>1</v>
      </c>
    </row>
    <row r="1200" spans="1:15" hidden="1">
      <c r="A1200" s="6" t="s">
        <v>2452</v>
      </c>
      <c r="B1200" s="6" t="s">
        <v>1976</v>
      </c>
      <c r="C1200" s="6" t="s">
        <v>4386</v>
      </c>
      <c r="D1200" s="6" t="s">
        <v>4392</v>
      </c>
      <c r="F1200" s="6" t="s">
        <v>4393</v>
      </c>
      <c r="G1200" s="6" t="s">
        <v>2444</v>
      </c>
      <c r="H1200" s="6" t="s">
        <v>4393</v>
      </c>
      <c r="I1200" s="6">
        <v>2</v>
      </c>
      <c r="J1200" s="6">
        <v>0</v>
      </c>
      <c r="K1200" s="6">
        <v>0</v>
      </c>
      <c r="L1200" s="6">
        <v>0</v>
      </c>
      <c r="M1200" s="6">
        <v>0</v>
      </c>
      <c r="N1200" s="6">
        <v>1</v>
      </c>
      <c r="O1200" s="6">
        <v>1</v>
      </c>
    </row>
    <row r="1201" spans="1:15" hidden="1">
      <c r="A1201" s="6" t="s">
        <v>2452</v>
      </c>
      <c r="B1201" s="6" t="s">
        <v>1976</v>
      </c>
      <c r="C1201" s="6" t="s">
        <v>4386</v>
      </c>
      <c r="D1201" s="6" t="s">
        <v>4394</v>
      </c>
      <c r="F1201" s="6" t="s">
        <v>4395</v>
      </c>
      <c r="G1201" s="6" t="s">
        <v>2444</v>
      </c>
      <c r="H1201" s="6" t="s">
        <v>4395</v>
      </c>
      <c r="I1201" s="6">
        <v>2</v>
      </c>
      <c r="J1201" s="6">
        <v>0</v>
      </c>
      <c r="K1201" s="6">
        <v>0</v>
      </c>
      <c r="L1201" s="6">
        <v>0</v>
      </c>
      <c r="M1201" s="6">
        <v>0</v>
      </c>
      <c r="N1201" s="6">
        <v>1</v>
      </c>
      <c r="O1201" s="6">
        <v>1</v>
      </c>
    </row>
    <row r="1202" spans="1:15" hidden="1">
      <c r="A1202" s="6" t="s">
        <v>2452</v>
      </c>
      <c r="B1202" s="6" t="s">
        <v>1976</v>
      </c>
      <c r="C1202" s="6" t="s">
        <v>4386</v>
      </c>
      <c r="D1202" s="6" t="s">
        <v>4396</v>
      </c>
      <c r="F1202" s="6" t="s">
        <v>4397</v>
      </c>
      <c r="G1202" s="6" t="s">
        <v>2444</v>
      </c>
      <c r="H1202" s="6" t="s">
        <v>4397</v>
      </c>
      <c r="I1202" s="6">
        <v>3</v>
      </c>
      <c r="J1202" s="6">
        <v>1</v>
      </c>
      <c r="K1202" s="6">
        <v>0.33329999999999999</v>
      </c>
      <c r="L1202" s="6">
        <v>0.23</v>
      </c>
      <c r="M1202" s="6">
        <v>0.23</v>
      </c>
      <c r="N1202" s="6">
        <v>1</v>
      </c>
      <c r="O1202" s="6">
        <v>0.5</v>
      </c>
    </row>
    <row r="1203" spans="1:15" hidden="1">
      <c r="A1203" s="6" t="s">
        <v>2452</v>
      </c>
      <c r="B1203" s="6" t="s">
        <v>1976</v>
      </c>
      <c r="C1203" s="6" t="s">
        <v>4398</v>
      </c>
      <c r="D1203" s="6" t="s">
        <v>4399</v>
      </c>
      <c r="E1203" s="6" t="s">
        <v>4400</v>
      </c>
      <c r="F1203" s="6" t="s">
        <v>4401</v>
      </c>
      <c r="G1203" s="6" t="s">
        <v>2444</v>
      </c>
      <c r="H1203" s="6" t="s">
        <v>4401</v>
      </c>
      <c r="I1203" s="6">
        <v>2</v>
      </c>
      <c r="J1203" s="6">
        <v>0</v>
      </c>
      <c r="K1203" s="6">
        <v>0</v>
      </c>
      <c r="L1203" s="6">
        <v>0</v>
      </c>
      <c r="M1203" s="6">
        <v>0</v>
      </c>
      <c r="N1203" s="6">
        <v>1</v>
      </c>
      <c r="O1203" s="6">
        <v>1</v>
      </c>
    </row>
    <row r="1204" spans="1:15" hidden="1">
      <c r="A1204" s="6" t="s">
        <v>2452</v>
      </c>
      <c r="B1204" s="6" t="s">
        <v>1976</v>
      </c>
      <c r="C1204" s="6" t="s">
        <v>4398</v>
      </c>
      <c r="D1204" s="6" t="s">
        <v>4402</v>
      </c>
      <c r="E1204" s="6" t="s">
        <v>2636</v>
      </c>
      <c r="F1204" s="6" t="s">
        <v>4403</v>
      </c>
      <c r="G1204" s="6" t="s">
        <v>2444</v>
      </c>
      <c r="H1204" s="6" t="s">
        <v>4403</v>
      </c>
      <c r="I1204" s="6">
        <v>1</v>
      </c>
      <c r="J1204" s="6">
        <v>0</v>
      </c>
      <c r="K1204" s="6">
        <v>0</v>
      </c>
      <c r="L1204" s="6">
        <v>0</v>
      </c>
      <c r="M1204" s="6">
        <v>0</v>
      </c>
      <c r="N1204" s="6">
        <v>1</v>
      </c>
      <c r="O1204" s="6">
        <v>1</v>
      </c>
    </row>
    <row r="1205" spans="1:15" hidden="1">
      <c r="A1205" s="6" t="s">
        <v>2452</v>
      </c>
      <c r="B1205" s="6" t="s">
        <v>1976</v>
      </c>
      <c r="C1205" s="6" t="s">
        <v>4398</v>
      </c>
      <c r="D1205" s="6" t="s">
        <v>4402</v>
      </c>
      <c r="E1205" s="6" t="s">
        <v>2636</v>
      </c>
      <c r="F1205" s="6" t="s">
        <v>4404</v>
      </c>
      <c r="G1205" s="6" t="s">
        <v>2444</v>
      </c>
      <c r="H1205" s="6" t="s">
        <v>4405</v>
      </c>
      <c r="I1205" s="6">
        <v>1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</row>
    <row r="1206" spans="1:15" hidden="1">
      <c r="A1206" s="6" t="s">
        <v>2452</v>
      </c>
      <c r="B1206" s="6" t="s">
        <v>1976</v>
      </c>
      <c r="C1206" s="6" t="s">
        <v>4398</v>
      </c>
      <c r="D1206" s="6" t="s">
        <v>4406</v>
      </c>
      <c r="E1206" s="6" t="s">
        <v>4407</v>
      </c>
      <c r="F1206" s="6" t="s">
        <v>4408</v>
      </c>
      <c r="G1206" s="6" t="s">
        <v>2444</v>
      </c>
      <c r="H1206" s="6" t="s">
        <v>4409</v>
      </c>
      <c r="I1206" s="6">
        <v>4</v>
      </c>
      <c r="J1206" s="6">
        <v>0</v>
      </c>
      <c r="K1206" s="6">
        <v>0</v>
      </c>
      <c r="L1206" s="6">
        <v>0</v>
      </c>
      <c r="M1206" s="6">
        <v>0</v>
      </c>
      <c r="N1206" s="6">
        <v>1</v>
      </c>
      <c r="O1206" s="6">
        <v>1</v>
      </c>
    </row>
    <row r="1207" spans="1:15" hidden="1">
      <c r="A1207" s="6" t="s">
        <v>2452</v>
      </c>
      <c r="B1207" s="6" t="s">
        <v>1976</v>
      </c>
      <c r="C1207" s="6" t="s">
        <v>4398</v>
      </c>
      <c r="D1207" s="6" t="s">
        <v>4406</v>
      </c>
      <c r="E1207" s="6" t="s">
        <v>2762</v>
      </c>
      <c r="F1207" s="6" t="s">
        <v>2762</v>
      </c>
      <c r="G1207" s="6" t="s">
        <v>2444</v>
      </c>
      <c r="H1207" s="6" t="s">
        <v>2762</v>
      </c>
      <c r="I1207" s="6">
        <v>4</v>
      </c>
      <c r="J1207" s="6">
        <v>0</v>
      </c>
      <c r="K1207" s="6">
        <v>0</v>
      </c>
      <c r="L1207" s="6">
        <v>0</v>
      </c>
      <c r="M1207" s="6">
        <v>0</v>
      </c>
      <c r="N1207" s="6">
        <v>1</v>
      </c>
      <c r="O1207" s="6">
        <v>1</v>
      </c>
    </row>
    <row r="1208" spans="1:15" hidden="1">
      <c r="A1208" s="6" t="s">
        <v>2452</v>
      </c>
      <c r="B1208" s="6" t="s">
        <v>1976</v>
      </c>
      <c r="C1208" s="6" t="s">
        <v>4398</v>
      </c>
      <c r="D1208" s="6" t="s">
        <v>4410</v>
      </c>
      <c r="E1208" s="6" t="s">
        <v>4411</v>
      </c>
      <c r="F1208" s="6" t="s">
        <v>4412</v>
      </c>
      <c r="G1208" s="6" t="s">
        <v>2444</v>
      </c>
      <c r="H1208" s="6" t="s">
        <v>4413</v>
      </c>
      <c r="I1208" s="6">
        <v>1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</row>
    <row r="1209" spans="1:15" hidden="1">
      <c r="A1209" s="6" t="s">
        <v>2452</v>
      </c>
      <c r="B1209" s="6" t="s">
        <v>1976</v>
      </c>
      <c r="C1209" s="6" t="s">
        <v>4398</v>
      </c>
      <c r="D1209" s="6" t="s">
        <v>4414</v>
      </c>
      <c r="E1209" s="6" t="s">
        <v>3664</v>
      </c>
      <c r="F1209" s="6" t="s">
        <v>4415</v>
      </c>
      <c r="G1209" s="6" t="s">
        <v>2444</v>
      </c>
      <c r="H1209" s="6" t="s">
        <v>4416</v>
      </c>
      <c r="I1209" s="6">
        <v>1</v>
      </c>
      <c r="J1209" s="6">
        <v>0</v>
      </c>
      <c r="K1209" s="6">
        <v>0</v>
      </c>
      <c r="L1209" s="6">
        <v>0</v>
      </c>
      <c r="M1209" s="6">
        <v>0</v>
      </c>
      <c r="N1209" s="6">
        <v>1</v>
      </c>
      <c r="O1209" s="6">
        <v>1</v>
      </c>
    </row>
    <row r="1210" spans="1:15" hidden="1">
      <c r="A1210" s="6" t="s">
        <v>2452</v>
      </c>
      <c r="B1210" s="6" t="s">
        <v>1976</v>
      </c>
      <c r="C1210" s="6" t="s">
        <v>4398</v>
      </c>
      <c r="D1210" s="6" t="s">
        <v>4417</v>
      </c>
      <c r="E1210" s="6" t="s">
        <v>4418</v>
      </c>
      <c r="F1210" s="6" t="s">
        <v>4419</v>
      </c>
      <c r="G1210" s="6" t="s">
        <v>2444</v>
      </c>
      <c r="H1210" s="6" t="s">
        <v>4419</v>
      </c>
      <c r="I1210" s="6">
        <v>1</v>
      </c>
      <c r="J1210" s="6">
        <v>0</v>
      </c>
      <c r="K1210" s="6">
        <v>0</v>
      </c>
      <c r="L1210" s="6">
        <v>0</v>
      </c>
      <c r="M1210" s="6">
        <v>0</v>
      </c>
      <c r="N1210" s="6">
        <v>1</v>
      </c>
      <c r="O1210" s="6">
        <v>1</v>
      </c>
    </row>
    <row r="1211" spans="1:15" hidden="1">
      <c r="A1211" s="6" t="s">
        <v>2452</v>
      </c>
      <c r="B1211" s="6" t="s">
        <v>1976</v>
      </c>
      <c r="C1211" s="6" t="s">
        <v>4420</v>
      </c>
      <c r="F1211" s="6" t="s">
        <v>4421</v>
      </c>
      <c r="G1211" s="6" t="s">
        <v>2444</v>
      </c>
      <c r="H1211" s="6" t="s">
        <v>4421</v>
      </c>
      <c r="I1211" s="6">
        <v>4</v>
      </c>
      <c r="J1211" s="6">
        <v>0</v>
      </c>
      <c r="K1211" s="6">
        <v>0</v>
      </c>
      <c r="L1211" s="6">
        <v>0</v>
      </c>
      <c r="M1211" s="6">
        <v>0</v>
      </c>
      <c r="N1211" s="6">
        <v>1</v>
      </c>
      <c r="O1211" s="6">
        <v>1</v>
      </c>
    </row>
    <row r="1212" spans="1:15" hidden="1">
      <c r="A1212" s="6" t="s">
        <v>2452</v>
      </c>
      <c r="B1212" s="6" t="s">
        <v>1976</v>
      </c>
      <c r="C1212" s="6" t="s">
        <v>890</v>
      </c>
      <c r="D1212" s="6" t="s">
        <v>4422</v>
      </c>
      <c r="F1212" s="6" t="s">
        <v>4423</v>
      </c>
      <c r="G1212" s="6" t="s">
        <v>2444</v>
      </c>
      <c r="H1212" s="6" t="s">
        <v>4424</v>
      </c>
      <c r="I1212" s="6">
        <v>1</v>
      </c>
      <c r="J1212" s="6">
        <v>0</v>
      </c>
      <c r="K1212" s="6">
        <v>0</v>
      </c>
      <c r="L1212" s="6">
        <v>0</v>
      </c>
      <c r="M1212" s="6">
        <v>0</v>
      </c>
      <c r="N1212" s="6">
        <v>1</v>
      </c>
      <c r="O1212" s="6">
        <v>1</v>
      </c>
    </row>
    <row r="1213" spans="1:15" hidden="1">
      <c r="A1213" s="6" t="s">
        <v>2452</v>
      </c>
      <c r="B1213" s="6" t="s">
        <v>1976</v>
      </c>
      <c r="C1213" s="6" t="s">
        <v>890</v>
      </c>
      <c r="D1213" s="6" t="s">
        <v>4425</v>
      </c>
      <c r="E1213" s="6" t="s">
        <v>4426</v>
      </c>
      <c r="F1213" s="6" t="s">
        <v>4427</v>
      </c>
      <c r="G1213" s="6" t="s">
        <v>2444</v>
      </c>
      <c r="H1213" s="6" t="s">
        <v>4427</v>
      </c>
      <c r="I1213" s="6">
        <v>1</v>
      </c>
      <c r="J1213" s="6">
        <v>0</v>
      </c>
      <c r="K1213" s="6">
        <v>0</v>
      </c>
      <c r="L1213" s="6">
        <v>0</v>
      </c>
      <c r="M1213" s="6">
        <v>0</v>
      </c>
      <c r="N1213" s="6">
        <v>1</v>
      </c>
      <c r="O1213" s="6">
        <v>1</v>
      </c>
    </row>
    <row r="1214" spans="1:15" hidden="1">
      <c r="A1214" s="6" t="s">
        <v>2452</v>
      </c>
      <c r="B1214" s="6" t="s">
        <v>1976</v>
      </c>
      <c r="C1214" s="6" t="s">
        <v>890</v>
      </c>
      <c r="D1214" s="6" t="s">
        <v>4425</v>
      </c>
      <c r="E1214" s="6" t="s">
        <v>4428</v>
      </c>
      <c r="F1214" s="6" t="s">
        <v>4428</v>
      </c>
      <c r="G1214" s="6" t="s">
        <v>2444</v>
      </c>
      <c r="H1214" s="6" t="s">
        <v>4429</v>
      </c>
      <c r="I1214" s="6">
        <v>2</v>
      </c>
      <c r="J1214" s="6">
        <v>0</v>
      </c>
      <c r="K1214" s="6">
        <v>0</v>
      </c>
      <c r="L1214" s="6">
        <v>0</v>
      </c>
      <c r="M1214" s="6">
        <v>0</v>
      </c>
      <c r="N1214" s="6">
        <v>1</v>
      </c>
      <c r="O1214" s="6">
        <v>1</v>
      </c>
    </row>
    <row r="1215" spans="1:15" hidden="1">
      <c r="A1215" s="6" t="s">
        <v>2452</v>
      </c>
      <c r="B1215" s="6" t="s">
        <v>1976</v>
      </c>
      <c r="C1215" s="6" t="s">
        <v>890</v>
      </c>
      <c r="D1215" s="6" t="s">
        <v>4430</v>
      </c>
      <c r="E1215" s="6" t="s">
        <v>4431</v>
      </c>
      <c r="F1215" s="6" t="s">
        <v>4431</v>
      </c>
      <c r="G1215" s="6" t="s">
        <v>2444</v>
      </c>
      <c r="H1215" s="6" t="s">
        <v>4432</v>
      </c>
      <c r="I1215" s="6">
        <v>2</v>
      </c>
      <c r="J1215" s="6">
        <v>0</v>
      </c>
      <c r="K1215" s="6">
        <v>0</v>
      </c>
      <c r="L1215" s="6">
        <v>0</v>
      </c>
      <c r="M1215" s="6">
        <v>0</v>
      </c>
      <c r="N1215" s="6">
        <v>1</v>
      </c>
      <c r="O1215" s="6">
        <v>1</v>
      </c>
    </row>
    <row r="1216" spans="1:15" hidden="1">
      <c r="A1216" s="6" t="s">
        <v>2452</v>
      </c>
      <c r="B1216" s="6" t="s">
        <v>1976</v>
      </c>
      <c r="C1216" s="6" t="s">
        <v>890</v>
      </c>
      <c r="D1216" s="6" t="s">
        <v>4430</v>
      </c>
      <c r="E1216" s="6" t="s">
        <v>4431</v>
      </c>
      <c r="F1216" s="6" t="s">
        <v>4431</v>
      </c>
      <c r="G1216" s="6" t="s">
        <v>2444</v>
      </c>
      <c r="H1216" s="6" t="s">
        <v>4433</v>
      </c>
      <c r="I1216" s="6">
        <v>1</v>
      </c>
      <c r="J1216" s="6">
        <v>0</v>
      </c>
      <c r="K1216" s="6">
        <v>0</v>
      </c>
      <c r="L1216" s="6">
        <v>0</v>
      </c>
      <c r="M1216" s="6">
        <v>0</v>
      </c>
      <c r="N1216" s="6">
        <v>1</v>
      </c>
      <c r="O1216" s="6">
        <v>1</v>
      </c>
    </row>
    <row r="1217" spans="1:15" hidden="1">
      <c r="A1217" s="6" t="s">
        <v>2452</v>
      </c>
      <c r="B1217" s="6" t="s">
        <v>1976</v>
      </c>
      <c r="C1217" s="6" t="s">
        <v>890</v>
      </c>
      <c r="D1217" s="6" t="s">
        <v>4430</v>
      </c>
      <c r="E1217" s="6" t="s">
        <v>4431</v>
      </c>
      <c r="F1217" s="6" t="s">
        <v>4431</v>
      </c>
      <c r="G1217" s="6" t="s">
        <v>2444</v>
      </c>
      <c r="H1217" s="6" t="s">
        <v>4431</v>
      </c>
      <c r="I1217" s="6">
        <v>9</v>
      </c>
      <c r="J1217" s="6">
        <v>1</v>
      </c>
      <c r="K1217" s="6">
        <v>0.11109999999999999</v>
      </c>
      <c r="L1217" s="6">
        <v>0.19</v>
      </c>
      <c r="M1217" s="6">
        <v>0.19</v>
      </c>
      <c r="N1217" s="6">
        <v>0.8</v>
      </c>
      <c r="O1217" s="6">
        <v>0.8</v>
      </c>
    </row>
    <row r="1218" spans="1:15" hidden="1">
      <c r="A1218" s="6" t="s">
        <v>2452</v>
      </c>
      <c r="B1218" s="6" t="s">
        <v>1976</v>
      </c>
      <c r="C1218" s="6" t="s">
        <v>890</v>
      </c>
      <c r="D1218" s="6" t="s">
        <v>4430</v>
      </c>
      <c r="E1218" s="6" t="s">
        <v>4431</v>
      </c>
      <c r="F1218" s="6" t="s">
        <v>4431</v>
      </c>
      <c r="G1218" s="6" t="s">
        <v>2444</v>
      </c>
      <c r="H1218" s="6" t="s">
        <v>4434</v>
      </c>
      <c r="I1218" s="6">
        <v>2</v>
      </c>
      <c r="J1218" s="6">
        <v>0</v>
      </c>
      <c r="K1218" s="6">
        <v>0</v>
      </c>
      <c r="L1218" s="6">
        <v>0</v>
      </c>
      <c r="M1218" s="6">
        <v>0</v>
      </c>
      <c r="N1218" s="6">
        <v>1</v>
      </c>
      <c r="O1218" s="6">
        <v>1</v>
      </c>
    </row>
    <row r="1219" spans="1:15" hidden="1">
      <c r="A1219" s="6" t="s">
        <v>2452</v>
      </c>
      <c r="B1219" s="6" t="s">
        <v>1976</v>
      </c>
      <c r="C1219" s="6" t="s">
        <v>233</v>
      </c>
      <c r="D1219" s="6" t="s">
        <v>4435</v>
      </c>
      <c r="G1219" s="6" t="s">
        <v>2444</v>
      </c>
      <c r="H1219" s="6" t="s">
        <v>4435</v>
      </c>
      <c r="I1219" s="6">
        <v>2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</row>
    <row r="1220" spans="1:15" hidden="1">
      <c r="A1220" s="6" t="s">
        <v>2452</v>
      </c>
      <c r="B1220" s="6" t="s">
        <v>1976</v>
      </c>
      <c r="C1220" s="6" t="s">
        <v>233</v>
      </c>
      <c r="D1220" s="6" t="s">
        <v>4435</v>
      </c>
      <c r="F1220" s="6" t="s">
        <v>4436</v>
      </c>
      <c r="G1220" s="6" t="s">
        <v>2444</v>
      </c>
      <c r="H1220" s="6" t="s">
        <v>4436</v>
      </c>
      <c r="I1220" s="6">
        <v>1</v>
      </c>
      <c r="J1220" s="6">
        <v>0</v>
      </c>
      <c r="K1220" s="6">
        <v>0</v>
      </c>
      <c r="L1220" s="6">
        <v>0</v>
      </c>
      <c r="M1220" s="6">
        <v>0</v>
      </c>
      <c r="N1220" s="6">
        <v>1</v>
      </c>
      <c r="O1220" s="6">
        <v>1</v>
      </c>
    </row>
    <row r="1221" spans="1:15" hidden="1">
      <c r="A1221" s="6" t="s">
        <v>2452</v>
      </c>
      <c r="B1221" s="6" t="s">
        <v>1976</v>
      </c>
      <c r="C1221" s="6" t="s">
        <v>233</v>
      </c>
      <c r="D1221" s="6" t="s">
        <v>4437</v>
      </c>
      <c r="F1221" s="6" t="s">
        <v>4438</v>
      </c>
      <c r="G1221" s="6" t="s">
        <v>2444</v>
      </c>
      <c r="H1221" s="6" t="s">
        <v>4438</v>
      </c>
      <c r="I1221" s="6">
        <v>1</v>
      </c>
      <c r="J1221" s="6">
        <v>0</v>
      </c>
      <c r="K1221" s="6">
        <v>0</v>
      </c>
      <c r="L1221" s="6">
        <v>0</v>
      </c>
      <c r="M1221" s="6">
        <v>0</v>
      </c>
      <c r="N1221" s="6">
        <v>1</v>
      </c>
      <c r="O1221" s="6">
        <v>1</v>
      </c>
    </row>
    <row r="1222" spans="1:15" hidden="1">
      <c r="A1222" s="6" t="s">
        <v>2452</v>
      </c>
      <c r="B1222" s="6" t="s">
        <v>1976</v>
      </c>
      <c r="C1222" s="6" t="s">
        <v>233</v>
      </c>
      <c r="D1222" s="6" t="s">
        <v>4439</v>
      </c>
      <c r="G1222" s="6" t="s">
        <v>2444</v>
      </c>
      <c r="H1222" s="6" t="s">
        <v>4439</v>
      </c>
      <c r="I1222" s="6">
        <v>2</v>
      </c>
      <c r="J1222" s="6">
        <v>0</v>
      </c>
      <c r="K1222" s="6">
        <v>0</v>
      </c>
      <c r="L1222" s="6">
        <v>0</v>
      </c>
      <c r="M1222" s="6">
        <v>0</v>
      </c>
      <c r="N1222" s="6">
        <v>1</v>
      </c>
      <c r="O1222" s="6">
        <v>1</v>
      </c>
    </row>
    <row r="1223" spans="1:15" hidden="1">
      <c r="A1223" s="6" t="s">
        <v>2452</v>
      </c>
      <c r="B1223" s="6" t="s">
        <v>1976</v>
      </c>
      <c r="C1223" s="6" t="s">
        <v>764</v>
      </c>
      <c r="D1223" s="6" t="s">
        <v>4440</v>
      </c>
      <c r="G1223" s="6" t="s">
        <v>2444</v>
      </c>
      <c r="H1223" s="6" t="s">
        <v>4440</v>
      </c>
      <c r="I1223" s="6">
        <v>6</v>
      </c>
      <c r="J1223" s="6">
        <v>0</v>
      </c>
      <c r="K1223" s="6">
        <v>0</v>
      </c>
      <c r="L1223" s="6">
        <v>0</v>
      </c>
      <c r="M1223" s="6">
        <v>0</v>
      </c>
      <c r="N1223" s="6">
        <v>0.2</v>
      </c>
      <c r="O1223" s="6">
        <v>0.2</v>
      </c>
    </row>
    <row r="1224" spans="1:15" hidden="1">
      <c r="A1224" s="6" t="s">
        <v>2452</v>
      </c>
      <c r="B1224" s="6" t="s">
        <v>1976</v>
      </c>
      <c r="C1224" s="6" t="s">
        <v>764</v>
      </c>
      <c r="D1224" s="6" t="s">
        <v>4441</v>
      </c>
      <c r="E1224" s="6" t="s">
        <v>4442</v>
      </c>
      <c r="G1224" s="6" t="s">
        <v>2444</v>
      </c>
      <c r="H1224" s="6" t="s">
        <v>4442</v>
      </c>
      <c r="I1224" s="6">
        <v>2</v>
      </c>
      <c r="J1224" s="6">
        <v>0</v>
      </c>
      <c r="K1224" s="6">
        <v>0</v>
      </c>
      <c r="L1224" s="6">
        <v>0</v>
      </c>
      <c r="M1224" s="6">
        <v>0</v>
      </c>
      <c r="N1224" s="6">
        <v>1</v>
      </c>
      <c r="O1224" s="6">
        <v>1</v>
      </c>
    </row>
    <row r="1225" spans="1:15" hidden="1">
      <c r="A1225" s="6" t="s">
        <v>2452</v>
      </c>
      <c r="B1225" s="6" t="s">
        <v>1976</v>
      </c>
      <c r="C1225" s="6" t="s">
        <v>4443</v>
      </c>
      <c r="D1225" s="6" t="s">
        <v>4444</v>
      </c>
      <c r="F1225" s="6" t="s">
        <v>4444</v>
      </c>
      <c r="G1225" s="6" t="s">
        <v>2444</v>
      </c>
      <c r="H1225" s="6" t="s">
        <v>4444</v>
      </c>
      <c r="I1225" s="6">
        <v>3</v>
      </c>
      <c r="J1225" s="6">
        <v>0</v>
      </c>
      <c r="K1225" s="6">
        <v>0</v>
      </c>
      <c r="L1225" s="6">
        <v>0</v>
      </c>
      <c r="M1225" s="6">
        <v>0</v>
      </c>
      <c r="N1225" s="6">
        <v>1</v>
      </c>
      <c r="O1225" s="6">
        <v>1</v>
      </c>
    </row>
    <row r="1226" spans="1:15" hidden="1">
      <c r="A1226" s="6" t="s">
        <v>2452</v>
      </c>
      <c r="B1226" s="6" t="s">
        <v>1976</v>
      </c>
      <c r="C1226" s="6" t="s">
        <v>4443</v>
      </c>
      <c r="D1226" s="6" t="s">
        <v>4444</v>
      </c>
      <c r="F1226" s="6" t="s">
        <v>4444</v>
      </c>
      <c r="G1226" s="6" t="s">
        <v>2444</v>
      </c>
      <c r="H1226" s="6" t="s">
        <v>4445</v>
      </c>
      <c r="I1226" s="6">
        <v>2</v>
      </c>
      <c r="J1226" s="6">
        <v>0</v>
      </c>
      <c r="K1226" s="6">
        <v>0</v>
      </c>
      <c r="L1226" s="6">
        <v>0</v>
      </c>
      <c r="M1226" s="6">
        <v>0</v>
      </c>
      <c r="N1226" s="6">
        <v>1</v>
      </c>
      <c r="O1226" s="6">
        <v>1</v>
      </c>
    </row>
    <row r="1227" spans="1:15" hidden="1">
      <c r="A1227" s="6" t="s">
        <v>2452</v>
      </c>
      <c r="B1227" s="6" t="s">
        <v>1976</v>
      </c>
      <c r="C1227" s="6" t="s">
        <v>4443</v>
      </c>
      <c r="D1227" s="6" t="s">
        <v>4446</v>
      </c>
      <c r="G1227" s="6" t="s">
        <v>2444</v>
      </c>
      <c r="H1227" s="6" t="s">
        <v>4446</v>
      </c>
      <c r="I1227" s="6">
        <v>1</v>
      </c>
      <c r="J1227" s="6">
        <v>0</v>
      </c>
      <c r="K1227" s="6">
        <v>0</v>
      </c>
      <c r="L1227" s="6">
        <v>0</v>
      </c>
      <c r="M1227" s="6">
        <v>0</v>
      </c>
      <c r="N1227" s="6">
        <v>1</v>
      </c>
      <c r="O1227" s="6">
        <v>1</v>
      </c>
    </row>
    <row r="1228" spans="1:15" hidden="1">
      <c r="A1228" s="6" t="s">
        <v>2452</v>
      </c>
      <c r="B1228" s="6" t="s">
        <v>1976</v>
      </c>
      <c r="C1228" s="6" t="s">
        <v>4447</v>
      </c>
      <c r="D1228" s="6" t="s">
        <v>4448</v>
      </c>
      <c r="E1228" s="6" t="s">
        <v>4449</v>
      </c>
      <c r="F1228" s="6" t="s">
        <v>4450</v>
      </c>
      <c r="G1228" s="6" t="s">
        <v>2444</v>
      </c>
      <c r="H1228" s="6" t="s">
        <v>4450</v>
      </c>
      <c r="I1228" s="6">
        <v>2</v>
      </c>
      <c r="J1228" s="6">
        <v>0</v>
      </c>
      <c r="K1228" s="6">
        <v>0</v>
      </c>
      <c r="L1228" s="6">
        <v>0</v>
      </c>
      <c r="M1228" s="6">
        <v>0</v>
      </c>
      <c r="N1228" s="6">
        <v>1</v>
      </c>
      <c r="O1228" s="6">
        <v>1</v>
      </c>
    </row>
    <row r="1229" spans="1:15" hidden="1">
      <c r="A1229" s="6" t="s">
        <v>2452</v>
      </c>
      <c r="B1229" s="6" t="s">
        <v>1976</v>
      </c>
      <c r="C1229" s="6" t="s">
        <v>4447</v>
      </c>
      <c r="D1229" s="6" t="s">
        <v>4451</v>
      </c>
      <c r="E1229" s="6" t="s">
        <v>4452</v>
      </c>
      <c r="F1229" s="6" t="s">
        <v>4453</v>
      </c>
      <c r="G1229" s="6" t="s">
        <v>2444</v>
      </c>
      <c r="H1229" s="6" t="s">
        <v>4453</v>
      </c>
      <c r="I1229" s="6">
        <v>2</v>
      </c>
      <c r="J1229" s="6">
        <v>1</v>
      </c>
      <c r="K1229" s="6">
        <v>0.5</v>
      </c>
      <c r="L1229" s="6">
        <v>0.36</v>
      </c>
      <c r="M1229" s="6">
        <v>0.36</v>
      </c>
      <c r="N1229" s="6">
        <v>1</v>
      </c>
      <c r="O1229" s="6">
        <v>1</v>
      </c>
    </row>
    <row r="1230" spans="1:15" hidden="1">
      <c r="A1230" s="6" t="s">
        <v>2452</v>
      </c>
      <c r="B1230" s="6" t="s">
        <v>1976</v>
      </c>
      <c r="C1230" s="6" t="s">
        <v>4447</v>
      </c>
      <c r="D1230" s="6" t="s">
        <v>4451</v>
      </c>
      <c r="E1230" s="6" t="s">
        <v>4454</v>
      </c>
      <c r="F1230" s="6" t="s">
        <v>4455</v>
      </c>
      <c r="G1230" s="6" t="s">
        <v>2444</v>
      </c>
      <c r="H1230" s="6" t="s">
        <v>4455</v>
      </c>
      <c r="I1230" s="6">
        <v>1</v>
      </c>
      <c r="J1230" s="6">
        <v>0</v>
      </c>
      <c r="K1230" s="6">
        <v>0</v>
      </c>
      <c r="L1230" s="6">
        <v>0</v>
      </c>
      <c r="M1230" s="6">
        <v>0</v>
      </c>
      <c r="N1230" s="6">
        <v>1</v>
      </c>
      <c r="O1230" s="6">
        <v>1</v>
      </c>
    </row>
    <row r="1231" spans="1:15" hidden="1">
      <c r="A1231" s="6" t="s">
        <v>2452</v>
      </c>
      <c r="B1231" s="6" t="s">
        <v>1976</v>
      </c>
      <c r="C1231" s="6" t="s">
        <v>4456</v>
      </c>
      <c r="D1231" s="6" t="s">
        <v>4457</v>
      </c>
      <c r="F1231" s="6" t="s">
        <v>4458</v>
      </c>
      <c r="G1231" s="6" t="s">
        <v>2444</v>
      </c>
      <c r="H1231" s="6" t="s">
        <v>4459</v>
      </c>
      <c r="I1231" s="6">
        <v>3</v>
      </c>
      <c r="J1231" s="6">
        <v>0</v>
      </c>
      <c r="K1231" s="6">
        <v>0</v>
      </c>
      <c r="L1231" s="6">
        <v>0</v>
      </c>
      <c r="M1231" s="6">
        <v>0</v>
      </c>
      <c r="N1231" s="6">
        <v>0.5</v>
      </c>
      <c r="O1231" s="6">
        <v>0.5</v>
      </c>
    </row>
    <row r="1232" spans="1:15" hidden="1">
      <c r="A1232" s="6" t="s">
        <v>1581</v>
      </c>
      <c r="B1232" s="6" t="s">
        <v>4460</v>
      </c>
      <c r="C1232" s="6" t="s">
        <v>4460</v>
      </c>
      <c r="D1232" s="6" t="s">
        <v>4460</v>
      </c>
      <c r="E1232" s="6" t="s">
        <v>4460</v>
      </c>
      <c r="F1232" s="6" t="s">
        <v>4460</v>
      </c>
      <c r="G1232" s="6" t="s">
        <v>4460</v>
      </c>
      <c r="H1232" s="6" t="s">
        <v>4460</v>
      </c>
      <c r="I1232" s="6">
        <v>2370</v>
      </c>
      <c r="J1232" s="6">
        <v>206</v>
      </c>
      <c r="K1232" s="6">
        <v>8.6899999999999991E-2</v>
      </c>
      <c r="L1232" s="6" t="s">
        <v>4460</v>
      </c>
      <c r="M1232" s="6" t="s">
        <v>4460</v>
      </c>
      <c r="N1232" s="6">
        <v>0.71109999999999995</v>
      </c>
      <c r="O1232" s="6">
        <v>0.61970000000000003</v>
      </c>
    </row>
    <row r="1234" spans="1:1">
      <c r="A1234" s="35" t="s">
        <v>4461</v>
      </c>
    </row>
  </sheetData>
  <autoFilter ref="A7:XET1232" xr:uid="{47DF2C87-3CF0-4A72-91DE-F77CAF51BC4F}">
    <filterColumn colId="1">
      <filters>
        <filter val="Latvia-Leads-Search-Australia"/>
        <filter val="Latvia-Leads-Search-Canada"/>
        <filter val="Latvia-Leads-Search-USA"/>
      </filters>
    </filterColumn>
    <filterColumn colId="2">
      <filters>
        <filter val="United State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B9CE45-1FCB-4F42-86E5-785549780A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Main numbers</vt:lpstr>
      <vt:lpstr>CRM</vt:lpstr>
      <vt:lpstr>Calendly</vt:lpstr>
      <vt:lpstr>1st Analysis</vt:lpstr>
      <vt:lpstr>Countries</vt:lpstr>
      <vt:lpstr>Agreements</vt:lpstr>
      <vt:lpstr>Google</vt:lpstr>
      <vt:lpstr>Bing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2026-04-13T06:21:09Z</dcterms:modified>
</cp:coreProperties>
</file>