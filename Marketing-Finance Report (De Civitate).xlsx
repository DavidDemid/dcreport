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plan" sheetId="1" r:id="rId4"/>
    <sheet state="visible" name="Actual results" sheetId="2" r:id="rId5"/>
    <sheet state="visible" name="Marketing cost" sheetId="3" r:id="rId6"/>
    <sheet state="visible" name="Charts" sheetId="4" r:id="rId7"/>
  </sheets>
  <definedNames/>
  <calcPr/>
  <extLst>
    <ext uri="GoogleSheetsCustomDataVersion2">
      <go:sheetsCustomData xmlns:go="http://customooxmlschemas.google.com/" r:id="rId8" roundtripDataChecksum="uJDAGahboQ16lwYRP5DZFj9EFnIrzKFtecdctNLzc0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3 of them are additional applicants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8">
      <text>
        <t xml:space="preserve">We didn't receive the invoice yet, but we should pay it anyway. So, I added this sum to this month
======</t>
      </text>
    </comment>
    <comment authorId="0" ref="AH8">
      <text>
        <t xml:space="preserve">We didn't receive the invoice yet, but we should pay it anyway. So, I added this sum to this month
======</t>
      </text>
    </comment>
    <comment authorId="0" ref="J10">
      <text>
        <t xml:space="preserve">214,50 euros - Expenses charged to Labelriver
======</t>
      </text>
    </comment>
    <comment authorId="0" ref="AR13">
      <text>
        <t xml:space="preserve">200 - advance
======</t>
      </text>
    </comment>
    <comment authorId="0" ref="AS13">
      <text>
        <t xml:space="preserve">200 - advance
======</t>
      </text>
    </comment>
    <comment authorId="0" ref="AT13">
      <text>
        <t xml:space="preserve">200 - advance
======</t>
      </text>
    </comment>
    <comment authorId="0" ref="AU13">
      <text>
        <t xml:space="preserve">200 - advance
======</t>
      </text>
    </comment>
    <comment authorId="0" ref="O14">
      <text>
        <t xml:space="preserve">Advance payment - 11.03.2025
======</t>
      </text>
    </comment>
    <comment authorId="0" ref="P14">
      <text>
        <t xml:space="preserve">Yuriy Horobey, technical task #1 - 150
======</t>
      </text>
    </comment>
    <comment authorId="0" ref="Y14">
      <text>
        <t xml:space="preserve">240 - Geteucit development, included marketplace fee
======</t>
      </text>
    </comment>
    <comment authorId="0" ref="AD14">
      <text>
        <t xml:space="preserve">41 - Siluetas page fixes
30 - Analytics (in fact, about 37,5 EUR for three sites including Siluetas)
32 - LT and LV fixes (spaces and indents), backup
======</t>
      </text>
    </comment>
    <comment authorId="0" ref="AE14">
      <text>
        <t xml:space="preserve">12,5 - GA4 settings
12,5 - flags design
25 - Geteucitizenship fixes
======</t>
      </text>
    </comment>
    <comment authorId="0" ref="AF14">
      <text>
        <t xml:space="preserve">12,5 - Geteucitizenship
151 - new LT pages
======</t>
      </text>
    </comment>
    <comment authorId="0" ref="AH14">
      <text>
        <t xml:space="preserve">170 - CPU issue
100 - Geteucitizenship security issue
200 - 12 new LT pages, 1st stage 
======</t>
      </text>
    </comment>
    <comment authorId="0" ref="X15">
      <text>
        <t xml:space="preserve">GetEUcitizenship
======</t>
      </text>
    </comment>
    <comment authorId="0" ref="Y15">
      <text>
        <t xml:space="preserve">GetEUcitizenship
======</t>
      </text>
    </comment>
    <comment authorId="0" ref="I16">
      <text>
        <t xml:space="preserve">131,46 - CRM development for August
44,64 - payment for Planfix CRM for 2 persons for 3 months
======</t>
      </text>
    </comment>
    <comment authorId="0" ref="J16">
      <text>
        <t xml:space="preserve">240 - Process Father, CRM development
======</t>
      </text>
    </comment>
    <comment authorId="0" ref="K16">
      <text>
        <t xml:space="preserve">300 - Process Father, CRM development
======</t>
      </text>
    </comment>
    <comment authorId="0" ref="X16">
      <text>
        <t xml:space="preserve">57+1,1 - it's for December. Other numbers - October, November
======</t>
      </text>
    </comment>
    <comment authorId="0" ref="F17">
      <text>
        <t xml:space="preserve">Freelancehunt contractor
======</t>
      </text>
    </comment>
    <comment authorId="0" ref="O17">
      <text>
        <t xml:space="preserve">Susan
======</t>
      </text>
    </comment>
    <comment authorId="0" ref="Q17">
      <text>
        <t xml:space="preserve">Susan
======</t>
      </text>
    </comment>
    <comment authorId="0" ref="R17">
      <text>
        <t xml:space="preserve">Serpstat
======</t>
      </text>
    </comment>
    <comment authorId="0" ref="S17">
      <text>
        <t xml:space="preserve">60,73 - escrow for upwork 498986222
30 - LV goals setting
======</t>
      </text>
    </comment>
    <comment authorId="0" ref="U17">
      <text>
        <t xml:space="preserve">125 EUR - CRM implementation, prepayment
56,81 EUR - exchange difference
======</t>
      </text>
    </comment>
    <comment authorId="0" ref="V17">
      <text>
        <t xml:space="preserve">CRM implementation full payment
======</t>
      </text>
    </comment>
    <comment authorId="0" ref="W17">
      <text>
        <t xml:space="preserve">wpml plugin
======</t>
      </text>
    </comment>
    <comment authorId="0" ref="AQ17">
      <text>
        <t xml:space="preserve">HK research
======</t>
      </text>
    </comment>
    <comment authorId="0" ref="AS17">
      <text>
        <t xml:space="preserve">1 and 2. Susan
3. WP plugin
======</t>
      </text>
    </comment>
    <comment authorId="0" ref="AT17">
      <text>
        <t xml:space="preserve">Susan
======</t>
      </text>
    </comment>
    <comment authorId="0" ref="AU17">
      <text>
        <t xml:space="preserve">100 - Susan HK
======</t>
      </text>
    </comment>
    <comment authorId="0" ref="I20">
      <text>
        <t xml:space="preserve">60 euros (5,7%) are counted on Labelriver
======</t>
      </text>
    </comment>
    <comment authorId="0" ref="J20">
      <text>
        <t xml:space="preserve">291 euros - Expenses charged to Labelriver
======</t>
      </text>
    </comment>
  </commentList>
</comments>
</file>

<file path=xl/sharedStrings.xml><?xml version="1.0" encoding="utf-8"?>
<sst xmlns="http://schemas.openxmlformats.org/spreadsheetml/2006/main" count="420" uniqueCount="89">
  <si>
    <t>KPI 2025-2026 (edited in September 2025)</t>
  </si>
  <si>
    <t>Revenue after marketing exp.</t>
  </si>
  <si>
    <t>Base</t>
  </si>
  <si>
    <t>Expected growth</t>
  </si>
  <si>
    <t>Actual result</t>
  </si>
  <si>
    <t>Bonus calculation</t>
  </si>
  <si>
    <t>May</t>
  </si>
  <si>
    <t>Jun</t>
  </si>
  <si>
    <t>monthly revenue increase</t>
  </si>
  <si>
    <t>Jul</t>
  </si>
  <si>
    <t>monthly bonus for 100% result</t>
  </si>
  <si>
    <t>Aug</t>
  </si>
  <si>
    <t>fix</t>
  </si>
  <si>
    <t>Sep</t>
  </si>
  <si>
    <t>Oct</t>
  </si>
  <si>
    <t>Nov</t>
  </si>
  <si>
    <t>Dec</t>
  </si>
  <si>
    <t>Jan</t>
  </si>
  <si>
    <t>Feb</t>
  </si>
  <si>
    <t>Mar</t>
  </si>
  <si>
    <t>Apr</t>
  </si>
  <si>
    <t>Sum</t>
  </si>
  <si>
    <t>Percentage of the plan</t>
  </si>
  <si>
    <t>Profit growth against the previous year</t>
  </si>
  <si>
    <t>KPI 2025-2026</t>
  </si>
  <si>
    <t>850 770</t>
  </si>
  <si>
    <t>580 500</t>
  </si>
  <si>
    <t>KPI 2024-2025</t>
  </si>
  <si>
    <t>KPI 2023-2024</t>
  </si>
  <si>
    <t>Average revenue after marketing exp.</t>
  </si>
  <si>
    <t xml:space="preserve">Base </t>
  </si>
  <si>
    <t xml:space="preserve">Expected growth </t>
  </si>
  <si>
    <t xml:space="preserve">Bonus calculation </t>
  </si>
  <si>
    <t xml:space="preserve">Jul </t>
  </si>
  <si>
    <t xml:space="preserve">monthly bonus for 100% result </t>
  </si>
  <si>
    <t xml:space="preserve">Aug </t>
  </si>
  <si>
    <t>monthly bonus for 100% result (from January)</t>
  </si>
  <si>
    <t xml:space="preserve">Sep </t>
  </si>
  <si>
    <t>&lt;-- discussion and re-callibrating targets, if needed at the end of the month</t>
  </si>
  <si>
    <t xml:space="preserve">Sum </t>
  </si>
  <si>
    <t>Current Plan Execution</t>
  </si>
  <si>
    <t xml:space="preserve">Target </t>
  </si>
  <si>
    <t>Signed contracts</t>
  </si>
  <si>
    <t>2022-2025</t>
  </si>
  <si>
    <t>Marketing costs</t>
  </si>
  <si>
    <t>Share of Marketing Costs</t>
  </si>
  <si>
    <t>Profit without marketing costs</t>
  </si>
  <si>
    <t>Total</t>
  </si>
  <si>
    <t>LT</t>
  </si>
  <si>
    <t>LV</t>
  </si>
  <si>
    <t>Comp.form</t>
  </si>
  <si>
    <t>RBI</t>
  </si>
  <si>
    <t>Cost per contract</t>
  </si>
  <si>
    <t>Marketing costs, EUR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</si>
  <si>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</si>
  <si>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</si>
  <si>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</si>
  <si>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</si>
  <si>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</si>
  <si>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</si>
  <si>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</si>
  <si>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</si>
  <si>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</si>
  <si>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</si>
  <si>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</si>
  <si>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FB &amp; Instagram</t>
  </si>
  <si>
    <t>Google</t>
  </si>
  <si>
    <t>Bing</t>
  </si>
  <si>
    <t>SEO (work)</t>
  </si>
  <si>
    <t>SEO (backlinks)</t>
  </si>
  <si>
    <t>Copywriting</t>
  </si>
  <si>
    <t>Selzy</t>
  </si>
  <si>
    <t>Marketplace fee</t>
  </si>
  <si>
    <t>Marketer`s salary for the previous month</t>
  </si>
  <si>
    <t>Development</t>
  </si>
  <si>
    <t>Designer</t>
  </si>
  <si>
    <t>CRM</t>
  </si>
  <si>
    <t>Other costs</t>
  </si>
  <si>
    <t>clickcease.com</t>
  </si>
  <si>
    <t>Netpeak</t>
  </si>
  <si>
    <t>SEO manager</t>
  </si>
  <si>
    <t>BridgeWest</t>
  </si>
  <si>
    <t>SERanking</t>
  </si>
  <si>
    <t>SMM</t>
  </si>
  <si>
    <t>Percentage</t>
  </si>
  <si>
    <t>Net sales</t>
  </si>
  <si>
    <t>Transferred</t>
  </si>
  <si>
    <t>Net Sales vs Transferred, 2022-2026</t>
  </si>
  <si>
    <t>Net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</si>
</sst>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rgb="FF000000"/>
      <name val="Calibri"/>
    </font>
    <font>
      <sz val="11.0"/>
      <color rgb="FF0070C0"/>
      <name val="Calibri"/>
    </font>
    <font>
      <color theme="1"/>
      <name val="Calibri"/>
      <scheme val="minor"/>
    </font>
    <font>
      <b/>
      <sz val="12.0"/>
      <color rgb="FF0070C0"/>
      <name val="Calibri"/>
    </font>
    <font>
      <sz val="11.0"/>
      <color theme="1"/>
      <name val="Calibri"/>
    </font>
    <font>
      <b/>
      <color rgb="FF0B5394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5.0"/>
      <color theme="1"/>
      <name val="Calibri"/>
      <scheme val="minor"/>
    </font>
    <font>
      <b/>
      <sz val="16.0"/>
      <color rgb="FF0070C0"/>
      <name val="Calibri"/>
      <scheme val="minor"/>
    </font>
    <font>
      <b/>
      <sz val="16.0"/>
      <color rgb="FF99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3">
    <border/>
    <border>
      <bottom style="thin">
        <color rgb="FF000000"/>
      </bottom>
    </border>
    <border>
      <bottom style="hair">
        <color rgb="FFA61C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2" xfId="0" applyAlignment="1" applyBorder="1" applyFont="1" applyNumberFormat="1">
      <alignment horizontal="right" readingOrder="0" vertical="bottom"/>
    </xf>
    <xf borderId="1" fillId="0" fontId="2" numFmtId="2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/>
    </xf>
    <xf borderId="0" fillId="0" fontId="1" numFmtId="10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1" fillId="0" fontId="3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6" numFmtId="1" xfId="0" applyFont="1" applyNumberFormat="1"/>
    <xf borderId="0" fillId="0" fontId="2" numFmtId="1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vertical="bottom"/>
    </xf>
    <xf borderId="1" fillId="0" fontId="3" numFmtId="2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shrinkToFit="0" vertical="bottom" wrapText="0"/>
    </xf>
    <xf borderId="0" fillId="0" fontId="4" numFmtId="0" xfId="0" applyFont="1"/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2" numFmtId="1" xfId="0" applyAlignment="1" applyFont="1" applyNumberFormat="1">
      <alignment shrinkToFit="0" vertical="bottom" wrapText="0"/>
    </xf>
    <xf borderId="0" fillId="0" fontId="7" numFmtId="2" xfId="0" applyFont="1" applyNumberFormat="1"/>
    <xf borderId="0" fillId="0" fontId="7" numFmtId="10" xfId="0" applyFont="1" applyNumberFormat="1"/>
    <xf borderId="0" fillId="0" fontId="6" numFmtId="0" xfId="0" applyAlignment="1" applyFont="1">
      <alignment shrinkToFit="0" wrapText="1"/>
    </xf>
    <xf borderId="0" fillId="0" fontId="6" numFmtId="1" xfId="0" applyAlignment="1" applyFont="1" applyNumberFormat="1">
      <alignment shrinkToFit="0" wrapText="1"/>
    </xf>
    <xf borderId="0" fillId="0" fontId="6" numFmtId="10" xfId="0" applyAlignment="1" applyFont="1" applyNumberFormat="1">
      <alignment shrinkToFit="0" wrapText="1"/>
    </xf>
    <xf borderId="0" fillId="0" fontId="4" numFmtId="10" xfId="0" applyFont="1" applyNumberFormat="1"/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1" fillId="0" fontId="6" numFmtId="0" xfId="0" applyBorder="1" applyFont="1"/>
    <xf borderId="1" fillId="0" fontId="6" numFmtId="1" xfId="0" applyBorder="1" applyFont="1" applyNumberFormat="1"/>
    <xf borderId="1" fillId="0" fontId="3" numFmtId="2" xfId="0" applyAlignment="1" applyBorder="1" applyFont="1" applyNumberFormat="1">
      <alignment readingOrder="0"/>
    </xf>
    <xf borderId="1" fillId="0" fontId="6" numFmtId="10" xfId="0" applyBorder="1" applyFont="1" applyNumberFormat="1"/>
    <xf borderId="0" fillId="0" fontId="3" numFmtId="2" xfId="0" applyFont="1" applyNumberFormat="1"/>
    <xf borderId="0" fillId="0" fontId="7" numFmtId="0" xfId="0" applyFont="1"/>
    <xf borderId="0" fillId="0" fontId="4" numFmtId="2" xfId="0" applyFont="1" applyNumberFormat="1"/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4" xfId="0" applyFont="1" applyNumberFormat="1"/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2" xfId="0" applyBorder="1" applyFont="1" applyNumberFormat="1"/>
    <xf borderId="2" fillId="0" fontId="4" numFmtId="10" xfId="0" applyBorder="1" applyFont="1" applyNumberFormat="1"/>
    <xf borderId="0" fillId="0" fontId="8" numFmtId="0" xfId="0" applyAlignment="1" applyFon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/>
    </xf>
    <xf borderId="0" fillId="2" fontId="9" numFmtId="0" xfId="0" applyAlignment="1" applyFill="1" applyFont="1">
      <alignment horizontal="center" readingOrder="0"/>
    </xf>
    <xf borderId="0" fillId="0" fontId="9" numFmtId="2" xfId="0" applyAlignment="1" applyFont="1" applyNumberFormat="1">
      <alignment horizontal="center"/>
    </xf>
    <xf borderId="0" fillId="0" fontId="9" numFmtId="1" xfId="0" applyAlignment="1" applyFont="1" applyNumberFormat="1">
      <alignment horizontal="center" readingOrder="0"/>
    </xf>
    <xf borderId="0" fillId="2" fontId="9" numFmtId="4" xfId="0" applyAlignment="1" applyFont="1" applyNumberFormat="1">
      <alignment horizontal="center"/>
    </xf>
    <xf borderId="0" fillId="2" fontId="9" numFmtId="0" xfId="0" applyAlignment="1" applyFont="1">
      <alignment horizontal="center"/>
    </xf>
    <xf borderId="0" fillId="2" fontId="9" numFmtId="2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2" fontId="4" numFmtId="4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4" numFmtId="1" xfId="0" applyAlignment="1" applyFont="1" applyNumberFormat="1">
      <alignment readingOrder="0"/>
    </xf>
    <xf borderId="0" fillId="2" fontId="4" numFmtId="2" xfId="0" applyFont="1" applyNumberFormat="1"/>
    <xf borderId="0" fillId="0" fontId="4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Charts!$A$89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Charts!$B$88:$M$88</c:f>
            </c:strRef>
          </c:cat>
          <c:val>
            <c:numRef>
              <c:f>Charts!$B$89:$M$89</c:f>
              <c:numCache/>
            </c:numRef>
          </c:val>
        </c:ser>
        <c:ser>
          <c:idx val="1"/>
          <c:order val="1"/>
          <c:tx>
            <c:strRef>
              <c:f>Charts!$A$90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Charts!$B$88:$M$88</c:f>
            </c:strRef>
          </c:cat>
          <c:val>
            <c:numRef>
              <c:f>Charts!$B$90:$M$90</c:f>
              <c:numCache/>
            </c:numRef>
          </c:val>
        </c:ser>
        <c:ser>
          <c:idx val="2"/>
          <c:order val="2"/>
          <c:tx>
            <c:strRef>
              <c:f>Charts!$A$91</c:f>
            </c:strRef>
          </c:tx>
          <c:cat>
            <c:strRef>
              <c:f>Charts!$B$88:$M$88</c:f>
            </c:strRef>
          </c:cat>
          <c:val>
            <c:numRef>
              <c:f>Charts!$B$91:$M$91</c:f>
              <c:numCache/>
            </c:numRef>
          </c:val>
        </c:ser>
        <c:axId val="1820006491"/>
        <c:axId val="2073193974"/>
      </c:barChart>
      <c:catAx>
        <c:axId val="1820006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193974"/>
      </c:catAx>
      <c:valAx>
        <c:axId val="2073193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006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Charts!$A$68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Charts!$B$67:$M$67</c:f>
            </c:strRef>
          </c:cat>
          <c:val>
            <c:numRef>
              <c:f>Charts!$B$68:$M$68</c:f>
              <c:numCache/>
            </c:numRef>
          </c:val>
        </c:ser>
        <c:ser>
          <c:idx val="1"/>
          <c:order val="1"/>
          <c:tx>
            <c:strRef>
              <c:f>Charts!$A$69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Charts!$B$67:$M$67</c:f>
            </c:strRef>
          </c:cat>
          <c:val>
            <c:numRef>
              <c:f>Charts!$B$69:$M$69</c:f>
              <c:numCache/>
            </c:numRef>
          </c:val>
        </c:ser>
        <c:ser>
          <c:idx val="2"/>
          <c:order val="2"/>
          <c:tx>
            <c:strRef>
              <c:f>Charts!$A$70</c:f>
            </c:strRef>
          </c:tx>
          <c:cat>
            <c:strRef>
              <c:f>Charts!$B$67:$M$67</c:f>
            </c:strRef>
          </c:cat>
          <c:val>
            <c:numRef>
              <c:f>Charts!$B$70:$M$70</c:f>
              <c:numCache/>
            </c:numRef>
          </c:val>
        </c:ser>
        <c:axId val="112744603"/>
        <c:axId val="1043593766"/>
      </c:barChart>
      <c:catAx>
        <c:axId val="112744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593766"/>
      </c:catAx>
      <c:valAx>
        <c:axId val="1043593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44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and Transferred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Charts!$A$47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Charts!$B$46:$M$46</c:f>
            </c:strRef>
          </c:cat>
          <c:val>
            <c:numRef>
              <c:f>Charts!$B$47:$M$47</c:f>
              <c:numCache/>
            </c:numRef>
          </c:val>
        </c:ser>
        <c:ser>
          <c:idx val="1"/>
          <c:order val="1"/>
          <c:tx>
            <c:strRef>
              <c:f>Charts!$A$48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Charts!$B$46:$M$46</c:f>
            </c:strRef>
          </c:cat>
          <c:val>
            <c:numRef>
              <c:f>Charts!$B$48:$M$48</c:f>
              <c:numCache/>
            </c:numRef>
          </c:val>
        </c:ser>
        <c:axId val="1216005789"/>
        <c:axId val="387987746"/>
      </c:barChart>
      <c:catAx>
        <c:axId val="1216005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987746"/>
      </c:catAx>
      <c:valAx>
        <c:axId val="387987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005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2022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Charts!$Q$47:$Q$58</c:f>
            </c:strRef>
          </c:cat>
          <c:val>
            <c:numRef>
              <c:f>Charts!$R$47:$R$58</c:f>
              <c:numCache/>
            </c:numRef>
          </c:val>
          <c:smooth val="0"/>
        </c:ser>
        <c:ser>
          <c:idx val="1"/>
          <c:order val="1"/>
          <c:tx>
            <c:v>2023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Charts!$Q$47:$Q$58</c:f>
            </c:strRef>
          </c:cat>
          <c:val>
            <c:numRef>
              <c:f>Charts!$S$47:$S$58</c:f>
              <c:numCache/>
            </c:numRef>
          </c:val>
          <c:smooth val="0"/>
        </c:ser>
        <c:ser>
          <c:idx val="2"/>
          <c:order val="2"/>
          <c:tx>
            <c:v>2024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Charts!$Q$47:$Q$58</c:f>
            </c:strRef>
          </c:cat>
          <c:val>
            <c:numRef>
              <c:f>Charts!$T$47:$T$58</c:f>
              <c:numCache/>
            </c:numRef>
          </c:val>
          <c:smooth val="0"/>
        </c:ser>
        <c:ser>
          <c:idx val="3"/>
          <c:order val="3"/>
          <c:tx>
            <c:v>2025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Charts!$Q$47:$Q$58</c:f>
            </c:strRef>
          </c:cat>
          <c:val>
            <c:numRef>
              <c:f>Charts!$U$47:$U$58</c:f>
              <c:numCache/>
            </c:numRef>
          </c:val>
          <c:smooth val="0"/>
        </c:ser>
        <c:ser>
          <c:idx val="4"/>
          <c:order val="4"/>
          <c:tx>
            <c:strRef>
              <c:f>Charts!$V$46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Charts!$Q$47:$Q$58</c:f>
            </c:strRef>
          </c:cat>
          <c:val>
            <c:numRef>
              <c:f>Charts!$V$47:$V$58</c:f>
              <c:numCache/>
            </c:numRef>
          </c:val>
          <c:smooth val="0"/>
        </c:ser>
        <c:axId val="1285819875"/>
        <c:axId val="2120118946"/>
      </c:lineChart>
      <c:catAx>
        <c:axId val="1285819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118946"/>
      </c:catAx>
      <c:valAx>
        <c:axId val="2120118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81987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vs Transferred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Charts!$A$113</c:f>
            </c:strRef>
          </c:tx>
          <c:spPr>
            <a:solidFill>
              <a:schemeClr val="lt1">
                <a:alpha val="30000"/>
              </a:schemeClr>
            </a:solidFill>
            <a:ln cmpd="sng">
              <a:solidFill>
                <a:schemeClr val="lt1"/>
              </a:solidFill>
              <a:prstDash val="sysDot"/>
            </a:ln>
          </c:spPr>
          <c:cat>
            <c:strRef>
              <c:f>Charts!$B$114:$BI$114</c:f>
            </c:strRef>
          </c:cat>
          <c:val>
            <c:numRef>
              <c:f>Charts!$B$113:$BI$113</c:f>
              <c:numCache/>
            </c:numRef>
          </c:val>
        </c:ser>
        <c:ser>
          <c:idx val="1"/>
          <c:order val="1"/>
          <c:tx>
            <c:strRef>
              <c:f>Charts!$A$115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  <a:prstDash val="solid"/>
            </a:ln>
          </c:spPr>
          <c:trendline>
            <c:name/>
            <c:spPr>
              <a:ln w="19050">
                <a:solidFill>
                  <a:srgbClr val="C0504D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Charts!$B$114:$BI$114</c:f>
            </c:strRef>
          </c:cat>
          <c:val>
            <c:numRef>
              <c:f>Charts!$B$115:$BI$115</c:f>
              <c:numCache/>
            </c:numRef>
          </c:val>
        </c:ser>
        <c:ser>
          <c:idx val="2"/>
          <c:order val="2"/>
          <c:tx>
            <c:strRef>
              <c:f>Charts!$A$115</c:f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  <a:prstDash val="solid"/>
            </a:ln>
          </c:spPr>
          <c:trendline>
            <c:name/>
            <c:spPr>
              <a:ln w="19050">
                <a:solidFill>
                  <a:srgbClr val="9BBB59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Charts!$B$114:$BI$114</c:f>
            </c:strRef>
          </c:cat>
          <c:val>
            <c:numRef>
              <c:f>Charts!$B$115:$BI$115</c:f>
              <c:numCache/>
            </c:numRef>
          </c:val>
        </c:ser>
        <c:axId val="1712327492"/>
        <c:axId val="780416738"/>
      </c:areaChart>
      <c:catAx>
        <c:axId val="1712327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416738"/>
      </c:catAx>
      <c:valAx>
        <c:axId val="780416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327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and Transferred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Charts!$A$25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Charts!$B$24:$M$24</c:f>
            </c:strRef>
          </c:cat>
          <c:val>
            <c:numRef>
              <c:f>Charts!$B$25:$M$25</c:f>
              <c:numCache/>
            </c:numRef>
          </c:val>
        </c:ser>
        <c:ser>
          <c:idx val="1"/>
          <c:order val="1"/>
          <c:tx>
            <c:strRef>
              <c:f>Charts!$A$26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Charts!$B$24:$M$24</c:f>
            </c:strRef>
          </c:cat>
          <c:val>
            <c:numRef>
              <c:f>Charts!$B$26:$M$26</c:f>
              <c:numCache/>
            </c:numRef>
          </c:val>
        </c:ser>
        <c:axId val="432534619"/>
        <c:axId val="306413368"/>
      </c:barChart>
      <c:catAx>
        <c:axId val="432534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413368"/>
      </c:catAx>
      <c:valAx>
        <c:axId val="306413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534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and Transferred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Charts!$B$2:$M$2</c:f>
            </c:strRef>
          </c:cat>
          <c:val>
            <c:numRef>
              <c:f>Charts!$B$3:$M$3</c:f>
              <c:numCache/>
            </c:numRef>
          </c:val>
        </c:ser>
        <c:ser>
          <c:idx val="1"/>
          <c:order val="1"/>
          <c:tx>
            <c:strRef>
              <c:f>Charts!$A$4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Charts!$B$2:$M$2</c:f>
            </c:strRef>
          </c:cat>
          <c:val>
            <c:numRef>
              <c:f>Charts!$B$4:$M$4</c:f>
              <c:numCache/>
            </c:numRef>
          </c:val>
        </c:ser>
        <c:axId val="566925502"/>
        <c:axId val="1544906598"/>
      </c:barChart>
      <c:catAx>
        <c:axId val="566925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906598"/>
      </c:catAx>
      <c:valAx>
        <c:axId val="1544906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925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Charts!$R$66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Charts!$Q$67:$Q$78</c:f>
            </c:strRef>
          </c:cat>
          <c:val>
            <c:numRef>
              <c:f>Charts!$R$67:$R$78</c:f>
              <c:numCache/>
            </c:numRef>
          </c:val>
          <c:smooth val="0"/>
        </c:ser>
        <c:ser>
          <c:idx val="1"/>
          <c:order val="1"/>
          <c:tx>
            <c:strRef>
              <c:f>Charts!$S$66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Charts!$Q$67:$Q$78</c:f>
            </c:strRef>
          </c:cat>
          <c:val>
            <c:numRef>
              <c:f>Charts!$S$67:$S$78</c:f>
              <c:numCache/>
            </c:numRef>
          </c:val>
          <c:smooth val="0"/>
        </c:ser>
        <c:ser>
          <c:idx val="2"/>
          <c:order val="2"/>
          <c:tx>
            <c:strRef>
              <c:f>Charts!$T$66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Charts!$Q$67:$Q$78</c:f>
            </c:strRef>
          </c:cat>
          <c:val>
            <c:numRef>
              <c:f>Charts!$T$67:$T$78</c:f>
              <c:numCache/>
            </c:numRef>
          </c:val>
          <c:smooth val="0"/>
        </c:ser>
        <c:ser>
          <c:idx val="3"/>
          <c:order val="3"/>
          <c:tx>
            <c:strRef>
              <c:f>Charts!$U$66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Charts!$Q$67:$Q$78</c:f>
            </c:strRef>
          </c:cat>
          <c:val>
            <c:numRef>
              <c:f>Charts!$U$67:$U$78</c:f>
              <c:numCache/>
            </c:numRef>
          </c:val>
          <c:smooth val="0"/>
        </c:ser>
        <c:ser>
          <c:idx val="4"/>
          <c:order val="4"/>
          <c:tx>
            <c:strRef>
              <c:f>Charts!$V$66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Charts!$Q$67:$Q$78</c:f>
            </c:strRef>
          </c:cat>
          <c:val>
            <c:numRef>
              <c:f>Charts!$V$67:$V$78</c:f>
              <c:numCache/>
            </c:numRef>
          </c:val>
          <c:smooth val="0"/>
        </c:ser>
        <c:axId val="541682166"/>
        <c:axId val="1604079707"/>
      </c:lineChart>
      <c:catAx>
        <c:axId val="541682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079707"/>
      </c:catAx>
      <c:valAx>
        <c:axId val="1604079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682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91</xdr:row>
      <xdr:rowOff>161925</xdr:rowOff>
    </xdr:from>
    <xdr:ext cx="7562850" cy="3057525"/>
    <xdr:graphicFrame>
      <xdr:nvGraphicFramePr>
        <xdr:cNvPr id="99484220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70</xdr:row>
      <xdr:rowOff>85725</xdr:rowOff>
    </xdr:from>
    <xdr:ext cx="7562850" cy="3057525"/>
    <xdr:graphicFrame>
      <xdr:nvGraphicFramePr>
        <xdr:cNvPr id="1450106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48</xdr:row>
      <xdr:rowOff>171450</xdr:rowOff>
    </xdr:from>
    <xdr:ext cx="7496175" cy="2867025"/>
    <xdr:graphicFrame>
      <xdr:nvGraphicFramePr>
        <xdr:cNvPr id="109110570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209550</xdr:colOff>
      <xdr:row>45</xdr:row>
      <xdr:rowOff>0</xdr:rowOff>
    </xdr:from>
    <xdr:ext cx="4695825" cy="2924175"/>
    <xdr:graphicFrame>
      <xdr:nvGraphicFramePr>
        <xdr:cNvPr id="76187111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209550</xdr:colOff>
      <xdr:row>116</xdr:row>
      <xdr:rowOff>152400</xdr:rowOff>
    </xdr:from>
    <xdr:ext cx="7381875" cy="3533775"/>
    <xdr:graphicFrame>
      <xdr:nvGraphicFramePr>
        <xdr:cNvPr id="159942727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27</xdr:row>
      <xdr:rowOff>171450</xdr:rowOff>
    </xdr:from>
    <xdr:ext cx="7496175" cy="2867025"/>
    <xdr:graphicFrame>
      <xdr:nvGraphicFramePr>
        <xdr:cNvPr id="2045440460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</xdr:row>
      <xdr:rowOff>28575</xdr:rowOff>
    </xdr:from>
    <xdr:ext cx="7562850" cy="3181350"/>
    <xdr:graphicFrame>
      <xdr:nvGraphicFramePr>
        <xdr:cNvPr id="505216973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276225</xdr:colOff>
      <xdr:row>64</xdr:row>
      <xdr:rowOff>247650</xdr:rowOff>
    </xdr:from>
    <xdr:ext cx="4629150" cy="2867025"/>
    <xdr:graphicFrame>
      <xdr:nvGraphicFramePr>
        <xdr:cNvPr id="204693264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86"/>
    <col customWidth="1" min="4" max="4" width="8.71"/>
    <col customWidth="1" min="5" max="5" width="10.57"/>
    <col customWidth="1" min="6" max="6" width="11.57"/>
    <col customWidth="1" min="7" max="7" width="11.14"/>
    <col customWidth="1" min="8" max="26" width="8.71"/>
  </cols>
  <sheetData>
    <row r="1">
      <c r="A1" s="1" t="s">
        <v>0</v>
      </c>
    </row>
    <row r="2">
      <c r="A2" s="2"/>
      <c r="B2" s="2"/>
      <c r="C2" s="3" t="s">
        <v>1</v>
      </c>
      <c r="D2" s="4" t="s">
        <v>2</v>
      </c>
      <c r="E2" s="3" t="s">
        <v>3</v>
      </c>
      <c r="F2" s="3" t="s">
        <v>4</v>
      </c>
      <c r="G2" s="3" t="s">
        <v>5</v>
      </c>
      <c r="H2" s="2"/>
      <c r="I2" s="2"/>
    </row>
    <row r="3">
      <c r="A3" s="4" t="s">
        <v>6</v>
      </c>
      <c r="B3" s="2"/>
      <c r="C3" s="5"/>
      <c r="D3" s="6">
        <v>30543.0</v>
      </c>
      <c r="E3" s="6">
        <v>32725.0</v>
      </c>
      <c r="F3" s="7">
        <v>58549.47</v>
      </c>
      <c r="G3" s="5"/>
      <c r="H3" s="2"/>
      <c r="I3" s="2"/>
    </row>
    <row r="4">
      <c r="A4" s="4" t="s">
        <v>7</v>
      </c>
      <c r="B4" s="6">
        <v>0.0</v>
      </c>
      <c r="C4" s="6">
        <v>48375.0</v>
      </c>
      <c r="D4" s="6">
        <v>30543.0</v>
      </c>
      <c r="E4" s="6">
        <v>35700.0</v>
      </c>
      <c r="F4" s="7">
        <v>25655.24</v>
      </c>
      <c r="G4" s="2"/>
      <c r="H4" s="2"/>
      <c r="I4" s="6">
        <v>3465.0</v>
      </c>
      <c r="J4" s="4" t="s">
        <v>8</v>
      </c>
    </row>
    <row r="5">
      <c r="A5" s="4" t="s">
        <v>9</v>
      </c>
      <c r="B5" s="6">
        <v>1.0</v>
      </c>
      <c r="C5" s="6">
        <v>51266.0</v>
      </c>
      <c r="D5" s="6">
        <v>48375.0</v>
      </c>
      <c r="E5" s="6">
        <f t="shared" ref="E5:E16" si="1">C5-D5</f>
        <v>2891</v>
      </c>
      <c r="F5" s="8">
        <f>'Actual results'!E40</f>
        <v>30578.07</v>
      </c>
      <c r="G5" s="9">
        <f t="shared" ref="G5:G16" si="2">(((F5-D5)+(F4-D4)+(F3-D3))/sum(E3:E5))*$I$27</f>
        <v>52.23576757</v>
      </c>
      <c r="H5" s="2"/>
      <c r="I5" s="6">
        <v>700.0</v>
      </c>
      <c r="J5" s="4" t="s">
        <v>10</v>
      </c>
    </row>
    <row r="6">
      <c r="A6" s="4" t="s">
        <v>11</v>
      </c>
      <c r="B6" s="6">
        <v>2.0</v>
      </c>
      <c r="C6" s="6">
        <v>54157.0</v>
      </c>
      <c r="D6" s="6">
        <v>48375.0</v>
      </c>
      <c r="E6" s="6">
        <f t="shared" si="1"/>
        <v>5782</v>
      </c>
      <c r="F6" s="8">
        <f>'Actual results'!E41</f>
        <v>35109.82</v>
      </c>
      <c r="G6" s="9">
        <f t="shared" si="2"/>
        <v>-567.1221013</v>
      </c>
      <c r="H6" s="2"/>
      <c r="I6" s="4">
        <v>1300.0</v>
      </c>
      <c r="J6" s="10" t="s">
        <v>12</v>
      </c>
    </row>
    <row r="7">
      <c r="A7" s="4" t="s">
        <v>13</v>
      </c>
      <c r="B7" s="6">
        <v>3.0</v>
      </c>
      <c r="C7" s="6">
        <v>57048.0</v>
      </c>
      <c r="D7" s="6">
        <v>48375.0</v>
      </c>
      <c r="E7" s="6">
        <f t="shared" si="1"/>
        <v>8673</v>
      </c>
      <c r="F7" s="8">
        <f>'Actual results'!E42</f>
        <v>34973.99</v>
      </c>
      <c r="G7" s="9">
        <f t="shared" si="2"/>
        <v>-1794.31477</v>
      </c>
      <c r="H7" s="2"/>
      <c r="I7" s="2"/>
    </row>
    <row r="8">
      <c r="A8" s="4" t="s">
        <v>14</v>
      </c>
      <c r="B8" s="6">
        <v>4.0</v>
      </c>
      <c r="C8" s="6">
        <v>59939.0</v>
      </c>
      <c r="D8" s="6">
        <v>48375.0</v>
      </c>
      <c r="E8" s="6">
        <f t="shared" si="1"/>
        <v>11564</v>
      </c>
      <c r="F8" s="8">
        <f>'Actual results'!E43</f>
        <v>47679.2</v>
      </c>
      <c r="G8" s="9">
        <f t="shared" si="2"/>
        <v>-736.1310196</v>
      </c>
      <c r="H8" s="2"/>
      <c r="I8" s="2"/>
    </row>
    <row r="9">
      <c r="A9" s="4" t="s">
        <v>15</v>
      </c>
      <c r="B9" s="6">
        <v>5.0</v>
      </c>
      <c r="C9" s="6">
        <v>62830.0</v>
      </c>
      <c r="D9" s="6">
        <v>48375.0</v>
      </c>
      <c r="E9" s="6">
        <f t="shared" si="1"/>
        <v>14455</v>
      </c>
      <c r="F9" s="8">
        <f>'Actual results'!E44</f>
        <v>52342.56</v>
      </c>
      <c r="G9" s="9">
        <f t="shared" si="2"/>
        <v>-204.3835755</v>
      </c>
      <c r="H9" s="2"/>
      <c r="I9" s="2"/>
    </row>
    <row r="10">
      <c r="A10" s="11" t="s">
        <v>16</v>
      </c>
      <c r="B10" s="12">
        <v>6.0</v>
      </c>
      <c r="C10" s="12">
        <v>65721.0</v>
      </c>
      <c r="D10" s="12">
        <v>48375.0</v>
      </c>
      <c r="E10" s="12">
        <f t="shared" si="1"/>
        <v>17346</v>
      </c>
      <c r="F10" s="13">
        <f>'Actual results'!E45</f>
        <v>31849.97</v>
      </c>
      <c r="G10" s="14">
        <f t="shared" si="2"/>
        <v>-213.9349475</v>
      </c>
      <c r="H10" s="15"/>
      <c r="I10" s="15"/>
    </row>
    <row r="11">
      <c r="A11" s="4" t="s">
        <v>17</v>
      </c>
      <c r="B11" s="6">
        <v>7.0</v>
      </c>
      <c r="C11" s="6">
        <v>68612.0</v>
      </c>
      <c r="D11" s="6">
        <v>48375.0</v>
      </c>
      <c r="E11" s="6">
        <f t="shared" si="1"/>
        <v>20237</v>
      </c>
      <c r="F11" s="8">
        <f>'Actual results'!E46</f>
        <v>28361.75</v>
      </c>
      <c r="G11" s="9">
        <f t="shared" si="2"/>
        <v>-438.1318267</v>
      </c>
      <c r="H11" s="2"/>
      <c r="I11" s="2"/>
    </row>
    <row r="12">
      <c r="A12" s="4" t="s">
        <v>18</v>
      </c>
      <c r="B12" s="6">
        <v>8.0</v>
      </c>
      <c r="C12" s="6">
        <v>71503.0</v>
      </c>
      <c r="D12" s="6">
        <v>48375.0</v>
      </c>
      <c r="E12" s="6">
        <f t="shared" si="1"/>
        <v>23128</v>
      </c>
      <c r="F12" s="8">
        <f>'Actual results'!E47</f>
        <v>48192.89</v>
      </c>
      <c r="G12" s="9">
        <f t="shared" si="2"/>
        <v>-423.3874092</v>
      </c>
      <c r="H12" s="2"/>
      <c r="I12" s="2"/>
    </row>
    <row r="13">
      <c r="A13" s="4" t="s">
        <v>19</v>
      </c>
      <c r="B13" s="6">
        <v>9.0</v>
      </c>
      <c r="C13" s="6">
        <v>74394.0</v>
      </c>
      <c r="D13" s="6">
        <v>48375.0</v>
      </c>
      <c r="E13" s="6">
        <f t="shared" si="1"/>
        <v>26019</v>
      </c>
      <c r="F13" s="8">
        <f>'Actual results'!E48</f>
        <v>64146.75</v>
      </c>
      <c r="G13" s="9">
        <f t="shared" si="2"/>
        <v>-44.62883374</v>
      </c>
      <c r="H13" s="2"/>
      <c r="I13" s="2"/>
    </row>
    <row r="14">
      <c r="A14" s="4" t="s">
        <v>20</v>
      </c>
      <c r="B14" s="6">
        <v>10.0</v>
      </c>
      <c r="C14" s="6">
        <v>77285.0</v>
      </c>
      <c r="D14" s="6">
        <v>48375.0</v>
      </c>
      <c r="E14" s="6">
        <f t="shared" si="1"/>
        <v>28910</v>
      </c>
      <c r="F14" s="8">
        <f>'Actual results'!E49</f>
        <v>19847.21</v>
      </c>
      <c r="G14" s="9">
        <f t="shared" si="2"/>
        <v>-116.0268137</v>
      </c>
      <c r="H14" s="2"/>
      <c r="I14" s="2"/>
    </row>
    <row r="15">
      <c r="A15" s="4" t="s">
        <v>6</v>
      </c>
      <c r="B15" s="6">
        <v>11.0</v>
      </c>
      <c r="C15" s="6">
        <v>80176.0</v>
      </c>
      <c r="D15" s="6">
        <v>48375.0</v>
      </c>
      <c r="E15" s="6">
        <f t="shared" si="1"/>
        <v>31801</v>
      </c>
      <c r="F15" s="7"/>
      <c r="G15" s="9">
        <f t="shared" si="2"/>
        <v>-493.3901533</v>
      </c>
      <c r="H15" s="2"/>
      <c r="I15" s="2"/>
    </row>
    <row r="16">
      <c r="A16" s="4" t="s">
        <v>7</v>
      </c>
      <c r="B16" s="6">
        <v>12.0</v>
      </c>
      <c r="C16" s="6">
        <v>83067.0</v>
      </c>
      <c r="D16" s="6">
        <v>48375.0</v>
      </c>
      <c r="E16" s="6">
        <f t="shared" si="1"/>
        <v>34692</v>
      </c>
      <c r="F16" s="7"/>
      <c r="G16" s="9">
        <f t="shared" si="2"/>
        <v>-919.2001614</v>
      </c>
      <c r="H16" s="2"/>
      <c r="I16" s="2"/>
    </row>
    <row r="17">
      <c r="A17" s="2"/>
      <c r="B17" s="4" t="s">
        <v>21</v>
      </c>
      <c r="C17" s="16">
        <f t="shared" ref="C17:D17" si="3">SUM(C5:C16)</f>
        <v>805998</v>
      </c>
      <c r="D17" s="17">
        <f t="shared" si="3"/>
        <v>580500</v>
      </c>
      <c r="E17" s="2"/>
      <c r="F17" s="16">
        <f>SUM(F5:F16)</f>
        <v>393082.21</v>
      </c>
      <c r="G17" s="2"/>
      <c r="H17" s="2"/>
      <c r="I17" s="2"/>
      <c r="J17" s="18"/>
    </row>
    <row r="18">
      <c r="A18" s="1"/>
      <c r="B18" s="1"/>
      <c r="C18" s="1"/>
      <c r="D18" s="1"/>
      <c r="E18" s="19" t="s">
        <v>22</v>
      </c>
      <c r="F18" s="20">
        <f>F17/C17</f>
        <v>0.4876962598</v>
      </c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9" t="s">
        <v>23</v>
      </c>
      <c r="F20" s="21">
        <f>F17-F58</f>
        <v>-187402.4874</v>
      </c>
      <c r="G20" s="20">
        <f>F20/F58</f>
        <v>-0.322837946</v>
      </c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 t="s">
        <v>24</v>
      </c>
    </row>
    <row r="24">
      <c r="A24" s="2"/>
      <c r="B24" s="2"/>
      <c r="C24" s="3" t="s">
        <v>1</v>
      </c>
      <c r="D24" s="4" t="s">
        <v>2</v>
      </c>
      <c r="E24" s="3" t="s">
        <v>3</v>
      </c>
      <c r="F24" s="3" t="s">
        <v>4</v>
      </c>
      <c r="G24" s="3" t="s">
        <v>5</v>
      </c>
      <c r="H24" s="2"/>
      <c r="I24" s="2"/>
    </row>
    <row r="25">
      <c r="A25" s="4" t="s">
        <v>6</v>
      </c>
      <c r="B25" s="2"/>
      <c r="C25" s="5"/>
      <c r="D25" s="6">
        <v>30543.0</v>
      </c>
      <c r="E25" s="6">
        <v>32725.0</v>
      </c>
      <c r="F25" s="7">
        <v>58549.47</v>
      </c>
      <c r="G25" s="5"/>
      <c r="H25" s="2"/>
      <c r="I25" s="2"/>
    </row>
    <row r="26">
      <c r="A26" s="4" t="s">
        <v>7</v>
      </c>
      <c r="B26" s="6">
        <v>0.0</v>
      </c>
      <c r="C26" s="6">
        <v>48375.0</v>
      </c>
      <c r="D26" s="6">
        <v>30543.0</v>
      </c>
      <c r="E26" s="6">
        <v>35700.0</v>
      </c>
      <c r="F26" s="7">
        <v>25655.24</v>
      </c>
      <c r="G26" s="2"/>
      <c r="H26" s="2"/>
      <c r="I26" s="6">
        <v>3465.0</v>
      </c>
      <c r="J26" s="4" t="s">
        <v>8</v>
      </c>
    </row>
    <row r="27">
      <c r="A27" s="4" t="s">
        <v>9</v>
      </c>
      <c r="B27" s="6">
        <v>1.0</v>
      </c>
      <c r="C27" s="6">
        <v>51840.0</v>
      </c>
      <c r="D27" s="6">
        <v>48375.0</v>
      </c>
      <c r="E27" s="6">
        <f t="shared" ref="E27:E38" si="4">C27-D27</f>
        <v>3465</v>
      </c>
      <c r="F27" s="8">
        <f>'Actual results'!E40</f>
        <v>30578.07</v>
      </c>
      <c r="G27" s="9">
        <f t="shared" ref="G27:G38" si="5">(((F27-D27)+(F26-D26)+(F25-D25))/sum(E25:E27))*$I$27</f>
        <v>51.81869523</v>
      </c>
      <c r="H27" s="2"/>
      <c r="I27" s="6">
        <v>700.0</v>
      </c>
      <c r="J27" s="4" t="s">
        <v>10</v>
      </c>
    </row>
    <row r="28">
      <c r="A28" s="4" t="s">
        <v>11</v>
      </c>
      <c r="B28" s="6">
        <v>2.0</v>
      </c>
      <c r="C28" s="6">
        <v>55305.0</v>
      </c>
      <c r="D28" s="6">
        <v>48375.0</v>
      </c>
      <c r="E28" s="6">
        <f t="shared" si="4"/>
        <v>6930</v>
      </c>
      <c r="F28" s="8">
        <f>'Actual results'!E41</f>
        <v>35109.82</v>
      </c>
      <c r="G28" s="9">
        <f t="shared" si="5"/>
        <v>-545.9357631</v>
      </c>
      <c r="H28" s="2"/>
      <c r="I28" s="4">
        <v>1300.0</v>
      </c>
      <c r="J28" s="10" t="s">
        <v>12</v>
      </c>
    </row>
    <row r="29">
      <c r="A29" s="4" t="s">
        <v>13</v>
      </c>
      <c r="B29" s="6">
        <v>3.0</v>
      </c>
      <c r="C29" s="6">
        <v>58770.0</v>
      </c>
      <c r="D29" s="6">
        <v>48375.0</v>
      </c>
      <c r="E29" s="6">
        <f t="shared" si="4"/>
        <v>10395</v>
      </c>
      <c r="F29" s="7"/>
      <c r="G29" s="9">
        <f t="shared" si="5"/>
        <v>-2674.650168</v>
      </c>
      <c r="H29" s="2"/>
      <c r="I29" s="2"/>
    </row>
    <row r="30">
      <c r="A30" s="4" t="s">
        <v>14</v>
      </c>
      <c r="B30" s="6">
        <v>4.0</v>
      </c>
      <c r="C30" s="6">
        <v>62235.0</v>
      </c>
      <c r="D30" s="6">
        <v>48375.0</v>
      </c>
      <c r="E30" s="6">
        <f t="shared" si="4"/>
        <v>13860</v>
      </c>
      <c r="F30" s="7"/>
      <c r="G30" s="9">
        <f t="shared" si="5"/>
        <v>-2469.476543</v>
      </c>
      <c r="H30" s="2"/>
      <c r="I30" s="2"/>
    </row>
    <row r="31">
      <c r="A31" s="4" t="s">
        <v>15</v>
      </c>
      <c r="B31" s="6">
        <v>5.0</v>
      </c>
      <c r="C31" s="6">
        <v>65700.0</v>
      </c>
      <c r="D31" s="6">
        <v>48375.0</v>
      </c>
      <c r="E31" s="6">
        <f t="shared" si="4"/>
        <v>17325</v>
      </c>
      <c r="F31" s="7"/>
      <c r="G31" s="9">
        <f t="shared" si="5"/>
        <v>-2443.181818</v>
      </c>
      <c r="H31" s="2"/>
      <c r="I31" s="2"/>
    </row>
    <row r="32">
      <c r="A32" s="11" t="s">
        <v>16</v>
      </c>
      <c r="B32" s="12">
        <v>6.0</v>
      </c>
      <c r="C32" s="12">
        <v>69165.0</v>
      </c>
      <c r="D32" s="12">
        <v>48375.0</v>
      </c>
      <c r="E32" s="12">
        <f t="shared" si="4"/>
        <v>20790</v>
      </c>
      <c r="F32" s="22"/>
      <c r="G32" s="14">
        <f t="shared" si="5"/>
        <v>-1954.545455</v>
      </c>
      <c r="H32" s="15"/>
      <c r="I32" s="15"/>
    </row>
    <row r="33">
      <c r="A33" s="4" t="s">
        <v>17</v>
      </c>
      <c r="B33" s="6">
        <v>7.0</v>
      </c>
      <c r="C33" s="6">
        <v>72630.0</v>
      </c>
      <c r="D33" s="6">
        <v>48375.0</v>
      </c>
      <c r="E33" s="6">
        <f t="shared" si="4"/>
        <v>24255</v>
      </c>
      <c r="F33" s="7"/>
      <c r="G33" s="9">
        <f t="shared" si="5"/>
        <v>-1628.787879</v>
      </c>
      <c r="H33" s="2"/>
      <c r="I33" s="2"/>
    </row>
    <row r="34">
      <c r="A34" s="4" t="s">
        <v>18</v>
      </c>
      <c r="B34" s="6">
        <v>8.0</v>
      </c>
      <c r="C34" s="6">
        <v>76095.0</v>
      </c>
      <c r="D34" s="6">
        <v>48375.0</v>
      </c>
      <c r="E34" s="6">
        <f t="shared" si="4"/>
        <v>27720</v>
      </c>
      <c r="F34" s="7"/>
      <c r="G34" s="9">
        <f t="shared" si="5"/>
        <v>-1396.103896</v>
      </c>
      <c r="H34" s="2"/>
      <c r="I34" s="2"/>
    </row>
    <row r="35">
      <c r="A35" s="4" t="s">
        <v>19</v>
      </c>
      <c r="B35" s="6">
        <v>9.0</v>
      </c>
      <c r="C35" s="6">
        <v>79560.0</v>
      </c>
      <c r="D35" s="6">
        <v>48375.0</v>
      </c>
      <c r="E35" s="6">
        <f t="shared" si="4"/>
        <v>31185</v>
      </c>
      <c r="F35" s="7"/>
      <c r="G35" s="9">
        <f t="shared" si="5"/>
        <v>-1221.590909</v>
      </c>
      <c r="H35" s="2"/>
      <c r="I35" s="2"/>
    </row>
    <row r="36">
      <c r="A36" s="4" t="s">
        <v>20</v>
      </c>
      <c r="B36" s="6">
        <v>10.0</v>
      </c>
      <c r="C36" s="6">
        <v>83025.0</v>
      </c>
      <c r="D36" s="6">
        <v>48375.0</v>
      </c>
      <c r="E36" s="6">
        <f t="shared" si="4"/>
        <v>34650</v>
      </c>
      <c r="F36" s="7"/>
      <c r="G36" s="9">
        <f t="shared" si="5"/>
        <v>-1085.858586</v>
      </c>
      <c r="H36" s="2"/>
      <c r="I36" s="2"/>
    </row>
    <row r="37">
      <c r="A37" s="4" t="s">
        <v>6</v>
      </c>
      <c r="B37" s="6">
        <v>11.0</v>
      </c>
      <c r="C37" s="6">
        <v>86490.0</v>
      </c>
      <c r="D37" s="6">
        <v>48375.0</v>
      </c>
      <c r="E37" s="6">
        <f t="shared" si="4"/>
        <v>38115</v>
      </c>
      <c r="F37" s="7"/>
      <c r="G37" s="9">
        <f t="shared" si="5"/>
        <v>-977.2727273</v>
      </c>
      <c r="H37" s="2"/>
      <c r="I37" s="2"/>
    </row>
    <row r="38">
      <c r="A38" s="4" t="s">
        <v>7</v>
      </c>
      <c r="B38" s="6">
        <v>12.0</v>
      </c>
      <c r="C38" s="6">
        <v>89955.0</v>
      </c>
      <c r="D38" s="6">
        <v>48375.0</v>
      </c>
      <c r="E38" s="6">
        <f t="shared" si="4"/>
        <v>41580</v>
      </c>
      <c r="F38" s="7"/>
      <c r="G38" s="9">
        <f t="shared" si="5"/>
        <v>-888.4297521</v>
      </c>
      <c r="H38" s="2"/>
      <c r="I38" s="2"/>
    </row>
    <row r="39">
      <c r="A39" s="2"/>
      <c r="B39" s="4" t="s">
        <v>21</v>
      </c>
      <c r="C39" s="4" t="s">
        <v>25</v>
      </c>
      <c r="D39" s="4" t="s">
        <v>26</v>
      </c>
      <c r="E39" s="2"/>
      <c r="F39" s="2"/>
      <c r="G39" s="2"/>
      <c r="H39" s="2"/>
      <c r="I39" s="2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 t="s">
        <v>27</v>
      </c>
    </row>
    <row r="44">
      <c r="A44" s="18"/>
      <c r="B44" s="18"/>
      <c r="C44" s="23" t="s">
        <v>1</v>
      </c>
      <c r="D44" s="24" t="s">
        <v>2</v>
      </c>
      <c r="E44" s="23" t="s">
        <v>3</v>
      </c>
      <c r="F44" s="23" t="s">
        <v>4</v>
      </c>
      <c r="G44" s="23" t="s">
        <v>5</v>
      </c>
      <c r="H44" s="18"/>
      <c r="I44" s="18"/>
    </row>
    <row r="45">
      <c r="A45" s="4" t="s">
        <v>7</v>
      </c>
      <c r="B45" s="6">
        <v>0.0</v>
      </c>
      <c r="C45" s="6">
        <v>30543.0</v>
      </c>
      <c r="D45" s="6">
        <v>30543.0</v>
      </c>
      <c r="E45" s="25">
        <f t="shared" ref="E45:E57" si="6">C45-D45</f>
        <v>0</v>
      </c>
      <c r="F45" s="2"/>
      <c r="G45" s="2"/>
      <c r="H45" s="2"/>
      <c r="I45" s="6">
        <v>2975.0</v>
      </c>
      <c r="J45" s="4" t="s">
        <v>8</v>
      </c>
    </row>
    <row r="46">
      <c r="A46" s="4" t="s">
        <v>9</v>
      </c>
      <c r="B46" s="6">
        <v>1.0</v>
      </c>
      <c r="C46" s="6">
        <v>33518.0</v>
      </c>
      <c r="D46" s="6">
        <v>30543.0</v>
      </c>
      <c r="E46" s="25">
        <f t="shared" si="6"/>
        <v>2975</v>
      </c>
      <c r="F46" s="8">
        <f>'Actual results'!E28</f>
        <v>24112.03</v>
      </c>
      <c r="G46" s="25">
        <f t="shared" ref="G46:G57" si="7">(F46-D46)/E46*$I$46</f>
        <v>-1080.835294</v>
      </c>
      <c r="H46" s="2"/>
      <c r="I46" s="6">
        <v>500.0</v>
      </c>
      <c r="J46" s="4" t="s">
        <v>10</v>
      </c>
    </row>
    <row r="47">
      <c r="A47" s="4" t="s">
        <v>11</v>
      </c>
      <c r="B47" s="6">
        <v>2.0</v>
      </c>
      <c r="C47" s="6">
        <v>36493.0</v>
      </c>
      <c r="D47" s="6">
        <v>30543.0</v>
      </c>
      <c r="E47" s="6">
        <f t="shared" si="6"/>
        <v>5950</v>
      </c>
      <c r="F47" s="8">
        <f>'Actual results'!E29</f>
        <v>42929.46</v>
      </c>
      <c r="G47" s="26">
        <f t="shared" si="7"/>
        <v>1040.878992</v>
      </c>
      <c r="H47" s="2"/>
      <c r="I47" s="2"/>
      <c r="J47" s="18"/>
    </row>
    <row r="48">
      <c r="A48" s="4" t="s">
        <v>13</v>
      </c>
      <c r="B48" s="6">
        <v>3.0</v>
      </c>
      <c r="C48" s="6">
        <v>39468.0</v>
      </c>
      <c r="D48" s="6">
        <v>30543.0</v>
      </c>
      <c r="E48" s="6">
        <f t="shared" si="6"/>
        <v>8925</v>
      </c>
      <c r="F48" s="8">
        <f>'Actual results'!E30</f>
        <v>57415.15</v>
      </c>
      <c r="G48" s="26">
        <f t="shared" si="7"/>
        <v>1505.442577</v>
      </c>
      <c r="H48" s="2"/>
      <c r="I48" s="2"/>
      <c r="J48" s="18"/>
    </row>
    <row r="49">
      <c r="A49" s="4" t="s">
        <v>14</v>
      </c>
      <c r="B49" s="6">
        <v>4.0</v>
      </c>
      <c r="C49" s="6">
        <v>42443.0</v>
      </c>
      <c r="D49" s="6">
        <v>30543.0</v>
      </c>
      <c r="E49" s="6">
        <f t="shared" si="6"/>
        <v>11900</v>
      </c>
      <c r="F49" s="27">
        <f>'Actual results'!E31</f>
        <v>33313.17742</v>
      </c>
      <c r="G49" s="26">
        <f t="shared" si="7"/>
        <v>116.3940094</v>
      </c>
      <c r="H49" s="2"/>
      <c r="I49" s="2"/>
      <c r="J49" s="18"/>
    </row>
    <row r="50">
      <c r="A50" s="4" t="s">
        <v>15</v>
      </c>
      <c r="B50" s="6">
        <v>5.0</v>
      </c>
      <c r="C50" s="6">
        <v>45418.0</v>
      </c>
      <c r="D50" s="6">
        <v>30543.0</v>
      </c>
      <c r="E50" s="6">
        <f t="shared" si="6"/>
        <v>14875</v>
      </c>
      <c r="F50" s="8">
        <f>'Actual results'!E32</f>
        <v>54294.15</v>
      </c>
      <c r="G50" s="26">
        <f t="shared" si="7"/>
        <v>798.3579832</v>
      </c>
      <c r="H50" s="2"/>
      <c r="I50" s="2"/>
      <c r="J50" s="18"/>
    </row>
    <row r="51">
      <c r="A51" s="11" t="s">
        <v>16</v>
      </c>
      <c r="B51" s="12">
        <v>6.0</v>
      </c>
      <c r="C51" s="12">
        <v>48393.0</v>
      </c>
      <c r="D51" s="12">
        <v>30543.0</v>
      </c>
      <c r="E51" s="12">
        <f t="shared" si="6"/>
        <v>17850</v>
      </c>
      <c r="F51" s="28">
        <f>'Actual results'!E33</f>
        <v>66444.17</v>
      </c>
      <c r="G51" s="29">
        <f t="shared" si="7"/>
        <v>1005.635014</v>
      </c>
      <c r="H51" s="15"/>
      <c r="I51" s="15"/>
      <c r="J51" s="30"/>
    </row>
    <row r="52">
      <c r="A52" s="4" t="s">
        <v>17</v>
      </c>
      <c r="B52" s="6">
        <v>7.0</v>
      </c>
      <c r="C52" s="6">
        <v>51368.0</v>
      </c>
      <c r="D52" s="6">
        <v>30543.0</v>
      </c>
      <c r="E52" s="6">
        <f t="shared" si="6"/>
        <v>20825</v>
      </c>
      <c r="F52" s="8">
        <f>'Actual results'!E34</f>
        <v>50521.86</v>
      </c>
      <c r="G52" s="26">
        <f t="shared" si="7"/>
        <v>479.6845138</v>
      </c>
      <c r="H52" s="2"/>
      <c r="I52" s="2"/>
      <c r="J52" s="18"/>
    </row>
    <row r="53">
      <c r="A53" s="4" t="s">
        <v>18</v>
      </c>
      <c r="B53" s="6">
        <v>8.0</v>
      </c>
      <c r="C53" s="6">
        <v>54343.0</v>
      </c>
      <c r="D53" s="6">
        <v>30543.0</v>
      </c>
      <c r="E53" s="6">
        <f t="shared" si="6"/>
        <v>23800</v>
      </c>
      <c r="F53" s="27">
        <f>'Actual results'!E35</f>
        <v>56175.63</v>
      </c>
      <c r="G53" s="26">
        <f t="shared" si="7"/>
        <v>538.5006303</v>
      </c>
      <c r="H53" s="2"/>
      <c r="I53" s="2"/>
      <c r="J53" s="18"/>
    </row>
    <row r="54">
      <c r="A54" s="4" t="s">
        <v>19</v>
      </c>
      <c r="B54" s="6">
        <v>9.0</v>
      </c>
      <c r="C54" s="6">
        <v>57318.0</v>
      </c>
      <c r="D54" s="6">
        <v>30543.0</v>
      </c>
      <c r="E54" s="6">
        <f t="shared" si="6"/>
        <v>26775</v>
      </c>
      <c r="F54" s="27">
        <f>'Actual results'!E36</f>
        <v>69418.4</v>
      </c>
      <c r="G54" s="26">
        <f t="shared" si="7"/>
        <v>725.9645191</v>
      </c>
      <c r="H54" s="2"/>
      <c r="I54" s="2"/>
      <c r="J54" s="18"/>
    </row>
    <row r="55">
      <c r="A55" s="4" t="s">
        <v>20</v>
      </c>
      <c r="B55" s="6">
        <v>10.0</v>
      </c>
      <c r="C55" s="6">
        <v>60293.0</v>
      </c>
      <c r="D55" s="6">
        <v>30543.0</v>
      </c>
      <c r="E55" s="6">
        <f t="shared" si="6"/>
        <v>29750</v>
      </c>
      <c r="F55" s="27">
        <f>'Actual results'!E37</f>
        <v>41655.96</v>
      </c>
      <c r="G55" s="26">
        <f t="shared" si="7"/>
        <v>186.772437</v>
      </c>
      <c r="H55" s="2"/>
      <c r="I55" s="2"/>
      <c r="J55" s="18"/>
    </row>
    <row r="56">
      <c r="A56" s="4" t="s">
        <v>6</v>
      </c>
      <c r="B56" s="6">
        <v>11.0</v>
      </c>
      <c r="C56" s="6">
        <v>63268.0</v>
      </c>
      <c r="D56" s="6">
        <v>30543.0</v>
      </c>
      <c r="E56" s="6">
        <f t="shared" si="6"/>
        <v>32725</v>
      </c>
      <c r="F56" s="27">
        <f>'Actual results'!E38</f>
        <v>58549.47</v>
      </c>
      <c r="G56" s="26">
        <f t="shared" si="7"/>
        <v>427.9063407</v>
      </c>
      <c r="H56" s="2"/>
      <c r="I56" s="2"/>
      <c r="J56" s="18"/>
    </row>
    <row r="57">
      <c r="A57" s="4" t="s">
        <v>7</v>
      </c>
      <c r="B57" s="6">
        <v>12.0</v>
      </c>
      <c r="C57" s="6">
        <v>66243.0</v>
      </c>
      <c r="D57" s="6">
        <v>30543.0</v>
      </c>
      <c r="E57" s="6">
        <f t="shared" si="6"/>
        <v>35700</v>
      </c>
      <c r="F57" s="27">
        <f>'Actual results'!E39</f>
        <v>25655.24</v>
      </c>
      <c r="G57" s="26">
        <f t="shared" si="7"/>
        <v>-68.45602241</v>
      </c>
      <c r="H57" s="2"/>
      <c r="I57" s="2"/>
      <c r="J57" s="18"/>
    </row>
    <row r="58">
      <c r="A58" s="2"/>
      <c r="B58" s="4" t="s">
        <v>21</v>
      </c>
      <c r="C58" s="16">
        <f t="shared" ref="C58:D58" si="8">SUM(C46:C57)</f>
        <v>598566</v>
      </c>
      <c r="D58" s="17">
        <f t="shared" si="8"/>
        <v>366516</v>
      </c>
      <c r="E58" s="2"/>
      <c r="F58" s="16">
        <f>SUM(F46:F57)</f>
        <v>580484.6974</v>
      </c>
      <c r="G58" s="2"/>
      <c r="H58" s="2"/>
      <c r="I58" s="2"/>
      <c r="J58" s="18"/>
    </row>
    <row r="59">
      <c r="A59" s="1"/>
      <c r="B59" s="1"/>
      <c r="C59" s="1"/>
      <c r="D59" s="1"/>
      <c r="E59" s="19" t="s">
        <v>22</v>
      </c>
      <c r="F59" s="20">
        <f>F58/C58</f>
        <v>0.9697922993</v>
      </c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9" t="s">
        <v>23</v>
      </c>
      <c r="F61" s="21">
        <f>F58-F82</f>
        <v>213967.0974</v>
      </c>
      <c r="G61" s="20">
        <f>F61/F82</f>
        <v>0.5837839641</v>
      </c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 t="s">
        <v>28</v>
      </c>
    </row>
    <row r="67">
      <c r="A67" s="18"/>
      <c r="B67" s="18"/>
      <c r="C67" s="23" t="s">
        <v>1</v>
      </c>
      <c r="D67" s="24" t="s">
        <v>2</v>
      </c>
      <c r="E67" s="23" t="s">
        <v>3</v>
      </c>
      <c r="F67" s="23" t="s">
        <v>4</v>
      </c>
      <c r="G67" s="23" t="s">
        <v>5</v>
      </c>
      <c r="H67" s="18"/>
      <c r="I67" s="18"/>
    </row>
    <row r="68">
      <c r="A68" s="24" t="s">
        <v>7</v>
      </c>
      <c r="B68" s="6">
        <v>0.0</v>
      </c>
      <c r="C68" s="6">
        <v>24940.0</v>
      </c>
      <c r="D68" s="6">
        <v>24940.0</v>
      </c>
      <c r="E68" s="6">
        <v>0.0</v>
      </c>
      <c r="F68" s="18"/>
      <c r="G68" s="18"/>
      <c r="H68" s="18"/>
      <c r="I68" s="25">
        <f>(C68*12)/78</f>
        <v>3836.923077</v>
      </c>
      <c r="J68" s="31" t="s">
        <v>8</v>
      </c>
    </row>
    <row r="69">
      <c r="A69" s="24" t="s">
        <v>9</v>
      </c>
      <c r="B69" s="6">
        <v>1.0</v>
      </c>
      <c r="C69" s="6">
        <v>28777.0</v>
      </c>
      <c r="D69" s="6">
        <v>24940.0</v>
      </c>
      <c r="E69" s="6">
        <v>3837.0</v>
      </c>
      <c r="F69" s="27">
        <f>'Actual results'!E16</f>
        <v>15456.19</v>
      </c>
      <c r="G69" s="25">
        <f t="shared" ref="G69:G80" si="9">(F69-D69)/E69*$I$69</f>
        <v>-988.6692729</v>
      </c>
      <c r="H69" s="18"/>
      <c r="I69" s="10">
        <v>400.0</v>
      </c>
      <c r="J69" s="10" t="s">
        <v>10</v>
      </c>
    </row>
    <row r="70">
      <c r="A70" s="24" t="s">
        <v>11</v>
      </c>
      <c r="B70" s="6">
        <v>2.0</v>
      </c>
      <c r="C70" s="6">
        <v>32614.0</v>
      </c>
      <c r="D70" s="6">
        <v>24940.0</v>
      </c>
      <c r="E70" s="6">
        <v>7674.0</v>
      </c>
      <c r="F70" s="27">
        <f>'Actual results'!E17</f>
        <v>11864.08</v>
      </c>
      <c r="G70" s="25">
        <f t="shared" si="9"/>
        <v>-681.5699765</v>
      </c>
      <c r="H70" s="18"/>
    </row>
    <row r="71">
      <c r="A71" s="24" t="s">
        <v>13</v>
      </c>
      <c r="B71" s="6">
        <v>3.0</v>
      </c>
      <c r="C71" s="6">
        <v>36451.0</v>
      </c>
      <c r="D71" s="6">
        <v>24940.0</v>
      </c>
      <c r="E71" s="6">
        <v>11511.0</v>
      </c>
      <c r="F71" s="8">
        <f>'Actual results'!E18</f>
        <v>33882.82</v>
      </c>
      <c r="G71" s="25">
        <f t="shared" si="9"/>
        <v>310.7573625</v>
      </c>
      <c r="H71" s="18"/>
      <c r="I71" s="18"/>
    </row>
    <row r="72">
      <c r="A72" s="24" t="s">
        <v>14</v>
      </c>
      <c r="B72" s="6">
        <v>4.0</v>
      </c>
      <c r="C72" s="6">
        <v>40288.0</v>
      </c>
      <c r="D72" s="6">
        <v>24940.0</v>
      </c>
      <c r="E72" s="6">
        <v>15348.0</v>
      </c>
      <c r="F72" s="27">
        <f>'Actual results'!E19</f>
        <v>23563.95</v>
      </c>
      <c r="G72" s="25">
        <f t="shared" si="9"/>
        <v>-35.86265311</v>
      </c>
      <c r="H72" s="18"/>
      <c r="I72" s="18"/>
    </row>
    <row r="73">
      <c r="A73" s="24" t="s">
        <v>15</v>
      </c>
      <c r="B73" s="6">
        <v>5.0</v>
      </c>
      <c r="C73" s="6">
        <v>44125.0</v>
      </c>
      <c r="D73" s="6">
        <v>24940.0</v>
      </c>
      <c r="E73" s="6">
        <v>19185.0</v>
      </c>
      <c r="F73" s="27">
        <f>'Actual results'!E20</f>
        <v>42142.37</v>
      </c>
      <c r="G73" s="25">
        <f t="shared" si="9"/>
        <v>358.6629137</v>
      </c>
      <c r="H73" s="18"/>
      <c r="I73" s="18"/>
    </row>
    <row r="74">
      <c r="A74" s="32" t="s">
        <v>16</v>
      </c>
      <c r="B74" s="12">
        <v>6.0</v>
      </c>
      <c r="C74" s="12">
        <v>47962.0</v>
      </c>
      <c r="D74" s="12">
        <v>24940.0</v>
      </c>
      <c r="E74" s="12">
        <v>23022.0</v>
      </c>
      <c r="F74" s="33">
        <f>'Actual results'!E21</f>
        <v>28625.44</v>
      </c>
      <c r="G74" s="34">
        <f t="shared" si="9"/>
        <v>64.0333594</v>
      </c>
      <c r="H74" s="30"/>
      <c r="I74" s="30"/>
    </row>
    <row r="75">
      <c r="A75" s="24" t="s">
        <v>17</v>
      </c>
      <c r="B75" s="6">
        <v>7.0</v>
      </c>
      <c r="C75" s="6">
        <v>51798.0</v>
      </c>
      <c r="D75" s="6">
        <v>24940.0</v>
      </c>
      <c r="E75" s="6">
        <v>26858.0</v>
      </c>
      <c r="F75" s="35">
        <f>'Actual results'!E22</f>
        <v>33215.75</v>
      </c>
      <c r="G75" s="36">
        <f t="shared" si="9"/>
        <v>123.2519175</v>
      </c>
      <c r="H75" s="18"/>
      <c r="I75" s="18"/>
    </row>
    <row r="76">
      <c r="A76" s="24" t="s">
        <v>18</v>
      </c>
      <c r="B76" s="6">
        <v>8.0</v>
      </c>
      <c r="C76" s="6">
        <v>55635.0</v>
      </c>
      <c r="D76" s="6">
        <v>24940.0</v>
      </c>
      <c r="E76" s="6">
        <v>30695.0</v>
      </c>
      <c r="F76" s="8">
        <f>'Actual results'!E23</f>
        <v>39174.37</v>
      </c>
      <c r="G76" s="36">
        <f t="shared" si="9"/>
        <v>185.494315</v>
      </c>
      <c r="H76" s="18"/>
      <c r="I76" s="18"/>
    </row>
    <row r="77">
      <c r="A77" s="24" t="s">
        <v>19</v>
      </c>
      <c r="B77" s="6">
        <v>9.0</v>
      </c>
      <c r="C77" s="6">
        <v>59472.0</v>
      </c>
      <c r="D77" s="6">
        <v>24940.0</v>
      </c>
      <c r="E77" s="6">
        <v>34532.0</v>
      </c>
      <c r="F77" s="8">
        <f>'Actual results'!E24</f>
        <v>53800.04</v>
      </c>
      <c r="G77" s="36">
        <f t="shared" si="9"/>
        <v>334.2990849</v>
      </c>
      <c r="H77" s="18"/>
      <c r="I77" s="18"/>
    </row>
    <row r="78">
      <c r="A78" s="24" t="s">
        <v>20</v>
      </c>
      <c r="B78" s="6">
        <v>10.0</v>
      </c>
      <c r="C78" s="6">
        <v>63309.0</v>
      </c>
      <c r="D78" s="6">
        <v>24940.0</v>
      </c>
      <c r="E78" s="6">
        <v>38369.0</v>
      </c>
      <c r="F78" s="27">
        <f>'Actual results'!E25</f>
        <v>29383.94</v>
      </c>
      <c r="G78" s="36">
        <f t="shared" si="9"/>
        <v>46.32844223</v>
      </c>
      <c r="H78" s="18"/>
      <c r="I78" s="18"/>
    </row>
    <row r="79">
      <c r="A79" s="24" t="s">
        <v>6</v>
      </c>
      <c r="B79" s="6">
        <v>11.0</v>
      </c>
      <c r="C79" s="6">
        <v>67146.0</v>
      </c>
      <c r="D79" s="6">
        <v>24940.0</v>
      </c>
      <c r="E79" s="6">
        <v>42206.0</v>
      </c>
      <c r="F79" s="8">
        <f>'Actual results'!E26</f>
        <v>39897.27</v>
      </c>
      <c r="G79" s="36">
        <f t="shared" si="9"/>
        <v>141.7549164</v>
      </c>
      <c r="H79" s="18"/>
      <c r="I79" s="18"/>
    </row>
    <row r="80">
      <c r="A80" s="24" t="s">
        <v>7</v>
      </c>
      <c r="B80" s="6">
        <v>12.0</v>
      </c>
      <c r="C80" s="6">
        <v>70983.0</v>
      </c>
      <c r="D80" s="6">
        <v>24940.0</v>
      </c>
      <c r="E80" s="6">
        <v>46043.0</v>
      </c>
      <c r="F80" s="8">
        <f>'Actual results'!E27</f>
        <v>15511.38</v>
      </c>
      <c r="G80" s="36">
        <f t="shared" si="9"/>
        <v>-81.91143062</v>
      </c>
      <c r="H80" s="18"/>
      <c r="I80" s="18"/>
    </row>
    <row r="81">
      <c r="A81" s="18"/>
      <c r="B81" s="18"/>
      <c r="C81" s="18"/>
      <c r="D81" s="18"/>
      <c r="E81" s="18"/>
      <c r="F81" s="18"/>
      <c r="G81" s="18"/>
      <c r="H81" s="18"/>
      <c r="I81" s="18"/>
    </row>
    <row r="82">
      <c r="A82" s="18"/>
      <c r="B82" s="18"/>
      <c r="C82" s="6">
        <v>598560.0</v>
      </c>
      <c r="D82" s="24" t="s">
        <v>21</v>
      </c>
      <c r="E82" s="18"/>
      <c r="F82" s="37">
        <f>SUM(F69:F80)</f>
        <v>366517.6</v>
      </c>
      <c r="G82" s="38">
        <f>F82/C82</f>
        <v>0.6123322641</v>
      </c>
      <c r="H82" s="18"/>
      <c r="I82" s="18"/>
    </row>
    <row r="83">
      <c r="C83" s="39"/>
      <c r="E83" s="39"/>
      <c r="F83" s="40">
        <f>F82/12</f>
        <v>30543.13333</v>
      </c>
      <c r="G83" s="39"/>
    </row>
    <row r="84">
      <c r="C84" s="39"/>
      <c r="E84" s="39"/>
      <c r="F84" s="41">
        <f>(F83-D68)/D68</f>
        <v>0.2246645282</v>
      </c>
      <c r="G84" s="39"/>
    </row>
    <row r="85">
      <c r="C85" s="39"/>
      <c r="D85" s="10" t="s">
        <v>29</v>
      </c>
      <c r="E85" s="39"/>
      <c r="F85" s="39"/>
      <c r="G85" s="39"/>
    </row>
    <row r="86">
      <c r="C86" s="39"/>
      <c r="D86" s="6">
        <v>24940.0</v>
      </c>
      <c r="E86" s="39"/>
      <c r="F86" s="40">
        <f>F82/12</f>
        <v>30543.13333</v>
      </c>
      <c r="G86" s="39"/>
    </row>
    <row r="87">
      <c r="C87" s="39"/>
      <c r="E87" s="39"/>
      <c r="F87" s="41">
        <f>(F86-D86)/D86</f>
        <v>0.2246645282</v>
      </c>
      <c r="G87" s="39"/>
      <c r="H87" s="42"/>
    </row>
    <row r="88">
      <c r="C88" s="39"/>
      <c r="E88" s="39"/>
      <c r="F88" s="39"/>
      <c r="G88" s="39"/>
    </row>
    <row r="89">
      <c r="C89" s="39" t="s">
        <v>1</v>
      </c>
      <c r="D89" s="31" t="s">
        <v>30</v>
      </c>
      <c r="E89" s="39" t="s">
        <v>31</v>
      </c>
      <c r="F89" s="39" t="s">
        <v>4</v>
      </c>
      <c r="G89" s="39" t="s">
        <v>32</v>
      </c>
    </row>
    <row r="90">
      <c r="A90" s="31" t="s">
        <v>7</v>
      </c>
      <c r="B90" s="31">
        <v>0.0</v>
      </c>
      <c r="C90" s="31">
        <f>29500-4560</f>
        <v>24940</v>
      </c>
      <c r="D90" s="31">
        <f>C90</f>
        <v>24940</v>
      </c>
      <c r="E90" s="25">
        <f t="shared" ref="E90:E102" si="10">C90-D90</f>
        <v>0</v>
      </c>
      <c r="F90" s="43">
        <f>'Actual results'!E3</f>
        <v>27541.61</v>
      </c>
      <c r="I90" s="25">
        <f>(C90*12)/78</f>
        <v>3836.923077</v>
      </c>
      <c r="J90" s="31" t="s">
        <v>8</v>
      </c>
    </row>
    <row r="91">
      <c r="A91" s="31" t="s">
        <v>33</v>
      </c>
      <c r="B91" s="31">
        <v>1.0</v>
      </c>
      <c r="C91" s="25">
        <f t="shared" ref="C91:C102" si="11">C90+$I$90</f>
        <v>28776.92308</v>
      </c>
      <c r="D91" s="31">
        <f t="shared" ref="D91:D102" si="12">D90</f>
        <v>24940</v>
      </c>
      <c r="E91" s="25">
        <f t="shared" si="10"/>
        <v>3836.923077</v>
      </c>
      <c r="F91" s="44">
        <f>'Actual results'!E4</f>
        <v>37708.87</v>
      </c>
      <c r="G91" s="25">
        <f t="shared" ref="G91:G96" si="13">(F91-D91)/E91*$I$91</f>
        <v>931.8100802</v>
      </c>
      <c r="I91" s="31">
        <v>280.0</v>
      </c>
      <c r="J91" s="31" t="s">
        <v>34</v>
      </c>
      <c r="Q91" s="42">
        <f t="shared" ref="Q91:Q102" si="14">(C91-C90)/C90</f>
        <v>0.1538461538</v>
      </c>
    </row>
    <row r="92">
      <c r="A92" s="31" t="s">
        <v>35</v>
      </c>
      <c r="B92" s="31">
        <v>2.0</v>
      </c>
      <c r="C92" s="25">
        <f t="shared" si="11"/>
        <v>32613.84615</v>
      </c>
      <c r="D92" s="31">
        <f t="shared" si="12"/>
        <v>24940</v>
      </c>
      <c r="E92" s="25">
        <f t="shared" si="10"/>
        <v>7673.846154</v>
      </c>
      <c r="F92" s="45">
        <f>'Actual results'!E5</f>
        <v>34351.6119</v>
      </c>
      <c r="G92" s="25">
        <f t="shared" si="13"/>
        <v>343.4068496</v>
      </c>
      <c r="I92" s="10">
        <v>400.0</v>
      </c>
      <c r="J92" s="10" t="s">
        <v>36</v>
      </c>
      <c r="Q92" s="42">
        <f t="shared" si="14"/>
        <v>0.1333333333</v>
      </c>
    </row>
    <row r="93">
      <c r="A93" s="31" t="s">
        <v>37</v>
      </c>
      <c r="B93" s="31">
        <v>3.0</v>
      </c>
      <c r="C93" s="25">
        <f t="shared" si="11"/>
        <v>36450.76923</v>
      </c>
      <c r="D93" s="31">
        <f t="shared" si="12"/>
        <v>24940</v>
      </c>
      <c r="E93" s="25">
        <f t="shared" si="10"/>
        <v>11510.76923</v>
      </c>
      <c r="F93" s="45">
        <f>'Actual results'!E6</f>
        <v>11118.83</v>
      </c>
      <c r="G93" s="25">
        <f t="shared" si="13"/>
        <v>-336.2006068</v>
      </c>
      <c r="Q93" s="42">
        <f t="shared" si="14"/>
        <v>0.1176470588</v>
      </c>
    </row>
    <row r="94">
      <c r="A94" s="31" t="s">
        <v>14</v>
      </c>
      <c r="B94" s="31">
        <v>4.0</v>
      </c>
      <c r="C94" s="25">
        <f t="shared" si="11"/>
        <v>40287.69231</v>
      </c>
      <c r="D94" s="31">
        <f t="shared" si="12"/>
        <v>24940</v>
      </c>
      <c r="E94" s="25">
        <f t="shared" si="10"/>
        <v>15347.69231</v>
      </c>
      <c r="F94" s="45">
        <f>'Actual results'!E7</f>
        <v>35441.83</v>
      </c>
      <c r="G94" s="25">
        <f t="shared" si="13"/>
        <v>191.5931295</v>
      </c>
      <c r="Q94" s="42">
        <f t="shared" si="14"/>
        <v>0.1052631579</v>
      </c>
    </row>
    <row r="95">
      <c r="A95" s="31" t="s">
        <v>15</v>
      </c>
      <c r="B95" s="31">
        <v>5.0</v>
      </c>
      <c r="C95" s="25">
        <f t="shared" si="11"/>
        <v>44124.61538</v>
      </c>
      <c r="D95" s="31">
        <f t="shared" si="12"/>
        <v>24940</v>
      </c>
      <c r="E95" s="25">
        <f t="shared" si="10"/>
        <v>19184.61538</v>
      </c>
      <c r="F95" s="45">
        <f>'Actual results'!E8</f>
        <v>25200.07</v>
      </c>
      <c r="G95" s="25">
        <f t="shared" si="13"/>
        <v>3.795728949</v>
      </c>
      <c r="Q95" s="42">
        <f t="shared" si="14"/>
        <v>0.09523809524</v>
      </c>
    </row>
    <row r="96">
      <c r="A96" s="46" t="s">
        <v>16</v>
      </c>
      <c r="B96" s="46">
        <v>6.0</v>
      </c>
      <c r="C96" s="47">
        <f t="shared" si="11"/>
        <v>47961.53846</v>
      </c>
      <c r="D96" s="46">
        <f t="shared" si="12"/>
        <v>24940</v>
      </c>
      <c r="E96" s="47">
        <f t="shared" si="10"/>
        <v>23021.53846</v>
      </c>
      <c r="F96" s="48">
        <f>'Actual results'!E9</f>
        <v>51255.39902</v>
      </c>
      <c r="G96" s="47">
        <f t="shared" si="13"/>
        <v>320.0616561</v>
      </c>
      <c r="H96" s="46"/>
      <c r="I96" s="46" t="s">
        <v>38</v>
      </c>
      <c r="J96" s="46"/>
      <c r="K96" s="46"/>
      <c r="L96" s="46"/>
      <c r="M96" s="46"/>
      <c r="N96" s="46"/>
      <c r="O96" s="46"/>
      <c r="P96" s="46"/>
      <c r="Q96" s="49">
        <f t="shared" si="14"/>
        <v>0.08695652174</v>
      </c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31" t="s">
        <v>17</v>
      </c>
      <c r="B97" s="31">
        <v>7.0</v>
      </c>
      <c r="C97" s="25">
        <f t="shared" si="11"/>
        <v>51798.46154</v>
      </c>
      <c r="D97" s="31">
        <f t="shared" si="12"/>
        <v>24940</v>
      </c>
      <c r="E97" s="25">
        <f t="shared" si="10"/>
        <v>26858.46154</v>
      </c>
      <c r="F97" s="50">
        <f>'Actual results'!E10</f>
        <v>13379.59</v>
      </c>
      <c r="G97" s="25">
        <f t="shared" ref="G97:G102" si="15">(F97-D97)/E97*$I$92</f>
        <v>-172.1678657</v>
      </c>
      <c r="Q97" s="42">
        <f t="shared" si="14"/>
        <v>0.08</v>
      </c>
    </row>
    <row r="98">
      <c r="A98" s="31" t="s">
        <v>18</v>
      </c>
      <c r="B98" s="31">
        <v>8.0</v>
      </c>
      <c r="C98" s="25">
        <f t="shared" si="11"/>
        <v>55635.38462</v>
      </c>
      <c r="D98" s="31">
        <f t="shared" si="12"/>
        <v>24940</v>
      </c>
      <c r="E98" s="25">
        <f t="shared" si="10"/>
        <v>30695.38462</v>
      </c>
      <c r="F98" s="50">
        <f>'Actual results'!E11</f>
        <v>31692.28</v>
      </c>
      <c r="G98" s="25">
        <f t="shared" si="15"/>
        <v>87.99081796</v>
      </c>
      <c r="Q98" s="42">
        <f t="shared" si="14"/>
        <v>0.07407407407</v>
      </c>
    </row>
    <row r="99">
      <c r="A99" s="31" t="s">
        <v>19</v>
      </c>
      <c r="B99" s="31">
        <v>9.0</v>
      </c>
      <c r="C99" s="25">
        <f t="shared" si="11"/>
        <v>59472.30769</v>
      </c>
      <c r="D99" s="31">
        <f t="shared" si="12"/>
        <v>24940</v>
      </c>
      <c r="E99" s="25">
        <f t="shared" si="10"/>
        <v>34532.30769</v>
      </c>
      <c r="F99" s="50">
        <f>'Actual results'!E12</f>
        <v>2137.76</v>
      </c>
      <c r="G99" s="25">
        <f t="shared" si="15"/>
        <v>-264.1264546</v>
      </c>
      <c r="Q99" s="42">
        <f t="shared" si="14"/>
        <v>0.06896551724</v>
      </c>
    </row>
    <row r="100">
      <c r="A100" s="31" t="s">
        <v>20</v>
      </c>
      <c r="B100" s="31">
        <v>10.0</v>
      </c>
      <c r="C100" s="25">
        <f t="shared" si="11"/>
        <v>63309.23077</v>
      </c>
      <c r="D100" s="31">
        <f t="shared" si="12"/>
        <v>24940</v>
      </c>
      <c r="E100" s="25">
        <f t="shared" si="10"/>
        <v>38369.23077</v>
      </c>
      <c r="F100" s="50">
        <f>'Actual results'!E13</f>
        <v>10260.66</v>
      </c>
      <c r="G100" s="25">
        <f t="shared" si="15"/>
        <v>-153.0324138</v>
      </c>
      <c r="Q100" s="42">
        <f t="shared" si="14"/>
        <v>0.06451612903</v>
      </c>
    </row>
    <row r="101">
      <c r="A101" s="31" t="s">
        <v>6</v>
      </c>
      <c r="B101" s="31">
        <v>11.0</v>
      </c>
      <c r="C101" s="25">
        <f t="shared" si="11"/>
        <v>67146.15385</v>
      </c>
      <c r="D101" s="31">
        <f t="shared" si="12"/>
        <v>24940</v>
      </c>
      <c r="E101" s="25">
        <f t="shared" si="10"/>
        <v>42206.15385</v>
      </c>
      <c r="F101" s="50">
        <f>'Actual results'!E14</f>
        <v>26299.67</v>
      </c>
      <c r="G101" s="25">
        <f t="shared" si="15"/>
        <v>12.88598819</v>
      </c>
      <c r="Q101" s="42">
        <f t="shared" si="14"/>
        <v>0.06060606061</v>
      </c>
    </row>
    <row r="102">
      <c r="A102" s="31" t="s">
        <v>7</v>
      </c>
      <c r="B102" s="31">
        <v>12.0</v>
      </c>
      <c r="C102" s="25">
        <f t="shared" si="11"/>
        <v>70983.07692</v>
      </c>
      <c r="D102" s="31">
        <f t="shared" si="12"/>
        <v>24940</v>
      </c>
      <c r="E102" s="25">
        <f t="shared" si="10"/>
        <v>46043.07692</v>
      </c>
      <c r="F102" s="50">
        <f>'Actual results'!E15</f>
        <v>11180.89</v>
      </c>
      <c r="G102" s="25">
        <f t="shared" si="15"/>
        <v>-119.532498</v>
      </c>
      <c r="Q102" s="42">
        <f t="shared" si="14"/>
        <v>0.05714285714</v>
      </c>
    </row>
    <row r="104">
      <c r="C104" s="25">
        <f>SUM(C91:C102)</f>
        <v>598560</v>
      </c>
      <c r="D104" s="31" t="s">
        <v>39</v>
      </c>
      <c r="F104" s="51">
        <f>SUM(F91:F102)</f>
        <v>290027.4609</v>
      </c>
      <c r="G104" s="38">
        <f>F104/C106</f>
        <v>0.4845420023</v>
      </c>
    </row>
    <row r="105">
      <c r="G105" s="42">
        <f>SUM(F91:F102)/SUM(C91:C102)</f>
        <v>0.4845420023</v>
      </c>
      <c r="H105" s="10" t="s">
        <v>40</v>
      </c>
    </row>
    <row r="106">
      <c r="C106" s="31">
        <f>C90*12*2</f>
        <v>598560</v>
      </c>
      <c r="D106" s="31" t="s">
        <v>41</v>
      </c>
      <c r="F106" s="52">
        <f>F104/12</f>
        <v>24168.95508</v>
      </c>
    </row>
    <row r="108">
      <c r="D108" s="10" t="s">
        <v>29</v>
      </c>
      <c r="E108" s="39"/>
      <c r="F108" s="39"/>
    </row>
    <row r="109" ht="15.75" customHeight="1">
      <c r="D109" s="6">
        <v>24940.0</v>
      </c>
      <c r="E109" s="39"/>
      <c r="F109" s="40">
        <f>F104/12</f>
        <v>24168.95508</v>
      </c>
    </row>
    <row r="110" ht="15.75" customHeight="1">
      <c r="E110" s="39"/>
      <c r="F110" s="41">
        <f>(F109-D109)/D109</f>
        <v>-0.03091599532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</sheetData>
  <mergeCells count="4">
    <mergeCell ref="A1:I1"/>
    <mergeCell ref="A23:I23"/>
    <mergeCell ref="A43:I43"/>
    <mergeCell ref="A66:I6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8.43"/>
    <col customWidth="1" min="3" max="3" width="10.71"/>
    <col customWidth="1" min="4" max="4" width="11.0"/>
    <col customWidth="1" min="6" max="10" width="7.0"/>
    <col customWidth="1" min="11" max="11" width="12.14"/>
  </cols>
  <sheetData>
    <row r="1">
      <c r="A1" s="53"/>
      <c r="B1" s="54"/>
      <c r="C1" s="54"/>
      <c r="D1" s="54"/>
      <c r="E1" s="54"/>
      <c r="F1" s="55" t="s">
        <v>42</v>
      </c>
      <c r="K1" s="54"/>
    </row>
    <row r="2">
      <c r="A2" s="53" t="s">
        <v>43</v>
      </c>
      <c r="B2" s="54" t="s">
        <v>4</v>
      </c>
      <c r="C2" s="54" t="s">
        <v>44</v>
      </c>
      <c r="D2" s="54" t="s">
        <v>45</v>
      </c>
      <c r="E2" s="54" t="s">
        <v>46</v>
      </c>
      <c r="F2" s="55" t="s">
        <v>47</v>
      </c>
      <c r="G2" s="55" t="s">
        <v>48</v>
      </c>
      <c r="H2" s="55" t="s">
        <v>49</v>
      </c>
      <c r="I2" s="55" t="s">
        <v>50</v>
      </c>
      <c r="J2" s="55" t="s">
        <v>51</v>
      </c>
      <c r="K2" s="54" t="s">
        <v>52</v>
      </c>
    </row>
    <row r="3">
      <c r="A3" s="31" t="s">
        <v>7</v>
      </c>
      <c r="B3" s="10">
        <v>32603.0</v>
      </c>
      <c r="C3" s="56">
        <f>'Marketing cost'!R3</f>
        <v>5061.39</v>
      </c>
      <c r="D3" s="42">
        <f t="shared" ref="D3:D49" si="1">C3/B3</f>
        <v>0.1552430758</v>
      </c>
      <c r="E3" s="56">
        <f t="shared" ref="E3:E49" si="2">B3-C3</f>
        <v>27541.61</v>
      </c>
    </row>
    <row r="4">
      <c r="A4" s="31" t="s">
        <v>33</v>
      </c>
      <c r="B4" s="10">
        <v>43580.0</v>
      </c>
      <c r="C4" s="10">
        <f>'Marketing cost'!S3</f>
        <v>5871.13</v>
      </c>
      <c r="D4" s="42">
        <f t="shared" si="1"/>
        <v>0.1347207435</v>
      </c>
      <c r="E4" s="31">
        <f t="shared" si="2"/>
        <v>37708.87</v>
      </c>
      <c r="F4" s="31">
        <f t="shared" ref="F4:F30" si="3">SUM(G4:J4)</f>
        <v>24</v>
      </c>
      <c r="G4" s="10">
        <v>21.0</v>
      </c>
      <c r="H4" s="10">
        <v>2.0</v>
      </c>
      <c r="I4" s="10"/>
      <c r="J4" s="10">
        <v>1.0</v>
      </c>
      <c r="K4" s="52">
        <f t="shared" ref="K4:K49" si="4">C4/F4</f>
        <v>244.6304167</v>
      </c>
    </row>
    <row r="5">
      <c r="A5" s="31" t="s">
        <v>35</v>
      </c>
      <c r="B5" s="10">
        <v>41775.85</v>
      </c>
      <c r="C5" s="52">
        <f>'Marketing cost'!T3</f>
        <v>7424.238099</v>
      </c>
      <c r="D5" s="42">
        <f t="shared" si="1"/>
        <v>0.1777160273</v>
      </c>
      <c r="E5" s="52">
        <f t="shared" si="2"/>
        <v>34351.6119</v>
      </c>
      <c r="F5" s="31">
        <f t="shared" si="3"/>
        <v>24</v>
      </c>
      <c r="G5" s="10">
        <v>20.0</v>
      </c>
      <c r="H5" s="10">
        <v>3.0</v>
      </c>
      <c r="I5" s="10"/>
      <c r="J5" s="10">
        <v>1.0</v>
      </c>
      <c r="K5" s="52">
        <f t="shared" si="4"/>
        <v>309.3432541</v>
      </c>
    </row>
    <row r="6">
      <c r="A6" s="31" t="s">
        <v>37</v>
      </c>
      <c r="B6" s="10">
        <v>18272.0</v>
      </c>
      <c r="C6" s="52">
        <f>'Marketing cost'!U3</f>
        <v>7153.17</v>
      </c>
      <c r="D6" s="42">
        <f t="shared" si="1"/>
        <v>0.3914825963</v>
      </c>
      <c r="E6" s="52">
        <f t="shared" si="2"/>
        <v>11118.83</v>
      </c>
      <c r="F6" s="31">
        <f t="shared" si="3"/>
        <v>22</v>
      </c>
      <c r="G6" s="10">
        <v>19.0</v>
      </c>
      <c r="H6" s="10">
        <v>3.0</v>
      </c>
      <c r="I6" s="10"/>
      <c r="J6" s="10">
        <v>0.0</v>
      </c>
      <c r="K6" s="52">
        <f t="shared" si="4"/>
        <v>325.1440909</v>
      </c>
    </row>
    <row r="7">
      <c r="A7" s="31" t="s">
        <v>14</v>
      </c>
      <c r="B7" s="10">
        <v>43918.0</v>
      </c>
      <c r="C7" s="52">
        <f>'Marketing cost'!V3</f>
        <v>8476.17</v>
      </c>
      <c r="D7" s="42">
        <f t="shared" si="1"/>
        <v>0.1929999089</v>
      </c>
      <c r="E7" s="52">
        <f t="shared" si="2"/>
        <v>35441.83</v>
      </c>
      <c r="F7" s="31">
        <f t="shared" si="3"/>
        <v>20</v>
      </c>
      <c r="G7" s="10">
        <v>18.0</v>
      </c>
      <c r="H7" s="10">
        <v>1.0</v>
      </c>
      <c r="I7" s="10"/>
      <c r="J7" s="10">
        <v>1.0</v>
      </c>
      <c r="K7" s="52">
        <f t="shared" si="4"/>
        <v>423.8085</v>
      </c>
    </row>
    <row r="8">
      <c r="A8" s="31" t="s">
        <v>15</v>
      </c>
      <c r="B8" s="10">
        <v>33670.0</v>
      </c>
      <c r="C8" s="52">
        <f>'Marketing cost'!W3</f>
        <v>8469.93</v>
      </c>
      <c r="D8" s="42">
        <f t="shared" si="1"/>
        <v>0.2515571726</v>
      </c>
      <c r="E8" s="52">
        <f t="shared" si="2"/>
        <v>25200.07</v>
      </c>
      <c r="F8" s="31">
        <f t="shared" si="3"/>
        <v>26</v>
      </c>
      <c r="G8" s="10">
        <v>21.0</v>
      </c>
      <c r="H8" s="10">
        <v>5.0</v>
      </c>
      <c r="I8" s="10"/>
      <c r="J8" s="10">
        <v>0.0</v>
      </c>
      <c r="K8" s="52">
        <f t="shared" si="4"/>
        <v>325.7665385</v>
      </c>
    </row>
    <row r="9">
      <c r="A9" s="31" t="s">
        <v>16</v>
      </c>
      <c r="B9" s="10">
        <f>59939+350+350</f>
        <v>60639</v>
      </c>
      <c r="C9" s="52">
        <f>'Marketing cost'!X3</f>
        <v>9383.600979</v>
      </c>
      <c r="D9" s="42">
        <f t="shared" si="1"/>
        <v>0.1547453121</v>
      </c>
      <c r="E9" s="52">
        <f t="shared" si="2"/>
        <v>51255.39902</v>
      </c>
      <c r="F9" s="31">
        <f t="shared" si="3"/>
        <v>14</v>
      </c>
      <c r="G9" s="10">
        <v>11.0</v>
      </c>
      <c r="H9" s="10">
        <v>3.0</v>
      </c>
      <c r="I9" s="10"/>
      <c r="J9" s="10">
        <v>0.0</v>
      </c>
      <c r="K9" s="52">
        <f t="shared" si="4"/>
        <v>670.2572128</v>
      </c>
    </row>
    <row r="10">
      <c r="A10" s="31" t="s">
        <v>17</v>
      </c>
      <c r="B10" s="10">
        <v>23670.0</v>
      </c>
      <c r="C10" s="52">
        <f>'Marketing cost'!Y3</f>
        <v>10290.41</v>
      </c>
      <c r="D10" s="42">
        <f t="shared" si="1"/>
        <v>0.4347448247</v>
      </c>
      <c r="E10" s="52">
        <f t="shared" si="2"/>
        <v>13379.59</v>
      </c>
      <c r="F10" s="31">
        <f t="shared" si="3"/>
        <v>20</v>
      </c>
      <c r="G10" s="10">
        <v>16.0</v>
      </c>
      <c r="H10" s="10">
        <v>4.0</v>
      </c>
      <c r="I10" s="10"/>
      <c r="J10" s="10">
        <v>0.0</v>
      </c>
      <c r="K10" s="52">
        <f t="shared" si="4"/>
        <v>514.5205</v>
      </c>
    </row>
    <row r="11">
      <c r="A11" s="31" t="s">
        <v>18</v>
      </c>
      <c r="B11" s="10">
        <v>40401.0</v>
      </c>
      <c r="C11" s="52">
        <f>'Marketing cost'!Z3</f>
        <v>8708.72</v>
      </c>
      <c r="D11" s="42">
        <f t="shared" si="1"/>
        <v>0.2155570407</v>
      </c>
      <c r="E11" s="52">
        <f t="shared" si="2"/>
        <v>31692.28</v>
      </c>
      <c r="F11" s="31">
        <f t="shared" si="3"/>
        <v>27</v>
      </c>
      <c r="G11" s="10">
        <v>25.0</v>
      </c>
      <c r="H11" s="10">
        <v>2.0</v>
      </c>
      <c r="I11" s="10"/>
      <c r="J11" s="10">
        <v>0.0</v>
      </c>
      <c r="K11" s="52">
        <f t="shared" si="4"/>
        <v>322.5451852</v>
      </c>
    </row>
    <row r="12">
      <c r="A12" s="31" t="s">
        <v>19</v>
      </c>
      <c r="B12" s="10">
        <v>11780.0</v>
      </c>
      <c r="C12" s="52">
        <f>'Marketing cost'!AA3</f>
        <v>9642.24</v>
      </c>
      <c r="D12" s="42">
        <f t="shared" si="1"/>
        <v>0.8185263158</v>
      </c>
      <c r="E12" s="52">
        <f t="shared" si="2"/>
        <v>2137.76</v>
      </c>
      <c r="F12" s="31">
        <f t="shared" si="3"/>
        <v>18</v>
      </c>
      <c r="G12" s="10">
        <v>15.0</v>
      </c>
      <c r="H12" s="10">
        <v>3.0</v>
      </c>
      <c r="I12" s="10"/>
      <c r="J12" s="10">
        <v>0.0</v>
      </c>
      <c r="K12" s="52">
        <f t="shared" si="4"/>
        <v>535.68</v>
      </c>
    </row>
    <row r="13">
      <c r="A13" s="31" t="s">
        <v>20</v>
      </c>
      <c r="B13" s="10">
        <v>19591.0</v>
      </c>
      <c r="C13" s="52">
        <f>'Marketing cost'!AB3</f>
        <v>9330.34</v>
      </c>
      <c r="D13" s="42">
        <f t="shared" si="1"/>
        <v>0.4762564443</v>
      </c>
      <c r="E13" s="52">
        <f t="shared" si="2"/>
        <v>10260.66</v>
      </c>
      <c r="F13" s="31">
        <f t="shared" si="3"/>
        <v>17</v>
      </c>
      <c r="G13" s="10">
        <v>14.0</v>
      </c>
      <c r="H13" s="10">
        <v>3.0</v>
      </c>
      <c r="I13" s="10"/>
      <c r="J13" s="10">
        <v>0.0</v>
      </c>
      <c r="K13" s="52">
        <f t="shared" si="4"/>
        <v>548.8435294</v>
      </c>
    </row>
    <row r="14">
      <c r="A14" s="31" t="s">
        <v>6</v>
      </c>
      <c r="B14" s="10">
        <v>35612.0</v>
      </c>
      <c r="C14" s="52">
        <f>'Marketing cost'!AC3</f>
        <v>9312.33</v>
      </c>
      <c r="D14" s="42">
        <f t="shared" si="1"/>
        <v>0.2614941593</v>
      </c>
      <c r="E14" s="52">
        <f t="shared" si="2"/>
        <v>26299.67</v>
      </c>
      <c r="F14" s="31">
        <f t="shared" si="3"/>
        <v>30</v>
      </c>
      <c r="G14" s="10">
        <v>27.0</v>
      </c>
      <c r="H14" s="10">
        <v>3.0</v>
      </c>
      <c r="I14" s="10"/>
      <c r="J14" s="10">
        <v>0.0</v>
      </c>
      <c r="K14" s="52">
        <f t="shared" si="4"/>
        <v>310.411</v>
      </c>
    </row>
    <row r="15">
      <c r="A15" s="57" t="s">
        <v>7</v>
      </c>
      <c r="B15" s="58">
        <v>20263.0</v>
      </c>
      <c r="C15" s="59">
        <f>'Marketing cost'!AD3</f>
        <v>9082.11</v>
      </c>
      <c r="D15" s="60">
        <f t="shared" si="1"/>
        <v>0.4482115185</v>
      </c>
      <c r="E15" s="59">
        <f t="shared" si="2"/>
        <v>11180.89</v>
      </c>
      <c r="F15" s="57">
        <f t="shared" si="3"/>
        <v>30</v>
      </c>
      <c r="G15" s="58">
        <v>25.0</v>
      </c>
      <c r="H15" s="58">
        <v>5.0</v>
      </c>
      <c r="I15" s="58"/>
      <c r="J15" s="58">
        <v>0.0</v>
      </c>
      <c r="K15" s="59">
        <f t="shared" si="4"/>
        <v>302.737</v>
      </c>
    </row>
    <row r="16">
      <c r="A16" s="31" t="s">
        <v>33</v>
      </c>
      <c r="B16" s="10">
        <v>22214.0</v>
      </c>
      <c r="C16" s="52">
        <f>'Marketing cost'!AE3</f>
        <v>6757.81</v>
      </c>
      <c r="D16" s="42">
        <f t="shared" si="1"/>
        <v>0.3042140092</v>
      </c>
      <c r="E16" s="52">
        <f t="shared" si="2"/>
        <v>15456.19</v>
      </c>
      <c r="F16" s="31">
        <f t="shared" si="3"/>
        <v>26</v>
      </c>
      <c r="G16" s="10">
        <v>23.0</v>
      </c>
      <c r="H16" s="10">
        <v>3.0</v>
      </c>
      <c r="I16" s="10"/>
      <c r="J16" s="10">
        <v>0.0</v>
      </c>
      <c r="K16" s="52">
        <f t="shared" si="4"/>
        <v>259.9157692</v>
      </c>
    </row>
    <row r="17">
      <c r="A17" s="31" t="s">
        <v>35</v>
      </c>
      <c r="B17" s="10">
        <v>19055.0</v>
      </c>
      <c r="C17" s="52">
        <f>'Marketing cost'!AF3</f>
        <v>7190.92</v>
      </c>
      <c r="D17" s="42">
        <f t="shared" si="1"/>
        <v>0.3773770664</v>
      </c>
      <c r="E17" s="52">
        <f t="shared" si="2"/>
        <v>11864.08</v>
      </c>
      <c r="F17" s="31">
        <f t="shared" si="3"/>
        <v>29</v>
      </c>
      <c r="G17" s="10">
        <v>26.0</v>
      </c>
      <c r="H17" s="10">
        <v>3.0</v>
      </c>
      <c r="I17" s="10"/>
      <c r="J17" s="10">
        <v>0.0</v>
      </c>
      <c r="K17" s="52">
        <f t="shared" si="4"/>
        <v>247.9627586</v>
      </c>
    </row>
    <row r="18">
      <c r="A18" s="31" t="s">
        <v>37</v>
      </c>
      <c r="B18" s="10">
        <v>40014.0</v>
      </c>
      <c r="C18" s="52">
        <f>'Marketing cost'!AG3</f>
        <v>6131.18</v>
      </c>
      <c r="D18" s="42">
        <f t="shared" si="1"/>
        <v>0.1532258709</v>
      </c>
      <c r="E18" s="52">
        <f t="shared" si="2"/>
        <v>33882.82</v>
      </c>
      <c r="F18" s="31">
        <f t="shared" si="3"/>
        <v>22</v>
      </c>
      <c r="G18" s="10">
        <v>19.0</v>
      </c>
      <c r="H18" s="10">
        <v>3.0</v>
      </c>
      <c r="I18" s="10"/>
      <c r="J18" s="10">
        <v>0.0</v>
      </c>
      <c r="K18" s="52">
        <f t="shared" si="4"/>
        <v>278.69</v>
      </c>
    </row>
    <row r="19">
      <c r="A19" s="31" t="s">
        <v>14</v>
      </c>
      <c r="B19" s="10">
        <v>30831.0</v>
      </c>
      <c r="C19" s="52">
        <f>'Marketing cost'!AH3</f>
        <v>7267.05</v>
      </c>
      <c r="D19" s="42">
        <f t="shared" si="1"/>
        <v>0.2357059453</v>
      </c>
      <c r="E19" s="52">
        <f t="shared" si="2"/>
        <v>23563.95</v>
      </c>
      <c r="F19" s="31">
        <f t="shared" si="3"/>
        <v>20</v>
      </c>
      <c r="G19" s="10">
        <v>14.0</v>
      </c>
      <c r="H19" s="10">
        <v>4.0</v>
      </c>
      <c r="I19" s="10"/>
      <c r="J19" s="10">
        <v>2.0</v>
      </c>
      <c r="K19" s="52">
        <f t="shared" si="4"/>
        <v>363.3525</v>
      </c>
    </row>
    <row r="20">
      <c r="A20" s="10" t="s">
        <v>15</v>
      </c>
      <c r="B20" s="10">
        <v>49445.0</v>
      </c>
      <c r="C20" s="52">
        <f>'Marketing cost'!AI3</f>
        <v>7302.63</v>
      </c>
      <c r="D20" s="42">
        <f t="shared" si="1"/>
        <v>0.147691981</v>
      </c>
      <c r="E20" s="52">
        <f t="shared" si="2"/>
        <v>42142.37</v>
      </c>
      <c r="F20" s="31">
        <f t="shared" si="3"/>
        <v>20</v>
      </c>
      <c r="G20" s="10">
        <v>18.0</v>
      </c>
      <c r="H20" s="10">
        <v>2.0</v>
      </c>
      <c r="I20" s="10"/>
      <c r="J20" s="10">
        <v>0.0</v>
      </c>
      <c r="K20" s="52">
        <f t="shared" si="4"/>
        <v>365.1315</v>
      </c>
    </row>
    <row r="21">
      <c r="A21" s="10" t="s">
        <v>16</v>
      </c>
      <c r="B21" s="10">
        <v>35585.0</v>
      </c>
      <c r="C21" s="52">
        <f>'Marketing cost'!AJ3</f>
        <v>6959.56</v>
      </c>
      <c r="D21" s="42">
        <f t="shared" si="1"/>
        <v>0.1955756639</v>
      </c>
      <c r="E21" s="52">
        <f t="shared" si="2"/>
        <v>28625.44</v>
      </c>
      <c r="F21" s="31">
        <f t="shared" si="3"/>
        <v>22</v>
      </c>
      <c r="G21" s="10">
        <v>19.0</v>
      </c>
      <c r="H21" s="10">
        <v>2.0</v>
      </c>
      <c r="I21" s="10"/>
      <c r="J21" s="10">
        <v>1.0</v>
      </c>
      <c r="K21" s="52">
        <f t="shared" si="4"/>
        <v>316.3436364</v>
      </c>
    </row>
    <row r="22">
      <c r="A22" s="31" t="s">
        <v>17</v>
      </c>
      <c r="B22" s="10">
        <v>41711.0</v>
      </c>
      <c r="C22" s="10">
        <v>8495.25</v>
      </c>
      <c r="D22" s="42">
        <f t="shared" si="1"/>
        <v>0.2036692959</v>
      </c>
      <c r="E22" s="31">
        <f t="shared" si="2"/>
        <v>33215.75</v>
      </c>
      <c r="F22" s="31">
        <f t="shared" si="3"/>
        <v>46</v>
      </c>
      <c r="G22" s="10">
        <v>40.0</v>
      </c>
      <c r="H22" s="10">
        <v>5.0</v>
      </c>
      <c r="I22" s="10"/>
      <c r="J22" s="10">
        <v>1.0</v>
      </c>
      <c r="K22" s="52">
        <f t="shared" si="4"/>
        <v>184.6793478</v>
      </c>
    </row>
    <row r="23">
      <c r="A23" s="10" t="s">
        <v>18</v>
      </c>
      <c r="B23" s="10">
        <v>45872.0</v>
      </c>
      <c r="C23" s="52">
        <f>'Marketing cost'!AL3</f>
        <v>6697.63</v>
      </c>
      <c r="D23" s="42">
        <f t="shared" si="1"/>
        <v>0.1460069323</v>
      </c>
      <c r="E23" s="52">
        <f t="shared" si="2"/>
        <v>39174.37</v>
      </c>
      <c r="F23" s="31">
        <f t="shared" si="3"/>
        <v>25</v>
      </c>
      <c r="G23" s="10">
        <v>20.0</v>
      </c>
      <c r="H23" s="10">
        <v>5.0</v>
      </c>
      <c r="I23" s="10"/>
      <c r="J23" s="10">
        <v>0.0</v>
      </c>
      <c r="K23" s="52">
        <f t="shared" si="4"/>
        <v>267.9052</v>
      </c>
    </row>
    <row r="24">
      <c r="A24" s="31" t="s">
        <v>19</v>
      </c>
      <c r="B24" s="10">
        <v>61332.0</v>
      </c>
      <c r="C24" s="52">
        <f>'Marketing cost'!AM3</f>
        <v>7531.96</v>
      </c>
      <c r="D24" s="42">
        <f t="shared" si="1"/>
        <v>0.1228063654</v>
      </c>
      <c r="E24" s="52">
        <f t="shared" si="2"/>
        <v>53800.04</v>
      </c>
      <c r="F24" s="31">
        <f t="shared" si="3"/>
        <v>32</v>
      </c>
      <c r="G24" s="10">
        <v>27.0</v>
      </c>
      <c r="H24" s="10">
        <v>5.0</v>
      </c>
      <c r="I24" s="10"/>
      <c r="J24" s="10">
        <v>0.0</v>
      </c>
      <c r="K24" s="52">
        <f t="shared" si="4"/>
        <v>235.37375</v>
      </c>
    </row>
    <row r="25">
      <c r="A25" s="10" t="s">
        <v>20</v>
      </c>
      <c r="B25" s="10">
        <v>38708.0</v>
      </c>
      <c r="C25" s="52">
        <f>'Marketing cost'!AN3</f>
        <v>9324.06</v>
      </c>
      <c r="D25" s="42">
        <f t="shared" si="1"/>
        <v>0.2408819882</v>
      </c>
      <c r="E25" s="52">
        <f t="shared" si="2"/>
        <v>29383.94</v>
      </c>
      <c r="F25" s="31">
        <f t="shared" si="3"/>
        <v>27</v>
      </c>
      <c r="G25" s="10">
        <v>24.0</v>
      </c>
      <c r="H25" s="10">
        <v>2.0</v>
      </c>
      <c r="I25" s="10"/>
      <c r="J25" s="10">
        <v>1.0</v>
      </c>
      <c r="K25" s="52">
        <f t="shared" si="4"/>
        <v>345.3355556</v>
      </c>
    </row>
    <row r="26">
      <c r="A26" s="10" t="s">
        <v>6</v>
      </c>
      <c r="B26" s="10">
        <f>46659+350</f>
        <v>47009</v>
      </c>
      <c r="C26" s="52">
        <f>'Marketing cost'!AO3</f>
        <v>7111.73</v>
      </c>
      <c r="D26" s="42">
        <f t="shared" si="1"/>
        <v>0.1512844349</v>
      </c>
      <c r="E26" s="52">
        <f t="shared" si="2"/>
        <v>39897.27</v>
      </c>
      <c r="F26" s="31">
        <f t="shared" si="3"/>
        <v>24</v>
      </c>
      <c r="G26" s="10">
        <v>22.0</v>
      </c>
      <c r="H26" s="10">
        <v>2.0</v>
      </c>
      <c r="I26" s="10"/>
      <c r="J26" s="10">
        <v>0.0</v>
      </c>
      <c r="K26" s="52">
        <f t="shared" si="4"/>
        <v>296.3220833</v>
      </c>
    </row>
    <row r="27">
      <c r="A27" s="31" t="s">
        <v>7</v>
      </c>
      <c r="B27" s="10">
        <f>23430+350</f>
        <v>23780</v>
      </c>
      <c r="C27" s="52">
        <f>'Marketing cost'!AP3</f>
        <v>8268.62</v>
      </c>
      <c r="D27" s="42">
        <f t="shared" si="1"/>
        <v>0.3477132044</v>
      </c>
      <c r="E27" s="52">
        <f t="shared" si="2"/>
        <v>15511.38</v>
      </c>
      <c r="F27" s="31">
        <f t="shared" si="3"/>
        <v>18</v>
      </c>
      <c r="G27" s="10">
        <v>16.0</v>
      </c>
      <c r="H27" s="10">
        <v>2.0</v>
      </c>
      <c r="I27" s="10"/>
      <c r="J27" s="10">
        <v>0.0</v>
      </c>
      <c r="K27" s="52">
        <f t="shared" si="4"/>
        <v>459.3677778</v>
      </c>
    </row>
    <row r="28">
      <c r="A28" s="10" t="s">
        <v>33</v>
      </c>
      <c r="B28" s="31">
        <f>32303+350</f>
        <v>32653</v>
      </c>
      <c r="C28" s="52">
        <f>'Marketing cost'!AQ3</f>
        <v>8540.97</v>
      </c>
      <c r="D28" s="42">
        <f t="shared" si="1"/>
        <v>0.2615676967</v>
      </c>
      <c r="E28" s="52">
        <f t="shared" si="2"/>
        <v>24112.03</v>
      </c>
      <c r="F28" s="31">
        <f t="shared" si="3"/>
        <v>34</v>
      </c>
      <c r="G28" s="10">
        <v>30.0</v>
      </c>
      <c r="H28" s="10">
        <v>4.0</v>
      </c>
      <c r="I28" s="10"/>
      <c r="J28" s="10">
        <v>0.0</v>
      </c>
      <c r="K28" s="52">
        <f t="shared" si="4"/>
        <v>251.205</v>
      </c>
    </row>
    <row r="29">
      <c r="A29" s="31" t="s">
        <v>35</v>
      </c>
      <c r="B29" s="10">
        <v>49940.0</v>
      </c>
      <c r="C29" s="52">
        <f>'Marketing cost'!AR3</f>
        <v>7010.54</v>
      </c>
      <c r="D29" s="42">
        <f t="shared" si="1"/>
        <v>0.1403792551</v>
      </c>
      <c r="E29" s="52">
        <f t="shared" si="2"/>
        <v>42929.46</v>
      </c>
      <c r="F29" s="31">
        <f t="shared" si="3"/>
        <v>39</v>
      </c>
      <c r="G29" s="10">
        <v>34.0</v>
      </c>
      <c r="H29" s="10">
        <v>5.0</v>
      </c>
      <c r="I29" s="10"/>
      <c r="J29" s="10">
        <v>0.0</v>
      </c>
      <c r="K29" s="52">
        <f t="shared" si="4"/>
        <v>179.7574359</v>
      </c>
    </row>
    <row r="30">
      <c r="A30" s="10" t="s">
        <v>37</v>
      </c>
      <c r="B30" s="10">
        <v>65447.0</v>
      </c>
      <c r="C30" s="52">
        <f>'Marketing cost'!AS3</f>
        <v>8031.85</v>
      </c>
      <c r="D30" s="42">
        <f t="shared" si="1"/>
        <v>0.1227229667</v>
      </c>
      <c r="E30" s="52">
        <f t="shared" si="2"/>
        <v>57415.15</v>
      </c>
      <c r="F30" s="31">
        <f t="shared" si="3"/>
        <v>29</v>
      </c>
      <c r="G30" s="10">
        <v>24.0</v>
      </c>
      <c r="H30" s="10">
        <v>4.0</v>
      </c>
      <c r="I30" s="10"/>
      <c r="J30" s="10">
        <v>1.0</v>
      </c>
      <c r="K30" s="52">
        <f t="shared" si="4"/>
        <v>276.9603448</v>
      </c>
    </row>
    <row r="31">
      <c r="A31" s="10" t="s">
        <v>14</v>
      </c>
      <c r="B31" s="10">
        <v>41510.0</v>
      </c>
      <c r="C31" s="52">
        <f>'Marketing cost'!AT3</f>
        <v>8196.822577</v>
      </c>
      <c r="D31" s="42">
        <f t="shared" si="1"/>
        <v>0.1974662148</v>
      </c>
      <c r="E31" s="52">
        <f t="shared" si="2"/>
        <v>33313.17742</v>
      </c>
      <c r="F31" s="10">
        <v>28.0</v>
      </c>
      <c r="G31" s="10">
        <v>24.0</v>
      </c>
      <c r="H31" s="10">
        <v>4.0</v>
      </c>
      <c r="I31" s="10"/>
      <c r="J31" s="10">
        <v>0.0</v>
      </c>
      <c r="K31" s="52">
        <f t="shared" si="4"/>
        <v>292.7436635</v>
      </c>
    </row>
    <row r="32">
      <c r="A32" s="10" t="s">
        <v>15</v>
      </c>
      <c r="B32" s="31">
        <f>58175+3000+583</f>
        <v>61758</v>
      </c>
      <c r="C32" s="52">
        <f>'Marketing cost'!AU3</f>
        <v>7463.85</v>
      </c>
      <c r="D32" s="42">
        <f t="shared" si="1"/>
        <v>0.1208564073</v>
      </c>
      <c r="E32" s="52">
        <f t="shared" si="2"/>
        <v>54294.15</v>
      </c>
      <c r="F32" s="31">
        <f t="shared" ref="F32:F49" si="5">SUM(G32:J32)</f>
        <v>34</v>
      </c>
      <c r="G32" s="10">
        <v>26.0</v>
      </c>
      <c r="H32" s="10">
        <v>8.0</v>
      </c>
      <c r="I32" s="10"/>
      <c r="J32" s="10">
        <v>0.0</v>
      </c>
      <c r="K32" s="52">
        <f t="shared" si="4"/>
        <v>219.525</v>
      </c>
    </row>
    <row r="33">
      <c r="A33" s="10" t="s">
        <v>16</v>
      </c>
      <c r="B33" s="10">
        <v>73294.0</v>
      </c>
      <c r="C33" s="52">
        <f>'Marketing cost'!AV3</f>
        <v>6849.83</v>
      </c>
      <c r="D33" s="42">
        <f t="shared" si="1"/>
        <v>0.09345689961</v>
      </c>
      <c r="E33" s="52">
        <f t="shared" si="2"/>
        <v>66444.17</v>
      </c>
      <c r="F33" s="31">
        <f t="shared" si="5"/>
        <v>16</v>
      </c>
      <c r="G33" s="10">
        <v>14.0</v>
      </c>
      <c r="H33" s="10">
        <v>0.0</v>
      </c>
      <c r="I33" s="10"/>
      <c r="J33" s="10">
        <v>2.0</v>
      </c>
      <c r="K33" s="52">
        <f t="shared" si="4"/>
        <v>428.114375</v>
      </c>
    </row>
    <row r="34">
      <c r="A34" s="10" t="s">
        <v>17</v>
      </c>
      <c r="B34" s="10">
        <v>57743.0</v>
      </c>
      <c r="C34" s="52">
        <f>'Marketing cost'!Q3</f>
        <v>7221.14</v>
      </c>
      <c r="D34" s="42">
        <f t="shared" si="1"/>
        <v>0.1250565437</v>
      </c>
      <c r="E34" s="52">
        <f t="shared" si="2"/>
        <v>50521.86</v>
      </c>
      <c r="F34" s="31">
        <f t="shared" si="5"/>
        <v>23</v>
      </c>
      <c r="G34" s="10">
        <v>22.0</v>
      </c>
      <c r="H34" s="10">
        <v>0.0</v>
      </c>
      <c r="I34" s="10"/>
      <c r="J34" s="10">
        <v>1.0</v>
      </c>
      <c r="K34" s="52">
        <f t="shared" si="4"/>
        <v>313.9626087</v>
      </c>
    </row>
    <row r="35">
      <c r="A35" s="10" t="s">
        <v>18</v>
      </c>
      <c r="B35" s="31">
        <f>61027+1599</f>
        <v>62626</v>
      </c>
      <c r="C35" s="52">
        <f>'Marketing cost'!P3</f>
        <v>6450.37</v>
      </c>
      <c r="D35" s="42">
        <f t="shared" si="1"/>
        <v>0.1029982755</v>
      </c>
      <c r="E35" s="52">
        <f t="shared" si="2"/>
        <v>56175.63</v>
      </c>
      <c r="F35" s="31">
        <f t="shared" si="5"/>
        <v>33</v>
      </c>
      <c r="G35" s="10">
        <v>28.0</v>
      </c>
      <c r="H35" s="10">
        <v>2.0</v>
      </c>
      <c r="I35" s="10"/>
      <c r="J35" s="10">
        <v>3.0</v>
      </c>
      <c r="K35" s="52">
        <f t="shared" si="4"/>
        <v>195.4657576</v>
      </c>
    </row>
    <row r="36">
      <c r="A36" s="10" t="s">
        <v>19</v>
      </c>
      <c r="B36" s="10">
        <v>75054.0</v>
      </c>
      <c r="C36" s="52">
        <f>'Marketing cost'!O3</f>
        <v>5635.6</v>
      </c>
      <c r="D36" s="42">
        <f t="shared" si="1"/>
        <v>0.0750872705</v>
      </c>
      <c r="E36" s="52">
        <f t="shared" si="2"/>
        <v>69418.4</v>
      </c>
      <c r="F36" s="31">
        <f t="shared" si="5"/>
        <v>22</v>
      </c>
      <c r="G36" s="10">
        <v>17.0</v>
      </c>
      <c r="H36" s="10">
        <v>3.0</v>
      </c>
      <c r="I36" s="10"/>
      <c r="J36" s="10">
        <v>2.0</v>
      </c>
      <c r="K36" s="52">
        <f t="shared" si="4"/>
        <v>256.1636364</v>
      </c>
    </row>
    <row r="37">
      <c r="A37" s="10" t="s">
        <v>20</v>
      </c>
      <c r="B37" s="31">
        <f>46479+370+3250</f>
        <v>50099</v>
      </c>
      <c r="C37" s="52">
        <f>'Marketing cost'!N3</f>
        <v>8443.04</v>
      </c>
      <c r="D37" s="42">
        <f t="shared" si="1"/>
        <v>0.1685271163</v>
      </c>
      <c r="E37" s="52">
        <f t="shared" si="2"/>
        <v>41655.96</v>
      </c>
      <c r="F37" s="31">
        <f t="shared" si="5"/>
        <v>29</v>
      </c>
      <c r="G37" s="10">
        <v>22.0</v>
      </c>
      <c r="H37" s="10">
        <v>5.0</v>
      </c>
      <c r="I37" s="10"/>
      <c r="J37" s="10">
        <v>2.0</v>
      </c>
      <c r="K37" s="52">
        <f t="shared" si="4"/>
        <v>291.1393103</v>
      </c>
    </row>
    <row r="38">
      <c r="A38" s="10" t="s">
        <v>6</v>
      </c>
      <c r="B38" s="10">
        <v>69986.0</v>
      </c>
      <c r="C38" s="52">
        <f>'Marketing cost'!M3</f>
        <v>11436.53</v>
      </c>
      <c r="D38" s="42">
        <f t="shared" si="1"/>
        <v>0.1634116823</v>
      </c>
      <c r="E38" s="52">
        <f t="shared" si="2"/>
        <v>58549.47</v>
      </c>
      <c r="F38" s="31">
        <f t="shared" si="5"/>
        <v>42</v>
      </c>
      <c r="G38" s="10">
        <v>27.0</v>
      </c>
      <c r="H38" s="10">
        <v>8.0</v>
      </c>
      <c r="I38" s="10"/>
      <c r="J38" s="10">
        <v>7.0</v>
      </c>
      <c r="K38" s="52">
        <f t="shared" si="4"/>
        <v>272.2983333</v>
      </c>
    </row>
    <row r="39">
      <c r="A39" s="10" t="s">
        <v>7</v>
      </c>
      <c r="B39" s="10">
        <v>38550.0</v>
      </c>
      <c r="C39" s="52">
        <f>'Marketing cost'!L3</f>
        <v>12894.76</v>
      </c>
      <c r="D39" s="42">
        <f t="shared" si="1"/>
        <v>0.3344944228</v>
      </c>
      <c r="E39" s="52">
        <f t="shared" si="2"/>
        <v>25655.24</v>
      </c>
      <c r="F39" s="31">
        <f t="shared" si="5"/>
        <v>30</v>
      </c>
      <c r="G39" s="10">
        <v>20.0</v>
      </c>
      <c r="H39" s="10">
        <v>5.0</v>
      </c>
      <c r="I39" s="10"/>
      <c r="J39" s="10">
        <v>5.0</v>
      </c>
      <c r="K39" s="52">
        <f t="shared" si="4"/>
        <v>429.8253333</v>
      </c>
    </row>
    <row r="40">
      <c r="A40" s="10" t="s">
        <v>33</v>
      </c>
      <c r="B40" s="31">
        <f>41745+2040</f>
        <v>43785</v>
      </c>
      <c r="C40" s="52">
        <f>'Marketing cost'!K3</f>
        <v>13206.93</v>
      </c>
      <c r="D40" s="42">
        <f t="shared" si="1"/>
        <v>0.3016313806</v>
      </c>
      <c r="E40" s="52">
        <f t="shared" si="2"/>
        <v>30578.07</v>
      </c>
      <c r="F40" s="31">
        <f t="shared" si="5"/>
        <v>42</v>
      </c>
      <c r="G40" s="10">
        <v>32.0</v>
      </c>
      <c r="H40" s="10">
        <v>8.0</v>
      </c>
      <c r="I40" s="10"/>
      <c r="J40" s="10">
        <v>2.0</v>
      </c>
      <c r="K40" s="52">
        <f t="shared" si="4"/>
        <v>314.4507143</v>
      </c>
    </row>
    <row r="41">
      <c r="A41" s="31" t="s">
        <v>35</v>
      </c>
      <c r="B41" s="10">
        <v>47943.0</v>
      </c>
      <c r="C41" s="52">
        <f>'Marketing cost'!J3</f>
        <v>12833.18</v>
      </c>
      <c r="D41" s="42">
        <f t="shared" si="1"/>
        <v>0.2676757817</v>
      </c>
      <c r="E41" s="52">
        <f t="shared" si="2"/>
        <v>35109.82</v>
      </c>
      <c r="F41" s="31">
        <f t="shared" si="5"/>
        <v>25</v>
      </c>
      <c r="G41" s="10">
        <v>20.0</v>
      </c>
      <c r="H41" s="10">
        <v>3.0</v>
      </c>
      <c r="I41" s="10"/>
      <c r="J41" s="10">
        <v>2.0</v>
      </c>
      <c r="K41" s="52">
        <f t="shared" si="4"/>
        <v>513.3272</v>
      </c>
    </row>
    <row r="42">
      <c r="A42" s="10" t="s">
        <v>37</v>
      </c>
      <c r="B42" s="10">
        <v>47823.0</v>
      </c>
      <c r="C42" s="52">
        <f>'Marketing cost'!I3</f>
        <v>12849.01</v>
      </c>
      <c r="D42" s="42">
        <f t="shared" si="1"/>
        <v>0.2686784602</v>
      </c>
      <c r="E42" s="52">
        <f t="shared" si="2"/>
        <v>34973.99</v>
      </c>
      <c r="F42" s="31">
        <f t="shared" si="5"/>
        <v>30</v>
      </c>
      <c r="G42" s="10">
        <v>21.0</v>
      </c>
      <c r="H42" s="10">
        <v>3.0</v>
      </c>
      <c r="I42" s="10"/>
      <c r="J42" s="10">
        <v>6.0</v>
      </c>
      <c r="K42" s="52">
        <f t="shared" si="4"/>
        <v>428.3003333</v>
      </c>
    </row>
    <row r="43">
      <c r="A43" s="10" t="s">
        <v>14</v>
      </c>
      <c r="B43" s="10">
        <v>60249.0</v>
      </c>
      <c r="C43" s="52">
        <f>'Marketing cost'!H3</f>
        <v>12569.8</v>
      </c>
      <c r="D43" s="42">
        <f t="shared" si="1"/>
        <v>0.2086308486</v>
      </c>
      <c r="E43" s="52">
        <f t="shared" si="2"/>
        <v>47679.2</v>
      </c>
      <c r="F43" s="31">
        <f t="shared" si="5"/>
        <v>22</v>
      </c>
      <c r="G43" s="10">
        <v>19.0</v>
      </c>
      <c r="H43" s="10">
        <v>1.0</v>
      </c>
      <c r="I43" s="10"/>
      <c r="J43" s="10">
        <v>2.0</v>
      </c>
      <c r="K43" s="52">
        <f t="shared" si="4"/>
        <v>571.3545455</v>
      </c>
    </row>
    <row r="44">
      <c r="A44" s="10" t="s">
        <v>15</v>
      </c>
      <c r="B44" s="10">
        <v>65123.0</v>
      </c>
      <c r="C44" s="52">
        <f>'Marketing cost'!G3</f>
        <v>12780.44</v>
      </c>
      <c r="D44" s="42">
        <f t="shared" si="1"/>
        <v>0.196250787</v>
      </c>
      <c r="E44" s="52">
        <f t="shared" si="2"/>
        <v>52342.56</v>
      </c>
      <c r="F44" s="31">
        <f t="shared" si="5"/>
        <v>18</v>
      </c>
      <c r="G44" s="10">
        <v>14.0</v>
      </c>
      <c r="H44" s="10">
        <v>3.0</v>
      </c>
      <c r="I44" s="10"/>
      <c r="J44" s="10">
        <v>1.0</v>
      </c>
      <c r="K44" s="52">
        <f t="shared" si="4"/>
        <v>710.0244444</v>
      </c>
    </row>
    <row r="45">
      <c r="A45" s="10" t="s">
        <v>16</v>
      </c>
      <c r="B45" s="10">
        <v>43130.0</v>
      </c>
      <c r="C45" s="52">
        <f>'Marketing cost'!F3</f>
        <v>11280.03</v>
      </c>
      <c r="D45" s="42">
        <f t="shared" si="1"/>
        <v>0.2615355901</v>
      </c>
      <c r="E45" s="52">
        <f t="shared" si="2"/>
        <v>31849.97</v>
      </c>
      <c r="F45" s="31">
        <f t="shared" si="5"/>
        <v>13</v>
      </c>
      <c r="G45" s="10">
        <v>10.0</v>
      </c>
      <c r="H45" s="10">
        <v>0.0</v>
      </c>
      <c r="I45" s="10">
        <v>2.0</v>
      </c>
      <c r="J45" s="10">
        <v>1.0</v>
      </c>
      <c r="K45" s="52">
        <f t="shared" si="4"/>
        <v>867.6946154</v>
      </c>
    </row>
    <row r="46">
      <c r="A46" s="10" t="s">
        <v>17</v>
      </c>
      <c r="B46" s="10">
        <v>39667.0</v>
      </c>
      <c r="C46" s="52">
        <f>'Marketing cost'!E3</f>
        <v>11305.25</v>
      </c>
      <c r="D46" s="42">
        <f t="shared" si="1"/>
        <v>0.2850039075</v>
      </c>
      <c r="E46" s="52">
        <f t="shared" si="2"/>
        <v>28361.75</v>
      </c>
      <c r="F46" s="31">
        <f t="shared" si="5"/>
        <v>22</v>
      </c>
      <c r="G46" s="10">
        <v>13.0</v>
      </c>
      <c r="H46" s="10">
        <v>4.0</v>
      </c>
      <c r="I46" s="10">
        <v>4.0</v>
      </c>
      <c r="J46" s="10">
        <v>1.0</v>
      </c>
      <c r="K46" s="52">
        <f t="shared" si="4"/>
        <v>513.875</v>
      </c>
    </row>
    <row r="47">
      <c r="A47" s="10" t="s">
        <v>18</v>
      </c>
      <c r="B47" s="31">
        <f>55033+1637</f>
        <v>56670</v>
      </c>
      <c r="C47" s="52">
        <f>'Marketing cost'!D3</f>
        <v>8477.11</v>
      </c>
      <c r="D47" s="42">
        <f t="shared" si="1"/>
        <v>0.1495872596</v>
      </c>
      <c r="E47" s="52">
        <f t="shared" si="2"/>
        <v>48192.89</v>
      </c>
      <c r="F47" s="31">
        <f t="shared" si="5"/>
        <v>17</v>
      </c>
      <c r="G47" s="10">
        <v>11.0</v>
      </c>
      <c r="H47" s="10">
        <v>3.0</v>
      </c>
      <c r="J47" s="10">
        <v>3.0</v>
      </c>
      <c r="K47" s="52">
        <f t="shared" si="4"/>
        <v>498.6535294</v>
      </c>
    </row>
    <row r="48">
      <c r="A48" s="10" t="s">
        <v>19</v>
      </c>
      <c r="B48" s="10">
        <v>72930.0</v>
      </c>
      <c r="C48" s="52">
        <f>'Marketing cost'!C3</f>
        <v>8783.25</v>
      </c>
      <c r="D48" s="42">
        <f t="shared" si="1"/>
        <v>0.1204339778</v>
      </c>
      <c r="E48" s="52">
        <f t="shared" si="2"/>
        <v>64146.75</v>
      </c>
      <c r="F48" s="31">
        <f t="shared" si="5"/>
        <v>23</v>
      </c>
      <c r="G48" s="10">
        <v>18.0</v>
      </c>
      <c r="H48" s="10">
        <v>3.0</v>
      </c>
      <c r="I48" s="10">
        <v>1.0</v>
      </c>
      <c r="J48" s="10">
        <v>1.0</v>
      </c>
      <c r="K48" s="52">
        <f t="shared" si="4"/>
        <v>381.8804348</v>
      </c>
    </row>
    <row r="49">
      <c r="A49" s="10" t="s">
        <v>20</v>
      </c>
      <c r="B49" s="10">
        <v>27713.0</v>
      </c>
      <c r="C49" s="52">
        <f>'Marketing cost'!B3</f>
        <v>7865.79</v>
      </c>
      <c r="D49" s="42">
        <f t="shared" si="1"/>
        <v>0.2838303323</v>
      </c>
      <c r="E49" s="52">
        <f t="shared" si="2"/>
        <v>19847.21</v>
      </c>
      <c r="F49" s="31">
        <f t="shared" si="5"/>
        <v>15</v>
      </c>
      <c r="G49" s="10">
        <v>12.0</v>
      </c>
      <c r="H49" s="10">
        <v>2.0</v>
      </c>
      <c r="I49" s="10">
        <v>1.0</v>
      </c>
      <c r="K49" s="52">
        <f t="shared" si="4"/>
        <v>524.386</v>
      </c>
    </row>
  </sheetData>
  <mergeCells count="1">
    <mergeCell ref="F1:J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61"/>
      <c r="B1" s="62">
        <f t="shared" ref="B1:AV1" si="1">B6+B7</f>
        <v>5098.29</v>
      </c>
      <c r="C1" s="62">
        <f t="shared" si="1"/>
        <v>6023.55</v>
      </c>
      <c r="D1" s="62">
        <f t="shared" si="1"/>
        <v>5255.21</v>
      </c>
      <c r="E1" s="62">
        <f t="shared" si="1"/>
        <v>7473.55</v>
      </c>
      <c r="F1" s="62">
        <f t="shared" si="1"/>
        <v>7304.1</v>
      </c>
      <c r="G1" s="62">
        <f t="shared" si="1"/>
        <v>8233.71</v>
      </c>
      <c r="H1" s="62">
        <f t="shared" si="1"/>
        <v>8411.53</v>
      </c>
      <c r="I1" s="62">
        <f t="shared" si="1"/>
        <v>8673.27</v>
      </c>
      <c r="J1" s="62">
        <f t="shared" si="1"/>
        <v>9231.3</v>
      </c>
      <c r="K1" s="62">
        <f t="shared" si="1"/>
        <v>9557.28</v>
      </c>
      <c r="L1" s="62">
        <f t="shared" si="1"/>
        <v>9384.94</v>
      </c>
      <c r="M1" s="62">
        <f t="shared" si="1"/>
        <v>8184.53</v>
      </c>
      <c r="N1" s="62">
        <f t="shared" si="1"/>
        <v>5235.04</v>
      </c>
      <c r="O1" s="62">
        <f t="shared" si="1"/>
        <v>3284.6</v>
      </c>
      <c r="P1" s="62">
        <f t="shared" si="1"/>
        <v>2876.47</v>
      </c>
      <c r="Q1" s="62">
        <f t="shared" si="1"/>
        <v>4501.14</v>
      </c>
      <c r="R1" s="63">
        <f t="shared" si="1"/>
        <v>856.7</v>
      </c>
      <c r="S1" s="63">
        <f t="shared" si="1"/>
        <v>862.99</v>
      </c>
      <c r="T1" s="63">
        <f t="shared" si="1"/>
        <v>863.14</v>
      </c>
      <c r="U1" s="63">
        <f t="shared" si="1"/>
        <v>973.96</v>
      </c>
      <c r="V1" s="63">
        <f t="shared" si="1"/>
        <v>1507.19</v>
      </c>
      <c r="W1" s="63">
        <f t="shared" si="1"/>
        <v>1675.53</v>
      </c>
      <c r="X1" s="63">
        <f t="shared" si="1"/>
        <v>1528.06</v>
      </c>
      <c r="Y1" s="63">
        <f t="shared" si="1"/>
        <v>844.89</v>
      </c>
      <c r="Z1" s="63">
        <f t="shared" si="1"/>
        <v>1327.91</v>
      </c>
      <c r="AA1" s="63">
        <f t="shared" si="1"/>
        <v>1421.95</v>
      </c>
      <c r="AB1" s="63">
        <f t="shared" si="1"/>
        <v>2842.89</v>
      </c>
      <c r="AC1" s="63">
        <f t="shared" si="1"/>
        <v>4359.97</v>
      </c>
      <c r="AD1" s="63">
        <f t="shared" si="1"/>
        <v>5472.99</v>
      </c>
      <c r="AE1" s="63">
        <f t="shared" si="1"/>
        <v>5184.81</v>
      </c>
      <c r="AF1" s="63">
        <f t="shared" si="1"/>
        <v>4908.42</v>
      </c>
      <c r="AG1" s="63">
        <f t="shared" si="1"/>
        <v>4188.18</v>
      </c>
      <c r="AH1" s="63">
        <f t="shared" si="1"/>
        <v>4963.05</v>
      </c>
      <c r="AI1" s="63">
        <f t="shared" si="1"/>
        <v>5621.63</v>
      </c>
      <c r="AJ1" s="63">
        <f t="shared" si="1"/>
        <v>4936.06</v>
      </c>
      <c r="AK1" s="63">
        <f t="shared" si="1"/>
        <v>6291.25</v>
      </c>
      <c r="AL1" s="63">
        <f t="shared" si="1"/>
        <v>5438.63</v>
      </c>
      <c r="AM1" s="63">
        <f t="shared" si="1"/>
        <v>5722.96</v>
      </c>
      <c r="AN1" s="63">
        <f t="shared" si="1"/>
        <v>7354.06</v>
      </c>
      <c r="AO1" s="63">
        <f t="shared" si="1"/>
        <v>5929.73</v>
      </c>
      <c r="AP1" s="63">
        <f t="shared" si="1"/>
        <v>6500.62</v>
      </c>
      <c r="AQ1" s="63">
        <f t="shared" si="1"/>
        <v>7164.97</v>
      </c>
      <c r="AR1" s="63">
        <f t="shared" si="1"/>
        <v>5789.54</v>
      </c>
      <c r="AS1" s="63">
        <f t="shared" si="1"/>
        <v>5529.4</v>
      </c>
      <c r="AT1" s="63">
        <f t="shared" si="1"/>
        <v>5323.38</v>
      </c>
      <c r="AU1" s="63">
        <f t="shared" si="1"/>
        <v>6021.85</v>
      </c>
      <c r="AV1" s="63">
        <f t="shared" si="1"/>
        <v>4830.83</v>
      </c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</row>
    <row r="2">
      <c r="A2" s="61"/>
      <c r="B2" s="62"/>
      <c r="C2" s="62"/>
      <c r="D2" s="62"/>
      <c r="E2" s="62"/>
      <c r="F2" s="62"/>
      <c r="G2" s="65"/>
      <c r="H2" s="65"/>
      <c r="I2" s="65"/>
      <c r="J2" s="65"/>
      <c r="K2" s="65"/>
      <c r="L2" s="65"/>
      <c r="M2" s="65"/>
      <c r="N2" s="65"/>
      <c r="O2" s="65"/>
      <c r="P2" s="65"/>
      <c r="Q2" s="65">
        <v>2025.0</v>
      </c>
      <c r="R2" s="63">
        <v>2022.0</v>
      </c>
      <c r="Y2" s="63">
        <v>2023.0</v>
      </c>
      <c r="AK2" s="63">
        <v>2024.0</v>
      </c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</row>
    <row r="3">
      <c r="A3" s="61" t="s">
        <v>53</v>
      </c>
      <c r="B3" s="64">
        <f t="shared" ref="B3:F3" si="2">SUM(B5:B26)</f>
        <v>7865.79</v>
      </c>
      <c r="C3" s="64">
        <f t="shared" si="2"/>
        <v>8783.25</v>
      </c>
      <c r="D3" s="64">
        <f t="shared" si="2"/>
        <v>8477.11</v>
      </c>
      <c r="E3" s="64">
        <f t="shared" si="2"/>
        <v>11305.25</v>
      </c>
      <c r="F3" s="64">
        <f t="shared" si="2"/>
        <v>11280.03</v>
      </c>
      <c r="G3" s="64">
        <f t="shared" ref="G3:P3" si="3">SUM(G5:G21)</f>
        <v>12780.44</v>
      </c>
      <c r="H3" s="64">
        <f t="shared" si="3"/>
        <v>12569.8</v>
      </c>
      <c r="I3" s="64">
        <f t="shared" si="3"/>
        <v>12849.01</v>
      </c>
      <c r="J3" s="64">
        <f t="shared" si="3"/>
        <v>12833.18</v>
      </c>
      <c r="K3" s="64">
        <f t="shared" si="3"/>
        <v>13206.93</v>
      </c>
      <c r="L3" s="64">
        <f t="shared" si="3"/>
        <v>12894.76</v>
      </c>
      <c r="M3" s="64">
        <f t="shared" si="3"/>
        <v>11436.53</v>
      </c>
      <c r="N3" s="64">
        <f t="shared" si="3"/>
        <v>8443.04</v>
      </c>
      <c r="O3" s="64">
        <f t="shared" si="3"/>
        <v>5635.6</v>
      </c>
      <c r="P3" s="64">
        <f t="shared" si="3"/>
        <v>6450.37</v>
      </c>
      <c r="Q3" s="64">
        <f t="shared" ref="Q3:AV3" si="4">SUM(Q5:Q20)</f>
        <v>7221.14</v>
      </c>
      <c r="R3" s="66">
        <f t="shared" si="4"/>
        <v>5061.39</v>
      </c>
      <c r="S3" s="67">
        <f t="shared" si="4"/>
        <v>5871.13</v>
      </c>
      <c r="T3" s="68">
        <f t="shared" si="4"/>
        <v>7424.238099</v>
      </c>
      <c r="U3" s="68">
        <f t="shared" si="4"/>
        <v>7153.17</v>
      </c>
      <c r="V3" s="68">
        <f t="shared" si="4"/>
        <v>8476.17</v>
      </c>
      <c r="W3" s="68">
        <f t="shared" si="4"/>
        <v>8469.93</v>
      </c>
      <c r="X3" s="68">
        <f t="shared" si="4"/>
        <v>9383.600979</v>
      </c>
      <c r="Y3" s="68">
        <f t="shared" si="4"/>
        <v>10290.41</v>
      </c>
      <c r="Z3" s="68">
        <f t="shared" si="4"/>
        <v>8708.72</v>
      </c>
      <c r="AA3" s="68">
        <f t="shared" si="4"/>
        <v>9642.24</v>
      </c>
      <c r="AB3" s="68">
        <f t="shared" si="4"/>
        <v>9330.34</v>
      </c>
      <c r="AC3" s="68">
        <f t="shared" si="4"/>
        <v>9312.33</v>
      </c>
      <c r="AD3" s="68">
        <f t="shared" si="4"/>
        <v>9082.11</v>
      </c>
      <c r="AE3" s="68">
        <f t="shared" si="4"/>
        <v>6757.81</v>
      </c>
      <c r="AF3" s="68">
        <f t="shared" si="4"/>
        <v>7190.92</v>
      </c>
      <c r="AG3" s="68">
        <f t="shared" si="4"/>
        <v>6131.18</v>
      </c>
      <c r="AH3" s="68">
        <f t="shared" si="4"/>
        <v>7267.05</v>
      </c>
      <c r="AI3" s="68">
        <f t="shared" si="4"/>
        <v>7302.63</v>
      </c>
      <c r="AJ3" s="68">
        <f t="shared" si="4"/>
        <v>6959.56</v>
      </c>
      <c r="AK3" s="68">
        <f t="shared" si="4"/>
        <v>8495.25</v>
      </c>
      <c r="AL3" s="68">
        <f t="shared" si="4"/>
        <v>6697.63</v>
      </c>
      <c r="AM3" s="68">
        <f t="shared" si="4"/>
        <v>7531.96</v>
      </c>
      <c r="AN3" s="68">
        <f t="shared" si="4"/>
        <v>9324.06</v>
      </c>
      <c r="AO3" s="68">
        <f t="shared" si="4"/>
        <v>7111.73</v>
      </c>
      <c r="AP3" s="68">
        <f t="shared" si="4"/>
        <v>8268.62</v>
      </c>
      <c r="AQ3" s="68">
        <f t="shared" si="4"/>
        <v>8540.97</v>
      </c>
      <c r="AR3" s="68">
        <f t="shared" si="4"/>
        <v>7010.54</v>
      </c>
      <c r="AS3" s="68">
        <f t="shared" si="4"/>
        <v>8031.85</v>
      </c>
      <c r="AT3" s="68">
        <f t="shared" si="4"/>
        <v>8196.822577</v>
      </c>
      <c r="AU3" s="68">
        <f t="shared" si="4"/>
        <v>7463.85</v>
      </c>
      <c r="AV3" s="68">
        <f t="shared" si="4"/>
        <v>6849.83</v>
      </c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</row>
    <row r="4">
      <c r="B4" s="69" t="s">
        <v>54</v>
      </c>
      <c r="C4" s="69" t="s">
        <v>55</v>
      </c>
      <c r="D4" s="69" t="s">
        <v>56</v>
      </c>
      <c r="E4" s="69" t="s">
        <v>57</v>
      </c>
      <c r="F4" s="69" t="s">
        <v>58</v>
      </c>
      <c r="G4" s="69" t="s">
        <v>59</v>
      </c>
      <c r="H4" s="69" t="s">
        <v>60</v>
      </c>
      <c r="I4" s="69" t="s">
        <v>61</v>
      </c>
      <c r="J4" s="69" t="s">
        <v>62</v>
      </c>
      <c r="K4" s="69" t="s">
        <v>63</v>
      </c>
      <c r="L4" s="69" t="s">
        <v>64</v>
      </c>
      <c r="M4" s="69" t="s">
        <v>6</v>
      </c>
      <c r="N4" s="69" t="s">
        <v>54</v>
      </c>
      <c r="O4" s="69" t="s">
        <v>55</v>
      </c>
      <c r="P4" s="69" t="s">
        <v>56</v>
      </c>
      <c r="Q4" s="69" t="s">
        <v>57</v>
      </c>
      <c r="R4" s="63" t="s">
        <v>64</v>
      </c>
      <c r="S4" s="63" t="s">
        <v>63</v>
      </c>
      <c r="T4" s="63" t="s">
        <v>62</v>
      </c>
      <c r="U4" s="63" t="s">
        <v>61</v>
      </c>
      <c r="V4" s="63" t="s">
        <v>60</v>
      </c>
      <c r="W4" s="63" t="s">
        <v>59</v>
      </c>
      <c r="X4" s="63" t="s">
        <v>58</v>
      </c>
      <c r="Y4" s="63" t="s">
        <v>57</v>
      </c>
      <c r="Z4" s="63" t="s">
        <v>56</v>
      </c>
      <c r="AA4" s="63" t="s">
        <v>55</v>
      </c>
      <c r="AB4" s="63" t="s">
        <v>54</v>
      </c>
      <c r="AC4" s="63" t="s">
        <v>6</v>
      </c>
      <c r="AD4" s="63" t="s">
        <v>64</v>
      </c>
      <c r="AE4" s="63" t="s">
        <v>63</v>
      </c>
      <c r="AF4" s="63" t="s">
        <v>62</v>
      </c>
      <c r="AG4" s="63" t="s">
        <v>61</v>
      </c>
      <c r="AH4" s="63" t="s">
        <v>60</v>
      </c>
      <c r="AI4" s="63" t="s">
        <v>59</v>
      </c>
      <c r="AJ4" s="63" t="s">
        <v>58</v>
      </c>
      <c r="AK4" s="63" t="s">
        <v>57</v>
      </c>
      <c r="AL4" s="63" t="s">
        <v>56</v>
      </c>
      <c r="AM4" s="63" t="s">
        <v>55</v>
      </c>
      <c r="AN4" s="63" t="s">
        <v>54</v>
      </c>
      <c r="AO4" s="63" t="s">
        <v>6</v>
      </c>
      <c r="AP4" s="63" t="s">
        <v>64</v>
      </c>
      <c r="AQ4" s="63" t="s">
        <v>63</v>
      </c>
      <c r="AR4" s="63" t="s">
        <v>62</v>
      </c>
      <c r="AS4" s="63" t="s">
        <v>61</v>
      </c>
      <c r="AT4" s="63" t="s">
        <v>60</v>
      </c>
      <c r="AU4" s="63" t="s">
        <v>59</v>
      </c>
      <c r="AV4" s="63" t="s">
        <v>58</v>
      </c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</row>
    <row r="5">
      <c r="A5" s="10" t="s">
        <v>65</v>
      </c>
      <c r="R5" s="70">
        <v>2094.86</v>
      </c>
      <c r="S5" s="71">
        <v>2564.76</v>
      </c>
      <c r="T5" s="71">
        <v>2494.73</v>
      </c>
      <c r="U5" s="71">
        <v>2567.05</v>
      </c>
      <c r="V5" s="71">
        <v>3332.06</v>
      </c>
      <c r="W5" s="71">
        <v>3439.18</v>
      </c>
      <c r="X5" s="71">
        <v>4860.21</v>
      </c>
      <c r="Y5" s="71">
        <v>6996.3</v>
      </c>
      <c r="Z5" s="71">
        <v>6185.81</v>
      </c>
      <c r="AA5" s="71">
        <v>6847.29</v>
      </c>
      <c r="AB5" s="71">
        <v>5292.45</v>
      </c>
      <c r="AC5" s="71">
        <v>3214.07</v>
      </c>
      <c r="AD5" s="71">
        <f>1864.27</f>
        <v>1864.27</v>
      </c>
      <c r="AE5" s="71">
        <v>0.0</v>
      </c>
      <c r="AF5" s="71">
        <v>0.0</v>
      </c>
      <c r="AG5" s="71">
        <v>0.0</v>
      </c>
      <c r="AH5" s="71">
        <v>0.0</v>
      </c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</row>
    <row r="6">
      <c r="A6" s="10" t="s">
        <v>66</v>
      </c>
      <c r="B6" s="10">
        <v>4940.93</v>
      </c>
      <c r="C6" s="10">
        <v>5898.88</v>
      </c>
      <c r="D6" s="10">
        <v>5064.66</v>
      </c>
      <c r="E6" s="10">
        <v>7256.44</v>
      </c>
      <c r="F6" s="10">
        <v>7087.18</v>
      </c>
      <c r="G6" s="10">
        <v>7987.56</v>
      </c>
      <c r="H6" s="10">
        <v>8138.32</v>
      </c>
      <c r="I6" s="10">
        <v>8412.36</v>
      </c>
      <c r="J6" s="10">
        <v>8878.71</v>
      </c>
      <c r="K6" s="10">
        <v>9294.25</v>
      </c>
      <c r="L6" s="10">
        <v>9153.27</v>
      </c>
      <c r="M6" s="10">
        <v>7954.88</v>
      </c>
      <c r="N6" s="10">
        <v>4910.67</v>
      </c>
      <c r="O6" s="10">
        <v>2899.81</v>
      </c>
      <c r="P6" s="10">
        <v>2561.49</v>
      </c>
      <c r="Q6" s="10">
        <v>4241.64</v>
      </c>
      <c r="R6" s="71">
        <v>856.7</v>
      </c>
      <c r="S6" s="71">
        <v>862.99</v>
      </c>
      <c r="T6" s="71">
        <v>863.14</v>
      </c>
      <c r="U6" s="71">
        <v>973.96</v>
      </c>
      <c r="V6" s="71">
        <v>1507.19</v>
      </c>
      <c r="W6" s="71">
        <v>1675.53</v>
      </c>
      <c r="X6" s="71">
        <v>1528.06</v>
      </c>
      <c r="Y6" s="71">
        <v>844.89</v>
      </c>
      <c r="Z6" s="71">
        <v>1327.91</v>
      </c>
      <c r="AA6" s="71">
        <v>1421.95</v>
      </c>
      <c r="AB6" s="71">
        <v>2842.89</v>
      </c>
      <c r="AC6" s="71">
        <v>4359.97</v>
      </c>
      <c r="AD6" s="71">
        <f>5472.99</f>
        <v>5472.99</v>
      </c>
      <c r="AE6" s="71">
        <v>5184.81</v>
      </c>
      <c r="AF6" s="71">
        <v>4908.42</v>
      </c>
      <c r="AG6" s="71">
        <v>4188.18</v>
      </c>
      <c r="AH6" s="71">
        <v>4563.05</v>
      </c>
      <c r="AI6" s="71">
        <v>5043.24</v>
      </c>
      <c r="AJ6" s="71">
        <v>4645.2</v>
      </c>
      <c r="AK6" s="71">
        <v>6203.33</v>
      </c>
      <c r="AL6" s="71">
        <v>5301.31</v>
      </c>
      <c r="AM6" s="71">
        <v>5610.8</v>
      </c>
      <c r="AN6" s="71">
        <v>7230.99</v>
      </c>
      <c r="AO6" s="71">
        <v>5801.13</v>
      </c>
      <c r="AP6" s="71">
        <v>6342.64</v>
      </c>
      <c r="AQ6" s="71">
        <v>7020.15</v>
      </c>
      <c r="AR6" s="71">
        <v>5639.53</v>
      </c>
      <c r="AS6" s="71">
        <v>5406.79</v>
      </c>
      <c r="AT6" s="71">
        <v>5194.62</v>
      </c>
      <c r="AU6" s="71">
        <f>5783.22</f>
        <v>5783.22</v>
      </c>
      <c r="AV6" s="71">
        <v>4709.67</v>
      </c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>
      <c r="A7" s="10" t="s">
        <v>67</v>
      </c>
      <c r="B7" s="10">
        <v>157.36</v>
      </c>
      <c r="C7" s="10">
        <v>124.67</v>
      </c>
      <c r="D7" s="10">
        <v>190.55</v>
      </c>
      <c r="E7" s="10">
        <v>217.11</v>
      </c>
      <c r="F7" s="10">
        <v>216.92</v>
      </c>
      <c r="G7" s="10">
        <v>246.15</v>
      </c>
      <c r="H7" s="10">
        <v>273.21</v>
      </c>
      <c r="I7" s="10">
        <v>260.91</v>
      </c>
      <c r="J7" s="10">
        <v>352.59</v>
      </c>
      <c r="K7" s="10">
        <v>263.03</v>
      </c>
      <c r="L7" s="10">
        <v>231.67</v>
      </c>
      <c r="M7" s="10">
        <v>229.65</v>
      </c>
      <c r="N7" s="10">
        <v>324.37</v>
      </c>
      <c r="O7" s="10">
        <v>384.79</v>
      </c>
      <c r="P7" s="10">
        <v>314.98</v>
      </c>
      <c r="Q7" s="10">
        <v>259.5</v>
      </c>
      <c r="R7" s="71"/>
      <c r="S7" s="71"/>
      <c r="T7" s="71"/>
      <c r="U7" s="71"/>
      <c r="V7" s="71"/>
      <c r="W7" s="71"/>
      <c r="X7" s="71"/>
      <c r="Y7" s="71"/>
      <c r="Z7" s="71"/>
      <c r="AA7" s="72"/>
      <c r="AB7" s="72"/>
      <c r="AC7" s="71"/>
      <c r="AD7" s="72"/>
      <c r="AE7" s="71"/>
      <c r="AF7" s="71"/>
      <c r="AG7" s="71"/>
      <c r="AH7" s="71">
        <v>400.0</v>
      </c>
      <c r="AI7" s="71">
        <v>578.39</v>
      </c>
      <c r="AJ7" s="71">
        <v>290.86</v>
      </c>
      <c r="AK7" s="71">
        <v>87.92</v>
      </c>
      <c r="AL7" s="71">
        <v>137.32</v>
      </c>
      <c r="AM7" s="71">
        <v>112.16</v>
      </c>
      <c r="AN7" s="71">
        <v>123.07</v>
      </c>
      <c r="AO7" s="71">
        <v>128.6</v>
      </c>
      <c r="AP7" s="71">
        <v>157.98</v>
      </c>
      <c r="AQ7" s="71">
        <v>144.82</v>
      </c>
      <c r="AR7" s="71">
        <v>150.01</v>
      </c>
      <c r="AS7" s="71">
        <v>122.61</v>
      </c>
      <c r="AT7" s="71">
        <v>128.76</v>
      </c>
      <c r="AU7" s="71">
        <v>238.63</v>
      </c>
      <c r="AV7" s="71">
        <v>121.16</v>
      </c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>
      <c r="A8" s="10" t="s">
        <v>68</v>
      </c>
      <c r="R8" s="71">
        <v>1039.5</v>
      </c>
      <c r="S8" s="71">
        <v>1336.0</v>
      </c>
      <c r="T8" s="71">
        <v>1575.0</v>
      </c>
      <c r="U8" s="71">
        <v>1260.0</v>
      </c>
      <c r="V8" s="71">
        <v>1651.64</v>
      </c>
      <c r="W8" s="71">
        <v>1651.64</v>
      </c>
      <c r="X8" s="71">
        <v>1046.21</v>
      </c>
      <c r="Y8" s="71">
        <v>0.0</v>
      </c>
      <c r="Z8" s="71">
        <v>0.0</v>
      </c>
      <c r="AA8" s="72"/>
      <c r="AB8" s="72"/>
      <c r="AC8" s="71">
        <v>385.0</v>
      </c>
      <c r="AD8" s="72"/>
      <c r="AE8" s="71">
        <v>385.0</v>
      </c>
      <c r="AF8" s="71">
        <v>385.0</v>
      </c>
      <c r="AG8" s="71">
        <v>385.0</v>
      </c>
      <c r="AH8" s="71">
        <v>385.0</v>
      </c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</row>
    <row r="9">
      <c r="A9" s="10" t="s">
        <v>69</v>
      </c>
      <c r="B9" s="73">
        <v>408.5</v>
      </c>
      <c r="C9" s="10">
        <v>408.5</v>
      </c>
      <c r="D9" s="10">
        <f>254+120</f>
        <v>374</v>
      </c>
      <c r="E9" s="10">
        <v>709.0</v>
      </c>
      <c r="F9" s="10">
        <v>682.0</v>
      </c>
      <c r="G9" s="10">
        <f>550+133</f>
        <v>683</v>
      </c>
      <c r="H9" s="10">
        <v>0.0</v>
      </c>
      <c r="I9" s="10">
        <v>467.0</v>
      </c>
      <c r="J9" s="10"/>
      <c r="K9" s="10">
        <v>530.0</v>
      </c>
      <c r="L9" s="10">
        <v>500.0</v>
      </c>
      <c r="M9" s="10">
        <f>19+190</f>
        <v>209</v>
      </c>
      <c r="N9" s="10"/>
      <c r="O9" s="10"/>
      <c r="P9" s="10"/>
      <c r="Q9" s="10"/>
      <c r="R9" s="71"/>
      <c r="S9" s="71"/>
      <c r="T9" s="71"/>
      <c r="U9" s="71"/>
      <c r="V9" s="71"/>
      <c r="W9" s="71"/>
      <c r="X9" s="71"/>
      <c r="Y9" s="71"/>
      <c r="Z9" s="71"/>
      <c r="AA9" s="72"/>
      <c r="AB9" s="72"/>
      <c r="AC9" s="71"/>
      <c r="AD9" s="71">
        <v>385.5</v>
      </c>
      <c r="AE9" s="72"/>
      <c r="AF9" s="71">
        <v>596.0</v>
      </c>
      <c r="AG9" s="71">
        <v>420.0</v>
      </c>
      <c r="AH9" s="72"/>
      <c r="AI9" s="71">
        <v>545.0</v>
      </c>
      <c r="AJ9" s="71">
        <v>400.0</v>
      </c>
      <c r="AK9" s="71">
        <v>400.0</v>
      </c>
      <c r="AL9" s="71">
        <v>0.0</v>
      </c>
      <c r="AM9" s="71">
        <v>400.0</v>
      </c>
      <c r="AN9" s="71">
        <v>500.0</v>
      </c>
      <c r="AO9" s="72"/>
      <c r="AP9" s="71">
        <v>400.0</v>
      </c>
      <c r="AQ9" s="72"/>
      <c r="AR9" s="71"/>
      <c r="AS9" s="71"/>
      <c r="AT9" s="71"/>
      <c r="AU9" s="71"/>
      <c r="AV9" s="71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>
      <c r="A10" s="10" t="s">
        <v>70</v>
      </c>
      <c r="B10" s="73">
        <v>515.0</v>
      </c>
      <c r="C10" s="10">
        <v>515.0</v>
      </c>
      <c r="D10" s="10">
        <f>415+350</f>
        <v>765</v>
      </c>
      <c r="E10" s="10">
        <f>500+415</f>
        <v>915</v>
      </c>
      <c r="F10" s="10">
        <f>477+515</f>
        <v>992</v>
      </c>
      <c r="G10" s="10">
        <f>500+515</f>
        <v>1015</v>
      </c>
      <c r="H10" s="10">
        <f>450+515</f>
        <v>965</v>
      </c>
      <c r="I10" s="10">
        <f>429+450</f>
        <v>879</v>
      </c>
      <c r="J10" s="10">
        <v>550.5</v>
      </c>
      <c r="K10" s="10">
        <v>415.0</v>
      </c>
      <c r="L10" s="10">
        <v>60.0</v>
      </c>
      <c r="R10" s="71">
        <v>81.83</v>
      </c>
      <c r="S10" s="71">
        <v>86.65</v>
      </c>
      <c r="T10" s="71">
        <v>161.63</v>
      </c>
      <c r="U10" s="71">
        <v>173.63</v>
      </c>
      <c r="V10" s="71">
        <v>111.7</v>
      </c>
      <c r="W10" s="71">
        <v>0.0</v>
      </c>
      <c r="X10" s="71">
        <f>57.17+84</f>
        <v>141.17</v>
      </c>
      <c r="Y10" s="71">
        <v>0.0</v>
      </c>
      <c r="Z10" s="71">
        <v>0.0</v>
      </c>
      <c r="AA10" s="72"/>
      <c r="AB10" s="72"/>
      <c r="AC10" s="71">
        <v>190.29</v>
      </c>
      <c r="AD10" s="71">
        <v>105.35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</row>
    <row r="11">
      <c r="A11" s="10" t="s">
        <v>71</v>
      </c>
      <c r="R11" s="71">
        <v>28.5</v>
      </c>
      <c r="S11" s="71">
        <v>0.0</v>
      </c>
      <c r="T11" s="71">
        <v>0.0</v>
      </c>
      <c r="U11" s="71">
        <v>0.0</v>
      </c>
      <c r="V11" s="71">
        <v>105.0</v>
      </c>
      <c r="W11" s="71">
        <v>0.0</v>
      </c>
      <c r="X11" s="71">
        <v>0.0</v>
      </c>
      <c r="Y11" s="71">
        <v>0.0</v>
      </c>
      <c r="Z11" s="71">
        <v>0.0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</row>
    <row r="12">
      <c r="A12" s="74" t="s">
        <v>72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f>O17*0.05</f>
        <v>4</v>
      </c>
      <c r="P12" s="10"/>
      <c r="Q12" s="10">
        <f>Q17*0.05</f>
        <v>4</v>
      </c>
      <c r="R12" s="71"/>
      <c r="S12" s="71"/>
      <c r="T12" s="71">
        <v>86.83</v>
      </c>
      <c r="U12" s="72">
        <f>63+8.67</f>
        <v>71.67</v>
      </c>
      <c r="V12" s="71">
        <v>82.58</v>
      </c>
      <c r="W12" s="71">
        <v>82.58</v>
      </c>
      <c r="X12" s="71">
        <v>52.31</v>
      </c>
      <c r="Y12" s="71">
        <v>0.0</v>
      </c>
      <c r="Z12" s="71">
        <v>0.0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1">
        <f t="shared" ref="AS12:AU12" si="5">AS17*0.05</f>
        <v>11.45</v>
      </c>
      <c r="AT12" s="71">
        <f t="shared" si="5"/>
        <v>4</v>
      </c>
      <c r="AU12" s="71">
        <f t="shared" si="5"/>
        <v>5</v>
      </c>
      <c r="AV12" s="72"/>
    </row>
    <row r="13">
      <c r="A13" s="74" t="s">
        <v>73</v>
      </c>
      <c r="B13" s="10">
        <v>389.0</v>
      </c>
      <c r="C13" s="10">
        <v>396.0</v>
      </c>
      <c r="D13" s="10">
        <v>465.0</v>
      </c>
      <c r="E13" s="10">
        <v>493.0</v>
      </c>
      <c r="F13" s="10">
        <v>340.0</v>
      </c>
      <c r="G13" s="10">
        <v>1300.0</v>
      </c>
      <c r="H13" s="10">
        <v>1300.0</v>
      </c>
      <c r="I13" s="10">
        <v>1300.0</v>
      </c>
      <c r="J13" s="10">
        <v>1351.82</v>
      </c>
      <c r="K13" s="10">
        <v>1200.0</v>
      </c>
      <c r="L13" s="10">
        <v>1628.0</v>
      </c>
      <c r="M13" s="10">
        <v>1387.0</v>
      </c>
      <c r="N13" s="10">
        <v>1926.0</v>
      </c>
      <c r="O13" s="10">
        <v>1739.0</v>
      </c>
      <c r="P13" s="10">
        <v>2530.0</v>
      </c>
      <c r="Q13" s="10">
        <v>2225.0</v>
      </c>
      <c r="R13" s="71">
        <v>930.0</v>
      </c>
      <c r="S13" s="71">
        <v>930.0</v>
      </c>
      <c r="T13" s="71">
        <v>2072.0</v>
      </c>
      <c r="U13" s="71">
        <v>1458.0</v>
      </c>
      <c r="V13" s="71">
        <v>1115.0</v>
      </c>
      <c r="W13" s="71">
        <v>1327.0</v>
      </c>
      <c r="X13" s="71">
        <v>1119.0</v>
      </c>
      <c r="Y13" s="71">
        <v>2038.0</v>
      </c>
      <c r="Z13" s="71">
        <v>1115.0</v>
      </c>
      <c r="AA13" s="71">
        <v>1203.0</v>
      </c>
      <c r="AB13" s="71">
        <v>1115.0</v>
      </c>
      <c r="AC13" s="71">
        <v>1115.0</v>
      </c>
      <c r="AD13" s="71">
        <v>1128.0</v>
      </c>
      <c r="AE13" s="71">
        <v>1115.0</v>
      </c>
      <c r="AF13" s="71">
        <v>1115.0</v>
      </c>
      <c r="AG13" s="71">
        <v>1115.0</v>
      </c>
      <c r="AH13" s="71">
        <v>1426.0</v>
      </c>
      <c r="AI13" s="71">
        <v>1115.0</v>
      </c>
      <c r="AJ13" s="71">
        <v>1426.0</v>
      </c>
      <c r="AK13" s="71">
        <v>1783.0</v>
      </c>
      <c r="AL13" s="71">
        <v>1238.0</v>
      </c>
      <c r="AM13" s="71">
        <v>1300.0</v>
      </c>
      <c r="AN13" s="71">
        <v>1449.0</v>
      </c>
      <c r="AO13" s="71">
        <v>1161.0</v>
      </c>
      <c r="AP13" s="71">
        <v>1257.0</v>
      </c>
      <c r="AQ13" s="71">
        <v>1115.0</v>
      </c>
      <c r="AR13" s="71">
        <v>1200.0</v>
      </c>
      <c r="AS13" s="71">
        <v>2241.0</v>
      </c>
      <c r="AT13" s="75">
        <f>1200+'KPI plan'!G48</f>
        <v>2705.442577</v>
      </c>
      <c r="AU13" s="71">
        <v>1316.0</v>
      </c>
      <c r="AV13" s="71">
        <v>1998.0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>
      <c r="A14" s="10" t="s">
        <v>74</v>
      </c>
      <c r="B14" s="10"/>
      <c r="C14" s="10"/>
      <c r="D14" s="10"/>
      <c r="E14" s="10">
        <v>78.0</v>
      </c>
      <c r="F14" s="10">
        <f>52.85+286</f>
        <v>338.85</v>
      </c>
      <c r="G14" s="10"/>
      <c r="H14" s="10">
        <f>324.42+77.14</f>
        <v>401.56</v>
      </c>
      <c r="I14" s="10">
        <v>147.64</v>
      </c>
      <c r="J14" s="10">
        <v>189.56</v>
      </c>
      <c r="K14" s="10">
        <f>58.33</f>
        <v>58.33</v>
      </c>
      <c r="L14" s="10">
        <v>14.82</v>
      </c>
      <c r="M14" s="10">
        <v>465.0</v>
      </c>
      <c r="N14" s="10"/>
      <c r="O14" s="10">
        <v>200.0</v>
      </c>
      <c r="P14" s="10">
        <v>0.0</v>
      </c>
      <c r="Q14" s="10"/>
      <c r="R14" s="71"/>
      <c r="S14" s="71"/>
      <c r="T14" s="71">
        <v>160.0</v>
      </c>
      <c r="U14" s="71">
        <v>430.0</v>
      </c>
      <c r="V14" s="71">
        <v>446.0</v>
      </c>
      <c r="W14" s="71">
        <v>255.0</v>
      </c>
      <c r="X14" s="76">
        <f>1800/38.78+4000/38.944+2000/38.885</f>
        <v>200.5609789</v>
      </c>
      <c r="Y14" s="76">
        <f>240</f>
        <v>240</v>
      </c>
      <c r="Z14" s="76"/>
      <c r="AA14" s="71">
        <v>90.0</v>
      </c>
      <c r="AB14" s="72"/>
      <c r="AC14" s="71">
        <v>25.0</v>
      </c>
      <c r="AD14" s="71">
        <f>41+30+32</f>
        <v>103</v>
      </c>
      <c r="AE14" s="71">
        <f>12.5+12.5+25</f>
        <v>50</v>
      </c>
      <c r="AF14" s="72">
        <f>12.5+151</f>
        <v>163.5</v>
      </c>
      <c r="AG14" s="72"/>
      <c r="AH14" s="72">
        <f>170+100+200</f>
        <v>470</v>
      </c>
      <c r="AI14" s="72"/>
      <c r="AJ14" s="72">
        <f>22.5+154</f>
        <v>176.5</v>
      </c>
      <c r="AK14" s="72"/>
      <c r="AL14" s="72"/>
      <c r="AM14" s="71">
        <v>88.0</v>
      </c>
      <c r="AN14" s="72"/>
      <c r="AO14" s="72"/>
      <c r="AP14" s="71">
        <v>90.0</v>
      </c>
      <c r="AQ14" s="71">
        <v>90.0</v>
      </c>
      <c r="AR14" s="71"/>
      <c r="AS14" s="71"/>
      <c r="AT14" s="71"/>
      <c r="AU14" s="71"/>
      <c r="AV14" s="71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>
      <c r="A15" s="10" t="s">
        <v>75</v>
      </c>
      <c r="R15" s="71"/>
      <c r="S15" s="71"/>
      <c r="T15" s="76">
        <f>400/36.67</f>
        <v>10.90809926</v>
      </c>
      <c r="U15" s="72">
        <f>17.05+20</f>
        <v>37.05</v>
      </c>
      <c r="V15" s="72"/>
      <c r="W15" s="72"/>
      <c r="X15" s="71">
        <f>150+154</f>
        <v>304</v>
      </c>
      <c r="Y15" s="71">
        <v>102.0</v>
      </c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</row>
    <row r="16">
      <c r="A16" s="10" t="s">
        <v>76</v>
      </c>
      <c r="B16" s="73">
        <v>52.0</v>
      </c>
      <c r="C16" s="10">
        <v>37.2</v>
      </c>
      <c r="D16" s="10">
        <f>37.2+46.7</f>
        <v>83.9</v>
      </c>
      <c r="E16" s="10">
        <f>37.2+20.5</f>
        <v>57.7</v>
      </c>
      <c r="F16" s="10">
        <f>39.08+37</f>
        <v>76.08</v>
      </c>
      <c r="G16" s="10">
        <f>163.53+37.2</f>
        <v>200.73</v>
      </c>
      <c r="H16" s="10">
        <f>37.2+70.51</f>
        <v>107.71</v>
      </c>
      <c r="I16" s="10">
        <f>131.46+44.64</f>
        <v>176.1</v>
      </c>
      <c r="J16" s="10">
        <f>240+21</f>
        <v>261</v>
      </c>
      <c r="K16" s="10">
        <f>21+22.32+300</f>
        <v>343.32</v>
      </c>
      <c r="L16" s="10">
        <v>21.0</v>
      </c>
      <c r="M16" s="10">
        <v>21.0</v>
      </c>
      <c r="N16" s="10">
        <v>21.0</v>
      </c>
      <c r="O16" s="10">
        <f>21+15</f>
        <v>36</v>
      </c>
      <c r="P16" s="10">
        <v>42.0</v>
      </c>
      <c r="Q16" s="10">
        <v>21.0</v>
      </c>
      <c r="R16" s="71"/>
      <c r="S16" s="71"/>
      <c r="T16" s="71"/>
      <c r="U16" s="71"/>
      <c r="V16" s="71"/>
      <c r="W16" s="71"/>
      <c r="X16" s="71">
        <f>57+18+12.91+38+5.07+1.1</f>
        <v>132.08</v>
      </c>
      <c r="Y16" s="71">
        <v>69.22</v>
      </c>
      <c r="Z16" s="71">
        <v>80.0</v>
      </c>
      <c r="AA16" s="71">
        <v>80.0</v>
      </c>
      <c r="AB16" s="71">
        <v>80.0</v>
      </c>
      <c r="AC16" s="71">
        <v>23.0</v>
      </c>
      <c r="AD16" s="71">
        <v>23.0</v>
      </c>
      <c r="AE16" s="71">
        <v>23.0</v>
      </c>
      <c r="AF16" s="71">
        <v>23.0</v>
      </c>
      <c r="AG16" s="71">
        <v>23.0</v>
      </c>
      <c r="AH16" s="71">
        <v>23.0</v>
      </c>
      <c r="AI16" s="71">
        <v>21.0</v>
      </c>
      <c r="AJ16" s="71">
        <v>21.0</v>
      </c>
      <c r="AK16" s="71">
        <v>21.0</v>
      </c>
      <c r="AL16" s="71">
        <v>21.0</v>
      </c>
      <c r="AM16" s="71">
        <v>21.0</v>
      </c>
      <c r="AN16" s="71">
        <v>21.0</v>
      </c>
      <c r="AO16" s="71">
        <v>21.0</v>
      </c>
      <c r="AP16" s="71">
        <v>21.0</v>
      </c>
      <c r="AQ16" s="71">
        <v>21.0</v>
      </c>
      <c r="AR16" s="71">
        <v>21.0</v>
      </c>
      <c r="AS16" s="71">
        <v>21.0</v>
      </c>
      <c r="AT16" s="71">
        <v>21.0</v>
      </c>
      <c r="AU16" s="71">
        <v>21.0</v>
      </c>
      <c r="AV16" s="71">
        <v>21.0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>
      <c r="A17" s="10" t="s">
        <v>77</v>
      </c>
      <c r="B17" s="10"/>
      <c r="C17" s="10"/>
      <c r="D17" s="10"/>
      <c r="E17" s="10"/>
      <c r="F17" s="10">
        <v>112.0</v>
      </c>
      <c r="O17" s="31">
        <f>80</f>
        <v>80</v>
      </c>
      <c r="Q17" s="31">
        <f>80</f>
        <v>80</v>
      </c>
      <c r="R17" s="71">
        <v>30.0</v>
      </c>
      <c r="S17" s="71">
        <v>90.73</v>
      </c>
      <c r="T17" s="71">
        <v>0.0</v>
      </c>
      <c r="U17" s="71">
        <f>125+56.81</f>
        <v>181.81</v>
      </c>
      <c r="V17" s="71">
        <v>125.0</v>
      </c>
      <c r="W17" s="71">
        <v>39.0</v>
      </c>
      <c r="X17" s="72"/>
      <c r="Y17" s="71">
        <v>0.0</v>
      </c>
      <c r="Z17" s="71">
        <v>0.0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1">
        <v>150.0</v>
      </c>
      <c r="AR17" s="72"/>
      <c r="AS17" s="71">
        <f>80+33+36+80</f>
        <v>229</v>
      </c>
      <c r="AT17" s="72">
        <f>80</f>
        <v>80</v>
      </c>
      <c r="AU17" s="72">
        <f>100</f>
        <v>100</v>
      </c>
      <c r="AV17" s="72"/>
    </row>
    <row r="18">
      <c r="A18" s="77" t="s">
        <v>78</v>
      </c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1">
        <v>63.0</v>
      </c>
      <c r="AU18" s="72"/>
      <c r="AV18" s="72"/>
    </row>
    <row r="19">
      <c r="A19" s="10" t="s">
        <v>79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40.0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</row>
    <row r="20">
      <c r="A20" s="10" t="s">
        <v>80</v>
      </c>
      <c r="B20" s="73">
        <v>1094.0</v>
      </c>
      <c r="C20" s="10">
        <v>1094.0</v>
      </c>
      <c r="D20" s="10">
        <v>1113.0</v>
      </c>
      <c r="E20" s="10">
        <v>1088.0</v>
      </c>
      <c r="F20" s="10">
        <v>1057.0</v>
      </c>
      <c r="G20" s="10">
        <v>1148.0</v>
      </c>
      <c r="H20" s="10">
        <v>1094.0</v>
      </c>
      <c r="I20" s="10">
        <v>1006.0</v>
      </c>
      <c r="J20" s="10">
        <v>849.0</v>
      </c>
      <c r="K20" s="10">
        <v>1103.0</v>
      </c>
      <c r="L20" s="10">
        <v>970.0</v>
      </c>
      <c r="M20" s="10">
        <v>970.0</v>
      </c>
      <c r="N20" s="10">
        <v>971.0</v>
      </c>
      <c r="O20" s="10">
        <v>292.0</v>
      </c>
      <c r="P20" s="10">
        <v>765.5</v>
      </c>
      <c r="Q20" s="10">
        <v>350.0</v>
      </c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</row>
    <row r="21">
      <c r="A21" s="10" t="s">
        <v>81</v>
      </c>
      <c r="B21" s="73">
        <v>200.0</v>
      </c>
      <c r="C21" s="10">
        <v>200.0</v>
      </c>
      <c r="D21" s="10">
        <v>200.0</v>
      </c>
      <c r="E21" s="10">
        <v>200.0</v>
      </c>
      <c r="F21" s="10">
        <v>200.0</v>
      </c>
      <c r="G21" s="10">
        <v>200.0</v>
      </c>
      <c r="H21" s="10">
        <v>290.0</v>
      </c>
      <c r="I21" s="10">
        <v>200.0</v>
      </c>
      <c r="J21" s="10">
        <v>400.0</v>
      </c>
      <c r="K21" s="10"/>
      <c r="L21" s="10">
        <v>316.0</v>
      </c>
      <c r="M21" s="10">
        <v>200.0</v>
      </c>
      <c r="N21" s="10">
        <v>290.0</v>
      </c>
      <c r="O21" s="10"/>
      <c r="P21" s="10">
        <v>236.4</v>
      </c>
    </row>
    <row r="22">
      <c r="A22" s="10" t="s">
        <v>82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926.55</v>
      </c>
    </row>
    <row r="23">
      <c r="A23" s="10" t="s">
        <v>83</v>
      </c>
      <c r="B23" s="73">
        <v>109.0</v>
      </c>
      <c r="C23" s="10">
        <v>109.0</v>
      </c>
      <c r="D23" s="10">
        <f>221</f>
        <v>221</v>
      </c>
      <c r="E23" s="10">
        <v>291.0</v>
      </c>
      <c r="F23" s="10">
        <v>178.0</v>
      </c>
    </row>
  </sheetData>
  <mergeCells count="4">
    <mergeCell ref="R2:X2"/>
    <mergeCell ref="Y2:AJ2"/>
    <mergeCell ref="AK2:AV2"/>
    <mergeCell ref="A3:A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13" width="8.0"/>
    <col customWidth="1" min="14" max="15" width="10.86"/>
    <col customWidth="1" min="16" max="16" width="5.86"/>
    <col customWidth="1" min="17" max="29" width="7.86"/>
    <col customWidth="1" min="30" max="61" width="8.0"/>
  </cols>
  <sheetData>
    <row r="1">
      <c r="B1" s="78">
        <v>2026.0</v>
      </c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B2" s="31" t="s">
        <v>17</v>
      </c>
      <c r="C2" s="31" t="s">
        <v>18</v>
      </c>
      <c r="D2" s="31" t="s">
        <v>19</v>
      </c>
      <c r="E2" s="31" t="s">
        <v>20</v>
      </c>
      <c r="F2" s="31" t="s">
        <v>6</v>
      </c>
      <c r="G2" s="31" t="s">
        <v>7</v>
      </c>
      <c r="H2" s="31" t="s">
        <v>33</v>
      </c>
      <c r="I2" s="31" t="s">
        <v>35</v>
      </c>
      <c r="J2" s="31" t="s">
        <v>37</v>
      </c>
      <c r="K2" s="31" t="s">
        <v>14</v>
      </c>
      <c r="L2" s="31" t="s">
        <v>15</v>
      </c>
      <c r="M2" s="31" t="s">
        <v>16</v>
      </c>
      <c r="N2" s="69" t="s">
        <v>47</v>
      </c>
      <c r="O2" s="69" t="s">
        <v>84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>
      <c r="A3" s="80" t="s">
        <v>85</v>
      </c>
      <c r="B3" s="10">
        <v>73750.0</v>
      </c>
      <c r="C3" s="10">
        <v>97400.0</v>
      </c>
      <c r="D3" s="10">
        <v>73410.0</v>
      </c>
      <c r="E3" s="10">
        <v>44300.0</v>
      </c>
      <c r="N3" s="31">
        <f t="shared" ref="N3:N4" si="1">SUM(B3:M3)</f>
        <v>288860</v>
      </c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>
      <c r="A4" s="24" t="s">
        <v>86</v>
      </c>
      <c r="B4" s="10">
        <v>39667.0</v>
      </c>
      <c r="C4" s="31">
        <f>'Actual results'!B47</f>
        <v>56670</v>
      </c>
      <c r="D4" s="10">
        <v>72930.0</v>
      </c>
      <c r="E4" s="10">
        <v>27713.0</v>
      </c>
      <c r="N4" s="31">
        <f t="shared" si="1"/>
        <v>196980</v>
      </c>
      <c r="O4" s="42">
        <f>N4/N3</f>
        <v>0.6819220384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</row>
    <row r="23">
      <c r="B23" s="78">
        <v>2025.0</v>
      </c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</row>
    <row r="24">
      <c r="B24" s="31" t="s">
        <v>17</v>
      </c>
      <c r="C24" s="31" t="s">
        <v>18</v>
      </c>
      <c r="D24" s="31" t="s">
        <v>19</v>
      </c>
      <c r="E24" s="31" t="s">
        <v>20</v>
      </c>
      <c r="F24" s="31" t="s">
        <v>6</v>
      </c>
      <c r="G24" s="31" t="s">
        <v>7</v>
      </c>
      <c r="H24" s="31" t="s">
        <v>33</v>
      </c>
      <c r="I24" s="31" t="s">
        <v>35</v>
      </c>
      <c r="J24" s="31" t="s">
        <v>37</v>
      </c>
      <c r="K24" s="31" t="s">
        <v>14</v>
      </c>
      <c r="L24" s="31" t="s">
        <v>15</v>
      </c>
      <c r="M24" s="31" t="s">
        <v>16</v>
      </c>
      <c r="N24" s="69" t="s">
        <v>47</v>
      </c>
      <c r="O24" s="69" t="s">
        <v>84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80" t="s">
        <v>85</v>
      </c>
      <c r="B25" s="10">
        <v>56150.0</v>
      </c>
      <c r="C25" s="10">
        <v>124700.0</v>
      </c>
      <c r="D25" s="10">
        <v>46570.0</v>
      </c>
      <c r="E25" s="10">
        <v>63200.0</v>
      </c>
      <c r="F25" s="10">
        <v>107750.0</v>
      </c>
      <c r="G25" s="10">
        <v>85850.0</v>
      </c>
      <c r="H25" s="10">
        <v>120450.0</v>
      </c>
      <c r="I25" s="10">
        <v>68300.0</v>
      </c>
      <c r="J25" s="10">
        <v>95050.0</v>
      </c>
      <c r="K25" s="10">
        <v>88650.0</v>
      </c>
      <c r="L25" s="10">
        <v>58500.0</v>
      </c>
      <c r="M25" s="10">
        <v>42850.0</v>
      </c>
      <c r="N25" s="31">
        <f t="shared" ref="N25:N26" si="2">SUM(B25:M25)</f>
        <v>958020</v>
      </c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24" t="s">
        <v>86</v>
      </c>
      <c r="B26" s="10">
        <v>57743.0</v>
      </c>
      <c r="C26" s="31">
        <f>'Actual results'!B35</f>
        <v>62626</v>
      </c>
      <c r="D26" s="31">
        <f>'Actual results'!B36</f>
        <v>75054</v>
      </c>
      <c r="E26" s="31">
        <f>'Actual results'!B37</f>
        <v>50099</v>
      </c>
      <c r="F26" s="10">
        <v>69986.0</v>
      </c>
      <c r="G26" s="10">
        <v>38550.0</v>
      </c>
      <c r="H26" s="10">
        <v>43785.0</v>
      </c>
      <c r="I26" s="10">
        <v>47943.0</v>
      </c>
      <c r="J26" s="10">
        <v>47823.0</v>
      </c>
      <c r="K26" s="10">
        <v>60249.0</v>
      </c>
      <c r="L26" s="10">
        <v>65123.0</v>
      </c>
      <c r="M26" s="10">
        <v>43130.0</v>
      </c>
      <c r="N26" s="31">
        <f t="shared" si="2"/>
        <v>662111</v>
      </c>
      <c r="O26" s="42">
        <f>N26/N25</f>
        <v>0.6911244024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</row>
    <row r="27"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</row>
    <row r="28"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</row>
    <row r="29"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</row>
    <row r="30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</row>
    <row r="31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</row>
    <row r="32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</row>
    <row r="3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</row>
    <row r="34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r="35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</row>
    <row r="39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>
      <c r="B45" s="78">
        <v>2024.0</v>
      </c>
      <c r="Q45" s="79" t="s">
        <v>85</v>
      </c>
    </row>
    <row r="46">
      <c r="B46" s="31" t="s">
        <v>17</v>
      </c>
      <c r="C46" s="31" t="s">
        <v>18</v>
      </c>
      <c r="D46" s="31" t="s">
        <v>19</v>
      </c>
      <c r="E46" s="31" t="s">
        <v>20</v>
      </c>
      <c r="F46" s="31" t="s">
        <v>6</v>
      </c>
      <c r="G46" s="31" t="s">
        <v>7</v>
      </c>
      <c r="H46" s="31" t="s">
        <v>33</v>
      </c>
      <c r="I46" s="31" t="s">
        <v>35</v>
      </c>
      <c r="J46" s="31" t="s">
        <v>37</v>
      </c>
      <c r="K46" s="31" t="s">
        <v>14</v>
      </c>
      <c r="L46" s="31" t="s">
        <v>15</v>
      </c>
      <c r="M46" s="31" t="s">
        <v>16</v>
      </c>
      <c r="N46" s="69" t="s">
        <v>47</v>
      </c>
      <c r="O46" s="69" t="s">
        <v>84</v>
      </c>
      <c r="R46" s="81">
        <v>2022.0</v>
      </c>
      <c r="S46" s="81">
        <v>2023.0</v>
      </c>
      <c r="T46" s="81">
        <v>2024.0</v>
      </c>
      <c r="U46" s="81">
        <v>2025.0</v>
      </c>
      <c r="V46" s="81">
        <v>2026.0</v>
      </c>
    </row>
    <row r="47">
      <c r="A47" s="80" t="s">
        <v>85</v>
      </c>
      <c r="B47" s="10">
        <v>118930.0</v>
      </c>
      <c r="C47" s="10">
        <v>57150.0</v>
      </c>
      <c r="D47" s="10">
        <v>90500.0</v>
      </c>
      <c r="E47" s="10">
        <v>70650.0</v>
      </c>
      <c r="F47" s="10">
        <v>40250.0</v>
      </c>
      <c r="G47" s="10">
        <v>71972.0</v>
      </c>
      <c r="H47" s="10">
        <v>64050.0</v>
      </c>
      <c r="I47" s="10">
        <v>112310.0</v>
      </c>
      <c r="J47" s="10">
        <v>63850.0</v>
      </c>
      <c r="K47" s="10">
        <v>60200.0</v>
      </c>
      <c r="L47" s="10">
        <v>60790.0</v>
      </c>
      <c r="M47" s="10">
        <v>54270.0</v>
      </c>
      <c r="N47" s="31">
        <f t="shared" ref="N47:N48" si="3">SUM(B47:M47)</f>
        <v>864922</v>
      </c>
      <c r="Q47" s="31" t="s">
        <v>17</v>
      </c>
      <c r="R47" s="10">
        <v>66700.0</v>
      </c>
      <c r="S47" s="10">
        <v>44600.0</v>
      </c>
      <c r="T47" s="10">
        <v>118930.0</v>
      </c>
      <c r="U47" s="31">
        <f>B25</f>
        <v>56150</v>
      </c>
      <c r="V47" s="31">
        <f>B3</f>
        <v>73750</v>
      </c>
    </row>
    <row r="48">
      <c r="A48" s="24" t="s">
        <v>86</v>
      </c>
      <c r="B48" s="10">
        <v>41711.0</v>
      </c>
      <c r="C48" s="10">
        <v>45872.0</v>
      </c>
      <c r="D48" s="10">
        <v>61332.0</v>
      </c>
      <c r="E48" s="10">
        <v>38708.0</v>
      </c>
      <c r="F48" s="10">
        <v>47009.0</v>
      </c>
      <c r="G48" s="10">
        <v>23780.0</v>
      </c>
      <c r="H48" s="10">
        <v>32653.0</v>
      </c>
      <c r="I48" s="10">
        <v>49940.0</v>
      </c>
      <c r="J48" s="10">
        <v>65447.0</v>
      </c>
      <c r="K48" s="10">
        <v>41510.0</v>
      </c>
      <c r="L48" s="10">
        <v>61758.0</v>
      </c>
      <c r="M48" s="10">
        <v>73294.0</v>
      </c>
      <c r="N48" s="31">
        <f t="shared" si="3"/>
        <v>583014</v>
      </c>
      <c r="O48" s="42">
        <f>N48/N47</f>
        <v>0.6740654071</v>
      </c>
      <c r="Q48" s="31" t="s">
        <v>18</v>
      </c>
      <c r="R48" s="10">
        <v>61300.0</v>
      </c>
      <c r="S48" s="10">
        <v>77850.0</v>
      </c>
      <c r="T48" s="10">
        <v>57150.0</v>
      </c>
      <c r="U48" s="31">
        <f>C25</f>
        <v>124700</v>
      </c>
      <c r="V48" s="31">
        <f>C3</f>
        <v>97400</v>
      </c>
    </row>
    <row r="49">
      <c r="Q49" s="31" t="s">
        <v>19</v>
      </c>
      <c r="R49" s="10">
        <v>52482.0</v>
      </c>
      <c r="S49" s="10">
        <v>36100.0</v>
      </c>
      <c r="T49" s="10">
        <v>90500.0</v>
      </c>
      <c r="U49" s="31">
        <f>D25</f>
        <v>46570</v>
      </c>
      <c r="V49" s="31">
        <f>D3</f>
        <v>73410</v>
      </c>
    </row>
    <row r="50">
      <c r="Q50" s="31" t="s">
        <v>20</v>
      </c>
      <c r="R50" s="10">
        <v>32200.0</v>
      </c>
      <c r="S50" s="10">
        <v>36900.0</v>
      </c>
      <c r="T50" s="10">
        <v>70650.0</v>
      </c>
      <c r="U50" s="31">
        <f>E25</f>
        <v>63200</v>
      </c>
      <c r="V50" s="31">
        <f>E3</f>
        <v>44300</v>
      </c>
    </row>
    <row r="51">
      <c r="Q51" s="31" t="s">
        <v>6</v>
      </c>
      <c r="R51" s="10">
        <v>45450.0</v>
      </c>
      <c r="S51" s="10">
        <v>84650.0</v>
      </c>
      <c r="T51" s="10">
        <v>40250.0</v>
      </c>
      <c r="U51" s="10">
        <v>107750.0</v>
      </c>
    </row>
    <row r="52"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Q52" s="31" t="s">
        <v>7</v>
      </c>
      <c r="R52" s="10">
        <v>82300.0</v>
      </c>
      <c r="S52" s="10">
        <v>77300.0</v>
      </c>
      <c r="T52" s="10">
        <v>71972.0</v>
      </c>
      <c r="U52" s="31">
        <f>G25</f>
        <v>85850</v>
      </c>
    </row>
    <row r="53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Q53" s="31" t="s">
        <v>33</v>
      </c>
      <c r="R53" s="10">
        <v>79285.0</v>
      </c>
      <c r="S53" s="10">
        <v>66250.0</v>
      </c>
      <c r="T53" s="10">
        <v>64050.0</v>
      </c>
      <c r="U53" s="31">
        <f>H25</f>
        <v>120450</v>
      </c>
    </row>
    <row r="54"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Q54" s="31" t="s">
        <v>35</v>
      </c>
      <c r="R54" s="10">
        <v>82750.0</v>
      </c>
      <c r="S54" s="10">
        <v>79301.0</v>
      </c>
      <c r="T54" s="10">
        <v>112310.0</v>
      </c>
      <c r="U54" s="31">
        <f>I25</f>
        <v>68300</v>
      </c>
    </row>
    <row r="55"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Q55" s="31" t="s">
        <v>37</v>
      </c>
      <c r="R55" s="10">
        <v>65550.0</v>
      </c>
      <c r="S55" s="10">
        <v>73800.0</v>
      </c>
      <c r="T55" s="10">
        <v>63850.0</v>
      </c>
      <c r="U55" s="31">
        <f>J25</f>
        <v>95050</v>
      </c>
    </row>
    <row r="56"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Q56" s="31" t="s">
        <v>14</v>
      </c>
      <c r="R56" s="10">
        <v>62800.0</v>
      </c>
      <c r="S56" s="10">
        <v>56589.0</v>
      </c>
      <c r="T56" s="10">
        <v>60200.0</v>
      </c>
      <c r="U56" s="31">
        <f>K25</f>
        <v>88650</v>
      </c>
    </row>
    <row r="57"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Q57" s="31" t="s">
        <v>15</v>
      </c>
      <c r="R57" s="10">
        <v>69123.0</v>
      </c>
      <c r="S57" s="10">
        <v>60790.0</v>
      </c>
      <c r="T57" s="10">
        <v>60790.0</v>
      </c>
      <c r="U57" s="31">
        <f>L25</f>
        <v>58500</v>
      </c>
    </row>
    <row r="58"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Q58" s="31" t="s">
        <v>16</v>
      </c>
      <c r="R58" s="10">
        <v>26700.0</v>
      </c>
      <c r="S58" s="10">
        <v>75973.0</v>
      </c>
      <c r="T58" s="10">
        <v>54270.0</v>
      </c>
      <c r="U58" s="31">
        <f>M25</f>
        <v>42850</v>
      </c>
    </row>
    <row r="59"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  <row r="60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R60" s="31">
        <f t="shared" ref="R60:V60" si="4">SUM(R47:R58)</f>
        <v>726640</v>
      </c>
      <c r="S60" s="31">
        <f t="shared" si="4"/>
        <v>770103</v>
      </c>
      <c r="T60" s="31">
        <f t="shared" si="4"/>
        <v>864922</v>
      </c>
      <c r="U60" s="31">
        <f t="shared" si="4"/>
        <v>958020</v>
      </c>
      <c r="V60" s="31">
        <f t="shared" si="4"/>
        <v>288860</v>
      </c>
    </row>
    <row r="61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S61" s="42">
        <f t="shared" ref="S61:U61" si="5">(S60-R60)/R60</f>
        <v>0.05981366289</v>
      </c>
      <c r="T61" s="42">
        <f t="shared" si="5"/>
        <v>0.1231250885</v>
      </c>
      <c r="U61" s="42">
        <f t="shared" si="5"/>
        <v>0.1076374517</v>
      </c>
    </row>
    <row r="62"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</row>
    <row r="64"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</row>
    <row r="65"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Q65" s="82" t="s">
        <v>86</v>
      </c>
    </row>
    <row r="66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R66" s="81">
        <v>2022.0</v>
      </c>
      <c r="S66" s="81">
        <v>2023.0</v>
      </c>
      <c r="T66" s="81">
        <v>2024.0</v>
      </c>
      <c r="U66" s="81">
        <v>2025.0</v>
      </c>
      <c r="V66" s="81">
        <v>2026.0</v>
      </c>
    </row>
    <row r="67">
      <c r="B67" s="78">
        <v>2023.0</v>
      </c>
      <c r="Q67" s="31" t="s">
        <v>17</v>
      </c>
      <c r="R67" s="10">
        <v>33624.0</v>
      </c>
      <c r="S67" s="10">
        <v>23670.0</v>
      </c>
      <c r="T67" s="10">
        <v>41711.0</v>
      </c>
      <c r="U67" s="31">
        <f>B26</f>
        <v>57743</v>
      </c>
      <c r="V67" s="31">
        <f>B4</f>
        <v>39667</v>
      </c>
    </row>
    <row r="68">
      <c r="B68" s="31" t="s">
        <v>17</v>
      </c>
      <c r="C68" s="31" t="s">
        <v>18</v>
      </c>
      <c r="D68" s="31" t="s">
        <v>19</v>
      </c>
      <c r="E68" s="31" t="s">
        <v>20</v>
      </c>
      <c r="F68" s="31" t="s">
        <v>6</v>
      </c>
      <c r="G68" s="31" t="s">
        <v>7</v>
      </c>
      <c r="H68" s="31" t="s">
        <v>33</v>
      </c>
      <c r="I68" s="31" t="s">
        <v>35</v>
      </c>
      <c r="J68" s="31" t="s">
        <v>37</v>
      </c>
      <c r="K68" s="31" t="s">
        <v>14</v>
      </c>
      <c r="L68" s="31" t="s">
        <v>15</v>
      </c>
      <c r="M68" s="31" t="s">
        <v>16</v>
      </c>
      <c r="N68" s="69" t="s">
        <v>47</v>
      </c>
      <c r="O68" s="69" t="s">
        <v>84</v>
      </c>
      <c r="Q68" s="31" t="s">
        <v>18</v>
      </c>
      <c r="R68" s="10">
        <v>31277.0</v>
      </c>
      <c r="S68" s="10">
        <v>40401.0</v>
      </c>
      <c r="T68" s="10">
        <v>45872.0</v>
      </c>
      <c r="U68" s="31">
        <f>C26</f>
        <v>62626</v>
      </c>
      <c r="V68" s="31">
        <f>C4</f>
        <v>56670</v>
      </c>
    </row>
    <row r="69">
      <c r="A69" s="80" t="s">
        <v>85</v>
      </c>
      <c r="B69" s="10">
        <v>44600.0</v>
      </c>
      <c r="C69" s="10">
        <v>77850.0</v>
      </c>
      <c r="D69" s="10">
        <v>36100.0</v>
      </c>
      <c r="E69" s="10">
        <v>36900.0</v>
      </c>
      <c r="F69" s="10">
        <v>84650.0</v>
      </c>
      <c r="G69" s="10">
        <v>77300.0</v>
      </c>
      <c r="H69" s="10">
        <v>66250.0</v>
      </c>
      <c r="I69" s="10">
        <v>79301.0</v>
      </c>
      <c r="J69" s="10">
        <v>73800.0</v>
      </c>
      <c r="K69" s="10">
        <v>56589.0</v>
      </c>
      <c r="L69" s="10">
        <v>60790.0</v>
      </c>
      <c r="M69" s="10">
        <v>75973.0</v>
      </c>
      <c r="N69" s="31">
        <f t="shared" ref="N69:N70" si="6">SUM(B69:M69)</f>
        <v>770103</v>
      </c>
      <c r="Q69" s="31" t="s">
        <v>19</v>
      </c>
      <c r="R69" s="10">
        <v>30052.0</v>
      </c>
      <c r="S69" s="10">
        <v>13720.0</v>
      </c>
      <c r="T69" s="10">
        <v>61332.0</v>
      </c>
      <c r="U69" s="31">
        <f>D26</f>
        <v>75054</v>
      </c>
      <c r="V69" s="31">
        <f>D4</f>
        <v>72930</v>
      </c>
    </row>
    <row r="70">
      <c r="A70" s="24" t="s">
        <v>86</v>
      </c>
      <c r="B70" s="10">
        <v>23670.0</v>
      </c>
      <c r="C70" s="10">
        <v>40401.0</v>
      </c>
      <c r="D70" s="10">
        <v>13720.0</v>
      </c>
      <c r="E70" s="10">
        <v>19681.0</v>
      </c>
      <c r="F70" s="10">
        <v>40092.0</v>
      </c>
      <c r="G70" s="10">
        <v>21393.0</v>
      </c>
      <c r="H70" s="10">
        <v>22214.0</v>
      </c>
      <c r="I70" s="10">
        <v>19055.0</v>
      </c>
      <c r="J70" s="10">
        <v>40014.0</v>
      </c>
      <c r="K70" s="10">
        <v>30831.0</v>
      </c>
      <c r="L70" s="10">
        <v>49445.0</v>
      </c>
      <c r="M70" s="10">
        <v>35247.0</v>
      </c>
      <c r="N70" s="31">
        <f t="shared" si="6"/>
        <v>355763</v>
      </c>
      <c r="O70" s="42">
        <f>N70/N69</f>
        <v>0.4619680744</v>
      </c>
      <c r="Q70" s="31" t="s">
        <v>20</v>
      </c>
      <c r="R70" s="10">
        <v>30420.0</v>
      </c>
      <c r="S70" s="10">
        <v>19681.0</v>
      </c>
      <c r="T70" s="10">
        <v>38708.0</v>
      </c>
      <c r="U70" s="31">
        <f>E26</f>
        <v>50099</v>
      </c>
      <c r="V70" s="31">
        <f>E4</f>
        <v>27713</v>
      </c>
    </row>
    <row r="71"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Q71" s="31" t="s">
        <v>6</v>
      </c>
      <c r="R71" s="10">
        <v>24867.0</v>
      </c>
      <c r="S71" s="10">
        <v>40092.0</v>
      </c>
      <c r="T71" s="10">
        <v>47009.0</v>
      </c>
      <c r="U71" s="10">
        <v>69986.0</v>
      </c>
    </row>
    <row r="72"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Q72" s="31" t="s">
        <v>7</v>
      </c>
      <c r="R72" s="10">
        <v>32603.0</v>
      </c>
      <c r="S72" s="10">
        <v>21393.0</v>
      </c>
      <c r="T72" s="10">
        <v>23780.0</v>
      </c>
      <c r="U72" s="31">
        <f>G26</f>
        <v>38550</v>
      </c>
    </row>
    <row r="73">
      <c r="H73" s="78"/>
      <c r="I73" s="78"/>
      <c r="J73" s="78"/>
      <c r="K73" s="78"/>
      <c r="L73" s="78"/>
      <c r="M73" s="78"/>
      <c r="Q73" s="31" t="s">
        <v>33</v>
      </c>
      <c r="R73" s="10">
        <v>43580.0</v>
      </c>
      <c r="S73" s="10">
        <v>22214.0</v>
      </c>
      <c r="T73" s="10">
        <v>32653.0</v>
      </c>
      <c r="U73" s="31">
        <f>H26</f>
        <v>43785</v>
      </c>
    </row>
    <row r="74"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Q74" s="31" t="s">
        <v>35</v>
      </c>
      <c r="R74" s="10">
        <v>42222.0</v>
      </c>
      <c r="S74" s="10">
        <v>19055.0</v>
      </c>
      <c r="T74" s="10">
        <v>49940.0</v>
      </c>
      <c r="U74" s="31">
        <f>I26</f>
        <v>47943</v>
      </c>
    </row>
    <row r="75"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Q75" s="31" t="s">
        <v>37</v>
      </c>
      <c r="R75" s="10">
        <v>18272.0</v>
      </c>
      <c r="S75" s="10">
        <v>40014.0</v>
      </c>
      <c r="T75" s="10">
        <v>65447.0</v>
      </c>
      <c r="U75" s="31">
        <f>J26</f>
        <v>47823</v>
      </c>
    </row>
    <row r="76"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Q76" s="31" t="s">
        <v>14</v>
      </c>
      <c r="R76" s="10">
        <v>43918.0</v>
      </c>
      <c r="S76" s="10">
        <v>30831.0</v>
      </c>
      <c r="T76" s="10">
        <v>41510.0</v>
      </c>
      <c r="U76" s="31">
        <f>K26</f>
        <v>60249</v>
      </c>
    </row>
    <row r="77"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Q77" s="31" t="s">
        <v>15</v>
      </c>
      <c r="R77" s="10">
        <v>33670.0</v>
      </c>
      <c r="S77" s="10">
        <v>49445.0</v>
      </c>
      <c r="T77" s="10">
        <v>61758.0</v>
      </c>
      <c r="U77" s="31">
        <f>L26</f>
        <v>65123</v>
      </c>
    </row>
    <row r="78"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Q78" s="31" t="s">
        <v>16</v>
      </c>
      <c r="R78" s="10">
        <v>60639.0</v>
      </c>
      <c r="S78" s="10">
        <v>35247.0</v>
      </c>
      <c r="T78" s="10">
        <v>73294.0</v>
      </c>
      <c r="U78" s="31">
        <f>M26</f>
        <v>43130</v>
      </c>
    </row>
    <row r="79"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</row>
    <row r="80"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R80" s="31">
        <f t="shared" ref="R80:V80" si="7">SUM(R67:R78)</f>
        <v>425144</v>
      </c>
      <c r="S80" s="31">
        <f t="shared" si="7"/>
        <v>355763</v>
      </c>
      <c r="T80" s="31">
        <f t="shared" si="7"/>
        <v>583014</v>
      </c>
      <c r="U80" s="31">
        <f t="shared" si="7"/>
        <v>662111</v>
      </c>
      <c r="V80" s="31">
        <f t="shared" si="7"/>
        <v>196980</v>
      </c>
    </row>
    <row r="81"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S81" s="42">
        <f t="shared" ref="S81:U81" si="8">(S80-R80)/R80</f>
        <v>-0.1631941178</v>
      </c>
      <c r="T81" s="42">
        <f t="shared" si="8"/>
        <v>0.6387707547</v>
      </c>
      <c r="U81" s="42">
        <f t="shared" si="8"/>
        <v>0.1356691263</v>
      </c>
    </row>
    <row r="82"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</row>
    <row r="83"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</row>
    <row r="84"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</row>
    <row r="85"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</row>
    <row r="86"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</row>
    <row r="88">
      <c r="B88" s="78">
        <v>2022.0</v>
      </c>
    </row>
    <row r="89">
      <c r="B89" s="31" t="s">
        <v>17</v>
      </c>
      <c r="C89" s="31" t="s">
        <v>18</v>
      </c>
      <c r="D89" s="31" t="s">
        <v>19</v>
      </c>
      <c r="E89" s="31" t="s">
        <v>20</v>
      </c>
      <c r="F89" s="31" t="s">
        <v>6</v>
      </c>
      <c r="G89" s="31" t="s">
        <v>7</v>
      </c>
      <c r="H89" s="31" t="s">
        <v>33</v>
      </c>
      <c r="I89" s="31" t="s">
        <v>35</v>
      </c>
      <c r="J89" s="31" t="s">
        <v>37</v>
      </c>
      <c r="K89" s="31" t="s">
        <v>14</v>
      </c>
      <c r="L89" s="31" t="s">
        <v>15</v>
      </c>
      <c r="M89" s="31" t="s">
        <v>16</v>
      </c>
      <c r="N89" s="69" t="s">
        <v>47</v>
      </c>
      <c r="O89" s="69" t="s">
        <v>84</v>
      </c>
    </row>
    <row r="90">
      <c r="A90" s="80" t="s">
        <v>85</v>
      </c>
      <c r="B90" s="10">
        <v>66700.0</v>
      </c>
      <c r="C90" s="10">
        <v>61300.0</v>
      </c>
      <c r="D90" s="10">
        <v>52482.0</v>
      </c>
      <c r="E90" s="10">
        <v>32200.0</v>
      </c>
      <c r="F90" s="10">
        <v>45450.0</v>
      </c>
      <c r="G90" s="10">
        <v>82300.0</v>
      </c>
      <c r="H90" s="10">
        <v>79285.0</v>
      </c>
      <c r="I90" s="10">
        <v>82750.0</v>
      </c>
      <c r="J90" s="10">
        <v>65550.0</v>
      </c>
      <c r="K90" s="10">
        <v>62800.0</v>
      </c>
      <c r="L90" s="10">
        <v>69123.0</v>
      </c>
      <c r="M90" s="10">
        <v>26700.0</v>
      </c>
      <c r="N90" s="31">
        <f t="shared" ref="N90:N91" si="9">SUM(B90:M90)</f>
        <v>726640</v>
      </c>
    </row>
    <row r="91">
      <c r="A91" s="24" t="s">
        <v>86</v>
      </c>
      <c r="B91" s="10">
        <v>33624.0</v>
      </c>
      <c r="C91" s="10">
        <v>31277.0</v>
      </c>
      <c r="D91" s="10">
        <v>30052.0</v>
      </c>
      <c r="E91" s="10">
        <v>30420.0</v>
      </c>
      <c r="F91" s="10">
        <v>24867.0</v>
      </c>
      <c r="G91" s="10">
        <v>32603.0</v>
      </c>
      <c r="H91" s="10">
        <v>43580.0</v>
      </c>
      <c r="I91" s="10">
        <v>42222.0</v>
      </c>
      <c r="J91" s="10">
        <v>18272.0</v>
      </c>
      <c r="K91" s="10">
        <v>43918.0</v>
      </c>
      <c r="L91" s="10">
        <v>33670.0</v>
      </c>
      <c r="M91" s="10">
        <v>60639.0</v>
      </c>
      <c r="N91" s="31">
        <f t="shared" si="9"/>
        <v>425144</v>
      </c>
      <c r="O91" s="42">
        <f>N91/N90</f>
        <v>0.5850820214</v>
      </c>
    </row>
    <row r="112">
      <c r="B112" s="78" t="s">
        <v>87</v>
      </c>
    </row>
    <row r="113">
      <c r="B113" s="69">
        <v>2022.0</v>
      </c>
      <c r="N113" s="69">
        <v>2023.0</v>
      </c>
      <c r="Z113" s="69">
        <v>2024.0</v>
      </c>
      <c r="AL113" s="69">
        <v>2025.0</v>
      </c>
      <c r="AX113" s="69">
        <v>2026.0</v>
      </c>
    </row>
    <row r="114">
      <c r="B114" s="31" t="s">
        <v>17</v>
      </c>
      <c r="C114" s="31" t="s">
        <v>18</v>
      </c>
      <c r="D114" s="31" t="s">
        <v>19</v>
      </c>
      <c r="E114" s="31" t="s">
        <v>20</v>
      </c>
      <c r="F114" s="31" t="s">
        <v>6</v>
      </c>
      <c r="G114" s="31" t="s">
        <v>7</v>
      </c>
      <c r="H114" s="31" t="s">
        <v>33</v>
      </c>
      <c r="I114" s="31" t="s">
        <v>35</v>
      </c>
      <c r="J114" s="31" t="s">
        <v>37</v>
      </c>
      <c r="K114" s="31" t="s">
        <v>14</v>
      </c>
      <c r="L114" s="31" t="s">
        <v>15</v>
      </c>
      <c r="M114" s="31" t="s">
        <v>16</v>
      </c>
      <c r="N114" s="31" t="s">
        <v>17</v>
      </c>
      <c r="O114" s="31" t="s">
        <v>18</v>
      </c>
      <c r="P114" s="31" t="s">
        <v>19</v>
      </c>
      <c r="Q114" s="31" t="s">
        <v>20</v>
      </c>
      <c r="R114" s="31" t="s">
        <v>6</v>
      </c>
      <c r="S114" s="31" t="s">
        <v>7</v>
      </c>
      <c r="T114" s="31" t="s">
        <v>33</v>
      </c>
      <c r="U114" s="31" t="s">
        <v>35</v>
      </c>
      <c r="V114" s="31" t="s">
        <v>37</v>
      </c>
      <c r="W114" s="31" t="s">
        <v>14</v>
      </c>
      <c r="X114" s="31" t="s">
        <v>15</v>
      </c>
      <c r="Y114" s="31" t="s">
        <v>16</v>
      </c>
      <c r="Z114" s="31" t="s">
        <v>17</v>
      </c>
      <c r="AA114" s="31" t="s">
        <v>18</v>
      </c>
      <c r="AB114" s="31" t="s">
        <v>19</v>
      </c>
      <c r="AC114" s="31" t="s">
        <v>20</v>
      </c>
      <c r="AD114" s="31" t="s">
        <v>6</v>
      </c>
      <c r="AE114" s="31" t="s">
        <v>7</v>
      </c>
      <c r="AF114" s="31" t="s">
        <v>33</v>
      </c>
      <c r="AG114" s="31" t="s">
        <v>35</v>
      </c>
      <c r="AH114" s="31" t="s">
        <v>37</v>
      </c>
      <c r="AI114" s="31" t="s">
        <v>14</v>
      </c>
      <c r="AJ114" s="31" t="s">
        <v>15</v>
      </c>
      <c r="AK114" s="31" t="s">
        <v>16</v>
      </c>
      <c r="AL114" s="31" t="s">
        <v>17</v>
      </c>
      <c r="AM114" s="31" t="s">
        <v>18</v>
      </c>
      <c r="AN114" s="31" t="s">
        <v>19</v>
      </c>
      <c r="AO114" s="31" t="s">
        <v>20</v>
      </c>
      <c r="AP114" s="31" t="s">
        <v>6</v>
      </c>
      <c r="AQ114" s="31" t="s">
        <v>7</v>
      </c>
      <c r="AR114" s="31" t="s">
        <v>33</v>
      </c>
      <c r="AS114" s="31" t="s">
        <v>35</v>
      </c>
      <c r="AT114" s="31" t="s">
        <v>37</v>
      </c>
      <c r="AU114" s="31" t="s">
        <v>14</v>
      </c>
      <c r="AV114" s="31" t="s">
        <v>15</v>
      </c>
      <c r="AW114" s="31" t="s">
        <v>16</v>
      </c>
      <c r="AX114" s="31" t="s">
        <v>17</v>
      </c>
      <c r="AY114" s="31" t="s">
        <v>18</v>
      </c>
      <c r="AZ114" s="31" t="s">
        <v>19</v>
      </c>
      <c r="BA114" s="31" t="s">
        <v>20</v>
      </c>
      <c r="BB114" s="31" t="s">
        <v>6</v>
      </c>
      <c r="BC114" s="31" t="s">
        <v>7</v>
      </c>
      <c r="BD114" s="31" t="s">
        <v>33</v>
      </c>
      <c r="BE114" s="31" t="s">
        <v>35</v>
      </c>
      <c r="BF114" s="31" t="s">
        <v>37</v>
      </c>
      <c r="BG114" s="31" t="s">
        <v>14</v>
      </c>
      <c r="BH114" s="31" t="s">
        <v>15</v>
      </c>
      <c r="BI114" s="31" t="s">
        <v>16</v>
      </c>
    </row>
    <row r="115">
      <c r="A115" s="10" t="s">
        <v>88</v>
      </c>
      <c r="B115" s="10">
        <v>66700.0</v>
      </c>
      <c r="C115" s="10">
        <v>61300.0</v>
      </c>
      <c r="D115" s="10">
        <v>52482.0</v>
      </c>
      <c r="E115" s="10">
        <v>32200.0</v>
      </c>
      <c r="F115" s="10">
        <v>45450.0</v>
      </c>
      <c r="G115" s="10">
        <v>82300.0</v>
      </c>
      <c r="H115" s="10">
        <v>79285.0</v>
      </c>
      <c r="I115" s="10">
        <v>82750.0</v>
      </c>
      <c r="J115" s="10">
        <v>65550.0</v>
      </c>
      <c r="K115" s="10">
        <v>62800.0</v>
      </c>
      <c r="L115" s="10">
        <v>69123.0</v>
      </c>
      <c r="M115" s="10">
        <v>26700.0</v>
      </c>
      <c r="N115" s="10">
        <v>44600.0</v>
      </c>
      <c r="O115" s="10">
        <v>77850.0</v>
      </c>
      <c r="P115" s="10">
        <v>36100.0</v>
      </c>
      <c r="Q115" s="10">
        <v>36900.0</v>
      </c>
      <c r="R115" s="10">
        <v>84650.0</v>
      </c>
      <c r="S115" s="10">
        <v>77300.0</v>
      </c>
      <c r="T115" s="10">
        <v>66250.0</v>
      </c>
      <c r="U115" s="10">
        <v>79301.0</v>
      </c>
      <c r="V115" s="10">
        <v>73800.0</v>
      </c>
      <c r="W115" s="10">
        <v>56589.0</v>
      </c>
      <c r="X115" s="10">
        <v>60790.0</v>
      </c>
      <c r="Y115" s="10">
        <v>75973.0</v>
      </c>
      <c r="Z115" s="10">
        <v>118930.0</v>
      </c>
      <c r="AA115" s="10">
        <v>57150.0</v>
      </c>
      <c r="AB115" s="10">
        <v>90500.0</v>
      </c>
      <c r="AC115" s="10">
        <v>70650.0</v>
      </c>
      <c r="AD115" s="10">
        <v>40250.0</v>
      </c>
      <c r="AE115" s="10">
        <v>71972.0</v>
      </c>
      <c r="AF115" s="10">
        <v>64050.0</v>
      </c>
      <c r="AG115" s="10">
        <v>112310.0</v>
      </c>
      <c r="AH115" s="10">
        <v>63850.0</v>
      </c>
      <c r="AI115" s="10">
        <v>60200.0</v>
      </c>
      <c r="AJ115" s="10">
        <v>60790.0</v>
      </c>
      <c r="AK115" s="10">
        <v>54270.0</v>
      </c>
      <c r="AL115" s="10">
        <f t="shared" ref="AL115:AW115" si="10">B25</f>
        <v>56150</v>
      </c>
      <c r="AM115" s="10">
        <f t="shared" si="10"/>
        <v>124700</v>
      </c>
      <c r="AN115" s="10">
        <f t="shared" si="10"/>
        <v>46570</v>
      </c>
      <c r="AO115" s="10">
        <f t="shared" si="10"/>
        <v>63200</v>
      </c>
      <c r="AP115" s="10">
        <f t="shared" si="10"/>
        <v>107750</v>
      </c>
      <c r="AQ115" s="10">
        <f t="shared" si="10"/>
        <v>85850</v>
      </c>
      <c r="AR115" s="10">
        <f t="shared" si="10"/>
        <v>120450</v>
      </c>
      <c r="AS115" s="10">
        <f t="shared" si="10"/>
        <v>68300</v>
      </c>
      <c r="AT115" s="10">
        <f t="shared" si="10"/>
        <v>95050</v>
      </c>
      <c r="AU115" s="10">
        <f t="shared" si="10"/>
        <v>88650</v>
      </c>
      <c r="AV115" s="10">
        <f t="shared" si="10"/>
        <v>58500</v>
      </c>
      <c r="AW115" s="10">
        <f t="shared" si="10"/>
        <v>42850</v>
      </c>
      <c r="AX115" s="10">
        <f t="shared" ref="AX115:BA115" si="11">B3</f>
        <v>73750</v>
      </c>
      <c r="AY115" s="10">
        <f t="shared" si="11"/>
        <v>97400</v>
      </c>
      <c r="AZ115" s="10">
        <f t="shared" si="11"/>
        <v>73410</v>
      </c>
      <c r="BA115" s="10">
        <f t="shared" si="11"/>
        <v>44300</v>
      </c>
      <c r="BB115" s="10"/>
      <c r="BC115" s="10"/>
      <c r="BD115" s="10"/>
      <c r="BE115" s="10"/>
      <c r="BF115" s="10"/>
      <c r="BG115" s="10"/>
      <c r="BH115" s="10"/>
      <c r="BI115" s="10"/>
    </row>
    <row r="116">
      <c r="A116" s="10" t="s">
        <v>86</v>
      </c>
      <c r="B116" s="10">
        <v>33624.0</v>
      </c>
      <c r="C116" s="10">
        <v>31277.0</v>
      </c>
      <c r="D116" s="10">
        <v>30052.0</v>
      </c>
      <c r="E116" s="10">
        <v>30420.0</v>
      </c>
      <c r="F116" s="10">
        <v>24867.0</v>
      </c>
      <c r="G116" s="10">
        <v>32603.0</v>
      </c>
      <c r="H116" s="10">
        <v>43580.0</v>
      </c>
      <c r="I116" s="10">
        <v>42222.0</v>
      </c>
      <c r="J116" s="10">
        <v>18272.0</v>
      </c>
      <c r="K116" s="10">
        <v>43918.0</v>
      </c>
      <c r="L116" s="10">
        <v>33670.0</v>
      </c>
      <c r="M116" s="10">
        <v>60639.0</v>
      </c>
      <c r="N116" s="10">
        <v>33624.0</v>
      </c>
      <c r="O116" s="10">
        <v>31277.0</v>
      </c>
      <c r="P116" s="10">
        <v>30052.0</v>
      </c>
      <c r="Q116" s="10">
        <v>30420.0</v>
      </c>
      <c r="R116" s="10">
        <v>24867.0</v>
      </c>
      <c r="S116" s="10">
        <v>32603.0</v>
      </c>
      <c r="T116" s="10">
        <v>43580.0</v>
      </c>
      <c r="U116" s="10">
        <v>42222.0</v>
      </c>
      <c r="V116" s="10">
        <v>18272.0</v>
      </c>
      <c r="W116" s="10">
        <v>43918.0</v>
      </c>
      <c r="X116" s="10">
        <v>33670.0</v>
      </c>
      <c r="Y116" s="10">
        <v>60639.0</v>
      </c>
      <c r="Z116" s="10">
        <v>41711.0</v>
      </c>
      <c r="AA116" s="10">
        <v>45872.0</v>
      </c>
      <c r="AB116" s="10">
        <v>61332.0</v>
      </c>
      <c r="AC116" s="10">
        <v>38708.0</v>
      </c>
      <c r="AD116" s="10">
        <v>47009.0</v>
      </c>
      <c r="AE116" s="10">
        <v>23780.0</v>
      </c>
      <c r="AF116" s="10">
        <v>32653.0</v>
      </c>
      <c r="AG116" s="10">
        <v>49940.0</v>
      </c>
      <c r="AH116" s="10">
        <v>65447.0</v>
      </c>
      <c r="AI116" s="10">
        <v>41510.0</v>
      </c>
      <c r="AJ116" s="10">
        <v>61758.0</v>
      </c>
      <c r="AK116" s="10">
        <v>73294.0</v>
      </c>
      <c r="AL116" s="10">
        <f t="shared" ref="AL116:AW116" si="12">B26</f>
        <v>57743</v>
      </c>
      <c r="AM116" s="10">
        <f t="shared" si="12"/>
        <v>62626</v>
      </c>
      <c r="AN116" s="10">
        <f t="shared" si="12"/>
        <v>75054</v>
      </c>
      <c r="AO116" s="10">
        <f t="shared" si="12"/>
        <v>50099</v>
      </c>
      <c r="AP116" s="10">
        <f t="shared" si="12"/>
        <v>69986</v>
      </c>
      <c r="AQ116" s="10">
        <f t="shared" si="12"/>
        <v>38550</v>
      </c>
      <c r="AR116" s="10">
        <f t="shared" si="12"/>
        <v>43785</v>
      </c>
      <c r="AS116" s="10">
        <f t="shared" si="12"/>
        <v>47943</v>
      </c>
      <c r="AT116" s="10">
        <f t="shared" si="12"/>
        <v>47823</v>
      </c>
      <c r="AU116" s="10">
        <f t="shared" si="12"/>
        <v>60249</v>
      </c>
      <c r="AV116" s="10">
        <f t="shared" si="12"/>
        <v>65123</v>
      </c>
      <c r="AW116" s="10">
        <f t="shared" si="12"/>
        <v>43130</v>
      </c>
      <c r="AX116" s="10">
        <f t="shared" ref="AX116:BA116" si="13">B4</f>
        <v>39667</v>
      </c>
      <c r="AY116" s="10">
        <f t="shared" si="13"/>
        <v>56670</v>
      </c>
      <c r="AZ116" s="10">
        <f t="shared" si="13"/>
        <v>72930</v>
      </c>
      <c r="BA116" s="10">
        <f t="shared" si="13"/>
        <v>27713</v>
      </c>
      <c r="BB116" s="10"/>
      <c r="BC116" s="10"/>
      <c r="BD116" s="10"/>
      <c r="BE116" s="10"/>
      <c r="BF116" s="10"/>
      <c r="BG116" s="10"/>
      <c r="BH116" s="10"/>
      <c r="BI116" s="10"/>
    </row>
    <row r="117">
      <c r="AY117" s="10" t="str">
        <f>C5</f>
        <v/>
      </c>
    </row>
  </sheetData>
  <mergeCells count="13">
    <mergeCell ref="B112:M112"/>
    <mergeCell ref="B113:M113"/>
    <mergeCell ref="N113:Y113"/>
    <mergeCell ref="Z113:AK113"/>
    <mergeCell ref="AL113:AW113"/>
    <mergeCell ref="AX113:BI113"/>
    <mergeCell ref="B1:M1"/>
    <mergeCell ref="B23:M23"/>
    <mergeCell ref="B45:M45"/>
    <mergeCell ref="Q45:AG45"/>
    <mergeCell ref="Q65:AB65"/>
    <mergeCell ref="B67:M67"/>
    <mergeCell ref="B88:M8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